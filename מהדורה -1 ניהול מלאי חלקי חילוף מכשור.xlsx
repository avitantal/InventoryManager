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3"/>
  <workbookPr filterPrivacy="1" defaultThemeVersion="124226"/>
  <xr:revisionPtr revIDLastSave="0" documentId="13_ncr:1_{7AD699E1-575E-4B24-9F1A-4A442D39FD62}" xr6:coauthVersionLast="36" xr6:coauthVersionMax="36" xr10:uidLastSave="{00000000-0000-0000-0000-000000000000}"/>
  <bookViews>
    <workbookView xWindow="0" yWindow="0" windowWidth="19200" windowHeight="6588" tabRatio="735" firstSheet="5" activeTab="5" xr2:uid="{00000000-000D-0000-FFFF-FFFF00000000}"/>
  </bookViews>
  <sheets>
    <sheet name="רשימת מכשור 2015" sheetId="11" r:id="rId1"/>
    <sheet name="חח מכשור - מידע והחלטה 2015" sheetId="6" r:id="rId2"/>
    <sheet name="חלקי חילוף מכשור " sheetId="1" state="hidden" r:id="rId3"/>
    <sheet name="חח מכשור - מלאי מינימום 2015" sheetId="14" r:id="rId4"/>
    <sheet name="רשימת מכשור לרכישה " sheetId="7" state="hidden" r:id="rId5"/>
    <sheet name="מכשור וציוד בקרה מלאי חח" sheetId="9" r:id="rId6"/>
  </sheets>
  <definedNames>
    <definedName name="_xlnm._FilterDatabase" localSheetId="1" hidden="1">'חח מכשור - מידע והחלטה 2015'!$A$3:$Q$2000</definedName>
    <definedName name="_xlnm._FilterDatabase" localSheetId="3" hidden="1">'חח מכשור - מלאי מינימום 2015'!$B$3:$U$169</definedName>
    <definedName name="_xlnm._FilterDatabase" localSheetId="2" hidden="1">'חלקי חילוף מכשור '!$A$3:$Q$987</definedName>
    <definedName name="_xlnm._FilterDatabase" localSheetId="5" hidden="1">'מכשור וציוד בקרה מלאי חח'!$B$4:$Q$285</definedName>
    <definedName name="_xlnm._FilterDatabase" localSheetId="0" hidden="1">'רשימת מכשור 2015'!$A$2:$G$984</definedName>
    <definedName name="_xlnm._FilterDatabase" localSheetId="4" hidden="1">'רשימת מכשור לרכישה '!$B$3:$K$75</definedName>
  </definedNames>
  <calcPr calcId="191029"/>
</workbook>
</file>

<file path=xl/calcChain.xml><?xml version="1.0" encoding="utf-8"?>
<calcChain xmlns="http://schemas.openxmlformats.org/spreadsheetml/2006/main">
  <c r="B218" i="9" l="1"/>
  <c r="B219" i="9" s="1"/>
  <c r="B171" i="9"/>
  <c r="B172" i="9" s="1"/>
  <c r="B173" i="9" s="1"/>
  <c r="B174" i="9" s="1"/>
  <c r="B175" i="9" s="1"/>
  <c r="B176" i="9" s="1"/>
  <c r="B177" i="9" s="1"/>
  <c r="B178" i="9" s="1"/>
  <c r="B179" i="9" s="1"/>
  <c r="B180" i="9" s="1"/>
  <c r="B181" i="9" s="1"/>
  <c r="B182" i="9" s="1"/>
  <c r="B183" i="9" s="1"/>
  <c r="B184" i="9" s="1"/>
  <c r="B185" i="9" s="1"/>
  <c r="B186" i="9" s="1"/>
  <c r="B163" i="9"/>
  <c r="B164" i="9" s="1"/>
  <c r="B165" i="9" s="1"/>
  <c r="B166" i="9" s="1"/>
  <c r="B167" i="9" s="1"/>
  <c r="B168" i="9" s="1"/>
  <c r="B169" i="9" s="1"/>
  <c r="B158" i="9"/>
  <c r="B159" i="9" s="1"/>
  <c r="B160" i="9" s="1"/>
  <c r="B161" i="9" s="1"/>
  <c r="B115" i="6" l="1"/>
  <c r="A115" i="6"/>
  <c r="A49" i="14" l="1"/>
  <c r="B49" i="14"/>
  <c r="R5" i="14" l="1"/>
  <c r="S5" i="14" s="1"/>
  <c r="R147" i="14"/>
  <c r="S147" i="14" s="1"/>
  <c r="F147" i="14"/>
  <c r="H147" i="14" s="1"/>
  <c r="M147" i="14" s="1"/>
  <c r="E147" i="14"/>
  <c r="D147" i="14"/>
  <c r="C147" i="14"/>
  <c r="B147" i="14"/>
  <c r="A147" i="14"/>
  <c r="R146" i="14"/>
  <c r="S146" i="14" s="1"/>
  <c r="F146" i="14"/>
  <c r="H146" i="14" s="1"/>
  <c r="M146" i="14" s="1"/>
  <c r="E146" i="14"/>
  <c r="D146" i="14"/>
  <c r="C146" i="14"/>
  <c r="B146" i="14"/>
  <c r="A146" i="14"/>
  <c r="R145" i="14"/>
  <c r="S145" i="14" s="1"/>
  <c r="F145" i="14"/>
  <c r="H145" i="14" s="1"/>
  <c r="M145" i="14" s="1"/>
  <c r="E145" i="14"/>
  <c r="D145" i="14"/>
  <c r="C145" i="14"/>
  <c r="B145" i="14"/>
  <c r="A145" i="14"/>
  <c r="R144" i="14"/>
  <c r="S144" i="14" s="1"/>
  <c r="F144" i="14"/>
  <c r="H144" i="14" s="1"/>
  <c r="M144" i="14" s="1"/>
  <c r="E144" i="14"/>
  <c r="D144" i="14"/>
  <c r="C144" i="14"/>
  <c r="B144" i="14"/>
  <c r="A144" i="14"/>
  <c r="R143" i="14"/>
  <c r="S143" i="14" s="1"/>
  <c r="F143" i="14"/>
  <c r="H143" i="14" s="1"/>
  <c r="M143" i="14" s="1"/>
  <c r="E143" i="14"/>
  <c r="D143" i="14"/>
  <c r="C143" i="14"/>
  <c r="B143" i="14"/>
  <c r="A143" i="14"/>
  <c r="R142" i="14"/>
  <c r="S142" i="14" s="1"/>
  <c r="F142" i="14"/>
  <c r="H142" i="14" s="1"/>
  <c r="M142" i="14" s="1"/>
  <c r="E142" i="14"/>
  <c r="D142" i="14"/>
  <c r="C142" i="14"/>
  <c r="B142" i="14"/>
  <c r="A142" i="14"/>
  <c r="R141" i="14"/>
  <c r="S141" i="14" s="1"/>
  <c r="F141" i="14"/>
  <c r="H141" i="14" s="1"/>
  <c r="M141" i="14" s="1"/>
  <c r="E141" i="14"/>
  <c r="D141" i="14"/>
  <c r="C141" i="14"/>
  <c r="B141" i="14"/>
  <c r="A141" i="14"/>
  <c r="R140" i="14"/>
  <c r="S140" i="14" s="1"/>
  <c r="F140" i="14"/>
  <c r="H140" i="14" s="1"/>
  <c r="M140" i="14" s="1"/>
  <c r="E140" i="14"/>
  <c r="D140" i="14"/>
  <c r="C140" i="14"/>
  <c r="B140" i="14"/>
  <c r="A140" i="14"/>
  <c r="R139" i="14"/>
  <c r="S139" i="14" s="1"/>
  <c r="F139" i="14"/>
  <c r="H139" i="14" s="1"/>
  <c r="M139" i="14" s="1"/>
  <c r="E139" i="14"/>
  <c r="D139" i="14"/>
  <c r="C139" i="14"/>
  <c r="B139" i="14"/>
  <c r="A139" i="14"/>
  <c r="R138" i="14"/>
  <c r="S138" i="14" s="1"/>
  <c r="F138" i="14"/>
  <c r="H138" i="14" s="1"/>
  <c r="M138" i="14" s="1"/>
  <c r="E138" i="14"/>
  <c r="D138" i="14"/>
  <c r="C138" i="14"/>
  <c r="B138" i="14"/>
  <c r="A138" i="14"/>
  <c r="R137" i="14"/>
  <c r="S137" i="14" s="1"/>
  <c r="F137" i="14"/>
  <c r="H137" i="14" s="1"/>
  <c r="M137" i="14" s="1"/>
  <c r="E137" i="14"/>
  <c r="D137" i="14"/>
  <c r="C137" i="14"/>
  <c r="B137" i="14"/>
  <c r="A137" i="14"/>
  <c r="R136" i="14"/>
  <c r="S136" i="14" s="1"/>
  <c r="F136" i="14"/>
  <c r="H136" i="14" s="1"/>
  <c r="M136" i="14" s="1"/>
  <c r="E136" i="14"/>
  <c r="D136" i="14"/>
  <c r="C136" i="14"/>
  <c r="B136" i="14"/>
  <c r="A136" i="14"/>
  <c r="R135" i="14"/>
  <c r="S135" i="14" s="1"/>
  <c r="F135" i="14"/>
  <c r="H135" i="14" s="1"/>
  <c r="M135" i="14" s="1"/>
  <c r="E135" i="14"/>
  <c r="D135" i="14"/>
  <c r="C135" i="14"/>
  <c r="B135" i="14"/>
  <c r="A135" i="14"/>
  <c r="R134" i="14"/>
  <c r="S134" i="14" s="1"/>
  <c r="F134" i="14"/>
  <c r="H134" i="14" s="1"/>
  <c r="M134" i="14" s="1"/>
  <c r="E134" i="14"/>
  <c r="D134" i="14"/>
  <c r="C134" i="14"/>
  <c r="B134" i="14"/>
  <c r="A134" i="14"/>
  <c r="R133" i="14"/>
  <c r="S133" i="14" s="1"/>
  <c r="F133" i="14"/>
  <c r="H133" i="14" s="1"/>
  <c r="M133" i="14" s="1"/>
  <c r="E133" i="14"/>
  <c r="D133" i="14"/>
  <c r="C133" i="14"/>
  <c r="B133" i="14"/>
  <c r="A133" i="14"/>
  <c r="R132" i="14"/>
  <c r="S132" i="14" s="1"/>
  <c r="F132" i="14"/>
  <c r="H132" i="14" s="1"/>
  <c r="M132" i="14" s="1"/>
  <c r="E132" i="14"/>
  <c r="D132" i="14"/>
  <c r="C132" i="14"/>
  <c r="B132" i="14"/>
  <c r="A132" i="14"/>
  <c r="R131" i="14"/>
  <c r="S131" i="14" s="1"/>
  <c r="F131" i="14"/>
  <c r="H131" i="14" s="1"/>
  <c r="M131" i="14" s="1"/>
  <c r="E131" i="14"/>
  <c r="D131" i="14"/>
  <c r="C131" i="14"/>
  <c r="B131" i="14"/>
  <c r="A131" i="14"/>
  <c r="R130" i="14"/>
  <c r="S130" i="14" s="1"/>
  <c r="F130" i="14"/>
  <c r="H130" i="14" s="1"/>
  <c r="M130" i="14" s="1"/>
  <c r="E130" i="14"/>
  <c r="D130" i="14"/>
  <c r="C130" i="14"/>
  <c r="B130" i="14"/>
  <c r="A130" i="14"/>
  <c r="R129" i="14"/>
  <c r="S129" i="14" s="1"/>
  <c r="F129" i="14"/>
  <c r="H129" i="14" s="1"/>
  <c r="M129" i="14" s="1"/>
  <c r="E129" i="14"/>
  <c r="D129" i="14"/>
  <c r="C129" i="14"/>
  <c r="B129" i="14"/>
  <c r="A129" i="14"/>
  <c r="R128" i="14"/>
  <c r="S128" i="14" s="1"/>
  <c r="F128" i="14"/>
  <c r="H128" i="14" s="1"/>
  <c r="M128" i="14" s="1"/>
  <c r="E128" i="14"/>
  <c r="D128" i="14"/>
  <c r="C128" i="14"/>
  <c r="B128" i="14"/>
  <c r="A128" i="14"/>
  <c r="R127" i="14"/>
  <c r="S127" i="14" s="1"/>
  <c r="F127" i="14"/>
  <c r="H127" i="14" s="1"/>
  <c r="M127" i="14" s="1"/>
  <c r="E127" i="14"/>
  <c r="D127" i="14"/>
  <c r="C127" i="14"/>
  <c r="B127" i="14"/>
  <c r="A127" i="14"/>
  <c r="R126" i="14"/>
  <c r="S126" i="14" s="1"/>
  <c r="F126" i="14"/>
  <c r="H126" i="14" s="1"/>
  <c r="M126" i="14" s="1"/>
  <c r="E126" i="14"/>
  <c r="D126" i="14"/>
  <c r="C126" i="14"/>
  <c r="B126" i="14"/>
  <c r="A126" i="14"/>
  <c r="R125" i="14"/>
  <c r="S125" i="14" s="1"/>
  <c r="F125" i="14"/>
  <c r="H125" i="14" s="1"/>
  <c r="M125" i="14" s="1"/>
  <c r="E125" i="14"/>
  <c r="D125" i="14"/>
  <c r="C125" i="14"/>
  <c r="B125" i="14"/>
  <c r="A125" i="14"/>
  <c r="R124" i="14"/>
  <c r="S124" i="14" s="1"/>
  <c r="F124" i="14"/>
  <c r="H124" i="14" s="1"/>
  <c r="M124" i="14" s="1"/>
  <c r="E124" i="14"/>
  <c r="D124" i="14"/>
  <c r="C124" i="14"/>
  <c r="B124" i="14"/>
  <c r="A124" i="14"/>
  <c r="R123" i="14"/>
  <c r="S123" i="14" s="1"/>
  <c r="F123" i="14"/>
  <c r="H123" i="14" s="1"/>
  <c r="M123" i="14" s="1"/>
  <c r="E123" i="14"/>
  <c r="D123" i="14"/>
  <c r="C123" i="14"/>
  <c r="B123" i="14"/>
  <c r="A123" i="14"/>
  <c r="R122" i="14"/>
  <c r="S122" i="14" s="1"/>
  <c r="F122" i="14"/>
  <c r="H122" i="14" s="1"/>
  <c r="M122" i="14" s="1"/>
  <c r="E122" i="14"/>
  <c r="D122" i="14"/>
  <c r="C122" i="14"/>
  <c r="B122" i="14"/>
  <c r="A122" i="14"/>
  <c r="R121" i="14"/>
  <c r="S121" i="14" s="1"/>
  <c r="F121" i="14"/>
  <c r="H121" i="14" s="1"/>
  <c r="M121" i="14" s="1"/>
  <c r="E121" i="14"/>
  <c r="D121" i="14"/>
  <c r="C121" i="14"/>
  <c r="B121" i="14"/>
  <c r="A121" i="14"/>
  <c r="R120" i="14"/>
  <c r="S120" i="14" s="1"/>
  <c r="F120" i="14"/>
  <c r="H120" i="14" s="1"/>
  <c r="M120" i="14" s="1"/>
  <c r="E120" i="14"/>
  <c r="D120" i="14"/>
  <c r="C120" i="14"/>
  <c r="B120" i="14"/>
  <c r="A120" i="14"/>
  <c r="R119" i="14"/>
  <c r="S119" i="14" s="1"/>
  <c r="F119" i="14"/>
  <c r="H119" i="14" s="1"/>
  <c r="M119" i="14" s="1"/>
  <c r="E119" i="14"/>
  <c r="D119" i="14"/>
  <c r="C119" i="14"/>
  <c r="B119" i="14"/>
  <c r="A119" i="14"/>
  <c r="R118" i="14"/>
  <c r="S118" i="14" s="1"/>
  <c r="F118" i="14"/>
  <c r="H118" i="14" s="1"/>
  <c r="M118" i="14" s="1"/>
  <c r="E118" i="14"/>
  <c r="D118" i="14"/>
  <c r="C118" i="14"/>
  <c r="B118" i="14"/>
  <c r="A118" i="14"/>
  <c r="R117" i="14"/>
  <c r="S117" i="14" s="1"/>
  <c r="F117" i="14"/>
  <c r="H117" i="14" s="1"/>
  <c r="M117" i="14" s="1"/>
  <c r="E117" i="14"/>
  <c r="D117" i="14"/>
  <c r="C117" i="14"/>
  <c r="B117" i="14"/>
  <c r="A117" i="14"/>
  <c r="R116" i="14"/>
  <c r="S116" i="14" s="1"/>
  <c r="F116" i="14"/>
  <c r="H116" i="14" s="1"/>
  <c r="M116" i="14" s="1"/>
  <c r="E116" i="14"/>
  <c r="D116" i="14"/>
  <c r="C116" i="14"/>
  <c r="B116" i="14"/>
  <c r="A116" i="14"/>
  <c r="R115" i="14"/>
  <c r="S115" i="14" s="1"/>
  <c r="F115" i="14"/>
  <c r="H115" i="14" s="1"/>
  <c r="M115" i="14" s="1"/>
  <c r="E115" i="14"/>
  <c r="D115" i="14"/>
  <c r="C115" i="14"/>
  <c r="B115" i="14"/>
  <c r="A115" i="14"/>
  <c r="R114" i="14"/>
  <c r="S114" i="14" s="1"/>
  <c r="F114" i="14"/>
  <c r="H114" i="14" s="1"/>
  <c r="M114" i="14" s="1"/>
  <c r="E114" i="14"/>
  <c r="D114" i="14"/>
  <c r="C114" i="14"/>
  <c r="B114" i="14"/>
  <c r="A114" i="14"/>
  <c r="R113" i="14"/>
  <c r="S113" i="14" s="1"/>
  <c r="F113" i="14"/>
  <c r="H113" i="14" s="1"/>
  <c r="M113" i="14" s="1"/>
  <c r="E113" i="14"/>
  <c r="D113" i="14"/>
  <c r="C113" i="14"/>
  <c r="B113" i="14"/>
  <c r="A113" i="14"/>
  <c r="R112" i="14"/>
  <c r="S112" i="14" s="1"/>
  <c r="F112" i="14"/>
  <c r="H112" i="14" s="1"/>
  <c r="M112" i="14" s="1"/>
  <c r="E112" i="14"/>
  <c r="D112" i="14"/>
  <c r="C112" i="14"/>
  <c r="B112" i="14"/>
  <c r="A112" i="14"/>
  <c r="R111" i="14"/>
  <c r="S111" i="14" s="1"/>
  <c r="F111" i="14"/>
  <c r="H111" i="14" s="1"/>
  <c r="M111" i="14" s="1"/>
  <c r="E111" i="14"/>
  <c r="D111" i="14"/>
  <c r="C111" i="14"/>
  <c r="B111" i="14"/>
  <c r="A111" i="14"/>
  <c r="R110" i="14"/>
  <c r="S110" i="14" s="1"/>
  <c r="F110" i="14"/>
  <c r="H110" i="14" s="1"/>
  <c r="M110" i="14" s="1"/>
  <c r="E110" i="14"/>
  <c r="D110" i="14"/>
  <c r="C110" i="14"/>
  <c r="B110" i="14"/>
  <c r="A110" i="14"/>
  <c r="R109" i="14"/>
  <c r="S109" i="14" s="1"/>
  <c r="F109" i="14"/>
  <c r="H109" i="14" s="1"/>
  <c r="M109" i="14" s="1"/>
  <c r="E109" i="14"/>
  <c r="D109" i="14"/>
  <c r="C109" i="14"/>
  <c r="B109" i="14"/>
  <c r="A109" i="14"/>
  <c r="R108" i="14"/>
  <c r="S108" i="14" s="1"/>
  <c r="F108" i="14"/>
  <c r="H108" i="14" s="1"/>
  <c r="M108" i="14" s="1"/>
  <c r="E108" i="14"/>
  <c r="D108" i="14"/>
  <c r="C108" i="14"/>
  <c r="B108" i="14"/>
  <c r="A108" i="14"/>
  <c r="R107" i="14"/>
  <c r="S107" i="14" s="1"/>
  <c r="F107" i="14"/>
  <c r="H107" i="14" s="1"/>
  <c r="M107" i="14" s="1"/>
  <c r="E107" i="14"/>
  <c r="D107" i="14"/>
  <c r="C107" i="14"/>
  <c r="B107" i="14"/>
  <c r="A107" i="14"/>
  <c r="R106" i="14"/>
  <c r="S106" i="14" s="1"/>
  <c r="F106" i="14"/>
  <c r="H106" i="14" s="1"/>
  <c r="M106" i="14" s="1"/>
  <c r="E106" i="14"/>
  <c r="D106" i="14"/>
  <c r="C106" i="14"/>
  <c r="B106" i="14"/>
  <c r="A106" i="14"/>
  <c r="R105" i="14"/>
  <c r="S105" i="14" s="1"/>
  <c r="F105" i="14"/>
  <c r="H105" i="14" s="1"/>
  <c r="M105" i="14" s="1"/>
  <c r="E105" i="14"/>
  <c r="D105" i="14"/>
  <c r="C105" i="14"/>
  <c r="B105" i="14"/>
  <c r="A105" i="14"/>
  <c r="R104" i="14"/>
  <c r="S104" i="14" s="1"/>
  <c r="F104" i="14"/>
  <c r="H104" i="14" s="1"/>
  <c r="M104" i="14" s="1"/>
  <c r="E104" i="14"/>
  <c r="D104" i="14"/>
  <c r="C104" i="14"/>
  <c r="B104" i="14"/>
  <c r="A104" i="14"/>
  <c r="R103" i="14"/>
  <c r="S103" i="14" s="1"/>
  <c r="F103" i="14"/>
  <c r="H103" i="14" s="1"/>
  <c r="M103" i="14" s="1"/>
  <c r="E103" i="14"/>
  <c r="D103" i="14"/>
  <c r="C103" i="14"/>
  <c r="B103" i="14"/>
  <c r="A103" i="14"/>
  <c r="R102" i="14"/>
  <c r="S102" i="14" s="1"/>
  <c r="F102" i="14"/>
  <c r="H102" i="14" s="1"/>
  <c r="M102" i="14" s="1"/>
  <c r="E102" i="14"/>
  <c r="D102" i="14"/>
  <c r="C102" i="14"/>
  <c r="B102" i="14"/>
  <c r="A102" i="14"/>
  <c r="R101" i="14"/>
  <c r="S101" i="14" s="1"/>
  <c r="F101" i="14"/>
  <c r="H101" i="14" s="1"/>
  <c r="M101" i="14" s="1"/>
  <c r="E101" i="14"/>
  <c r="D101" i="14"/>
  <c r="C101" i="14"/>
  <c r="B101" i="14"/>
  <c r="A101" i="14"/>
  <c r="R100" i="14"/>
  <c r="S100" i="14" s="1"/>
  <c r="F100" i="14"/>
  <c r="H100" i="14" s="1"/>
  <c r="M100" i="14" s="1"/>
  <c r="E100" i="14"/>
  <c r="D100" i="14"/>
  <c r="C100" i="14"/>
  <c r="B100" i="14"/>
  <c r="A100" i="14"/>
  <c r="R99" i="14"/>
  <c r="S99" i="14" s="1"/>
  <c r="F99" i="14"/>
  <c r="H99" i="14" s="1"/>
  <c r="M99" i="14" s="1"/>
  <c r="E99" i="14"/>
  <c r="D99" i="14"/>
  <c r="C99" i="14"/>
  <c r="B99" i="14"/>
  <c r="A99" i="14"/>
  <c r="R98" i="14"/>
  <c r="S98" i="14" s="1"/>
  <c r="M98" i="14"/>
  <c r="F98" i="14"/>
  <c r="E98" i="14"/>
  <c r="D98" i="14"/>
  <c r="C98" i="14"/>
  <c r="B98" i="14"/>
  <c r="A98" i="14"/>
  <c r="R97" i="14"/>
  <c r="S97" i="14" s="1"/>
  <c r="F97" i="14"/>
  <c r="H97" i="14" s="1"/>
  <c r="M97" i="14" s="1"/>
  <c r="E97" i="14"/>
  <c r="D97" i="14"/>
  <c r="C97" i="14"/>
  <c r="B97" i="14"/>
  <c r="A97" i="14"/>
  <c r="R96" i="14"/>
  <c r="S96" i="14" s="1"/>
  <c r="F96" i="14"/>
  <c r="H96" i="14" s="1"/>
  <c r="M96" i="14" s="1"/>
  <c r="E96" i="14"/>
  <c r="D96" i="14"/>
  <c r="C96" i="14"/>
  <c r="B96" i="14"/>
  <c r="A96" i="14"/>
  <c r="R95" i="14"/>
  <c r="S95" i="14" s="1"/>
  <c r="F95" i="14"/>
  <c r="H95" i="14" s="1"/>
  <c r="M95" i="14" s="1"/>
  <c r="E95" i="14"/>
  <c r="D95" i="14"/>
  <c r="C95" i="14"/>
  <c r="B95" i="14"/>
  <c r="A95" i="14"/>
  <c r="R94" i="14"/>
  <c r="S94" i="14" s="1"/>
  <c r="F94" i="14"/>
  <c r="H94" i="14" s="1"/>
  <c r="M94" i="14" s="1"/>
  <c r="E94" i="14"/>
  <c r="D94" i="14"/>
  <c r="C94" i="14"/>
  <c r="B94" i="14"/>
  <c r="A94" i="14"/>
  <c r="R93" i="14"/>
  <c r="S93" i="14" s="1"/>
  <c r="F93" i="14"/>
  <c r="H93" i="14" s="1"/>
  <c r="M93" i="14" s="1"/>
  <c r="E93" i="14"/>
  <c r="D93" i="14"/>
  <c r="C93" i="14"/>
  <c r="B93" i="14"/>
  <c r="A93" i="14"/>
  <c r="R92" i="14"/>
  <c r="S92" i="14" s="1"/>
  <c r="F92" i="14"/>
  <c r="H92" i="14" s="1"/>
  <c r="M92" i="14" s="1"/>
  <c r="E92" i="14"/>
  <c r="D92" i="14"/>
  <c r="C92" i="14"/>
  <c r="B92" i="14"/>
  <c r="A92" i="14"/>
  <c r="R91" i="14"/>
  <c r="S91" i="14" s="1"/>
  <c r="F91" i="14"/>
  <c r="H91" i="14" s="1"/>
  <c r="M91" i="14" s="1"/>
  <c r="E91" i="14"/>
  <c r="D91" i="14"/>
  <c r="C91" i="14"/>
  <c r="B91" i="14"/>
  <c r="A91" i="14"/>
  <c r="R90" i="14"/>
  <c r="S90" i="14" s="1"/>
  <c r="F90" i="14"/>
  <c r="H90" i="14" s="1"/>
  <c r="M90" i="14" s="1"/>
  <c r="E90" i="14"/>
  <c r="D90" i="14"/>
  <c r="C90" i="14"/>
  <c r="B90" i="14"/>
  <c r="A90" i="14"/>
  <c r="R89" i="14"/>
  <c r="S89" i="14" s="1"/>
  <c r="F89" i="14"/>
  <c r="H89" i="14" s="1"/>
  <c r="M89" i="14" s="1"/>
  <c r="E89" i="14"/>
  <c r="D89" i="14"/>
  <c r="C89" i="14"/>
  <c r="B89" i="14"/>
  <c r="A89" i="14"/>
  <c r="R88" i="14"/>
  <c r="S88" i="14" s="1"/>
  <c r="F88" i="14"/>
  <c r="H88" i="14" s="1"/>
  <c r="M88" i="14" s="1"/>
  <c r="E88" i="14"/>
  <c r="D88" i="14"/>
  <c r="C88" i="14"/>
  <c r="B88" i="14"/>
  <c r="A88" i="14"/>
  <c r="R87" i="14"/>
  <c r="S87" i="14" s="1"/>
  <c r="F87" i="14"/>
  <c r="H87" i="14" s="1"/>
  <c r="M87" i="14" s="1"/>
  <c r="E87" i="14"/>
  <c r="D87" i="14"/>
  <c r="C87" i="14"/>
  <c r="B87" i="14"/>
  <c r="A87" i="14"/>
  <c r="R86" i="14"/>
  <c r="S86" i="14" s="1"/>
  <c r="F86" i="14"/>
  <c r="H86" i="14" s="1"/>
  <c r="M86" i="14" s="1"/>
  <c r="E86" i="14"/>
  <c r="D86" i="14"/>
  <c r="C86" i="14"/>
  <c r="B86" i="14"/>
  <c r="A86" i="14"/>
  <c r="R85" i="14"/>
  <c r="S85" i="14" s="1"/>
  <c r="F85" i="14"/>
  <c r="H85" i="14" s="1"/>
  <c r="M85" i="14" s="1"/>
  <c r="E85" i="14"/>
  <c r="D85" i="14"/>
  <c r="C85" i="14"/>
  <c r="B85" i="14"/>
  <c r="A85" i="14"/>
  <c r="R84" i="14"/>
  <c r="S84" i="14" s="1"/>
  <c r="F84" i="14"/>
  <c r="H84" i="14" s="1"/>
  <c r="M84" i="14" s="1"/>
  <c r="E84" i="14"/>
  <c r="D84" i="14"/>
  <c r="C84" i="14"/>
  <c r="B84" i="14"/>
  <c r="A84" i="14"/>
  <c r="R83" i="14"/>
  <c r="S83" i="14" s="1"/>
  <c r="F83" i="14"/>
  <c r="H83" i="14" s="1"/>
  <c r="M83" i="14" s="1"/>
  <c r="E83" i="14"/>
  <c r="D83" i="14"/>
  <c r="C83" i="14"/>
  <c r="B83" i="14"/>
  <c r="A83" i="14"/>
  <c r="R82" i="14"/>
  <c r="S82" i="14" s="1"/>
  <c r="F82" i="14"/>
  <c r="H82" i="14" s="1"/>
  <c r="M82" i="14" s="1"/>
  <c r="E82" i="14"/>
  <c r="D82" i="14"/>
  <c r="C82" i="14"/>
  <c r="B82" i="14"/>
  <c r="A82" i="14"/>
  <c r="R81" i="14"/>
  <c r="S81" i="14" s="1"/>
  <c r="F81" i="14"/>
  <c r="H81" i="14" s="1"/>
  <c r="M81" i="14" s="1"/>
  <c r="E81" i="14"/>
  <c r="D81" i="14"/>
  <c r="C81" i="14"/>
  <c r="B81" i="14"/>
  <c r="A81" i="14"/>
  <c r="R80" i="14"/>
  <c r="S80" i="14" s="1"/>
  <c r="F80" i="14"/>
  <c r="H80" i="14" s="1"/>
  <c r="M80" i="14" s="1"/>
  <c r="E80" i="14"/>
  <c r="D80" i="14"/>
  <c r="C80" i="14"/>
  <c r="B80" i="14"/>
  <c r="A80" i="14"/>
  <c r="R79" i="14"/>
  <c r="S79" i="14" s="1"/>
  <c r="F79" i="14"/>
  <c r="H79" i="14" s="1"/>
  <c r="M79" i="14" s="1"/>
  <c r="E79" i="14"/>
  <c r="D79" i="14"/>
  <c r="C79" i="14"/>
  <c r="B79" i="14"/>
  <c r="A79" i="14"/>
  <c r="R78" i="14"/>
  <c r="S78" i="14" s="1"/>
  <c r="F78" i="14"/>
  <c r="H78" i="14" s="1"/>
  <c r="M78" i="14" s="1"/>
  <c r="E78" i="14"/>
  <c r="D78" i="14"/>
  <c r="C78" i="14"/>
  <c r="B78" i="14"/>
  <c r="A78" i="14"/>
  <c r="R77" i="14"/>
  <c r="S77" i="14" s="1"/>
  <c r="F77" i="14"/>
  <c r="H77" i="14" s="1"/>
  <c r="M77" i="14" s="1"/>
  <c r="E77" i="14"/>
  <c r="D77" i="14"/>
  <c r="C77" i="14"/>
  <c r="B77" i="14"/>
  <c r="A77" i="14"/>
  <c r="R76" i="14"/>
  <c r="S76" i="14" s="1"/>
  <c r="F76" i="14"/>
  <c r="H76" i="14" s="1"/>
  <c r="M76" i="14" s="1"/>
  <c r="E76" i="14"/>
  <c r="D76" i="14"/>
  <c r="C76" i="14"/>
  <c r="B76" i="14"/>
  <c r="A76" i="14"/>
  <c r="R75" i="14"/>
  <c r="S75" i="14" s="1"/>
  <c r="F75" i="14"/>
  <c r="H75" i="14" s="1"/>
  <c r="M75" i="14" s="1"/>
  <c r="E75" i="14"/>
  <c r="D75" i="14"/>
  <c r="C75" i="14"/>
  <c r="B75" i="14"/>
  <c r="A75" i="14"/>
  <c r="R74" i="14"/>
  <c r="S74" i="14" s="1"/>
  <c r="F74" i="14"/>
  <c r="H74" i="14" s="1"/>
  <c r="M74" i="14" s="1"/>
  <c r="E74" i="14"/>
  <c r="D74" i="14"/>
  <c r="C74" i="14"/>
  <c r="B74" i="14"/>
  <c r="A74" i="14"/>
  <c r="R73" i="14"/>
  <c r="S73" i="14" s="1"/>
  <c r="F73" i="14"/>
  <c r="H73" i="14" s="1"/>
  <c r="M73" i="14" s="1"/>
  <c r="E73" i="14"/>
  <c r="D73" i="14"/>
  <c r="C73" i="14"/>
  <c r="B73" i="14"/>
  <c r="A73" i="14"/>
  <c r="R72" i="14"/>
  <c r="S72" i="14" s="1"/>
  <c r="F72" i="14"/>
  <c r="H72" i="14" s="1"/>
  <c r="M72" i="14" s="1"/>
  <c r="E72" i="14"/>
  <c r="D72" i="14"/>
  <c r="C72" i="14"/>
  <c r="B72" i="14"/>
  <c r="A72" i="14"/>
  <c r="R71" i="14"/>
  <c r="S71" i="14" s="1"/>
  <c r="F71" i="14"/>
  <c r="H71" i="14" s="1"/>
  <c r="M71" i="14" s="1"/>
  <c r="E71" i="14"/>
  <c r="D71" i="14"/>
  <c r="C71" i="14"/>
  <c r="B71" i="14"/>
  <c r="A71" i="14"/>
  <c r="R70" i="14"/>
  <c r="S70" i="14" s="1"/>
  <c r="F70" i="14"/>
  <c r="H70" i="14" s="1"/>
  <c r="M70" i="14" s="1"/>
  <c r="E70" i="14"/>
  <c r="D70" i="14"/>
  <c r="C70" i="14"/>
  <c r="B70" i="14"/>
  <c r="A70" i="14"/>
  <c r="R69" i="14"/>
  <c r="S69" i="14" s="1"/>
  <c r="F69" i="14"/>
  <c r="H69" i="14" s="1"/>
  <c r="M69" i="14" s="1"/>
  <c r="E69" i="14"/>
  <c r="D69" i="14"/>
  <c r="C69" i="14"/>
  <c r="B69" i="14"/>
  <c r="A69" i="14"/>
  <c r="R68" i="14"/>
  <c r="S68" i="14" s="1"/>
  <c r="F68" i="14"/>
  <c r="H68" i="14" s="1"/>
  <c r="M68" i="14" s="1"/>
  <c r="E68" i="14"/>
  <c r="D68" i="14"/>
  <c r="C68" i="14"/>
  <c r="B68" i="14"/>
  <c r="A68" i="14"/>
  <c r="R67" i="14"/>
  <c r="S67" i="14" s="1"/>
  <c r="F67" i="14"/>
  <c r="H67" i="14" s="1"/>
  <c r="M67" i="14" s="1"/>
  <c r="E67" i="14"/>
  <c r="D67" i="14"/>
  <c r="C67" i="14"/>
  <c r="B67" i="14"/>
  <c r="A67" i="14"/>
  <c r="R66" i="14"/>
  <c r="S66" i="14" s="1"/>
  <c r="F66" i="14"/>
  <c r="H66" i="14" s="1"/>
  <c r="M66" i="14" s="1"/>
  <c r="E66" i="14"/>
  <c r="D66" i="14"/>
  <c r="C66" i="14"/>
  <c r="B66" i="14"/>
  <c r="A66" i="14"/>
  <c r="R65" i="14"/>
  <c r="S65" i="14" s="1"/>
  <c r="F65" i="14"/>
  <c r="H65" i="14" s="1"/>
  <c r="M65" i="14" s="1"/>
  <c r="E65" i="14"/>
  <c r="D65" i="14"/>
  <c r="C65" i="14"/>
  <c r="B65" i="14"/>
  <c r="A65" i="14"/>
  <c r="R64" i="14"/>
  <c r="S64" i="14" s="1"/>
  <c r="F64" i="14"/>
  <c r="H64" i="14" s="1"/>
  <c r="M64" i="14" s="1"/>
  <c r="E64" i="14"/>
  <c r="D64" i="14"/>
  <c r="C64" i="14"/>
  <c r="B64" i="14"/>
  <c r="A64" i="14"/>
  <c r="R63" i="14"/>
  <c r="S63" i="14" s="1"/>
  <c r="F63" i="14"/>
  <c r="H63" i="14" s="1"/>
  <c r="M63" i="14" s="1"/>
  <c r="E63" i="14"/>
  <c r="D63" i="14"/>
  <c r="C63" i="14"/>
  <c r="B63" i="14"/>
  <c r="A63" i="14"/>
  <c r="R62" i="14"/>
  <c r="S62" i="14" s="1"/>
  <c r="F62" i="14"/>
  <c r="H62" i="14" s="1"/>
  <c r="M62" i="14" s="1"/>
  <c r="E62" i="14"/>
  <c r="D62" i="14"/>
  <c r="C62" i="14"/>
  <c r="B62" i="14"/>
  <c r="A62" i="14"/>
  <c r="R61" i="14"/>
  <c r="S61" i="14" s="1"/>
  <c r="F61" i="14"/>
  <c r="H61" i="14" s="1"/>
  <c r="M61" i="14" s="1"/>
  <c r="E61" i="14"/>
  <c r="D61" i="14"/>
  <c r="C61" i="14"/>
  <c r="B61" i="14"/>
  <c r="A61" i="14"/>
  <c r="R60" i="14"/>
  <c r="S60" i="14" s="1"/>
  <c r="F60" i="14"/>
  <c r="H60" i="14" s="1"/>
  <c r="M60" i="14" s="1"/>
  <c r="E60" i="14"/>
  <c r="D60" i="14"/>
  <c r="C60" i="14"/>
  <c r="B60" i="14"/>
  <c r="A60" i="14"/>
  <c r="R59" i="14"/>
  <c r="S59" i="14" s="1"/>
  <c r="F59" i="14"/>
  <c r="H59" i="14" s="1"/>
  <c r="M59" i="14" s="1"/>
  <c r="E59" i="14"/>
  <c r="D59" i="14"/>
  <c r="C59" i="14"/>
  <c r="B59" i="14"/>
  <c r="A59" i="14"/>
  <c r="R58" i="14"/>
  <c r="S58" i="14" s="1"/>
  <c r="F58" i="14"/>
  <c r="H58" i="14" s="1"/>
  <c r="M58" i="14" s="1"/>
  <c r="E58" i="14"/>
  <c r="D58" i="14"/>
  <c r="C58" i="14"/>
  <c r="B58" i="14"/>
  <c r="A58" i="14"/>
  <c r="R57" i="14"/>
  <c r="S57" i="14" s="1"/>
  <c r="F57" i="14"/>
  <c r="H57" i="14" s="1"/>
  <c r="M57" i="14" s="1"/>
  <c r="E57" i="14"/>
  <c r="D57" i="14"/>
  <c r="C57" i="14"/>
  <c r="B57" i="14"/>
  <c r="A57" i="14"/>
  <c r="R56" i="14"/>
  <c r="S56" i="14" s="1"/>
  <c r="F56" i="14"/>
  <c r="H56" i="14" s="1"/>
  <c r="M56" i="14" s="1"/>
  <c r="E56" i="14"/>
  <c r="D56" i="14"/>
  <c r="C56" i="14"/>
  <c r="B56" i="14"/>
  <c r="A56" i="14"/>
  <c r="R55" i="14"/>
  <c r="S55" i="14" s="1"/>
  <c r="F55" i="14"/>
  <c r="H55" i="14" s="1"/>
  <c r="M55" i="14" s="1"/>
  <c r="E55" i="14"/>
  <c r="D55" i="14"/>
  <c r="C55" i="14"/>
  <c r="B55" i="14"/>
  <c r="A55" i="14"/>
  <c r="R54" i="14"/>
  <c r="S54" i="14" s="1"/>
  <c r="F54" i="14"/>
  <c r="H54" i="14" s="1"/>
  <c r="M54" i="14" s="1"/>
  <c r="E54" i="14"/>
  <c r="D54" i="14"/>
  <c r="C54" i="14"/>
  <c r="B54" i="14"/>
  <c r="A54" i="14"/>
  <c r="R53" i="14"/>
  <c r="S53" i="14" s="1"/>
  <c r="M53" i="14"/>
  <c r="F53" i="14"/>
  <c r="E53" i="14"/>
  <c r="D53" i="14"/>
  <c r="C53" i="14"/>
  <c r="B53" i="14"/>
  <c r="A53" i="14"/>
  <c r="R52" i="14"/>
  <c r="S52" i="14" s="1"/>
  <c r="F52" i="14"/>
  <c r="H52" i="14" s="1"/>
  <c r="M52" i="14" s="1"/>
  <c r="E52" i="14"/>
  <c r="D52" i="14"/>
  <c r="C52" i="14"/>
  <c r="B52" i="14"/>
  <c r="A52" i="14"/>
  <c r="R51" i="14"/>
  <c r="S51" i="14" s="1"/>
  <c r="F51" i="14"/>
  <c r="H51" i="14" s="1"/>
  <c r="M51" i="14" s="1"/>
  <c r="E51" i="14"/>
  <c r="D51" i="14"/>
  <c r="C51" i="14"/>
  <c r="B51" i="14"/>
  <c r="A51" i="14"/>
  <c r="R50" i="14"/>
  <c r="S50" i="14" s="1"/>
  <c r="F50" i="14"/>
  <c r="H50" i="14" s="1"/>
  <c r="M50" i="14" s="1"/>
  <c r="E50" i="14"/>
  <c r="D50" i="14"/>
  <c r="C50" i="14"/>
  <c r="B50" i="14"/>
  <c r="A50" i="14"/>
  <c r="R49" i="14"/>
  <c r="S49" i="14" s="1"/>
  <c r="F49" i="14"/>
  <c r="H49" i="14" s="1"/>
  <c r="M49" i="14" s="1"/>
  <c r="E49" i="14"/>
  <c r="D49" i="14"/>
  <c r="C49" i="14"/>
  <c r="R48" i="14"/>
  <c r="S48" i="14" s="1"/>
  <c r="F48" i="14"/>
  <c r="H48" i="14" s="1"/>
  <c r="M48" i="14" s="1"/>
  <c r="E48" i="14"/>
  <c r="D48" i="14"/>
  <c r="C48" i="14"/>
  <c r="B48" i="14"/>
  <c r="A48" i="14"/>
  <c r="R47" i="14"/>
  <c r="S47" i="14" s="1"/>
  <c r="F47" i="14"/>
  <c r="H47" i="14" s="1"/>
  <c r="M47" i="14" s="1"/>
  <c r="E47" i="14"/>
  <c r="D47" i="14"/>
  <c r="C47" i="14"/>
  <c r="B47" i="14"/>
  <c r="A47" i="14"/>
  <c r="R46" i="14"/>
  <c r="S46" i="14" s="1"/>
  <c r="F46" i="14"/>
  <c r="H46" i="14" s="1"/>
  <c r="M46" i="14" s="1"/>
  <c r="E46" i="14"/>
  <c r="D46" i="14"/>
  <c r="C46" i="14"/>
  <c r="B46" i="14"/>
  <c r="A46" i="14"/>
  <c r="R45" i="14"/>
  <c r="S45" i="14" s="1"/>
  <c r="F45" i="14"/>
  <c r="H45" i="14" s="1"/>
  <c r="M45" i="14" s="1"/>
  <c r="E45" i="14"/>
  <c r="D45" i="14"/>
  <c r="C45" i="14"/>
  <c r="B45" i="14"/>
  <c r="A45" i="14"/>
  <c r="R44" i="14"/>
  <c r="S44" i="14" s="1"/>
  <c r="F44" i="14"/>
  <c r="H44" i="14" s="1"/>
  <c r="M44" i="14" s="1"/>
  <c r="E44" i="14"/>
  <c r="D44" i="14"/>
  <c r="C44" i="14"/>
  <c r="B44" i="14"/>
  <c r="A44" i="14"/>
  <c r="R43" i="14"/>
  <c r="S43" i="14" s="1"/>
  <c r="F43" i="14"/>
  <c r="H43" i="14" s="1"/>
  <c r="M43" i="14" s="1"/>
  <c r="E43" i="14"/>
  <c r="D43" i="14"/>
  <c r="C43" i="14"/>
  <c r="B43" i="14"/>
  <c r="A43" i="14"/>
  <c r="R42" i="14"/>
  <c r="S42" i="14" s="1"/>
  <c r="F42" i="14"/>
  <c r="H42" i="14" s="1"/>
  <c r="M42" i="14" s="1"/>
  <c r="E42" i="14"/>
  <c r="D42" i="14"/>
  <c r="C42" i="14"/>
  <c r="B42" i="14"/>
  <c r="A42" i="14"/>
  <c r="R41" i="14"/>
  <c r="S41" i="14" s="1"/>
  <c r="F41" i="14"/>
  <c r="H41" i="14" s="1"/>
  <c r="M41" i="14" s="1"/>
  <c r="E41" i="14"/>
  <c r="D41" i="14"/>
  <c r="C41" i="14"/>
  <c r="B41" i="14"/>
  <c r="A41" i="14"/>
  <c r="R40" i="14"/>
  <c r="S40" i="14" s="1"/>
  <c r="F40" i="14"/>
  <c r="H40" i="14" s="1"/>
  <c r="M40" i="14" s="1"/>
  <c r="E40" i="14"/>
  <c r="D40" i="14"/>
  <c r="C40" i="14"/>
  <c r="B40" i="14"/>
  <c r="A40" i="14"/>
  <c r="R39" i="14"/>
  <c r="S39" i="14" s="1"/>
  <c r="F39" i="14"/>
  <c r="H39" i="14" s="1"/>
  <c r="M39" i="14" s="1"/>
  <c r="E39" i="14"/>
  <c r="D39" i="14"/>
  <c r="C39" i="14"/>
  <c r="B39" i="14"/>
  <c r="A39" i="14"/>
  <c r="R38" i="14"/>
  <c r="S38" i="14" s="1"/>
  <c r="F38" i="14"/>
  <c r="H38" i="14" s="1"/>
  <c r="M38" i="14" s="1"/>
  <c r="E38" i="14"/>
  <c r="D38" i="14"/>
  <c r="C38" i="14"/>
  <c r="B38" i="14"/>
  <c r="A38" i="14"/>
  <c r="R37" i="14"/>
  <c r="S37" i="14" s="1"/>
  <c r="F37" i="14"/>
  <c r="H37" i="14" s="1"/>
  <c r="M37" i="14" s="1"/>
  <c r="E37" i="14"/>
  <c r="D37" i="14"/>
  <c r="C37" i="14"/>
  <c r="B37" i="14"/>
  <c r="A37" i="14"/>
  <c r="R36" i="14"/>
  <c r="S36" i="14" s="1"/>
  <c r="F36" i="14"/>
  <c r="H36" i="14" s="1"/>
  <c r="M36" i="14" s="1"/>
  <c r="E36" i="14"/>
  <c r="D36" i="14"/>
  <c r="C36" i="14"/>
  <c r="B36" i="14"/>
  <c r="A36" i="14"/>
  <c r="R35" i="14"/>
  <c r="S35" i="14" s="1"/>
  <c r="F35" i="14"/>
  <c r="H35" i="14" s="1"/>
  <c r="M35" i="14" s="1"/>
  <c r="E35" i="14"/>
  <c r="D35" i="14"/>
  <c r="C35" i="14"/>
  <c r="B35" i="14"/>
  <c r="A35" i="14"/>
  <c r="R34" i="14"/>
  <c r="S34" i="14" s="1"/>
  <c r="F34" i="14"/>
  <c r="H34" i="14" s="1"/>
  <c r="M34" i="14" s="1"/>
  <c r="E34" i="14"/>
  <c r="D34" i="14"/>
  <c r="C34" i="14"/>
  <c r="B34" i="14"/>
  <c r="A34" i="14"/>
  <c r="R33" i="14"/>
  <c r="S33" i="14" s="1"/>
  <c r="F33" i="14"/>
  <c r="H33" i="14" s="1"/>
  <c r="M33" i="14" s="1"/>
  <c r="E33" i="14"/>
  <c r="D33" i="14"/>
  <c r="C33" i="14"/>
  <c r="B33" i="14"/>
  <c r="A33" i="14"/>
  <c r="R32" i="14"/>
  <c r="S32" i="14" s="1"/>
  <c r="F32" i="14"/>
  <c r="H32" i="14" s="1"/>
  <c r="M32" i="14" s="1"/>
  <c r="E32" i="14"/>
  <c r="D32" i="14"/>
  <c r="C32" i="14"/>
  <c r="B32" i="14"/>
  <c r="A32" i="14"/>
  <c r="R31" i="14"/>
  <c r="S31" i="14" s="1"/>
  <c r="F31" i="14"/>
  <c r="H31" i="14" s="1"/>
  <c r="M31" i="14" s="1"/>
  <c r="E31" i="14"/>
  <c r="D31" i="14"/>
  <c r="C31" i="14"/>
  <c r="B31" i="14"/>
  <c r="A31" i="14"/>
  <c r="R30" i="14"/>
  <c r="S30" i="14" s="1"/>
  <c r="F30" i="14"/>
  <c r="H30" i="14" s="1"/>
  <c r="M30" i="14" s="1"/>
  <c r="E30" i="14"/>
  <c r="D30" i="14"/>
  <c r="C30" i="14"/>
  <c r="B30" i="14"/>
  <c r="A30" i="14"/>
  <c r="R29" i="14"/>
  <c r="S29" i="14" s="1"/>
  <c r="F29" i="14"/>
  <c r="H29" i="14" s="1"/>
  <c r="M29" i="14" s="1"/>
  <c r="E29" i="14"/>
  <c r="D29" i="14"/>
  <c r="C29" i="14"/>
  <c r="B29" i="14"/>
  <c r="A29" i="14"/>
  <c r="R28" i="14"/>
  <c r="S28" i="14" s="1"/>
  <c r="F28" i="14"/>
  <c r="H28" i="14" s="1"/>
  <c r="M28" i="14" s="1"/>
  <c r="E28" i="14"/>
  <c r="D28" i="14"/>
  <c r="C28" i="14"/>
  <c r="B28" i="14"/>
  <c r="A28" i="14"/>
  <c r="R27" i="14"/>
  <c r="S27" i="14" s="1"/>
  <c r="F27" i="14"/>
  <c r="H27" i="14" s="1"/>
  <c r="M27" i="14" s="1"/>
  <c r="E27" i="14"/>
  <c r="D27" i="14"/>
  <c r="C27" i="14"/>
  <c r="B27" i="14"/>
  <c r="A27" i="14"/>
  <c r="R26" i="14"/>
  <c r="S26" i="14" s="1"/>
  <c r="F26" i="14"/>
  <c r="H26" i="14" s="1"/>
  <c r="M26" i="14" s="1"/>
  <c r="E26" i="14"/>
  <c r="D26" i="14"/>
  <c r="C26" i="14"/>
  <c r="B26" i="14"/>
  <c r="A26" i="14"/>
  <c r="R25" i="14"/>
  <c r="S25" i="14" s="1"/>
  <c r="F25" i="14"/>
  <c r="H25" i="14" s="1"/>
  <c r="M25" i="14" s="1"/>
  <c r="E25" i="14"/>
  <c r="D25" i="14"/>
  <c r="C25" i="14"/>
  <c r="B25" i="14"/>
  <c r="A25" i="14"/>
  <c r="R24" i="14"/>
  <c r="S24" i="14" s="1"/>
  <c r="F24" i="14"/>
  <c r="H24" i="14" s="1"/>
  <c r="M24" i="14" s="1"/>
  <c r="E24" i="14"/>
  <c r="D24" i="14"/>
  <c r="C24" i="14"/>
  <c r="B24" i="14"/>
  <c r="A24" i="14"/>
  <c r="R23" i="14"/>
  <c r="S23" i="14" s="1"/>
  <c r="F23" i="14"/>
  <c r="H23" i="14" s="1"/>
  <c r="M23" i="14" s="1"/>
  <c r="E23" i="14"/>
  <c r="D23" i="14"/>
  <c r="C23" i="14"/>
  <c r="B23" i="14"/>
  <c r="A23" i="14"/>
  <c r="R22" i="14"/>
  <c r="S22" i="14" s="1"/>
  <c r="F22" i="14"/>
  <c r="H22" i="14" s="1"/>
  <c r="M22" i="14" s="1"/>
  <c r="E22" i="14"/>
  <c r="D22" i="14"/>
  <c r="C22" i="14"/>
  <c r="B22" i="14"/>
  <c r="A22" i="14"/>
  <c r="R21" i="14"/>
  <c r="S21" i="14" s="1"/>
  <c r="F21" i="14"/>
  <c r="H21" i="14" s="1"/>
  <c r="M21" i="14" s="1"/>
  <c r="E21" i="14"/>
  <c r="D21" i="14"/>
  <c r="C21" i="14"/>
  <c r="B21" i="14"/>
  <c r="A21" i="14"/>
  <c r="R20" i="14"/>
  <c r="S20" i="14" s="1"/>
  <c r="F20" i="14"/>
  <c r="H20" i="14" s="1"/>
  <c r="M20" i="14" s="1"/>
  <c r="E20" i="14"/>
  <c r="D20" i="14"/>
  <c r="C20" i="14"/>
  <c r="B20" i="14"/>
  <c r="A20" i="14"/>
  <c r="R19" i="14"/>
  <c r="S19" i="14" s="1"/>
  <c r="F19" i="14"/>
  <c r="H19" i="14" s="1"/>
  <c r="M19" i="14" s="1"/>
  <c r="E19" i="14"/>
  <c r="D19" i="14"/>
  <c r="C19" i="14"/>
  <c r="B19" i="14"/>
  <c r="A19" i="14"/>
  <c r="R18" i="14"/>
  <c r="S18" i="14" s="1"/>
  <c r="F18" i="14"/>
  <c r="H18" i="14" s="1"/>
  <c r="M18" i="14" s="1"/>
  <c r="E18" i="14"/>
  <c r="D18" i="14"/>
  <c r="C18" i="14"/>
  <c r="B18" i="14"/>
  <c r="A18" i="14"/>
  <c r="R17" i="14"/>
  <c r="S17" i="14" s="1"/>
  <c r="F17" i="14"/>
  <c r="H17" i="14" s="1"/>
  <c r="M17" i="14" s="1"/>
  <c r="E17" i="14"/>
  <c r="D17" i="14"/>
  <c r="C17" i="14"/>
  <c r="B17" i="14"/>
  <c r="A17" i="14"/>
  <c r="R16" i="14"/>
  <c r="S16" i="14" s="1"/>
  <c r="F16" i="14"/>
  <c r="H16" i="14" s="1"/>
  <c r="M16" i="14" s="1"/>
  <c r="E16" i="14"/>
  <c r="D16" i="14"/>
  <c r="C16" i="14"/>
  <c r="B16" i="14"/>
  <c r="A16" i="14"/>
  <c r="R15" i="14"/>
  <c r="S15" i="14" s="1"/>
  <c r="F15" i="14"/>
  <c r="H15" i="14" s="1"/>
  <c r="M15" i="14" s="1"/>
  <c r="E15" i="14"/>
  <c r="D15" i="14"/>
  <c r="C15" i="14"/>
  <c r="B15" i="14"/>
  <c r="A15" i="14"/>
  <c r="R14" i="14"/>
  <c r="S14" i="14" s="1"/>
  <c r="F14" i="14"/>
  <c r="H14" i="14" s="1"/>
  <c r="M14" i="14" s="1"/>
  <c r="E14" i="14"/>
  <c r="D14" i="14"/>
  <c r="C14" i="14"/>
  <c r="B14" i="14"/>
  <c r="A14" i="14"/>
  <c r="R13" i="14"/>
  <c r="S13" i="14" s="1"/>
  <c r="F13" i="14"/>
  <c r="H13" i="14" s="1"/>
  <c r="M13" i="14" s="1"/>
  <c r="E13" i="14"/>
  <c r="D13" i="14"/>
  <c r="C13" i="14"/>
  <c r="B13" i="14"/>
  <c r="A13" i="14"/>
  <c r="R12" i="14"/>
  <c r="S12" i="14" s="1"/>
  <c r="M12" i="14"/>
  <c r="F12" i="14"/>
  <c r="E12" i="14"/>
  <c r="D12" i="14"/>
  <c r="C12" i="14"/>
  <c r="B12" i="14"/>
  <c r="A12" i="14"/>
  <c r="R11" i="14"/>
  <c r="S11" i="14" s="1"/>
  <c r="M11" i="14"/>
  <c r="F11" i="14"/>
  <c r="E11" i="14"/>
  <c r="D11" i="14"/>
  <c r="C11" i="14"/>
  <c r="B11" i="14"/>
  <c r="A11" i="14"/>
  <c r="R10" i="14"/>
  <c r="S10" i="14" s="1"/>
  <c r="F10" i="14"/>
  <c r="H10" i="14" s="1"/>
  <c r="M10" i="14" s="1"/>
  <c r="E10" i="14"/>
  <c r="D10" i="14"/>
  <c r="C10" i="14"/>
  <c r="B10" i="14"/>
  <c r="A10" i="14"/>
  <c r="R9" i="14"/>
  <c r="S9" i="14" s="1"/>
  <c r="F9" i="14"/>
  <c r="H9" i="14" s="1"/>
  <c r="M9" i="14" s="1"/>
  <c r="E9" i="14"/>
  <c r="D9" i="14"/>
  <c r="C9" i="14"/>
  <c r="B9" i="14"/>
  <c r="A9" i="14"/>
  <c r="R8" i="14"/>
  <c r="S8" i="14" s="1"/>
  <c r="F8" i="14"/>
  <c r="E8" i="14"/>
  <c r="D8" i="14"/>
  <c r="C8" i="14"/>
  <c r="B8" i="14"/>
  <c r="A8" i="14"/>
  <c r="R7" i="14"/>
  <c r="S7" i="14" s="1"/>
  <c r="F7" i="14"/>
  <c r="E7" i="14"/>
  <c r="D7" i="14"/>
  <c r="C7" i="14"/>
  <c r="B7" i="14"/>
  <c r="A7" i="14"/>
  <c r="R6" i="14"/>
  <c r="S6" i="14" s="1"/>
  <c r="F6" i="14"/>
  <c r="H6" i="14" s="1"/>
  <c r="M6" i="14" s="1"/>
  <c r="E6" i="14"/>
  <c r="D6" i="14"/>
  <c r="C6" i="14"/>
  <c r="B6" i="14"/>
  <c r="A6" i="14"/>
  <c r="Q5" i="14"/>
  <c r="F5" i="14"/>
  <c r="H5" i="14" s="1"/>
  <c r="M5" i="14" s="1"/>
  <c r="E5" i="14"/>
  <c r="D5" i="14"/>
  <c r="C5" i="14"/>
  <c r="B5" i="14"/>
  <c r="A5" i="14"/>
  <c r="H4" i="14"/>
  <c r="M4" i="14" s="1"/>
  <c r="R148" i="14" l="1"/>
  <c r="S148" i="14" s="1"/>
  <c r="R149" i="14"/>
  <c r="S149" i="14" s="1"/>
  <c r="R150" i="14"/>
  <c r="S150" i="14" s="1"/>
  <c r="R151" i="14"/>
  <c r="S151" i="14" s="1"/>
  <c r="R152" i="14"/>
  <c r="S152" i="14" s="1"/>
  <c r="R153" i="14"/>
  <c r="S153" i="14" s="1"/>
  <c r="R154" i="14"/>
  <c r="S154" i="14" s="1"/>
  <c r="R155" i="14"/>
  <c r="S155" i="14" s="1"/>
  <c r="R156" i="14"/>
  <c r="S156" i="14" s="1"/>
  <c r="R157" i="14"/>
  <c r="S157" i="14" s="1"/>
  <c r="R158" i="14"/>
  <c r="S158" i="14" s="1"/>
  <c r="R159" i="14"/>
  <c r="S159" i="14" s="1"/>
  <c r="R160" i="14"/>
  <c r="S160" i="14" s="1"/>
  <c r="R161" i="14"/>
  <c r="S161" i="14" s="1"/>
  <c r="R162" i="14"/>
  <c r="S162" i="14" s="1"/>
  <c r="R163" i="14"/>
  <c r="S163" i="14" s="1"/>
  <c r="R164" i="14"/>
  <c r="S164" i="14" s="1"/>
  <c r="R165" i="14"/>
  <c r="S165" i="14" s="1"/>
  <c r="R166" i="14"/>
  <c r="S166" i="14" s="1"/>
  <c r="R167" i="14"/>
  <c r="S167" i="14" s="1"/>
  <c r="R168" i="14"/>
  <c r="S168" i="14" s="1"/>
  <c r="R169" i="14"/>
  <c r="S169" i="14" s="1"/>
  <c r="M169" i="14" l="1"/>
  <c r="F169" i="14"/>
  <c r="E169" i="14"/>
  <c r="D169" i="14"/>
  <c r="C169" i="14"/>
  <c r="B169" i="14"/>
  <c r="A169" i="14"/>
  <c r="M168" i="14"/>
  <c r="F168" i="14"/>
  <c r="E168" i="14"/>
  <c r="D168" i="14"/>
  <c r="C168" i="14"/>
  <c r="B168" i="14"/>
  <c r="A168" i="14"/>
  <c r="M167" i="14"/>
  <c r="F167" i="14"/>
  <c r="E167" i="14"/>
  <c r="D167" i="14"/>
  <c r="C167" i="14"/>
  <c r="B167" i="14"/>
  <c r="A167" i="14"/>
  <c r="M166" i="14"/>
  <c r="F166" i="14"/>
  <c r="E166" i="14"/>
  <c r="D166" i="14"/>
  <c r="C166" i="14"/>
  <c r="B166" i="14"/>
  <c r="A166" i="14"/>
  <c r="F165" i="14"/>
  <c r="H165" i="14" s="1"/>
  <c r="M165" i="14" s="1"/>
  <c r="E165" i="14"/>
  <c r="D165" i="14"/>
  <c r="C165" i="14"/>
  <c r="B165" i="14"/>
  <c r="A165" i="14"/>
  <c r="F164" i="14"/>
  <c r="H164" i="14" s="1"/>
  <c r="M164" i="14" s="1"/>
  <c r="E164" i="14"/>
  <c r="D164" i="14"/>
  <c r="C164" i="14"/>
  <c r="B164" i="14"/>
  <c r="A164" i="14"/>
  <c r="F163" i="14"/>
  <c r="H163" i="14" s="1"/>
  <c r="M163" i="14" s="1"/>
  <c r="E163" i="14"/>
  <c r="D163" i="14"/>
  <c r="C163" i="14"/>
  <c r="B163" i="14"/>
  <c r="A163" i="14"/>
  <c r="F162" i="14"/>
  <c r="H162" i="14" s="1"/>
  <c r="M162" i="14" s="1"/>
  <c r="E162" i="14"/>
  <c r="D162" i="14"/>
  <c r="C162" i="14"/>
  <c r="B162" i="14"/>
  <c r="A162" i="14"/>
  <c r="F161" i="14"/>
  <c r="H161" i="14" s="1"/>
  <c r="M161" i="14" s="1"/>
  <c r="E161" i="14"/>
  <c r="D161" i="14"/>
  <c r="C161" i="14"/>
  <c r="B161" i="14"/>
  <c r="A161" i="14"/>
  <c r="F160" i="14"/>
  <c r="H160" i="14" s="1"/>
  <c r="M160" i="14" s="1"/>
  <c r="E160" i="14"/>
  <c r="D160" i="14"/>
  <c r="C160" i="14"/>
  <c r="B160" i="14"/>
  <c r="A160" i="14"/>
  <c r="F159" i="14"/>
  <c r="H159" i="14" s="1"/>
  <c r="M159" i="14" s="1"/>
  <c r="E159" i="14"/>
  <c r="D159" i="14"/>
  <c r="C159" i="14"/>
  <c r="B159" i="14"/>
  <c r="A159" i="14"/>
  <c r="F158" i="14"/>
  <c r="H158" i="14" s="1"/>
  <c r="M158" i="14" s="1"/>
  <c r="E158" i="14"/>
  <c r="D158" i="14"/>
  <c r="C158" i="14"/>
  <c r="B158" i="14"/>
  <c r="A158" i="14"/>
  <c r="F157" i="14"/>
  <c r="H157" i="14" s="1"/>
  <c r="M157" i="14" s="1"/>
  <c r="E157" i="14"/>
  <c r="D157" i="14"/>
  <c r="C157" i="14"/>
  <c r="B157" i="14"/>
  <c r="A157" i="14"/>
  <c r="F156" i="14"/>
  <c r="H156" i="14" s="1"/>
  <c r="M156" i="14" s="1"/>
  <c r="E156" i="14"/>
  <c r="D156" i="14"/>
  <c r="C156" i="14"/>
  <c r="B156" i="14"/>
  <c r="A156" i="14"/>
  <c r="F155" i="14"/>
  <c r="H155" i="14" s="1"/>
  <c r="M155" i="14" s="1"/>
  <c r="E155" i="14"/>
  <c r="D155" i="14"/>
  <c r="C155" i="14"/>
  <c r="B155" i="14"/>
  <c r="A155" i="14"/>
  <c r="F154" i="14"/>
  <c r="H154" i="14" s="1"/>
  <c r="M154" i="14" s="1"/>
  <c r="E154" i="14"/>
  <c r="D154" i="14"/>
  <c r="C154" i="14"/>
  <c r="B154" i="14"/>
  <c r="A154" i="14"/>
  <c r="F153" i="14"/>
  <c r="H153" i="14" s="1"/>
  <c r="M153" i="14" s="1"/>
  <c r="E153" i="14"/>
  <c r="D153" i="14"/>
  <c r="C153" i="14"/>
  <c r="B153" i="14"/>
  <c r="A153" i="14"/>
  <c r="F152" i="14"/>
  <c r="H152" i="14" s="1"/>
  <c r="M152" i="14" s="1"/>
  <c r="E152" i="14"/>
  <c r="D152" i="14"/>
  <c r="C152" i="14"/>
  <c r="B152" i="14"/>
  <c r="A152" i="14"/>
  <c r="F151" i="14"/>
  <c r="H151" i="14" s="1"/>
  <c r="M151" i="14" s="1"/>
  <c r="E151" i="14"/>
  <c r="D151" i="14"/>
  <c r="C151" i="14"/>
  <c r="B151" i="14"/>
  <c r="A151" i="14"/>
  <c r="F150" i="14"/>
  <c r="H150" i="14" s="1"/>
  <c r="M150" i="14" s="1"/>
  <c r="E150" i="14"/>
  <c r="D150" i="14"/>
  <c r="C150" i="14"/>
  <c r="B150" i="14"/>
  <c r="A150" i="14"/>
  <c r="F149" i="14"/>
  <c r="H149" i="14" s="1"/>
  <c r="M149" i="14" s="1"/>
  <c r="E149" i="14"/>
  <c r="D149" i="14"/>
  <c r="C149" i="14"/>
  <c r="B149" i="14"/>
  <c r="A149" i="14"/>
  <c r="F148" i="14"/>
  <c r="H148" i="14" s="1"/>
  <c r="M148" i="14" s="1"/>
  <c r="E148" i="14"/>
  <c r="D148" i="14"/>
  <c r="C148" i="14"/>
  <c r="B148" i="14"/>
  <c r="A148" i="14"/>
  <c r="C1867" i="6" l="1"/>
  <c r="A1941" i="6"/>
  <c r="A1939" i="6"/>
  <c r="A1944" i="6"/>
  <c r="E6" i="6"/>
  <c r="F6" i="6"/>
  <c r="E7" i="6"/>
  <c r="F7" i="6"/>
  <c r="E8" i="6"/>
  <c r="F8" i="6"/>
  <c r="E9" i="6"/>
  <c r="F9" i="6"/>
  <c r="E10" i="6"/>
  <c r="F10" i="6"/>
  <c r="E11" i="6"/>
  <c r="F11" i="6"/>
  <c r="E12" i="6"/>
  <c r="F12" i="6"/>
  <c r="E13" i="6"/>
  <c r="F13" i="6"/>
  <c r="E14" i="6"/>
  <c r="F14" i="6"/>
  <c r="E15" i="6"/>
  <c r="F15" i="6"/>
  <c r="E16" i="6"/>
  <c r="F16" i="6"/>
  <c r="E17" i="6"/>
  <c r="F17" i="6"/>
  <c r="E18" i="6"/>
  <c r="F18" i="6"/>
  <c r="E19" i="6"/>
  <c r="F19" i="6"/>
  <c r="E20" i="6"/>
  <c r="F20" i="6"/>
  <c r="E21" i="6"/>
  <c r="F21" i="6"/>
  <c r="E22" i="6"/>
  <c r="F22" i="6"/>
  <c r="E23" i="6"/>
  <c r="F23" i="6"/>
  <c r="E24" i="6"/>
  <c r="F24" i="6"/>
  <c r="E25" i="6"/>
  <c r="F25" i="6"/>
  <c r="E26" i="6"/>
  <c r="F26" i="6"/>
  <c r="E27" i="6"/>
  <c r="F27" i="6"/>
  <c r="E28" i="6"/>
  <c r="F28" i="6"/>
  <c r="E29" i="6"/>
  <c r="F29" i="6"/>
  <c r="E30" i="6"/>
  <c r="F30" i="6"/>
  <c r="E31" i="6"/>
  <c r="F31" i="6"/>
  <c r="E32" i="6"/>
  <c r="F32" i="6"/>
  <c r="E33" i="6"/>
  <c r="F33" i="6"/>
  <c r="E34" i="6"/>
  <c r="F34" i="6"/>
  <c r="E35" i="6"/>
  <c r="F35" i="6"/>
  <c r="E36" i="6"/>
  <c r="F36" i="6"/>
  <c r="E37" i="6"/>
  <c r="F37" i="6"/>
  <c r="E38" i="6"/>
  <c r="F38" i="6"/>
  <c r="E39" i="6"/>
  <c r="F39" i="6"/>
  <c r="E40" i="6"/>
  <c r="F40" i="6"/>
  <c r="E41" i="6"/>
  <c r="F41" i="6"/>
  <c r="E42" i="6"/>
  <c r="F42" i="6"/>
  <c r="E43" i="6"/>
  <c r="F43" i="6"/>
  <c r="E44" i="6"/>
  <c r="F44" i="6"/>
  <c r="E45" i="6"/>
  <c r="F45" i="6"/>
  <c r="E46" i="6"/>
  <c r="F46" i="6"/>
  <c r="E47" i="6"/>
  <c r="F47" i="6"/>
  <c r="E48" i="6"/>
  <c r="F48" i="6"/>
  <c r="E49" i="6"/>
  <c r="F49" i="6"/>
  <c r="E50" i="6"/>
  <c r="F50" i="6"/>
  <c r="E51" i="6"/>
  <c r="F51" i="6"/>
  <c r="E52" i="6"/>
  <c r="F52" i="6"/>
  <c r="E53" i="6"/>
  <c r="F53" i="6"/>
  <c r="E54" i="6"/>
  <c r="F54" i="6"/>
  <c r="E55" i="6"/>
  <c r="F55" i="6"/>
  <c r="E56" i="6"/>
  <c r="F56" i="6"/>
  <c r="E57" i="6"/>
  <c r="F57" i="6"/>
  <c r="E58" i="6"/>
  <c r="F58" i="6"/>
  <c r="E59" i="6"/>
  <c r="F59" i="6"/>
  <c r="E60" i="6"/>
  <c r="F60" i="6"/>
  <c r="E61" i="6"/>
  <c r="F61" i="6"/>
  <c r="E62" i="6"/>
  <c r="F62" i="6"/>
  <c r="E63" i="6"/>
  <c r="F63" i="6"/>
  <c r="E64" i="6"/>
  <c r="F64" i="6"/>
  <c r="E65" i="6"/>
  <c r="F65" i="6"/>
  <c r="E66" i="6"/>
  <c r="F66" i="6"/>
  <c r="E67" i="6"/>
  <c r="F67" i="6"/>
  <c r="E68" i="6"/>
  <c r="F68" i="6"/>
  <c r="E69" i="6"/>
  <c r="F69" i="6"/>
  <c r="E70" i="6"/>
  <c r="F70" i="6"/>
  <c r="E71" i="6"/>
  <c r="F71" i="6"/>
  <c r="E72" i="6"/>
  <c r="F72" i="6"/>
  <c r="E73" i="6"/>
  <c r="F73" i="6"/>
  <c r="E74" i="6"/>
  <c r="F74" i="6"/>
  <c r="E75" i="6"/>
  <c r="F75" i="6"/>
  <c r="E76" i="6"/>
  <c r="F76" i="6"/>
  <c r="E77" i="6"/>
  <c r="F77" i="6"/>
  <c r="E78" i="6"/>
  <c r="F78" i="6"/>
  <c r="E79" i="6"/>
  <c r="F79" i="6"/>
  <c r="E80" i="6"/>
  <c r="F80" i="6"/>
  <c r="E81" i="6"/>
  <c r="F81" i="6"/>
  <c r="E82" i="6"/>
  <c r="F82" i="6"/>
  <c r="E83" i="6"/>
  <c r="F83" i="6"/>
  <c r="E84" i="6"/>
  <c r="F84" i="6"/>
  <c r="E85" i="6"/>
  <c r="F85" i="6"/>
  <c r="E86" i="6"/>
  <c r="F86" i="6"/>
  <c r="E87" i="6"/>
  <c r="F87" i="6"/>
  <c r="E88" i="6"/>
  <c r="F88" i="6"/>
  <c r="E89" i="6"/>
  <c r="F89" i="6"/>
  <c r="E90" i="6"/>
  <c r="F90" i="6"/>
  <c r="E91" i="6"/>
  <c r="F91" i="6"/>
  <c r="E92" i="6"/>
  <c r="F92" i="6"/>
  <c r="E93" i="6"/>
  <c r="F93" i="6"/>
  <c r="E94" i="6"/>
  <c r="F94" i="6"/>
  <c r="E95" i="6"/>
  <c r="F95" i="6"/>
  <c r="E96" i="6"/>
  <c r="F96" i="6"/>
  <c r="E97" i="6"/>
  <c r="F97" i="6"/>
  <c r="E98" i="6"/>
  <c r="F98" i="6"/>
  <c r="E99" i="6"/>
  <c r="F99" i="6"/>
  <c r="E100" i="6"/>
  <c r="F100" i="6"/>
  <c r="E101" i="6"/>
  <c r="F101" i="6"/>
  <c r="E102" i="6"/>
  <c r="F102" i="6"/>
  <c r="E103" i="6"/>
  <c r="F103" i="6"/>
  <c r="E104" i="6"/>
  <c r="F104" i="6"/>
  <c r="E105" i="6"/>
  <c r="F105" i="6"/>
  <c r="E106" i="6"/>
  <c r="F106" i="6"/>
  <c r="E107" i="6"/>
  <c r="F107" i="6"/>
  <c r="E108" i="6"/>
  <c r="F108" i="6"/>
  <c r="E109" i="6"/>
  <c r="F109" i="6"/>
  <c r="E110" i="6"/>
  <c r="F110" i="6"/>
  <c r="E111" i="6"/>
  <c r="F111" i="6"/>
  <c r="E112" i="6"/>
  <c r="F112" i="6"/>
  <c r="E113" i="6"/>
  <c r="F113" i="6"/>
  <c r="E114" i="6"/>
  <c r="F114" i="6"/>
  <c r="E115" i="6"/>
  <c r="F115" i="6"/>
  <c r="E116" i="6"/>
  <c r="F116" i="6"/>
  <c r="E117" i="6"/>
  <c r="F117" i="6"/>
  <c r="E118" i="6"/>
  <c r="F118" i="6"/>
  <c r="E119" i="6"/>
  <c r="F119" i="6"/>
  <c r="E120" i="6"/>
  <c r="F120" i="6"/>
  <c r="E121" i="6"/>
  <c r="F121" i="6"/>
  <c r="E122" i="6"/>
  <c r="F122" i="6"/>
  <c r="E123" i="6"/>
  <c r="F123" i="6"/>
  <c r="E124" i="6"/>
  <c r="F124" i="6"/>
  <c r="E125" i="6"/>
  <c r="F125" i="6"/>
  <c r="E126" i="6"/>
  <c r="F126" i="6"/>
  <c r="E127" i="6"/>
  <c r="F127" i="6"/>
  <c r="E128" i="6"/>
  <c r="F128" i="6"/>
  <c r="E129" i="6"/>
  <c r="F129" i="6"/>
  <c r="E130" i="6"/>
  <c r="F130" i="6"/>
  <c r="E131" i="6"/>
  <c r="F131" i="6"/>
  <c r="E132" i="6"/>
  <c r="F132" i="6"/>
  <c r="E133" i="6"/>
  <c r="F133" i="6"/>
  <c r="E134" i="6"/>
  <c r="F134" i="6"/>
  <c r="E135" i="6"/>
  <c r="F135" i="6"/>
  <c r="E136" i="6"/>
  <c r="F136" i="6"/>
  <c r="E137" i="6"/>
  <c r="F137" i="6"/>
  <c r="E138" i="6"/>
  <c r="F138" i="6"/>
  <c r="E139" i="6"/>
  <c r="F139" i="6"/>
  <c r="E140" i="6"/>
  <c r="F140" i="6"/>
  <c r="E141" i="6"/>
  <c r="F141" i="6"/>
  <c r="E142" i="6"/>
  <c r="F142" i="6"/>
  <c r="E143" i="6"/>
  <c r="F143" i="6"/>
  <c r="E144" i="6"/>
  <c r="F144" i="6"/>
  <c r="E145" i="6"/>
  <c r="F145" i="6"/>
  <c r="E146" i="6"/>
  <c r="F146" i="6"/>
  <c r="E147" i="6"/>
  <c r="F147" i="6"/>
  <c r="E148" i="6"/>
  <c r="F148" i="6"/>
  <c r="E149" i="6"/>
  <c r="F149" i="6"/>
  <c r="E150" i="6"/>
  <c r="F150" i="6"/>
  <c r="E151" i="6"/>
  <c r="F151" i="6"/>
  <c r="E152" i="6"/>
  <c r="F152" i="6"/>
  <c r="E153" i="6"/>
  <c r="F153" i="6"/>
  <c r="E154" i="6"/>
  <c r="F154" i="6"/>
  <c r="E155" i="6"/>
  <c r="F155" i="6"/>
  <c r="E156" i="6"/>
  <c r="F156" i="6"/>
  <c r="E157" i="6"/>
  <c r="F157" i="6"/>
  <c r="E158" i="6"/>
  <c r="F158" i="6"/>
  <c r="E159" i="6"/>
  <c r="F159" i="6"/>
  <c r="E160" i="6"/>
  <c r="F160" i="6"/>
  <c r="E161" i="6"/>
  <c r="F161" i="6"/>
  <c r="E162" i="6"/>
  <c r="F162" i="6"/>
  <c r="E163" i="6"/>
  <c r="F163" i="6"/>
  <c r="E164" i="6"/>
  <c r="F164" i="6"/>
  <c r="E165" i="6"/>
  <c r="F165" i="6"/>
  <c r="E166" i="6"/>
  <c r="F166" i="6"/>
  <c r="E167" i="6"/>
  <c r="F167" i="6"/>
  <c r="E168" i="6"/>
  <c r="F168" i="6"/>
  <c r="E169" i="6"/>
  <c r="F169" i="6"/>
  <c r="E170" i="6"/>
  <c r="F170" i="6"/>
  <c r="E171" i="6"/>
  <c r="F171" i="6"/>
  <c r="E172" i="6"/>
  <c r="F172" i="6"/>
  <c r="E173" i="6"/>
  <c r="F173" i="6"/>
  <c r="E174" i="6"/>
  <c r="F174" i="6"/>
  <c r="E175" i="6"/>
  <c r="F175" i="6"/>
  <c r="E176" i="6"/>
  <c r="F176" i="6"/>
  <c r="E177" i="6"/>
  <c r="F177" i="6"/>
  <c r="E178" i="6"/>
  <c r="F178" i="6"/>
  <c r="E179" i="6"/>
  <c r="F179" i="6"/>
  <c r="E180" i="6"/>
  <c r="F180" i="6"/>
  <c r="E181" i="6"/>
  <c r="F181" i="6"/>
  <c r="E182" i="6"/>
  <c r="F182" i="6"/>
  <c r="E183" i="6"/>
  <c r="F183" i="6"/>
  <c r="E184" i="6"/>
  <c r="F184" i="6"/>
  <c r="E185" i="6"/>
  <c r="F185" i="6"/>
  <c r="E186" i="6"/>
  <c r="F186" i="6"/>
  <c r="E187" i="6"/>
  <c r="F187" i="6"/>
  <c r="E188" i="6"/>
  <c r="F188" i="6"/>
  <c r="E189" i="6"/>
  <c r="F189" i="6"/>
  <c r="E190" i="6"/>
  <c r="F190" i="6"/>
  <c r="E191" i="6"/>
  <c r="F191" i="6"/>
  <c r="E192" i="6"/>
  <c r="F192" i="6"/>
  <c r="E193" i="6"/>
  <c r="F193" i="6"/>
  <c r="E194" i="6"/>
  <c r="F194" i="6"/>
  <c r="E195" i="6"/>
  <c r="F195" i="6"/>
  <c r="E196" i="6"/>
  <c r="F196" i="6"/>
  <c r="E197" i="6"/>
  <c r="F197" i="6"/>
  <c r="E198" i="6"/>
  <c r="F198" i="6"/>
  <c r="E199" i="6"/>
  <c r="F199" i="6"/>
  <c r="E200" i="6"/>
  <c r="F200" i="6"/>
  <c r="E201" i="6"/>
  <c r="F201" i="6"/>
  <c r="E202" i="6"/>
  <c r="F202" i="6"/>
  <c r="E203" i="6"/>
  <c r="F203" i="6"/>
  <c r="E204" i="6"/>
  <c r="F204" i="6"/>
  <c r="E205" i="6"/>
  <c r="F205" i="6"/>
  <c r="E206" i="6"/>
  <c r="F206" i="6"/>
  <c r="E207" i="6"/>
  <c r="F207" i="6"/>
  <c r="E208" i="6"/>
  <c r="F208" i="6"/>
  <c r="E209" i="6"/>
  <c r="F209" i="6"/>
  <c r="E210" i="6"/>
  <c r="F210" i="6"/>
  <c r="E211" i="6"/>
  <c r="F211" i="6"/>
  <c r="E212" i="6"/>
  <c r="F212" i="6"/>
  <c r="E213" i="6"/>
  <c r="F213" i="6"/>
  <c r="E214" i="6"/>
  <c r="F214" i="6"/>
  <c r="E215" i="6"/>
  <c r="F215" i="6"/>
  <c r="E216" i="6"/>
  <c r="F216" i="6"/>
  <c r="E217" i="6"/>
  <c r="F217" i="6"/>
  <c r="E218" i="6"/>
  <c r="F218" i="6"/>
  <c r="E219" i="6"/>
  <c r="F219" i="6"/>
  <c r="E220" i="6"/>
  <c r="F220" i="6"/>
  <c r="E221" i="6"/>
  <c r="F221" i="6"/>
  <c r="E222" i="6"/>
  <c r="F222" i="6"/>
  <c r="E223" i="6"/>
  <c r="F223" i="6"/>
  <c r="E224" i="6"/>
  <c r="F224" i="6"/>
  <c r="E225" i="6"/>
  <c r="F225" i="6"/>
  <c r="E226" i="6"/>
  <c r="F226" i="6"/>
  <c r="E227" i="6"/>
  <c r="F227" i="6"/>
  <c r="E228" i="6"/>
  <c r="F228" i="6"/>
  <c r="E229" i="6"/>
  <c r="F229" i="6"/>
  <c r="E230" i="6"/>
  <c r="F230" i="6"/>
  <c r="E231" i="6"/>
  <c r="F231" i="6"/>
  <c r="E232" i="6"/>
  <c r="F232" i="6"/>
  <c r="E233" i="6"/>
  <c r="F233" i="6"/>
  <c r="E234" i="6"/>
  <c r="F234" i="6"/>
  <c r="E235" i="6"/>
  <c r="F235" i="6"/>
  <c r="E236" i="6"/>
  <c r="F236" i="6"/>
  <c r="E237" i="6"/>
  <c r="F237" i="6"/>
  <c r="E238" i="6"/>
  <c r="F238" i="6"/>
  <c r="E239" i="6"/>
  <c r="F239" i="6"/>
  <c r="E240" i="6"/>
  <c r="F240" i="6"/>
  <c r="E241" i="6"/>
  <c r="F241" i="6"/>
  <c r="E242" i="6"/>
  <c r="F242" i="6"/>
  <c r="E243" i="6"/>
  <c r="F243" i="6"/>
  <c r="E244" i="6"/>
  <c r="F244" i="6"/>
  <c r="E245" i="6"/>
  <c r="F245" i="6"/>
  <c r="E246" i="6"/>
  <c r="F246" i="6"/>
  <c r="E247" i="6"/>
  <c r="F247" i="6"/>
  <c r="E248" i="6"/>
  <c r="F248" i="6"/>
  <c r="E249" i="6"/>
  <c r="F249" i="6"/>
  <c r="E250" i="6"/>
  <c r="F250" i="6"/>
  <c r="E251" i="6"/>
  <c r="F251" i="6"/>
  <c r="E252" i="6"/>
  <c r="F252" i="6"/>
  <c r="E253" i="6"/>
  <c r="F253" i="6"/>
  <c r="E254" i="6"/>
  <c r="F254" i="6"/>
  <c r="E255" i="6"/>
  <c r="F255" i="6"/>
  <c r="E256" i="6"/>
  <c r="F256" i="6"/>
  <c r="E257" i="6"/>
  <c r="F257" i="6"/>
  <c r="E258" i="6"/>
  <c r="F258" i="6"/>
  <c r="E259" i="6"/>
  <c r="F259" i="6"/>
  <c r="E260" i="6"/>
  <c r="F260" i="6"/>
  <c r="E261" i="6"/>
  <c r="F261" i="6"/>
  <c r="E262" i="6"/>
  <c r="F262" i="6"/>
  <c r="E263" i="6"/>
  <c r="F263" i="6"/>
  <c r="E264" i="6"/>
  <c r="F264" i="6"/>
  <c r="E265" i="6"/>
  <c r="F265" i="6"/>
  <c r="E266" i="6"/>
  <c r="F266" i="6"/>
  <c r="E267" i="6"/>
  <c r="F267" i="6"/>
  <c r="E268" i="6"/>
  <c r="F268" i="6"/>
  <c r="E269" i="6"/>
  <c r="F269" i="6"/>
  <c r="E270" i="6"/>
  <c r="F270" i="6"/>
  <c r="E271" i="6"/>
  <c r="F271" i="6"/>
  <c r="E272" i="6"/>
  <c r="F272" i="6"/>
  <c r="E273" i="6"/>
  <c r="F273" i="6"/>
  <c r="E274" i="6"/>
  <c r="F274" i="6"/>
  <c r="E275" i="6"/>
  <c r="F275" i="6"/>
  <c r="E276" i="6"/>
  <c r="F276" i="6"/>
  <c r="E277" i="6"/>
  <c r="F277" i="6"/>
  <c r="E278" i="6"/>
  <c r="F278" i="6"/>
  <c r="E279" i="6"/>
  <c r="F279" i="6"/>
  <c r="E280" i="6"/>
  <c r="F280" i="6"/>
  <c r="E281" i="6"/>
  <c r="F281" i="6"/>
  <c r="E282" i="6"/>
  <c r="F282" i="6"/>
  <c r="E283" i="6"/>
  <c r="F283" i="6"/>
  <c r="E284" i="6"/>
  <c r="F284" i="6"/>
  <c r="E285" i="6"/>
  <c r="F285" i="6"/>
  <c r="E286" i="6"/>
  <c r="F286" i="6"/>
  <c r="E287" i="6"/>
  <c r="F287" i="6"/>
  <c r="E288" i="6"/>
  <c r="F288" i="6"/>
  <c r="E289" i="6"/>
  <c r="F289" i="6"/>
  <c r="E290" i="6"/>
  <c r="F290" i="6"/>
  <c r="E291" i="6"/>
  <c r="F291" i="6"/>
  <c r="E292" i="6"/>
  <c r="F292" i="6"/>
  <c r="E293" i="6"/>
  <c r="F293" i="6"/>
  <c r="E294" i="6"/>
  <c r="F294" i="6"/>
  <c r="E295" i="6"/>
  <c r="F295" i="6"/>
  <c r="E296" i="6"/>
  <c r="F296" i="6"/>
  <c r="E297" i="6"/>
  <c r="F297" i="6"/>
  <c r="E298" i="6"/>
  <c r="F298" i="6"/>
  <c r="E299" i="6"/>
  <c r="F299" i="6"/>
  <c r="E300" i="6"/>
  <c r="F300" i="6"/>
  <c r="E301" i="6"/>
  <c r="F301" i="6"/>
  <c r="E302" i="6"/>
  <c r="F302" i="6"/>
  <c r="E303" i="6"/>
  <c r="F303" i="6"/>
  <c r="E304" i="6"/>
  <c r="F304" i="6"/>
  <c r="E305" i="6"/>
  <c r="F305" i="6"/>
  <c r="E306" i="6"/>
  <c r="F306" i="6"/>
  <c r="E307" i="6"/>
  <c r="F307" i="6"/>
  <c r="E308" i="6"/>
  <c r="F308" i="6"/>
  <c r="E309" i="6"/>
  <c r="F309" i="6"/>
  <c r="E310" i="6"/>
  <c r="F310" i="6"/>
  <c r="E311" i="6"/>
  <c r="F311" i="6"/>
  <c r="E312" i="6"/>
  <c r="F312" i="6"/>
  <c r="E313" i="6"/>
  <c r="F313" i="6"/>
  <c r="E314" i="6"/>
  <c r="F314" i="6"/>
  <c r="E315" i="6"/>
  <c r="F315" i="6"/>
  <c r="E316" i="6"/>
  <c r="F316" i="6"/>
  <c r="E317" i="6"/>
  <c r="F317" i="6"/>
  <c r="E318" i="6"/>
  <c r="F318" i="6"/>
  <c r="E319" i="6"/>
  <c r="F319" i="6"/>
  <c r="E320" i="6"/>
  <c r="F320" i="6"/>
  <c r="E321" i="6"/>
  <c r="F321" i="6"/>
  <c r="E322" i="6"/>
  <c r="F322" i="6"/>
  <c r="E323" i="6"/>
  <c r="F323" i="6"/>
  <c r="E324" i="6"/>
  <c r="F324" i="6"/>
  <c r="E325" i="6"/>
  <c r="F325" i="6"/>
  <c r="E326" i="6"/>
  <c r="F326" i="6"/>
  <c r="E327" i="6"/>
  <c r="F327" i="6"/>
  <c r="E328" i="6"/>
  <c r="F328" i="6"/>
  <c r="E329" i="6"/>
  <c r="F329" i="6"/>
  <c r="E330" i="6"/>
  <c r="F330" i="6"/>
  <c r="E331" i="6"/>
  <c r="F331" i="6"/>
  <c r="E332" i="6"/>
  <c r="F332" i="6"/>
  <c r="E333" i="6"/>
  <c r="F333" i="6"/>
  <c r="E334" i="6"/>
  <c r="F334" i="6"/>
  <c r="E335" i="6"/>
  <c r="F335" i="6"/>
  <c r="E336" i="6"/>
  <c r="F336" i="6"/>
  <c r="E337" i="6"/>
  <c r="F337" i="6"/>
  <c r="E338" i="6"/>
  <c r="F338" i="6"/>
  <c r="E339" i="6"/>
  <c r="F339" i="6"/>
  <c r="E340" i="6"/>
  <c r="F340" i="6"/>
  <c r="E341" i="6"/>
  <c r="F341" i="6"/>
  <c r="E342" i="6"/>
  <c r="F342" i="6"/>
  <c r="E343" i="6"/>
  <c r="F343" i="6"/>
  <c r="E344" i="6"/>
  <c r="F344" i="6"/>
  <c r="E345" i="6"/>
  <c r="F345" i="6"/>
  <c r="E346" i="6"/>
  <c r="F346" i="6"/>
  <c r="E347" i="6"/>
  <c r="F347" i="6"/>
  <c r="E348" i="6"/>
  <c r="F348" i="6"/>
  <c r="E349" i="6"/>
  <c r="F349" i="6"/>
  <c r="E350" i="6"/>
  <c r="F350" i="6"/>
  <c r="E351" i="6"/>
  <c r="F351" i="6"/>
  <c r="E352" i="6"/>
  <c r="F352" i="6"/>
  <c r="E353" i="6"/>
  <c r="F353" i="6"/>
  <c r="E354" i="6"/>
  <c r="F354" i="6"/>
  <c r="E355" i="6"/>
  <c r="F355" i="6"/>
  <c r="E356" i="6"/>
  <c r="F356" i="6"/>
  <c r="E357" i="6"/>
  <c r="F357" i="6"/>
  <c r="E358" i="6"/>
  <c r="F358" i="6"/>
  <c r="E359" i="6"/>
  <c r="F359" i="6"/>
  <c r="E360" i="6"/>
  <c r="F360" i="6"/>
  <c r="E361" i="6"/>
  <c r="F361" i="6"/>
  <c r="E362" i="6"/>
  <c r="F362" i="6"/>
  <c r="E363" i="6"/>
  <c r="F363" i="6"/>
  <c r="E364" i="6"/>
  <c r="F364" i="6"/>
  <c r="E365" i="6"/>
  <c r="F365" i="6"/>
  <c r="E366" i="6"/>
  <c r="F366" i="6"/>
  <c r="E367" i="6"/>
  <c r="F367" i="6"/>
  <c r="E368" i="6"/>
  <c r="F368" i="6"/>
  <c r="E369" i="6"/>
  <c r="F369" i="6"/>
  <c r="E370" i="6"/>
  <c r="F370" i="6"/>
  <c r="E371" i="6"/>
  <c r="F371" i="6"/>
  <c r="E372" i="6"/>
  <c r="F372" i="6"/>
  <c r="E373" i="6"/>
  <c r="F373" i="6"/>
  <c r="E374" i="6"/>
  <c r="F374" i="6"/>
  <c r="E375" i="6"/>
  <c r="F375" i="6"/>
  <c r="E376" i="6"/>
  <c r="F376" i="6"/>
  <c r="E377" i="6"/>
  <c r="F377" i="6"/>
  <c r="E378" i="6"/>
  <c r="F378" i="6"/>
  <c r="E379" i="6"/>
  <c r="F379" i="6"/>
  <c r="E380" i="6"/>
  <c r="F380" i="6"/>
  <c r="E381" i="6"/>
  <c r="F381" i="6"/>
  <c r="E382" i="6"/>
  <c r="F382" i="6"/>
  <c r="E383" i="6"/>
  <c r="F383" i="6"/>
  <c r="E384" i="6"/>
  <c r="F384" i="6"/>
  <c r="E385" i="6"/>
  <c r="F385" i="6"/>
  <c r="E386" i="6"/>
  <c r="F386" i="6"/>
  <c r="E387" i="6"/>
  <c r="F387" i="6"/>
  <c r="E388" i="6"/>
  <c r="F388" i="6"/>
  <c r="E389" i="6"/>
  <c r="F389" i="6"/>
  <c r="E390" i="6"/>
  <c r="F390" i="6"/>
  <c r="E391" i="6"/>
  <c r="F391" i="6"/>
  <c r="E392" i="6"/>
  <c r="F392" i="6"/>
  <c r="E393" i="6"/>
  <c r="F393" i="6"/>
  <c r="E394" i="6"/>
  <c r="F394" i="6"/>
  <c r="E395" i="6"/>
  <c r="F395" i="6"/>
  <c r="E396" i="6"/>
  <c r="F396" i="6"/>
  <c r="E397" i="6"/>
  <c r="F397" i="6"/>
  <c r="E398" i="6"/>
  <c r="F398" i="6"/>
  <c r="E399" i="6"/>
  <c r="F399" i="6"/>
  <c r="E400" i="6"/>
  <c r="F400" i="6"/>
  <c r="E401" i="6"/>
  <c r="F401" i="6"/>
  <c r="E402" i="6"/>
  <c r="F402" i="6"/>
  <c r="E403" i="6"/>
  <c r="F403" i="6"/>
  <c r="E404" i="6"/>
  <c r="F404" i="6"/>
  <c r="E405" i="6"/>
  <c r="F405" i="6"/>
  <c r="E406" i="6"/>
  <c r="F406" i="6"/>
  <c r="E407" i="6"/>
  <c r="F407" i="6"/>
  <c r="E408" i="6"/>
  <c r="F408" i="6"/>
  <c r="E409" i="6"/>
  <c r="F409" i="6"/>
  <c r="E410" i="6"/>
  <c r="F410" i="6"/>
  <c r="E411" i="6"/>
  <c r="F411" i="6"/>
  <c r="E412" i="6"/>
  <c r="F412" i="6"/>
  <c r="E413" i="6"/>
  <c r="F413" i="6"/>
  <c r="E414" i="6"/>
  <c r="F414" i="6"/>
  <c r="E415" i="6"/>
  <c r="F415" i="6"/>
  <c r="E416" i="6"/>
  <c r="F416" i="6"/>
  <c r="E417" i="6"/>
  <c r="F417" i="6"/>
  <c r="E418" i="6"/>
  <c r="F418" i="6"/>
  <c r="E419" i="6"/>
  <c r="F419" i="6"/>
  <c r="E420" i="6"/>
  <c r="F420" i="6"/>
  <c r="E421" i="6"/>
  <c r="F421" i="6"/>
  <c r="E422" i="6"/>
  <c r="F422" i="6"/>
  <c r="E423" i="6"/>
  <c r="F423" i="6"/>
  <c r="E424" i="6"/>
  <c r="F424" i="6"/>
  <c r="E425" i="6"/>
  <c r="F425" i="6"/>
  <c r="E426" i="6"/>
  <c r="F426" i="6"/>
  <c r="E427" i="6"/>
  <c r="F427" i="6"/>
  <c r="E428" i="6"/>
  <c r="F428" i="6"/>
  <c r="E429" i="6"/>
  <c r="F429" i="6"/>
  <c r="E430" i="6"/>
  <c r="F430" i="6"/>
  <c r="E431" i="6"/>
  <c r="F431" i="6"/>
  <c r="E432" i="6"/>
  <c r="F432" i="6"/>
  <c r="E433" i="6"/>
  <c r="F433" i="6"/>
  <c r="E434" i="6"/>
  <c r="F434" i="6"/>
  <c r="E435" i="6"/>
  <c r="F435" i="6"/>
  <c r="E436" i="6"/>
  <c r="F436" i="6"/>
  <c r="E437" i="6"/>
  <c r="F437" i="6"/>
  <c r="E438" i="6"/>
  <c r="F438" i="6"/>
  <c r="E439" i="6"/>
  <c r="F439" i="6"/>
  <c r="E440" i="6"/>
  <c r="F440" i="6"/>
  <c r="E441" i="6"/>
  <c r="F441" i="6"/>
  <c r="E442" i="6"/>
  <c r="F442" i="6"/>
  <c r="E443" i="6"/>
  <c r="F443" i="6"/>
  <c r="E444" i="6"/>
  <c r="F444" i="6"/>
  <c r="E445" i="6"/>
  <c r="F445" i="6"/>
  <c r="E446" i="6"/>
  <c r="F446" i="6"/>
  <c r="E447" i="6"/>
  <c r="F447" i="6"/>
  <c r="E448" i="6"/>
  <c r="F448" i="6"/>
  <c r="E449" i="6"/>
  <c r="F449" i="6"/>
  <c r="E450" i="6"/>
  <c r="F450" i="6"/>
  <c r="E451" i="6"/>
  <c r="F451" i="6"/>
  <c r="E452" i="6"/>
  <c r="F452" i="6"/>
  <c r="E453" i="6"/>
  <c r="F453" i="6"/>
  <c r="E454" i="6"/>
  <c r="F454" i="6"/>
  <c r="E455" i="6"/>
  <c r="F455" i="6"/>
  <c r="E456" i="6"/>
  <c r="F456" i="6"/>
  <c r="E457" i="6"/>
  <c r="F457" i="6"/>
  <c r="E458" i="6"/>
  <c r="F458" i="6"/>
  <c r="E459" i="6"/>
  <c r="F459" i="6"/>
  <c r="E460" i="6"/>
  <c r="F460" i="6"/>
  <c r="E461" i="6"/>
  <c r="F461" i="6"/>
  <c r="E462" i="6"/>
  <c r="F462" i="6"/>
  <c r="E463" i="6"/>
  <c r="F463" i="6"/>
  <c r="E464" i="6"/>
  <c r="F464" i="6"/>
  <c r="E465" i="6"/>
  <c r="F465" i="6"/>
  <c r="E466" i="6"/>
  <c r="F466" i="6"/>
  <c r="E467" i="6"/>
  <c r="F467" i="6"/>
  <c r="E468" i="6"/>
  <c r="F468" i="6"/>
  <c r="E469" i="6"/>
  <c r="F469" i="6"/>
  <c r="E470" i="6"/>
  <c r="F470" i="6"/>
  <c r="E471" i="6"/>
  <c r="F471" i="6"/>
  <c r="E472" i="6"/>
  <c r="F472" i="6"/>
  <c r="E473" i="6"/>
  <c r="F473" i="6"/>
  <c r="E474" i="6"/>
  <c r="F474" i="6"/>
  <c r="E475" i="6"/>
  <c r="F475" i="6"/>
  <c r="E476" i="6"/>
  <c r="F476" i="6"/>
  <c r="E477" i="6"/>
  <c r="F477" i="6"/>
  <c r="E478" i="6"/>
  <c r="F478" i="6"/>
  <c r="E479" i="6"/>
  <c r="F479" i="6"/>
  <c r="E480" i="6"/>
  <c r="F480" i="6"/>
  <c r="E481" i="6"/>
  <c r="F481" i="6"/>
  <c r="E482" i="6"/>
  <c r="F482" i="6"/>
  <c r="E483" i="6"/>
  <c r="F483" i="6"/>
  <c r="E484" i="6"/>
  <c r="F484" i="6"/>
  <c r="E485" i="6"/>
  <c r="F485" i="6"/>
  <c r="E486" i="6"/>
  <c r="F486" i="6"/>
  <c r="E487" i="6"/>
  <c r="F487" i="6"/>
  <c r="E488" i="6"/>
  <c r="F488" i="6"/>
  <c r="E489" i="6"/>
  <c r="F489" i="6"/>
  <c r="E490" i="6"/>
  <c r="F490" i="6"/>
  <c r="E491" i="6"/>
  <c r="F491" i="6"/>
  <c r="E492" i="6"/>
  <c r="F492" i="6"/>
  <c r="E493" i="6"/>
  <c r="F493" i="6"/>
  <c r="E494" i="6"/>
  <c r="F494" i="6"/>
  <c r="E495" i="6"/>
  <c r="F495" i="6"/>
  <c r="E496" i="6"/>
  <c r="F496" i="6"/>
  <c r="E497" i="6"/>
  <c r="F497" i="6"/>
  <c r="E498" i="6"/>
  <c r="F498" i="6"/>
  <c r="E499" i="6"/>
  <c r="F499" i="6"/>
  <c r="E500" i="6"/>
  <c r="F500" i="6"/>
  <c r="E501" i="6"/>
  <c r="F501" i="6"/>
  <c r="E502" i="6"/>
  <c r="F502" i="6"/>
  <c r="E503" i="6"/>
  <c r="F503" i="6"/>
  <c r="E504" i="6"/>
  <c r="F504" i="6"/>
  <c r="E505" i="6"/>
  <c r="F505" i="6"/>
  <c r="E506" i="6"/>
  <c r="F506" i="6"/>
  <c r="E507" i="6"/>
  <c r="F507" i="6"/>
  <c r="E508" i="6"/>
  <c r="F508" i="6"/>
  <c r="E509" i="6"/>
  <c r="F509" i="6"/>
  <c r="E510" i="6"/>
  <c r="F510" i="6"/>
  <c r="E511" i="6"/>
  <c r="F511" i="6"/>
  <c r="E512" i="6"/>
  <c r="F512" i="6"/>
  <c r="E513" i="6"/>
  <c r="F513" i="6"/>
  <c r="E514" i="6"/>
  <c r="F514" i="6"/>
  <c r="E515" i="6"/>
  <c r="F515" i="6"/>
  <c r="E516" i="6"/>
  <c r="F516" i="6"/>
  <c r="E517" i="6"/>
  <c r="F517" i="6"/>
  <c r="E518" i="6"/>
  <c r="F518" i="6"/>
  <c r="E519" i="6"/>
  <c r="F519" i="6"/>
  <c r="E520" i="6"/>
  <c r="F520" i="6"/>
  <c r="E521" i="6"/>
  <c r="F521" i="6"/>
  <c r="E522" i="6"/>
  <c r="F522" i="6"/>
  <c r="E523" i="6"/>
  <c r="F523" i="6"/>
  <c r="E524" i="6"/>
  <c r="F524" i="6"/>
  <c r="E525" i="6"/>
  <c r="F525" i="6"/>
  <c r="E526" i="6"/>
  <c r="F526" i="6"/>
  <c r="E527" i="6"/>
  <c r="F527" i="6"/>
  <c r="E528" i="6"/>
  <c r="F528" i="6"/>
  <c r="E529" i="6"/>
  <c r="F529" i="6"/>
  <c r="E530" i="6"/>
  <c r="F530" i="6"/>
  <c r="E531" i="6"/>
  <c r="F531" i="6"/>
  <c r="E532" i="6"/>
  <c r="F532" i="6"/>
  <c r="E533" i="6"/>
  <c r="F533" i="6"/>
  <c r="E534" i="6"/>
  <c r="F534" i="6"/>
  <c r="E535" i="6"/>
  <c r="F535" i="6"/>
  <c r="E536" i="6"/>
  <c r="F536" i="6"/>
  <c r="E537" i="6"/>
  <c r="F537" i="6"/>
  <c r="E538" i="6"/>
  <c r="F538" i="6"/>
  <c r="E539" i="6"/>
  <c r="F539" i="6"/>
  <c r="E540" i="6"/>
  <c r="F540" i="6"/>
  <c r="E541" i="6"/>
  <c r="F541" i="6"/>
  <c r="E542" i="6"/>
  <c r="F542" i="6"/>
  <c r="E543" i="6"/>
  <c r="F543" i="6"/>
  <c r="E544" i="6"/>
  <c r="F544" i="6"/>
  <c r="E545" i="6"/>
  <c r="F545" i="6"/>
  <c r="E546" i="6"/>
  <c r="F546" i="6"/>
  <c r="E547" i="6"/>
  <c r="F547" i="6"/>
  <c r="E548" i="6"/>
  <c r="F548" i="6"/>
  <c r="E549" i="6"/>
  <c r="F549" i="6"/>
  <c r="E550" i="6"/>
  <c r="F550" i="6"/>
  <c r="E551" i="6"/>
  <c r="F551" i="6"/>
  <c r="E552" i="6"/>
  <c r="F552" i="6"/>
  <c r="E553" i="6"/>
  <c r="F553" i="6"/>
  <c r="E554" i="6"/>
  <c r="F554" i="6"/>
  <c r="E555" i="6"/>
  <c r="F555" i="6"/>
  <c r="E556" i="6"/>
  <c r="F556" i="6"/>
  <c r="E557" i="6"/>
  <c r="F557" i="6"/>
  <c r="E558" i="6"/>
  <c r="F558" i="6"/>
  <c r="E559" i="6"/>
  <c r="F559" i="6"/>
  <c r="E560" i="6"/>
  <c r="F560" i="6"/>
  <c r="E561" i="6"/>
  <c r="F561" i="6"/>
  <c r="E562" i="6"/>
  <c r="F562" i="6"/>
  <c r="E563" i="6"/>
  <c r="F563" i="6"/>
  <c r="E564" i="6"/>
  <c r="F564" i="6"/>
  <c r="E565" i="6"/>
  <c r="F565" i="6"/>
  <c r="E566" i="6"/>
  <c r="F566" i="6"/>
  <c r="E567" i="6"/>
  <c r="F567" i="6"/>
  <c r="E568" i="6"/>
  <c r="F568" i="6"/>
  <c r="E569" i="6"/>
  <c r="F569" i="6"/>
  <c r="E570" i="6"/>
  <c r="F570" i="6"/>
  <c r="E571" i="6"/>
  <c r="F571" i="6"/>
  <c r="E572" i="6"/>
  <c r="F572" i="6"/>
  <c r="E573" i="6"/>
  <c r="F573" i="6"/>
  <c r="E574" i="6"/>
  <c r="F574" i="6"/>
  <c r="E575" i="6"/>
  <c r="F575" i="6"/>
  <c r="E576" i="6"/>
  <c r="F576" i="6"/>
  <c r="E577" i="6"/>
  <c r="F577" i="6"/>
  <c r="E578" i="6"/>
  <c r="F578" i="6"/>
  <c r="E579" i="6"/>
  <c r="F579" i="6"/>
  <c r="E580" i="6"/>
  <c r="F580" i="6"/>
  <c r="E581" i="6"/>
  <c r="F581" i="6"/>
  <c r="E582" i="6"/>
  <c r="F582" i="6"/>
  <c r="E583" i="6"/>
  <c r="F583" i="6"/>
  <c r="E584" i="6"/>
  <c r="F584" i="6"/>
  <c r="E585" i="6"/>
  <c r="F585" i="6"/>
  <c r="E586" i="6"/>
  <c r="F586" i="6"/>
  <c r="E587" i="6"/>
  <c r="F587" i="6"/>
  <c r="E588" i="6"/>
  <c r="F588" i="6"/>
  <c r="E589" i="6"/>
  <c r="F589" i="6"/>
  <c r="E590" i="6"/>
  <c r="F590" i="6"/>
  <c r="E591" i="6"/>
  <c r="F591" i="6"/>
  <c r="E592" i="6"/>
  <c r="F592" i="6"/>
  <c r="E593" i="6"/>
  <c r="F593" i="6"/>
  <c r="E594" i="6"/>
  <c r="F594" i="6"/>
  <c r="E595" i="6"/>
  <c r="F595" i="6"/>
  <c r="E596" i="6"/>
  <c r="F596" i="6"/>
  <c r="E597" i="6"/>
  <c r="F597" i="6"/>
  <c r="E598" i="6"/>
  <c r="F598" i="6"/>
  <c r="E599" i="6"/>
  <c r="F599" i="6"/>
  <c r="E600" i="6"/>
  <c r="F600" i="6"/>
  <c r="E601" i="6"/>
  <c r="F601" i="6"/>
  <c r="E602" i="6"/>
  <c r="F602" i="6"/>
  <c r="E603" i="6"/>
  <c r="F603" i="6"/>
  <c r="E604" i="6"/>
  <c r="F604" i="6"/>
  <c r="E605" i="6"/>
  <c r="F605" i="6"/>
  <c r="E606" i="6"/>
  <c r="F606" i="6"/>
  <c r="E607" i="6"/>
  <c r="F607" i="6"/>
  <c r="E608" i="6"/>
  <c r="F608" i="6"/>
  <c r="E609" i="6"/>
  <c r="F609" i="6"/>
  <c r="E610" i="6"/>
  <c r="F610" i="6"/>
  <c r="E611" i="6"/>
  <c r="F611" i="6"/>
  <c r="E612" i="6"/>
  <c r="F612" i="6"/>
  <c r="E613" i="6"/>
  <c r="F613" i="6"/>
  <c r="E614" i="6"/>
  <c r="F614" i="6"/>
  <c r="E615" i="6"/>
  <c r="F615" i="6"/>
  <c r="E616" i="6"/>
  <c r="F616" i="6"/>
  <c r="E617" i="6"/>
  <c r="F617" i="6"/>
  <c r="E618" i="6"/>
  <c r="F618" i="6"/>
  <c r="E619" i="6"/>
  <c r="F619" i="6"/>
  <c r="E620" i="6"/>
  <c r="F620" i="6"/>
  <c r="E621" i="6"/>
  <c r="F621" i="6"/>
  <c r="E622" i="6"/>
  <c r="F622" i="6"/>
  <c r="E623" i="6"/>
  <c r="F623" i="6"/>
  <c r="E624" i="6"/>
  <c r="F624" i="6"/>
  <c r="E625" i="6"/>
  <c r="F625" i="6"/>
  <c r="E626" i="6"/>
  <c r="F626" i="6"/>
  <c r="E627" i="6"/>
  <c r="F627" i="6"/>
  <c r="E628" i="6"/>
  <c r="F628" i="6"/>
  <c r="E629" i="6"/>
  <c r="F629" i="6"/>
  <c r="E630" i="6"/>
  <c r="F630" i="6"/>
  <c r="E631" i="6"/>
  <c r="F631" i="6"/>
  <c r="E632" i="6"/>
  <c r="F632" i="6"/>
  <c r="E633" i="6"/>
  <c r="F633" i="6"/>
  <c r="E634" i="6"/>
  <c r="F634" i="6"/>
  <c r="E635" i="6"/>
  <c r="F635" i="6"/>
  <c r="E636" i="6"/>
  <c r="F636" i="6"/>
  <c r="E637" i="6"/>
  <c r="F637" i="6"/>
  <c r="E638" i="6"/>
  <c r="F638" i="6"/>
  <c r="E639" i="6"/>
  <c r="F639" i="6"/>
  <c r="E640" i="6"/>
  <c r="F640" i="6"/>
  <c r="E641" i="6"/>
  <c r="F641" i="6"/>
  <c r="E642" i="6"/>
  <c r="F642" i="6"/>
  <c r="E643" i="6"/>
  <c r="F643" i="6"/>
  <c r="E644" i="6"/>
  <c r="F644" i="6"/>
  <c r="E645" i="6"/>
  <c r="F645" i="6"/>
  <c r="E646" i="6"/>
  <c r="F646" i="6"/>
  <c r="E647" i="6"/>
  <c r="F647" i="6"/>
  <c r="E648" i="6"/>
  <c r="F648" i="6"/>
  <c r="E649" i="6"/>
  <c r="F649" i="6"/>
  <c r="E650" i="6"/>
  <c r="F650" i="6"/>
  <c r="E651" i="6"/>
  <c r="F651" i="6"/>
  <c r="E652" i="6"/>
  <c r="F652" i="6"/>
  <c r="E653" i="6"/>
  <c r="F653" i="6"/>
  <c r="E654" i="6"/>
  <c r="F654" i="6"/>
  <c r="E655" i="6"/>
  <c r="F655" i="6"/>
  <c r="E656" i="6"/>
  <c r="F656" i="6"/>
  <c r="E657" i="6"/>
  <c r="F657" i="6"/>
  <c r="E658" i="6"/>
  <c r="F658" i="6"/>
  <c r="E659" i="6"/>
  <c r="F659" i="6"/>
  <c r="E660" i="6"/>
  <c r="F660" i="6"/>
  <c r="E661" i="6"/>
  <c r="F661" i="6"/>
  <c r="E662" i="6"/>
  <c r="F662" i="6"/>
  <c r="E663" i="6"/>
  <c r="F663" i="6"/>
  <c r="E664" i="6"/>
  <c r="F664" i="6"/>
  <c r="E665" i="6"/>
  <c r="F665" i="6"/>
  <c r="E666" i="6"/>
  <c r="F666" i="6"/>
  <c r="E667" i="6"/>
  <c r="F667" i="6"/>
  <c r="E668" i="6"/>
  <c r="F668" i="6"/>
  <c r="E669" i="6"/>
  <c r="F669" i="6"/>
  <c r="E670" i="6"/>
  <c r="F670" i="6"/>
  <c r="E671" i="6"/>
  <c r="F671" i="6"/>
  <c r="E672" i="6"/>
  <c r="F672" i="6"/>
  <c r="E673" i="6"/>
  <c r="F673" i="6"/>
  <c r="E674" i="6"/>
  <c r="F674" i="6"/>
  <c r="E675" i="6"/>
  <c r="F675" i="6"/>
  <c r="E676" i="6"/>
  <c r="F676" i="6"/>
  <c r="E677" i="6"/>
  <c r="F677" i="6"/>
  <c r="E678" i="6"/>
  <c r="F678" i="6"/>
  <c r="E679" i="6"/>
  <c r="F679" i="6"/>
  <c r="E680" i="6"/>
  <c r="F680" i="6"/>
  <c r="E681" i="6"/>
  <c r="F681" i="6"/>
  <c r="E682" i="6"/>
  <c r="F682" i="6"/>
  <c r="E683" i="6"/>
  <c r="F683" i="6"/>
  <c r="E684" i="6"/>
  <c r="F684" i="6"/>
  <c r="E685" i="6"/>
  <c r="F685" i="6"/>
  <c r="E686" i="6"/>
  <c r="F686" i="6"/>
  <c r="E687" i="6"/>
  <c r="F687" i="6"/>
  <c r="E688" i="6"/>
  <c r="F688" i="6"/>
  <c r="E689" i="6"/>
  <c r="F689" i="6"/>
  <c r="E690" i="6"/>
  <c r="F690" i="6"/>
  <c r="E691" i="6"/>
  <c r="F691" i="6"/>
  <c r="E692" i="6"/>
  <c r="F692" i="6"/>
  <c r="E693" i="6"/>
  <c r="F693" i="6"/>
  <c r="E694" i="6"/>
  <c r="F694" i="6"/>
  <c r="E695" i="6"/>
  <c r="F695" i="6"/>
  <c r="E696" i="6"/>
  <c r="F696" i="6"/>
  <c r="E697" i="6"/>
  <c r="F697" i="6"/>
  <c r="E698" i="6"/>
  <c r="F698" i="6"/>
  <c r="E699" i="6"/>
  <c r="F699" i="6"/>
  <c r="E700" i="6"/>
  <c r="F700" i="6"/>
  <c r="E701" i="6"/>
  <c r="F701" i="6"/>
  <c r="E702" i="6"/>
  <c r="F702" i="6"/>
  <c r="E703" i="6"/>
  <c r="F703" i="6"/>
  <c r="E704" i="6"/>
  <c r="F704" i="6"/>
  <c r="E705" i="6"/>
  <c r="F705" i="6"/>
  <c r="E706" i="6"/>
  <c r="F706" i="6"/>
  <c r="E707" i="6"/>
  <c r="F707" i="6"/>
  <c r="E708" i="6"/>
  <c r="F708" i="6"/>
  <c r="E709" i="6"/>
  <c r="F709" i="6"/>
  <c r="E710" i="6"/>
  <c r="F710" i="6"/>
  <c r="E711" i="6"/>
  <c r="F711" i="6"/>
  <c r="E712" i="6"/>
  <c r="F712" i="6"/>
  <c r="E713" i="6"/>
  <c r="F713" i="6"/>
  <c r="E714" i="6"/>
  <c r="F714" i="6"/>
  <c r="E715" i="6"/>
  <c r="F715" i="6"/>
  <c r="E716" i="6"/>
  <c r="F716" i="6"/>
  <c r="E717" i="6"/>
  <c r="F717" i="6"/>
  <c r="E718" i="6"/>
  <c r="F718" i="6"/>
  <c r="E719" i="6"/>
  <c r="F719" i="6"/>
  <c r="E720" i="6"/>
  <c r="F720" i="6"/>
  <c r="E721" i="6"/>
  <c r="F721" i="6"/>
  <c r="E722" i="6"/>
  <c r="F722" i="6"/>
  <c r="E723" i="6"/>
  <c r="F723" i="6"/>
  <c r="E724" i="6"/>
  <c r="F724" i="6"/>
  <c r="E725" i="6"/>
  <c r="F725" i="6"/>
  <c r="E726" i="6"/>
  <c r="F726" i="6"/>
  <c r="E727" i="6"/>
  <c r="F727" i="6"/>
  <c r="E728" i="6"/>
  <c r="F728" i="6"/>
  <c r="E729" i="6"/>
  <c r="F729" i="6"/>
  <c r="E730" i="6"/>
  <c r="F730" i="6"/>
  <c r="E731" i="6"/>
  <c r="F731" i="6"/>
  <c r="E732" i="6"/>
  <c r="F732" i="6"/>
  <c r="E733" i="6"/>
  <c r="F733" i="6"/>
  <c r="E734" i="6"/>
  <c r="F734" i="6"/>
  <c r="E735" i="6"/>
  <c r="F735" i="6"/>
  <c r="E736" i="6"/>
  <c r="F736" i="6"/>
  <c r="E737" i="6"/>
  <c r="F737" i="6"/>
  <c r="E738" i="6"/>
  <c r="F738" i="6"/>
  <c r="E739" i="6"/>
  <c r="F739" i="6"/>
  <c r="E740" i="6"/>
  <c r="F740" i="6"/>
  <c r="E741" i="6"/>
  <c r="F741" i="6"/>
  <c r="E742" i="6"/>
  <c r="F742" i="6"/>
  <c r="E743" i="6"/>
  <c r="F743" i="6"/>
  <c r="E744" i="6"/>
  <c r="F744" i="6"/>
  <c r="E745" i="6"/>
  <c r="F745" i="6"/>
  <c r="E746" i="6"/>
  <c r="F746" i="6"/>
  <c r="E747" i="6"/>
  <c r="F747" i="6"/>
  <c r="E748" i="6"/>
  <c r="F748" i="6"/>
  <c r="E749" i="6"/>
  <c r="F749" i="6"/>
  <c r="E750" i="6"/>
  <c r="F750" i="6"/>
  <c r="E751" i="6"/>
  <c r="F751" i="6"/>
  <c r="E752" i="6"/>
  <c r="F752" i="6"/>
  <c r="E753" i="6"/>
  <c r="F753" i="6"/>
  <c r="E754" i="6"/>
  <c r="F754" i="6"/>
  <c r="E755" i="6"/>
  <c r="F755" i="6"/>
  <c r="E756" i="6"/>
  <c r="F756" i="6"/>
  <c r="E757" i="6"/>
  <c r="F757" i="6"/>
  <c r="E758" i="6"/>
  <c r="F758" i="6"/>
  <c r="E759" i="6"/>
  <c r="F759" i="6"/>
  <c r="E760" i="6"/>
  <c r="F760" i="6"/>
  <c r="E761" i="6"/>
  <c r="F761" i="6"/>
  <c r="E762" i="6"/>
  <c r="F762" i="6"/>
  <c r="E763" i="6"/>
  <c r="F763" i="6"/>
  <c r="E764" i="6"/>
  <c r="F764" i="6"/>
  <c r="E765" i="6"/>
  <c r="F765" i="6"/>
  <c r="E766" i="6"/>
  <c r="F766" i="6"/>
  <c r="E767" i="6"/>
  <c r="F767" i="6"/>
  <c r="E768" i="6"/>
  <c r="F768" i="6"/>
  <c r="E769" i="6"/>
  <c r="F769" i="6"/>
  <c r="E770" i="6"/>
  <c r="F770" i="6"/>
  <c r="E771" i="6"/>
  <c r="F771" i="6"/>
  <c r="E772" i="6"/>
  <c r="F772" i="6"/>
  <c r="E773" i="6"/>
  <c r="F773" i="6"/>
  <c r="E774" i="6"/>
  <c r="F774" i="6"/>
  <c r="E775" i="6"/>
  <c r="F775" i="6"/>
  <c r="E776" i="6"/>
  <c r="F776" i="6"/>
  <c r="E777" i="6"/>
  <c r="F777" i="6"/>
  <c r="E778" i="6"/>
  <c r="F778" i="6"/>
  <c r="E779" i="6"/>
  <c r="F779" i="6"/>
  <c r="E780" i="6"/>
  <c r="F780" i="6"/>
  <c r="E781" i="6"/>
  <c r="F781" i="6"/>
  <c r="E782" i="6"/>
  <c r="F782" i="6"/>
  <c r="E783" i="6"/>
  <c r="F783" i="6"/>
  <c r="E784" i="6"/>
  <c r="F784" i="6"/>
  <c r="E785" i="6"/>
  <c r="F785" i="6"/>
  <c r="E786" i="6"/>
  <c r="F786" i="6"/>
  <c r="E787" i="6"/>
  <c r="F787" i="6"/>
  <c r="E788" i="6"/>
  <c r="F788" i="6"/>
  <c r="E789" i="6"/>
  <c r="F789" i="6"/>
  <c r="E790" i="6"/>
  <c r="F790" i="6"/>
  <c r="E791" i="6"/>
  <c r="F791" i="6"/>
  <c r="E792" i="6"/>
  <c r="F792" i="6"/>
  <c r="E793" i="6"/>
  <c r="F793" i="6"/>
  <c r="E794" i="6"/>
  <c r="F794" i="6"/>
  <c r="E795" i="6"/>
  <c r="F795" i="6"/>
  <c r="E796" i="6"/>
  <c r="F796" i="6"/>
  <c r="E797" i="6"/>
  <c r="F797" i="6"/>
  <c r="E798" i="6"/>
  <c r="F798" i="6"/>
  <c r="E799" i="6"/>
  <c r="F799" i="6"/>
  <c r="E800" i="6"/>
  <c r="F800" i="6"/>
  <c r="E801" i="6"/>
  <c r="F801" i="6"/>
  <c r="E802" i="6"/>
  <c r="F802" i="6"/>
  <c r="E803" i="6"/>
  <c r="F803" i="6"/>
  <c r="E804" i="6"/>
  <c r="F804" i="6"/>
  <c r="E805" i="6"/>
  <c r="F805" i="6"/>
  <c r="E806" i="6"/>
  <c r="F806" i="6"/>
  <c r="E807" i="6"/>
  <c r="F807" i="6"/>
  <c r="E808" i="6"/>
  <c r="F808" i="6"/>
  <c r="E809" i="6"/>
  <c r="F809" i="6"/>
  <c r="E810" i="6"/>
  <c r="F810" i="6"/>
  <c r="E811" i="6"/>
  <c r="F811" i="6"/>
  <c r="E812" i="6"/>
  <c r="F812" i="6"/>
  <c r="E813" i="6"/>
  <c r="F813" i="6"/>
  <c r="E814" i="6"/>
  <c r="F814" i="6"/>
  <c r="E815" i="6"/>
  <c r="F815" i="6"/>
  <c r="E816" i="6"/>
  <c r="F816" i="6"/>
  <c r="E817" i="6"/>
  <c r="F817" i="6"/>
  <c r="E818" i="6"/>
  <c r="F818" i="6"/>
  <c r="E819" i="6"/>
  <c r="F819" i="6"/>
  <c r="E820" i="6"/>
  <c r="F820" i="6"/>
  <c r="E821" i="6"/>
  <c r="F821" i="6"/>
  <c r="E822" i="6"/>
  <c r="F822" i="6"/>
  <c r="E823" i="6"/>
  <c r="F823" i="6"/>
  <c r="E824" i="6"/>
  <c r="F824" i="6"/>
  <c r="E825" i="6"/>
  <c r="F825" i="6"/>
  <c r="E826" i="6"/>
  <c r="F826" i="6"/>
  <c r="E827" i="6"/>
  <c r="F827" i="6"/>
  <c r="E828" i="6"/>
  <c r="F828" i="6"/>
  <c r="E829" i="6"/>
  <c r="F829" i="6"/>
  <c r="E830" i="6"/>
  <c r="F830" i="6"/>
  <c r="E831" i="6"/>
  <c r="F831" i="6"/>
  <c r="E832" i="6"/>
  <c r="F832" i="6"/>
  <c r="E833" i="6"/>
  <c r="F833" i="6"/>
  <c r="E834" i="6"/>
  <c r="F834" i="6"/>
  <c r="E835" i="6"/>
  <c r="F835" i="6"/>
  <c r="E836" i="6"/>
  <c r="F836" i="6"/>
  <c r="E837" i="6"/>
  <c r="F837" i="6"/>
  <c r="E838" i="6"/>
  <c r="F838" i="6"/>
  <c r="E839" i="6"/>
  <c r="F839" i="6"/>
  <c r="E840" i="6"/>
  <c r="F840" i="6"/>
  <c r="E841" i="6"/>
  <c r="F841" i="6"/>
  <c r="E842" i="6"/>
  <c r="F842" i="6"/>
  <c r="E843" i="6"/>
  <c r="F843" i="6"/>
  <c r="E844" i="6"/>
  <c r="F844" i="6"/>
  <c r="E845" i="6"/>
  <c r="F845" i="6"/>
  <c r="E846" i="6"/>
  <c r="F846" i="6"/>
  <c r="E847" i="6"/>
  <c r="F847" i="6"/>
  <c r="E848" i="6"/>
  <c r="F848" i="6"/>
  <c r="E849" i="6"/>
  <c r="F849" i="6"/>
  <c r="E850" i="6"/>
  <c r="F850" i="6"/>
  <c r="E851" i="6"/>
  <c r="F851" i="6"/>
  <c r="E852" i="6"/>
  <c r="F852" i="6"/>
  <c r="E853" i="6"/>
  <c r="F853" i="6"/>
  <c r="E854" i="6"/>
  <c r="F854" i="6"/>
  <c r="E855" i="6"/>
  <c r="F855" i="6"/>
  <c r="E856" i="6"/>
  <c r="F856" i="6"/>
  <c r="E857" i="6"/>
  <c r="F857" i="6"/>
  <c r="E858" i="6"/>
  <c r="F858" i="6"/>
  <c r="E859" i="6"/>
  <c r="F859" i="6"/>
  <c r="E860" i="6"/>
  <c r="F860" i="6"/>
  <c r="E861" i="6"/>
  <c r="F861" i="6"/>
  <c r="E862" i="6"/>
  <c r="F862" i="6"/>
  <c r="E863" i="6"/>
  <c r="F863" i="6"/>
  <c r="E864" i="6"/>
  <c r="F864" i="6"/>
  <c r="E865" i="6"/>
  <c r="F865" i="6"/>
  <c r="E866" i="6"/>
  <c r="F866" i="6"/>
  <c r="E867" i="6"/>
  <c r="F867" i="6"/>
  <c r="E868" i="6"/>
  <c r="F868" i="6"/>
  <c r="E869" i="6"/>
  <c r="F869" i="6"/>
  <c r="E870" i="6"/>
  <c r="F870" i="6"/>
  <c r="E871" i="6"/>
  <c r="F871" i="6"/>
  <c r="E872" i="6"/>
  <c r="F872" i="6"/>
  <c r="E873" i="6"/>
  <c r="F873" i="6"/>
  <c r="E874" i="6"/>
  <c r="F874" i="6"/>
  <c r="E875" i="6"/>
  <c r="F875" i="6"/>
  <c r="E876" i="6"/>
  <c r="F876" i="6"/>
  <c r="E877" i="6"/>
  <c r="F877" i="6"/>
  <c r="E878" i="6"/>
  <c r="F878" i="6"/>
  <c r="E879" i="6"/>
  <c r="F879" i="6"/>
  <c r="E880" i="6"/>
  <c r="F880" i="6"/>
  <c r="E881" i="6"/>
  <c r="F881" i="6"/>
  <c r="E882" i="6"/>
  <c r="F882" i="6"/>
  <c r="E883" i="6"/>
  <c r="F883" i="6"/>
  <c r="E884" i="6"/>
  <c r="F884" i="6"/>
  <c r="E885" i="6"/>
  <c r="F885" i="6"/>
  <c r="E886" i="6"/>
  <c r="F886" i="6"/>
  <c r="E887" i="6"/>
  <c r="F887" i="6"/>
  <c r="E888" i="6"/>
  <c r="F888" i="6"/>
  <c r="E889" i="6"/>
  <c r="F889" i="6"/>
  <c r="E890" i="6"/>
  <c r="F890" i="6"/>
  <c r="E891" i="6"/>
  <c r="F891" i="6"/>
  <c r="E892" i="6"/>
  <c r="F892" i="6"/>
  <c r="E893" i="6"/>
  <c r="F893" i="6"/>
  <c r="E894" i="6"/>
  <c r="F894" i="6"/>
  <c r="E895" i="6"/>
  <c r="F895" i="6"/>
  <c r="E896" i="6"/>
  <c r="F896" i="6"/>
  <c r="E897" i="6"/>
  <c r="F897" i="6"/>
  <c r="E898" i="6"/>
  <c r="F898" i="6"/>
  <c r="E899" i="6"/>
  <c r="F899" i="6"/>
  <c r="E900" i="6"/>
  <c r="F900" i="6"/>
  <c r="E901" i="6"/>
  <c r="F901" i="6"/>
  <c r="E902" i="6"/>
  <c r="F902" i="6"/>
  <c r="E903" i="6"/>
  <c r="F903" i="6"/>
  <c r="E904" i="6"/>
  <c r="F904" i="6"/>
  <c r="E905" i="6"/>
  <c r="F905" i="6"/>
  <c r="E906" i="6"/>
  <c r="F906" i="6"/>
  <c r="E907" i="6"/>
  <c r="F907" i="6"/>
  <c r="E908" i="6"/>
  <c r="F908" i="6"/>
  <c r="E909" i="6"/>
  <c r="F909" i="6"/>
  <c r="E910" i="6"/>
  <c r="F910" i="6"/>
  <c r="E911" i="6"/>
  <c r="F911" i="6"/>
  <c r="E912" i="6"/>
  <c r="F912" i="6"/>
  <c r="E913" i="6"/>
  <c r="F913" i="6"/>
  <c r="E914" i="6"/>
  <c r="F914" i="6"/>
  <c r="E915" i="6"/>
  <c r="F915" i="6"/>
  <c r="E916" i="6"/>
  <c r="F916" i="6"/>
  <c r="E917" i="6"/>
  <c r="F917" i="6"/>
  <c r="E918" i="6"/>
  <c r="F918" i="6"/>
  <c r="E919" i="6"/>
  <c r="F919" i="6"/>
  <c r="E920" i="6"/>
  <c r="F920" i="6"/>
  <c r="E921" i="6"/>
  <c r="F921" i="6"/>
  <c r="E922" i="6"/>
  <c r="F922" i="6"/>
  <c r="E923" i="6"/>
  <c r="F923" i="6"/>
  <c r="E924" i="6"/>
  <c r="F924" i="6"/>
  <c r="E925" i="6"/>
  <c r="F925" i="6"/>
  <c r="E926" i="6"/>
  <c r="F926" i="6"/>
  <c r="E927" i="6"/>
  <c r="F927" i="6"/>
  <c r="E928" i="6"/>
  <c r="F928" i="6"/>
  <c r="E929" i="6"/>
  <c r="F929" i="6"/>
  <c r="E930" i="6"/>
  <c r="F930" i="6"/>
  <c r="E931" i="6"/>
  <c r="F931" i="6"/>
  <c r="E932" i="6"/>
  <c r="F932" i="6"/>
  <c r="E933" i="6"/>
  <c r="F933" i="6"/>
  <c r="E934" i="6"/>
  <c r="F934" i="6"/>
  <c r="E935" i="6"/>
  <c r="F935" i="6"/>
  <c r="E936" i="6"/>
  <c r="F936" i="6"/>
  <c r="E937" i="6"/>
  <c r="F937" i="6"/>
  <c r="E938" i="6"/>
  <c r="F938" i="6"/>
  <c r="E939" i="6"/>
  <c r="F939" i="6"/>
  <c r="E940" i="6"/>
  <c r="F940" i="6"/>
  <c r="E941" i="6"/>
  <c r="F941" i="6"/>
  <c r="E942" i="6"/>
  <c r="F942" i="6"/>
  <c r="E943" i="6"/>
  <c r="F943" i="6"/>
  <c r="E944" i="6"/>
  <c r="F944" i="6"/>
  <c r="E945" i="6"/>
  <c r="F945" i="6"/>
  <c r="E946" i="6"/>
  <c r="F946" i="6"/>
  <c r="E947" i="6"/>
  <c r="F947" i="6"/>
  <c r="E948" i="6"/>
  <c r="F948" i="6"/>
  <c r="E949" i="6"/>
  <c r="F949" i="6"/>
  <c r="E950" i="6"/>
  <c r="F950" i="6"/>
  <c r="E951" i="6"/>
  <c r="F951" i="6"/>
  <c r="E952" i="6"/>
  <c r="F952" i="6"/>
  <c r="E953" i="6"/>
  <c r="F953" i="6"/>
  <c r="E954" i="6"/>
  <c r="F954" i="6"/>
  <c r="E955" i="6"/>
  <c r="F955" i="6"/>
  <c r="E956" i="6"/>
  <c r="F956" i="6"/>
  <c r="E957" i="6"/>
  <c r="F957" i="6"/>
  <c r="E958" i="6"/>
  <c r="F958" i="6"/>
  <c r="E959" i="6"/>
  <c r="F959" i="6"/>
  <c r="E960" i="6"/>
  <c r="F960" i="6"/>
  <c r="E961" i="6"/>
  <c r="F961" i="6"/>
  <c r="E962" i="6"/>
  <c r="F962" i="6"/>
  <c r="E963" i="6"/>
  <c r="F963" i="6"/>
  <c r="E964" i="6"/>
  <c r="F964" i="6"/>
  <c r="E965" i="6"/>
  <c r="F965" i="6"/>
  <c r="E966" i="6"/>
  <c r="F966" i="6"/>
  <c r="E967" i="6"/>
  <c r="F967" i="6"/>
  <c r="E968" i="6"/>
  <c r="F968" i="6"/>
  <c r="E969" i="6"/>
  <c r="F969" i="6"/>
  <c r="E970" i="6"/>
  <c r="F970" i="6"/>
  <c r="E971" i="6"/>
  <c r="F971" i="6"/>
  <c r="E972" i="6"/>
  <c r="F972" i="6"/>
  <c r="E973" i="6"/>
  <c r="F973" i="6"/>
  <c r="E974" i="6"/>
  <c r="F974" i="6"/>
  <c r="E975" i="6"/>
  <c r="F975" i="6"/>
  <c r="E976" i="6"/>
  <c r="F976" i="6"/>
  <c r="E977" i="6"/>
  <c r="F977" i="6"/>
  <c r="E978" i="6"/>
  <c r="F978" i="6"/>
  <c r="E979" i="6"/>
  <c r="F979" i="6"/>
  <c r="E980" i="6"/>
  <c r="F980" i="6"/>
  <c r="E981" i="6"/>
  <c r="F981" i="6"/>
  <c r="E982" i="6"/>
  <c r="F982" i="6"/>
  <c r="E983" i="6"/>
  <c r="F983" i="6"/>
  <c r="E984" i="6"/>
  <c r="F984" i="6"/>
  <c r="E985" i="6"/>
  <c r="F985" i="6"/>
  <c r="E986" i="6"/>
  <c r="F986" i="6"/>
  <c r="E987" i="6"/>
  <c r="F987" i="6"/>
  <c r="E988" i="6"/>
  <c r="F988" i="6"/>
  <c r="E989" i="6"/>
  <c r="F989" i="6"/>
  <c r="E990" i="6"/>
  <c r="F990" i="6"/>
  <c r="E991" i="6"/>
  <c r="F991" i="6"/>
  <c r="E992" i="6"/>
  <c r="F992" i="6"/>
  <c r="E993" i="6"/>
  <c r="F993" i="6"/>
  <c r="E994" i="6"/>
  <c r="F994" i="6"/>
  <c r="E995" i="6"/>
  <c r="F995" i="6"/>
  <c r="E996" i="6"/>
  <c r="F996" i="6"/>
  <c r="E997" i="6"/>
  <c r="F997" i="6"/>
  <c r="E998" i="6"/>
  <c r="F998" i="6"/>
  <c r="E999" i="6"/>
  <c r="F999" i="6"/>
  <c r="E1000" i="6"/>
  <c r="F1000" i="6"/>
  <c r="E1001" i="6"/>
  <c r="F1001" i="6"/>
  <c r="E1002" i="6"/>
  <c r="F1002" i="6"/>
  <c r="E1003" i="6"/>
  <c r="F1003" i="6"/>
  <c r="E1004" i="6"/>
  <c r="F1004" i="6"/>
  <c r="E1005" i="6"/>
  <c r="F1005" i="6"/>
  <c r="E1006" i="6"/>
  <c r="F1006" i="6"/>
  <c r="E1007" i="6"/>
  <c r="F1007" i="6"/>
  <c r="E1008" i="6"/>
  <c r="F1008" i="6"/>
  <c r="E1009" i="6"/>
  <c r="F1009" i="6"/>
  <c r="E1010" i="6"/>
  <c r="F1010" i="6"/>
  <c r="E1011" i="6"/>
  <c r="F1011" i="6"/>
  <c r="E1012" i="6"/>
  <c r="F1012" i="6"/>
  <c r="E1013" i="6"/>
  <c r="F1013" i="6"/>
  <c r="E1014" i="6"/>
  <c r="F1014" i="6"/>
  <c r="E1015" i="6"/>
  <c r="F1015" i="6"/>
  <c r="E1016" i="6"/>
  <c r="F1016" i="6"/>
  <c r="E1017" i="6"/>
  <c r="F1017" i="6"/>
  <c r="E1018" i="6"/>
  <c r="F1018" i="6"/>
  <c r="E1019" i="6"/>
  <c r="F1019" i="6"/>
  <c r="E1020" i="6"/>
  <c r="F1020" i="6"/>
  <c r="E1021" i="6"/>
  <c r="F1021" i="6"/>
  <c r="E1022" i="6"/>
  <c r="F1022" i="6"/>
  <c r="E1023" i="6"/>
  <c r="F1023" i="6"/>
  <c r="E1024" i="6"/>
  <c r="F1024" i="6"/>
  <c r="E1025" i="6"/>
  <c r="F1025" i="6"/>
  <c r="E1026" i="6"/>
  <c r="F1026" i="6"/>
  <c r="E1027" i="6"/>
  <c r="F1027" i="6"/>
  <c r="E1028" i="6"/>
  <c r="F1028" i="6"/>
  <c r="E1029" i="6"/>
  <c r="F1029" i="6"/>
  <c r="E1030" i="6"/>
  <c r="F1030" i="6"/>
  <c r="E1031" i="6"/>
  <c r="F1031" i="6"/>
  <c r="E1032" i="6"/>
  <c r="F1032" i="6"/>
  <c r="E1033" i="6"/>
  <c r="F1033" i="6"/>
  <c r="E1034" i="6"/>
  <c r="F1034" i="6"/>
  <c r="E1035" i="6"/>
  <c r="F1035" i="6"/>
  <c r="E1036" i="6"/>
  <c r="F1036" i="6"/>
  <c r="E1037" i="6"/>
  <c r="F1037" i="6"/>
  <c r="E1038" i="6"/>
  <c r="F1038" i="6"/>
  <c r="E1039" i="6"/>
  <c r="F1039" i="6"/>
  <c r="E1040" i="6"/>
  <c r="F1040" i="6"/>
  <c r="E1041" i="6"/>
  <c r="F1041" i="6"/>
  <c r="E1042" i="6"/>
  <c r="F1042" i="6"/>
  <c r="E1043" i="6"/>
  <c r="F1043" i="6"/>
  <c r="E1044" i="6"/>
  <c r="F1044" i="6"/>
  <c r="E1045" i="6"/>
  <c r="F1045" i="6"/>
  <c r="E1046" i="6"/>
  <c r="F1046" i="6"/>
  <c r="E1047" i="6"/>
  <c r="F1047" i="6"/>
  <c r="E1048" i="6"/>
  <c r="F1048" i="6"/>
  <c r="E1049" i="6"/>
  <c r="F1049" i="6"/>
  <c r="E1050" i="6"/>
  <c r="F1050" i="6"/>
  <c r="E1051" i="6"/>
  <c r="F1051" i="6"/>
  <c r="E1052" i="6"/>
  <c r="F1052" i="6"/>
  <c r="E1053" i="6"/>
  <c r="F1053" i="6"/>
  <c r="E1054" i="6"/>
  <c r="F1054" i="6"/>
  <c r="E1055" i="6"/>
  <c r="F1055" i="6"/>
  <c r="E1056" i="6"/>
  <c r="F1056" i="6"/>
  <c r="E1057" i="6"/>
  <c r="F1057" i="6"/>
  <c r="E1058" i="6"/>
  <c r="F1058" i="6"/>
  <c r="E1059" i="6"/>
  <c r="F1059" i="6"/>
  <c r="E1060" i="6"/>
  <c r="F1060" i="6"/>
  <c r="E1061" i="6"/>
  <c r="F1061" i="6"/>
  <c r="E1062" i="6"/>
  <c r="F1062" i="6"/>
  <c r="E1063" i="6"/>
  <c r="F1063" i="6"/>
  <c r="E1064" i="6"/>
  <c r="F1064" i="6"/>
  <c r="E1065" i="6"/>
  <c r="F1065" i="6"/>
  <c r="E1066" i="6"/>
  <c r="F1066" i="6"/>
  <c r="E1067" i="6"/>
  <c r="F1067" i="6"/>
  <c r="E1068" i="6"/>
  <c r="F1068" i="6"/>
  <c r="E1069" i="6"/>
  <c r="F1069" i="6"/>
  <c r="E1070" i="6"/>
  <c r="F1070" i="6"/>
  <c r="E1071" i="6"/>
  <c r="F1071" i="6"/>
  <c r="E1072" i="6"/>
  <c r="F1072" i="6"/>
  <c r="E1073" i="6"/>
  <c r="F1073" i="6"/>
  <c r="E1074" i="6"/>
  <c r="F1074" i="6"/>
  <c r="E1075" i="6"/>
  <c r="F1075" i="6"/>
  <c r="E1076" i="6"/>
  <c r="F1076" i="6"/>
  <c r="E1077" i="6"/>
  <c r="F1077" i="6"/>
  <c r="E1078" i="6"/>
  <c r="F1078" i="6"/>
  <c r="E1079" i="6"/>
  <c r="F1079" i="6"/>
  <c r="E1080" i="6"/>
  <c r="F1080" i="6"/>
  <c r="E1081" i="6"/>
  <c r="F1081" i="6"/>
  <c r="E1082" i="6"/>
  <c r="F1082" i="6"/>
  <c r="E1083" i="6"/>
  <c r="F1083" i="6"/>
  <c r="E1084" i="6"/>
  <c r="F1084" i="6"/>
  <c r="E1085" i="6"/>
  <c r="F1085" i="6"/>
  <c r="E1086" i="6"/>
  <c r="F1086" i="6"/>
  <c r="E1087" i="6"/>
  <c r="F1087" i="6"/>
  <c r="E1088" i="6"/>
  <c r="F1088" i="6"/>
  <c r="E1089" i="6"/>
  <c r="F1089" i="6"/>
  <c r="E1090" i="6"/>
  <c r="F1090" i="6"/>
  <c r="E1091" i="6"/>
  <c r="F1091" i="6"/>
  <c r="E1092" i="6"/>
  <c r="F1092" i="6"/>
  <c r="E1093" i="6"/>
  <c r="F1093" i="6"/>
  <c r="E1094" i="6"/>
  <c r="F1094" i="6"/>
  <c r="E1095" i="6"/>
  <c r="F1095" i="6"/>
  <c r="E1096" i="6"/>
  <c r="F1096" i="6"/>
  <c r="E1097" i="6"/>
  <c r="F1097" i="6"/>
  <c r="E1098" i="6"/>
  <c r="F1098" i="6"/>
  <c r="E1099" i="6"/>
  <c r="F1099" i="6"/>
  <c r="E1100" i="6"/>
  <c r="F1100" i="6"/>
  <c r="E1101" i="6"/>
  <c r="F1101" i="6"/>
  <c r="E1102" i="6"/>
  <c r="F1102" i="6"/>
  <c r="E1103" i="6"/>
  <c r="F1103" i="6"/>
  <c r="E1104" i="6"/>
  <c r="F1104" i="6"/>
  <c r="E1105" i="6"/>
  <c r="F1105" i="6"/>
  <c r="E1106" i="6"/>
  <c r="F1106" i="6"/>
  <c r="E1107" i="6"/>
  <c r="F1107" i="6"/>
  <c r="E1108" i="6"/>
  <c r="F1108" i="6"/>
  <c r="E1109" i="6"/>
  <c r="F1109" i="6"/>
  <c r="E1110" i="6"/>
  <c r="F1110" i="6"/>
  <c r="E1111" i="6"/>
  <c r="F1111" i="6"/>
  <c r="E1112" i="6"/>
  <c r="F1112" i="6"/>
  <c r="E1113" i="6"/>
  <c r="F1113" i="6"/>
  <c r="E1114" i="6"/>
  <c r="F1114" i="6"/>
  <c r="E1115" i="6"/>
  <c r="F1115" i="6"/>
  <c r="E1116" i="6"/>
  <c r="F1116" i="6"/>
  <c r="E1117" i="6"/>
  <c r="F1117" i="6"/>
  <c r="E1118" i="6"/>
  <c r="F1118" i="6"/>
  <c r="E1119" i="6"/>
  <c r="F1119" i="6"/>
  <c r="E1120" i="6"/>
  <c r="F1120" i="6"/>
  <c r="E1121" i="6"/>
  <c r="F1121" i="6"/>
  <c r="E1122" i="6"/>
  <c r="F1122" i="6"/>
  <c r="E1123" i="6"/>
  <c r="F1123" i="6"/>
  <c r="E1124" i="6"/>
  <c r="F1124" i="6"/>
  <c r="E1125" i="6"/>
  <c r="F1125" i="6"/>
  <c r="E1126" i="6"/>
  <c r="F1126" i="6"/>
  <c r="E1127" i="6"/>
  <c r="F1127" i="6"/>
  <c r="E1128" i="6"/>
  <c r="F1128" i="6"/>
  <c r="E1129" i="6"/>
  <c r="F1129" i="6"/>
  <c r="E1130" i="6"/>
  <c r="F1130" i="6"/>
  <c r="E1131" i="6"/>
  <c r="F1131" i="6"/>
  <c r="E1132" i="6"/>
  <c r="F1132" i="6"/>
  <c r="E1133" i="6"/>
  <c r="F1133" i="6"/>
  <c r="E1134" i="6"/>
  <c r="F1134" i="6"/>
  <c r="E1135" i="6"/>
  <c r="F1135" i="6"/>
  <c r="E1136" i="6"/>
  <c r="F1136" i="6"/>
  <c r="E1137" i="6"/>
  <c r="F1137" i="6"/>
  <c r="E1138" i="6"/>
  <c r="F1138" i="6"/>
  <c r="E1139" i="6"/>
  <c r="F1139" i="6"/>
  <c r="E1140" i="6"/>
  <c r="F1140" i="6"/>
  <c r="E1141" i="6"/>
  <c r="F1141" i="6"/>
  <c r="E1142" i="6"/>
  <c r="F1142" i="6"/>
  <c r="E1143" i="6"/>
  <c r="F1143" i="6"/>
  <c r="E1144" i="6"/>
  <c r="F1144" i="6"/>
  <c r="E1145" i="6"/>
  <c r="F1145" i="6"/>
  <c r="E1146" i="6"/>
  <c r="F1146" i="6"/>
  <c r="E1147" i="6"/>
  <c r="F1147" i="6"/>
  <c r="E1148" i="6"/>
  <c r="F1148" i="6"/>
  <c r="E1149" i="6"/>
  <c r="F1149" i="6"/>
  <c r="E1150" i="6"/>
  <c r="F1150" i="6"/>
  <c r="E1151" i="6"/>
  <c r="F1151" i="6"/>
  <c r="E1152" i="6"/>
  <c r="F1152" i="6"/>
  <c r="E1153" i="6"/>
  <c r="F1153" i="6"/>
  <c r="E1154" i="6"/>
  <c r="F1154" i="6"/>
  <c r="E1155" i="6"/>
  <c r="F1155" i="6"/>
  <c r="E1156" i="6"/>
  <c r="F1156" i="6"/>
  <c r="E1157" i="6"/>
  <c r="F1157" i="6"/>
  <c r="E1158" i="6"/>
  <c r="F1158" i="6"/>
  <c r="E1159" i="6"/>
  <c r="F1159" i="6"/>
  <c r="E1160" i="6"/>
  <c r="F1160" i="6"/>
  <c r="E1161" i="6"/>
  <c r="F1161" i="6"/>
  <c r="E1162" i="6"/>
  <c r="F1162" i="6"/>
  <c r="E1163" i="6"/>
  <c r="F1163" i="6"/>
  <c r="E1164" i="6"/>
  <c r="F1164" i="6"/>
  <c r="E1165" i="6"/>
  <c r="F1165" i="6"/>
  <c r="E1166" i="6"/>
  <c r="F1166" i="6"/>
  <c r="E1167" i="6"/>
  <c r="F1167" i="6"/>
  <c r="E1168" i="6"/>
  <c r="F1168" i="6"/>
  <c r="E1169" i="6"/>
  <c r="F1169" i="6"/>
  <c r="E1170" i="6"/>
  <c r="F1170" i="6"/>
  <c r="E1171" i="6"/>
  <c r="F1171" i="6"/>
  <c r="E1172" i="6"/>
  <c r="F1172" i="6"/>
  <c r="E1173" i="6"/>
  <c r="F1173" i="6"/>
  <c r="E1174" i="6"/>
  <c r="F1174" i="6"/>
  <c r="E1175" i="6"/>
  <c r="F1175" i="6"/>
  <c r="E1176" i="6"/>
  <c r="F1176" i="6"/>
  <c r="E1177" i="6"/>
  <c r="F1177" i="6"/>
  <c r="E1178" i="6"/>
  <c r="F1178" i="6"/>
  <c r="E1179" i="6"/>
  <c r="F1179" i="6"/>
  <c r="E1180" i="6"/>
  <c r="F1180" i="6"/>
  <c r="E1181" i="6"/>
  <c r="F1181" i="6"/>
  <c r="E1182" i="6"/>
  <c r="F1182" i="6"/>
  <c r="E1183" i="6"/>
  <c r="F1183" i="6"/>
  <c r="E1184" i="6"/>
  <c r="F1184" i="6"/>
  <c r="E1185" i="6"/>
  <c r="F1185" i="6"/>
  <c r="E1186" i="6"/>
  <c r="F1186" i="6"/>
  <c r="E1187" i="6"/>
  <c r="F1187" i="6"/>
  <c r="E1188" i="6"/>
  <c r="F1188" i="6"/>
  <c r="E1189" i="6"/>
  <c r="F1189" i="6"/>
  <c r="E1190" i="6"/>
  <c r="F1190" i="6"/>
  <c r="E1191" i="6"/>
  <c r="F1191" i="6"/>
  <c r="E1192" i="6"/>
  <c r="F1192" i="6"/>
  <c r="E1193" i="6"/>
  <c r="F1193" i="6"/>
  <c r="E1194" i="6"/>
  <c r="F1194" i="6"/>
  <c r="E1195" i="6"/>
  <c r="F1195" i="6"/>
  <c r="E1196" i="6"/>
  <c r="F1196" i="6"/>
  <c r="E1197" i="6"/>
  <c r="F1197" i="6"/>
  <c r="E1198" i="6"/>
  <c r="F1198" i="6"/>
  <c r="E1199" i="6"/>
  <c r="F1199" i="6"/>
  <c r="E1200" i="6"/>
  <c r="F1200" i="6"/>
  <c r="E1201" i="6"/>
  <c r="F1201" i="6"/>
  <c r="E1202" i="6"/>
  <c r="F1202" i="6"/>
  <c r="E1203" i="6"/>
  <c r="F1203" i="6"/>
  <c r="E1204" i="6"/>
  <c r="F1204" i="6"/>
  <c r="E1205" i="6"/>
  <c r="F1205" i="6"/>
  <c r="E1206" i="6"/>
  <c r="F1206" i="6"/>
  <c r="E1207" i="6"/>
  <c r="F1207" i="6"/>
  <c r="E1208" i="6"/>
  <c r="F1208" i="6"/>
  <c r="E1209" i="6"/>
  <c r="F1209" i="6"/>
  <c r="E1210" i="6"/>
  <c r="F1210" i="6"/>
  <c r="E1211" i="6"/>
  <c r="F1211" i="6"/>
  <c r="E1212" i="6"/>
  <c r="F1212" i="6"/>
  <c r="E1213" i="6"/>
  <c r="F1213" i="6"/>
  <c r="E1214" i="6"/>
  <c r="F1214" i="6"/>
  <c r="E1215" i="6"/>
  <c r="F1215" i="6"/>
  <c r="E1216" i="6"/>
  <c r="F1216" i="6"/>
  <c r="E1217" i="6"/>
  <c r="F1217" i="6"/>
  <c r="E1218" i="6"/>
  <c r="F1218" i="6"/>
  <c r="E1219" i="6"/>
  <c r="F1219" i="6"/>
  <c r="E1220" i="6"/>
  <c r="F1220" i="6"/>
  <c r="E1221" i="6"/>
  <c r="F1221" i="6"/>
  <c r="E1222" i="6"/>
  <c r="F1222" i="6"/>
  <c r="E1223" i="6"/>
  <c r="F1223" i="6"/>
  <c r="E1224" i="6"/>
  <c r="F1224" i="6"/>
  <c r="E1225" i="6"/>
  <c r="F1225" i="6"/>
  <c r="E1226" i="6"/>
  <c r="F1226" i="6"/>
  <c r="E1227" i="6"/>
  <c r="F1227" i="6"/>
  <c r="E1228" i="6"/>
  <c r="F1228" i="6"/>
  <c r="E1229" i="6"/>
  <c r="F1229" i="6"/>
  <c r="E1230" i="6"/>
  <c r="F1230" i="6"/>
  <c r="E1231" i="6"/>
  <c r="F1231" i="6"/>
  <c r="E1232" i="6"/>
  <c r="F1232" i="6"/>
  <c r="E1233" i="6"/>
  <c r="F1233" i="6"/>
  <c r="E1234" i="6"/>
  <c r="F1234" i="6"/>
  <c r="E1235" i="6"/>
  <c r="F1235" i="6"/>
  <c r="E1236" i="6"/>
  <c r="F1236" i="6"/>
  <c r="E1237" i="6"/>
  <c r="F1237" i="6"/>
  <c r="E1238" i="6"/>
  <c r="F1238" i="6"/>
  <c r="E1239" i="6"/>
  <c r="F1239" i="6"/>
  <c r="E1240" i="6"/>
  <c r="F1240" i="6"/>
  <c r="E1241" i="6"/>
  <c r="F1241" i="6"/>
  <c r="E1242" i="6"/>
  <c r="F1242" i="6"/>
  <c r="E1243" i="6"/>
  <c r="F1243" i="6"/>
  <c r="E1244" i="6"/>
  <c r="F1244" i="6"/>
  <c r="E1245" i="6"/>
  <c r="F1245" i="6"/>
  <c r="E1246" i="6"/>
  <c r="F1246" i="6"/>
  <c r="E1247" i="6"/>
  <c r="F1247" i="6"/>
  <c r="E1248" i="6"/>
  <c r="F1248" i="6"/>
  <c r="E1249" i="6"/>
  <c r="F1249" i="6"/>
  <c r="E1250" i="6"/>
  <c r="F1250" i="6"/>
  <c r="E1251" i="6"/>
  <c r="F1251" i="6"/>
  <c r="E1252" i="6"/>
  <c r="F1252" i="6"/>
  <c r="E1253" i="6"/>
  <c r="F1253" i="6"/>
  <c r="E1254" i="6"/>
  <c r="F1254" i="6"/>
  <c r="E1255" i="6"/>
  <c r="F1255" i="6"/>
  <c r="E1256" i="6"/>
  <c r="F1256" i="6"/>
  <c r="E1257" i="6"/>
  <c r="F1257" i="6"/>
  <c r="E1258" i="6"/>
  <c r="F1258" i="6"/>
  <c r="E1259" i="6"/>
  <c r="F1259" i="6"/>
  <c r="E1260" i="6"/>
  <c r="F1260" i="6"/>
  <c r="E1261" i="6"/>
  <c r="F1261" i="6"/>
  <c r="E1262" i="6"/>
  <c r="F1262" i="6"/>
  <c r="E1263" i="6"/>
  <c r="F1263" i="6"/>
  <c r="E1264" i="6"/>
  <c r="F1264" i="6"/>
  <c r="E1265" i="6"/>
  <c r="F1265" i="6"/>
  <c r="E1266" i="6"/>
  <c r="F1266" i="6"/>
  <c r="E1267" i="6"/>
  <c r="F1267" i="6"/>
  <c r="E1268" i="6"/>
  <c r="F1268" i="6"/>
  <c r="E1269" i="6"/>
  <c r="F1269" i="6"/>
  <c r="E1270" i="6"/>
  <c r="F1270" i="6"/>
  <c r="E1271" i="6"/>
  <c r="F1271" i="6"/>
  <c r="E1272" i="6"/>
  <c r="F1272" i="6"/>
  <c r="E1273" i="6"/>
  <c r="F1273" i="6"/>
  <c r="E1274" i="6"/>
  <c r="F1274" i="6"/>
  <c r="E1275" i="6"/>
  <c r="F1275" i="6"/>
  <c r="E1276" i="6"/>
  <c r="F1276" i="6"/>
  <c r="E1277" i="6"/>
  <c r="F1277" i="6"/>
  <c r="E1278" i="6"/>
  <c r="F1278" i="6"/>
  <c r="E1279" i="6"/>
  <c r="F1279" i="6"/>
  <c r="E1280" i="6"/>
  <c r="F1280" i="6"/>
  <c r="E1281" i="6"/>
  <c r="F1281" i="6"/>
  <c r="E1282" i="6"/>
  <c r="F1282" i="6"/>
  <c r="E1283" i="6"/>
  <c r="F1283" i="6"/>
  <c r="E1284" i="6"/>
  <c r="F1284" i="6"/>
  <c r="E1285" i="6"/>
  <c r="F1285" i="6"/>
  <c r="E1286" i="6"/>
  <c r="F1286" i="6"/>
  <c r="E1287" i="6"/>
  <c r="F1287" i="6"/>
  <c r="E1288" i="6"/>
  <c r="F1288" i="6"/>
  <c r="E1289" i="6"/>
  <c r="F1289" i="6"/>
  <c r="E1290" i="6"/>
  <c r="F1290" i="6"/>
  <c r="E1291" i="6"/>
  <c r="F1291" i="6"/>
  <c r="E1292" i="6"/>
  <c r="F1292" i="6"/>
  <c r="E1293" i="6"/>
  <c r="F1293" i="6"/>
  <c r="E1294" i="6"/>
  <c r="F1294" i="6"/>
  <c r="E1295" i="6"/>
  <c r="F1295" i="6"/>
  <c r="E1296" i="6"/>
  <c r="F1296" i="6"/>
  <c r="E1297" i="6"/>
  <c r="F1297" i="6"/>
  <c r="E1298" i="6"/>
  <c r="F1298" i="6"/>
  <c r="E1299" i="6"/>
  <c r="F1299" i="6"/>
  <c r="E1300" i="6"/>
  <c r="F1300" i="6"/>
  <c r="E1301" i="6"/>
  <c r="F1301" i="6"/>
  <c r="E1302" i="6"/>
  <c r="F1302" i="6"/>
  <c r="E1303" i="6"/>
  <c r="F1303" i="6"/>
  <c r="E1304" i="6"/>
  <c r="F1304" i="6"/>
  <c r="E1305" i="6"/>
  <c r="F1305" i="6"/>
  <c r="E1306" i="6"/>
  <c r="F1306" i="6"/>
  <c r="E1307" i="6"/>
  <c r="F1307" i="6"/>
  <c r="E1308" i="6"/>
  <c r="F1308" i="6"/>
  <c r="E1309" i="6"/>
  <c r="F1309" i="6"/>
  <c r="E1310" i="6"/>
  <c r="F1310" i="6"/>
  <c r="E1311" i="6"/>
  <c r="F1311" i="6"/>
  <c r="E1312" i="6"/>
  <c r="F1312" i="6"/>
  <c r="E1313" i="6"/>
  <c r="F1313" i="6"/>
  <c r="E1314" i="6"/>
  <c r="F1314" i="6"/>
  <c r="E1315" i="6"/>
  <c r="F1315" i="6"/>
  <c r="E1316" i="6"/>
  <c r="F1316" i="6"/>
  <c r="E1317" i="6"/>
  <c r="F1317" i="6"/>
  <c r="E1318" i="6"/>
  <c r="F1318" i="6"/>
  <c r="E1319" i="6"/>
  <c r="F1319" i="6"/>
  <c r="E1320" i="6"/>
  <c r="F1320" i="6"/>
  <c r="E1321" i="6"/>
  <c r="F1321" i="6"/>
  <c r="E1322" i="6"/>
  <c r="F1322" i="6"/>
  <c r="E1323" i="6"/>
  <c r="F1323" i="6"/>
  <c r="E1324" i="6"/>
  <c r="F1324" i="6"/>
  <c r="E1325" i="6"/>
  <c r="F1325" i="6"/>
  <c r="E1326" i="6"/>
  <c r="F1326" i="6"/>
  <c r="E1327" i="6"/>
  <c r="F1327" i="6"/>
  <c r="E1328" i="6"/>
  <c r="F1328" i="6"/>
  <c r="E1329" i="6"/>
  <c r="F1329" i="6"/>
  <c r="E1330" i="6"/>
  <c r="F1330" i="6"/>
  <c r="E1331" i="6"/>
  <c r="F1331" i="6"/>
  <c r="E1332" i="6"/>
  <c r="F1332" i="6"/>
  <c r="E1333" i="6"/>
  <c r="F1333" i="6"/>
  <c r="E1334" i="6"/>
  <c r="F1334" i="6"/>
  <c r="E1335" i="6"/>
  <c r="F1335" i="6"/>
  <c r="E1336" i="6"/>
  <c r="F1336" i="6"/>
  <c r="E1337" i="6"/>
  <c r="F1337" i="6"/>
  <c r="E1338" i="6"/>
  <c r="F1338" i="6"/>
  <c r="E1339" i="6"/>
  <c r="F1339" i="6"/>
  <c r="E1340" i="6"/>
  <c r="F1340" i="6"/>
  <c r="E1341" i="6"/>
  <c r="F1341" i="6"/>
  <c r="E1342" i="6"/>
  <c r="F1342" i="6"/>
  <c r="E1343" i="6"/>
  <c r="F1343" i="6"/>
  <c r="E1344" i="6"/>
  <c r="F1344" i="6"/>
  <c r="E1345" i="6"/>
  <c r="F1345" i="6"/>
  <c r="E1346" i="6"/>
  <c r="F1346" i="6"/>
  <c r="E1347" i="6"/>
  <c r="F1347" i="6"/>
  <c r="E1348" i="6"/>
  <c r="F1348" i="6"/>
  <c r="E1349" i="6"/>
  <c r="F1349" i="6"/>
  <c r="E1350" i="6"/>
  <c r="F1350" i="6"/>
  <c r="E1351" i="6"/>
  <c r="F1351" i="6"/>
  <c r="E1352" i="6"/>
  <c r="F1352" i="6"/>
  <c r="E1353" i="6"/>
  <c r="F1353" i="6"/>
  <c r="E1354" i="6"/>
  <c r="F1354" i="6"/>
  <c r="E1355" i="6"/>
  <c r="F1355" i="6"/>
  <c r="E1356" i="6"/>
  <c r="F1356" i="6"/>
  <c r="E1357" i="6"/>
  <c r="F1357" i="6"/>
  <c r="E1358" i="6"/>
  <c r="F1358" i="6"/>
  <c r="E1359" i="6"/>
  <c r="F1359" i="6"/>
  <c r="E1360" i="6"/>
  <c r="F1360" i="6"/>
  <c r="E1361" i="6"/>
  <c r="F1361" i="6"/>
  <c r="E1362" i="6"/>
  <c r="F1362" i="6"/>
  <c r="E1363" i="6"/>
  <c r="F1363" i="6"/>
  <c r="E1364" i="6"/>
  <c r="F1364" i="6"/>
  <c r="E1365" i="6"/>
  <c r="F1365" i="6"/>
  <c r="E1366" i="6"/>
  <c r="F1366" i="6"/>
  <c r="E1367" i="6"/>
  <c r="F1367" i="6"/>
  <c r="E1368" i="6"/>
  <c r="F1368" i="6"/>
  <c r="E1369" i="6"/>
  <c r="F1369" i="6"/>
  <c r="E1370" i="6"/>
  <c r="F1370" i="6"/>
  <c r="E1371" i="6"/>
  <c r="F1371" i="6"/>
  <c r="E1372" i="6"/>
  <c r="F1372" i="6"/>
  <c r="E1373" i="6"/>
  <c r="F1373" i="6"/>
  <c r="E1374" i="6"/>
  <c r="F1374" i="6"/>
  <c r="E1375" i="6"/>
  <c r="F1375" i="6"/>
  <c r="E1376" i="6"/>
  <c r="F1376" i="6"/>
  <c r="E1377" i="6"/>
  <c r="F1377" i="6"/>
  <c r="E1378" i="6"/>
  <c r="F1378" i="6"/>
  <c r="E1379" i="6"/>
  <c r="F1379" i="6"/>
  <c r="E1380" i="6"/>
  <c r="F1380" i="6"/>
  <c r="E1381" i="6"/>
  <c r="F1381" i="6"/>
  <c r="E1382" i="6"/>
  <c r="F1382" i="6"/>
  <c r="E1383" i="6"/>
  <c r="F1383" i="6"/>
  <c r="E1384" i="6"/>
  <c r="F1384" i="6"/>
  <c r="E1385" i="6"/>
  <c r="F1385" i="6"/>
  <c r="E1386" i="6"/>
  <c r="F1386" i="6"/>
  <c r="E1387" i="6"/>
  <c r="F1387" i="6"/>
  <c r="E1388" i="6"/>
  <c r="F1388" i="6"/>
  <c r="E1389" i="6"/>
  <c r="F1389" i="6"/>
  <c r="E1390" i="6"/>
  <c r="F1390" i="6"/>
  <c r="E1391" i="6"/>
  <c r="F1391" i="6"/>
  <c r="E1392" i="6"/>
  <c r="F1392" i="6"/>
  <c r="E1393" i="6"/>
  <c r="F1393" i="6"/>
  <c r="E1394" i="6"/>
  <c r="F1394" i="6"/>
  <c r="E1395" i="6"/>
  <c r="F1395" i="6"/>
  <c r="E1396" i="6"/>
  <c r="F1396" i="6"/>
  <c r="E1397" i="6"/>
  <c r="F1397" i="6"/>
  <c r="E1398" i="6"/>
  <c r="F1398" i="6"/>
  <c r="E1399" i="6"/>
  <c r="F1399" i="6"/>
  <c r="E1400" i="6"/>
  <c r="F1400" i="6"/>
  <c r="E1401" i="6"/>
  <c r="F1401" i="6"/>
  <c r="E1402" i="6"/>
  <c r="F1402" i="6"/>
  <c r="E1403" i="6"/>
  <c r="F1403" i="6"/>
  <c r="E1404" i="6"/>
  <c r="F1404" i="6"/>
  <c r="E1405" i="6"/>
  <c r="F1405" i="6"/>
  <c r="E1406" i="6"/>
  <c r="F1406" i="6"/>
  <c r="E1407" i="6"/>
  <c r="F1407" i="6"/>
  <c r="E1408" i="6"/>
  <c r="F1408" i="6"/>
  <c r="E1409" i="6"/>
  <c r="F1409" i="6"/>
  <c r="E1410" i="6"/>
  <c r="F1410" i="6"/>
  <c r="E1411" i="6"/>
  <c r="F1411" i="6"/>
  <c r="E1412" i="6"/>
  <c r="F1412" i="6"/>
  <c r="E1413" i="6"/>
  <c r="F1413" i="6"/>
  <c r="E1414" i="6"/>
  <c r="F1414" i="6"/>
  <c r="E1415" i="6"/>
  <c r="F1415" i="6"/>
  <c r="E1416" i="6"/>
  <c r="F1416" i="6"/>
  <c r="E1417" i="6"/>
  <c r="F1417" i="6"/>
  <c r="E1418" i="6"/>
  <c r="F1418" i="6"/>
  <c r="E1419" i="6"/>
  <c r="F1419" i="6"/>
  <c r="E1420" i="6"/>
  <c r="F1420" i="6"/>
  <c r="E1421" i="6"/>
  <c r="F1421" i="6"/>
  <c r="E1422" i="6"/>
  <c r="F1422" i="6"/>
  <c r="E1423" i="6"/>
  <c r="F1423" i="6"/>
  <c r="E1424" i="6"/>
  <c r="F1424" i="6"/>
  <c r="E1425" i="6"/>
  <c r="F1425" i="6"/>
  <c r="E1426" i="6"/>
  <c r="F1426" i="6"/>
  <c r="E1427" i="6"/>
  <c r="F1427" i="6"/>
  <c r="E1428" i="6"/>
  <c r="F1428" i="6"/>
  <c r="E1429" i="6"/>
  <c r="F1429" i="6"/>
  <c r="E1430" i="6"/>
  <c r="F1430" i="6"/>
  <c r="E1431" i="6"/>
  <c r="F1431" i="6"/>
  <c r="E1432" i="6"/>
  <c r="F1432" i="6"/>
  <c r="E1433" i="6"/>
  <c r="F1433" i="6"/>
  <c r="E1434" i="6"/>
  <c r="F1434" i="6"/>
  <c r="E1435" i="6"/>
  <c r="F1435" i="6"/>
  <c r="E1436" i="6"/>
  <c r="F1436" i="6"/>
  <c r="E1437" i="6"/>
  <c r="F1437" i="6"/>
  <c r="E1438" i="6"/>
  <c r="F1438" i="6"/>
  <c r="E1439" i="6"/>
  <c r="F1439" i="6"/>
  <c r="E1440" i="6"/>
  <c r="F1440" i="6"/>
  <c r="E1441" i="6"/>
  <c r="F1441" i="6"/>
  <c r="E1442" i="6"/>
  <c r="F1442" i="6"/>
  <c r="E1443" i="6"/>
  <c r="F1443" i="6"/>
  <c r="E1444" i="6"/>
  <c r="F1444" i="6"/>
  <c r="E1445" i="6"/>
  <c r="F1445" i="6"/>
  <c r="E1446" i="6"/>
  <c r="F1446" i="6"/>
  <c r="E1447" i="6"/>
  <c r="F1447" i="6"/>
  <c r="E1448" i="6"/>
  <c r="F1448" i="6"/>
  <c r="E1449" i="6"/>
  <c r="F1449" i="6"/>
  <c r="E1450" i="6"/>
  <c r="F1450" i="6"/>
  <c r="E1451" i="6"/>
  <c r="F1451" i="6"/>
  <c r="E1452" i="6"/>
  <c r="F1452" i="6"/>
  <c r="E1453" i="6"/>
  <c r="F1453" i="6"/>
  <c r="E1454" i="6"/>
  <c r="F1454" i="6"/>
  <c r="E1455" i="6"/>
  <c r="F1455" i="6"/>
  <c r="E1456" i="6"/>
  <c r="F1456" i="6"/>
  <c r="E1457" i="6"/>
  <c r="F1457" i="6"/>
  <c r="E1458" i="6"/>
  <c r="F1458" i="6"/>
  <c r="E1459" i="6"/>
  <c r="F1459" i="6"/>
  <c r="E1460" i="6"/>
  <c r="F1460" i="6"/>
  <c r="E1461" i="6"/>
  <c r="F1461" i="6"/>
  <c r="E1462" i="6"/>
  <c r="F1462" i="6"/>
  <c r="E1463" i="6"/>
  <c r="F1463" i="6"/>
  <c r="E1464" i="6"/>
  <c r="F1464" i="6"/>
  <c r="E1465" i="6"/>
  <c r="F1465" i="6"/>
  <c r="E1466" i="6"/>
  <c r="F1466" i="6"/>
  <c r="E1467" i="6"/>
  <c r="F1467" i="6"/>
  <c r="E1468" i="6"/>
  <c r="F1468" i="6"/>
  <c r="E1469" i="6"/>
  <c r="F1469" i="6"/>
  <c r="E1470" i="6"/>
  <c r="F1470" i="6"/>
  <c r="E1471" i="6"/>
  <c r="F1471" i="6"/>
  <c r="E1472" i="6"/>
  <c r="F1472" i="6"/>
  <c r="E1473" i="6"/>
  <c r="F1473" i="6"/>
  <c r="E1474" i="6"/>
  <c r="F1474" i="6"/>
  <c r="E1475" i="6"/>
  <c r="F1475" i="6"/>
  <c r="E1476" i="6"/>
  <c r="F1476" i="6"/>
  <c r="E1477" i="6"/>
  <c r="F1477" i="6"/>
  <c r="E1478" i="6"/>
  <c r="F1478" i="6"/>
  <c r="E1479" i="6"/>
  <c r="F1479" i="6"/>
  <c r="E1480" i="6"/>
  <c r="F1480" i="6"/>
  <c r="E1481" i="6"/>
  <c r="F1481" i="6"/>
  <c r="E1482" i="6"/>
  <c r="F1482" i="6"/>
  <c r="E1483" i="6"/>
  <c r="F1483" i="6"/>
  <c r="E1484" i="6"/>
  <c r="F1484" i="6"/>
  <c r="E1485" i="6"/>
  <c r="F1485" i="6"/>
  <c r="E1486" i="6"/>
  <c r="F1486" i="6"/>
  <c r="E1487" i="6"/>
  <c r="F1487" i="6"/>
  <c r="E1488" i="6"/>
  <c r="F1488" i="6"/>
  <c r="E1489" i="6"/>
  <c r="F1489" i="6"/>
  <c r="E1490" i="6"/>
  <c r="F1490" i="6"/>
  <c r="E1491" i="6"/>
  <c r="F1491" i="6"/>
  <c r="E1492" i="6"/>
  <c r="F1492" i="6"/>
  <c r="E1493" i="6"/>
  <c r="F1493" i="6"/>
  <c r="E1494" i="6"/>
  <c r="F1494" i="6"/>
  <c r="E1495" i="6"/>
  <c r="F1495" i="6"/>
  <c r="E1496" i="6"/>
  <c r="F1496" i="6"/>
  <c r="E1497" i="6"/>
  <c r="F1497" i="6"/>
  <c r="E1498" i="6"/>
  <c r="F1498" i="6"/>
  <c r="E1499" i="6"/>
  <c r="F1499" i="6"/>
  <c r="E1500" i="6"/>
  <c r="F1500" i="6"/>
  <c r="E1501" i="6"/>
  <c r="F1501" i="6"/>
  <c r="E1502" i="6"/>
  <c r="F1502" i="6"/>
  <c r="E1503" i="6"/>
  <c r="F1503" i="6"/>
  <c r="E1504" i="6"/>
  <c r="F1504" i="6"/>
  <c r="E1505" i="6"/>
  <c r="F1505" i="6"/>
  <c r="E1506" i="6"/>
  <c r="F1506" i="6"/>
  <c r="E1507" i="6"/>
  <c r="F1507" i="6"/>
  <c r="E1508" i="6"/>
  <c r="F1508" i="6"/>
  <c r="E1509" i="6"/>
  <c r="F1509" i="6"/>
  <c r="E1510" i="6"/>
  <c r="F1510" i="6"/>
  <c r="E1511" i="6"/>
  <c r="F1511" i="6"/>
  <c r="E1512" i="6"/>
  <c r="F1512" i="6"/>
  <c r="E1513" i="6"/>
  <c r="F1513" i="6"/>
  <c r="E1514" i="6"/>
  <c r="F1514" i="6"/>
  <c r="E1515" i="6"/>
  <c r="F1515" i="6"/>
  <c r="E1516" i="6"/>
  <c r="F1516" i="6"/>
  <c r="E1517" i="6"/>
  <c r="F1517" i="6"/>
  <c r="E1518" i="6"/>
  <c r="F1518" i="6"/>
  <c r="E1519" i="6"/>
  <c r="F1519" i="6"/>
  <c r="E1520" i="6"/>
  <c r="F1520" i="6"/>
  <c r="E1521" i="6"/>
  <c r="F1521" i="6"/>
  <c r="E1522" i="6"/>
  <c r="F1522" i="6"/>
  <c r="E1523" i="6"/>
  <c r="F1523" i="6"/>
  <c r="E1524" i="6"/>
  <c r="F1524" i="6"/>
  <c r="E1525" i="6"/>
  <c r="F1525" i="6"/>
  <c r="E1526" i="6"/>
  <c r="F1526" i="6"/>
  <c r="E1527" i="6"/>
  <c r="F1527" i="6"/>
  <c r="E1528" i="6"/>
  <c r="F1528" i="6"/>
  <c r="E1529" i="6"/>
  <c r="F1529" i="6"/>
  <c r="E1530" i="6"/>
  <c r="F1530" i="6"/>
  <c r="E1531" i="6"/>
  <c r="F1531" i="6"/>
  <c r="E1532" i="6"/>
  <c r="F1532" i="6"/>
  <c r="E1533" i="6"/>
  <c r="F1533" i="6"/>
  <c r="E1534" i="6"/>
  <c r="F1534" i="6"/>
  <c r="E1535" i="6"/>
  <c r="F1535" i="6"/>
  <c r="E1536" i="6"/>
  <c r="F1536" i="6"/>
  <c r="E1537" i="6"/>
  <c r="F1537" i="6"/>
  <c r="E1538" i="6"/>
  <c r="F1538" i="6"/>
  <c r="E1539" i="6"/>
  <c r="F1539" i="6"/>
  <c r="E1540" i="6"/>
  <c r="F1540" i="6"/>
  <c r="E1541" i="6"/>
  <c r="F1541" i="6"/>
  <c r="E1542" i="6"/>
  <c r="F1542" i="6"/>
  <c r="E1543" i="6"/>
  <c r="F1543" i="6"/>
  <c r="E1544" i="6"/>
  <c r="F1544" i="6"/>
  <c r="E1545" i="6"/>
  <c r="F1545" i="6"/>
  <c r="E1546" i="6"/>
  <c r="F1546" i="6"/>
  <c r="E1547" i="6"/>
  <c r="F1547" i="6"/>
  <c r="E1548" i="6"/>
  <c r="F1548" i="6"/>
  <c r="E1549" i="6"/>
  <c r="F1549" i="6"/>
  <c r="E1550" i="6"/>
  <c r="F1550" i="6"/>
  <c r="E1551" i="6"/>
  <c r="F1551" i="6"/>
  <c r="E1552" i="6"/>
  <c r="F1552" i="6"/>
  <c r="E1553" i="6"/>
  <c r="F1553" i="6"/>
  <c r="E1554" i="6"/>
  <c r="F1554" i="6"/>
  <c r="E1555" i="6"/>
  <c r="F1555" i="6"/>
  <c r="E1556" i="6"/>
  <c r="F1556" i="6"/>
  <c r="E1557" i="6"/>
  <c r="F1557" i="6"/>
  <c r="E1558" i="6"/>
  <c r="F1558" i="6"/>
  <c r="E1559" i="6"/>
  <c r="F1559" i="6"/>
  <c r="E1560" i="6"/>
  <c r="F1560" i="6"/>
  <c r="E1561" i="6"/>
  <c r="F1561" i="6"/>
  <c r="E1562" i="6"/>
  <c r="F1562" i="6"/>
  <c r="E1563" i="6"/>
  <c r="F1563" i="6"/>
  <c r="E1564" i="6"/>
  <c r="F1564" i="6"/>
  <c r="E1565" i="6"/>
  <c r="F1565" i="6"/>
  <c r="E1566" i="6"/>
  <c r="F1566" i="6"/>
  <c r="E1567" i="6"/>
  <c r="F1567" i="6"/>
  <c r="E1568" i="6"/>
  <c r="F1568" i="6"/>
  <c r="E1569" i="6"/>
  <c r="F1569" i="6"/>
  <c r="E1570" i="6"/>
  <c r="F1570" i="6"/>
  <c r="E1571" i="6"/>
  <c r="F1571" i="6"/>
  <c r="E1572" i="6"/>
  <c r="F1572" i="6"/>
  <c r="E1573" i="6"/>
  <c r="F1573" i="6"/>
  <c r="E1574" i="6"/>
  <c r="F1574" i="6"/>
  <c r="E1575" i="6"/>
  <c r="F1575" i="6"/>
  <c r="E1576" i="6"/>
  <c r="F1576" i="6"/>
  <c r="E1577" i="6"/>
  <c r="F1577" i="6"/>
  <c r="E1578" i="6"/>
  <c r="F1578" i="6"/>
  <c r="E1579" i="6"/>
  <c r="F1579" i="6"/>
  <c r="E1580" i="6"/>
  <c r="F1580" i="6"/>
  <c r="E1581" i="6"/>
  <c r="F1581" i="6"/>
  <c r="E1582" i="6"/>
  <c r="F1582" i="6"/>
  <c r="E1583" i="6"/>
  <c r="F1583" i="6"/>
  <c r="E1584" i="6"/>
  <c r="F1584" i="6"/>
  <c r="E1585" i="6"/>
  <c r="F1585" i="6"/>
  <c r="E1586" i="6"/>
  <c r="F1586" i="6"/>
  <c r="E1587" i="6"/>
  <c r="F1587" i="6"/>
  <c r="E1588" i="6"/>
  <c r="F1588" i="6"/>
  <c r="E1589" i="6"/>
  <c r="F1589" i="6"/>
  <c r="E1590" i="6"/>
  <c r="F1590" i="6"/>
  <c r="E1591" i="6"/>
  <c r="F1591" i="6"/>
  <c r="E1592" i="6"/>
  <c r="F1592" i="6"/>
  <c r="E1593" i="6"/>
  <c r="F1593" i="6"/>
  <c r="E1594" i="6"/>
  <c r="F1594" i="6"/>
  <c r="E1595" i="6"/>
  <c r="F1595" i="6"/>
  <c r="E1596" i="6"/>
  <c r="F1596" i="6"/>
  <c r="E1597" i="6"/>
  <c r="F1597" i="6"/>
  <c r="E1598" i="6"/>
  <c r="F1598" i="6"/>
  <c r="E1599" i="6"/>
  <c r="F1599" i="6"/>
  <c r="E1600" i="6"/>
  <c r="F1600" i="6"/>
  <c r="E1601" i="6"/>
  <c r="F1601" i="6"/>
  <c r="E1602" i="6"/>
  <c r="F1602" i="6"/>
  <c r="E1603" i="6"/>
  <c r="F1603" i="6"/>
  <c r="E1604" i="6"/>
  <c r="F1604" i="6"/>
  <c r="E1605" i="6"/>
  <c r="F1605" i="6"/>
  <c r="E1606" i="6"/>
  <c r="F1606" i="6"/>
  <c r="E1607" i="6"/>
  <c r="F1607" i="6"/>
  <c r="E1608" i="6"/>
  <c r="F1608" i="6"/>
  <c r="E1609" i="6"/>
  <c r="F1609" i="6"/>
  <c r="E1610" i="6"/>
  <c r="F1610" i="6"/>
  <c r="E1611" i="6"/>
  <c r="F1611" i="6"/>
  <c r="E1612" i="6"/>
  <c r="F1612" i="6"/>
  <c r="E1613" i="6"/>
  <c r="F1613" i="6"/>
  <c r="E1614" i="6"/>
  <c r="F1614" i="6"/>
  <c r="E1615" i="6"/>
  <c r="F1615" i="6"/>
  <c r="E1616" i="6"/>
  <c r="F1616" i="6"/>
  <c r="E1617" i="6"/>
  <c r="F1617" i="6"/>
  <c r="E1618" i="6"/>
  <c r="F1618" i="6"/>
  <c r="E1619" i="6"/>
  <c r="F1619" i="6"/>
  <c r="E1620" i="6"/>
  <c r="F1620" i="6"/>
  <c r="E1621" i="6"/>
  <c r="F1621" i="6"/>
  <c r="E1622" i="6"/>
  <c r="F1622" i="6"/>
  <c r="E1623" i="6"/>
  <c r="F1623" i="6"/>
  <c r="E1624" i="6"/>
  <c r="F1624" i="6"/>
  <c r="E1625" i="6"/>
  <c r="F1625" i="6"/>
  <c r="E1626" i="6"/>
  <c r="F1626" i="6"/>
  <c r="E1627" i="6"/>
  <c r="F1627" i="6"/>
  <c r="E1628" i="6"/>
  <c r="F1628" i="6"/>
  <c r="E1629" i="6"/>
  <c r="F1629" i="6"/>
  <c r="E1630" i="6"/>
  <c r="F1630" i="6"/>
  <c r="E1631" i="6"/>
  <c r="F1631" i="6"/>
  <c r="E1632" i="6"/>
  <c r="F1632" i="6"/>
  <c r="E1633" i="6"/>
  <c r="F1633" i="6"/>
  <c r="E1634" i="6"/>
  <c r="F1634" i="6"/>
  <c r="E1635" i="6"/>
  <c r="F1635" i="6"/>
  <c r="E1636" i="6"/>
  <c r="F1636" i="6"/>
  <c r="E1637" i="6"/>
  <c r="F1637" i="6"/>
  <c r="E1638" i="6"/>
  <c r="F1638" i="6"/>
  <c r="E1639" i="6"/>
  <c r="F1639" i="6"/>
  <c r="E1640" i="6"/>
  <c r="F1640" i="6"/>
  <c r="E1641" i="6"/>
  <c r="F1641" i="6"/>
  <c r="E1642" i="6"/>
  <c r="F1642" i="6"/>
  <c r="E1643" i="6"/>
  <c r="F1643" i="6"/>
  <c r="E1644" i="6"/>
  <c r="F1644" i="6"/>
  <c r="E1645" i="6"/>
  <c r="F1645" i="6"/>
  <c r="E1646" i="6"/>
  <c r="F1646" i="6"/>
  <c r="E1647" i="6"/>
  <c r="F1647" i="6"/>
  <c r="E1648" i="6"/>
  <c r="F1648" i="6"/>
  <c r="E1649" i="6"/>
  <c r="F1649" i="6"/>
  <c r="E1650" i="6"/>
  <c r="F1650" i="6"/>
  <c r="E1651" i="6"/>
  <c r="F1651" i="6"/>
  <c r="E1652" i="6"/>
  <c r="F1652" i="6"/>
  <c r="E1653" i="6"/>
  <c r="F1653" i="6"/>
  <c r="E1654" i="6"/>
  <c r="F1654" i="6"/>
  <c r="E1655" i="6"/>
  <c r="F1655" i="6"/>
  <c r="E1656" i="6"/>
  <c r="F1656" i="6"/>
  <c r="E1657" i="6"/>
  <c r="F1657" i="6"/>
  <c r="E1658" i="6"/>
  <c r="F1658" i="6"/>
  <c r="E1659" i="6"/>
  <c r="F1659" i="6"/>
  <c r="E1660" i="6"/>
  <c r="F1660" i="6"/>
  <c r="E1661" i="6"/>
  <c r="F1661" i="6"/>
  <c r="E1662" i="6"/>
  <c r="F1662" i="6"/>
  <c r="E1663" i="6"/>
  <c r="F1663" i="6"/>
  <c r="E1664" i="6"/>
  <c r="F1664" i="6"/>
  <c r="E1665" i="6"/>
  <c r="F1665" i="6"/>
  <c r="E1666" i="6"/>
  <c r="F1666" i="6"/>
  <c r="E1667" i="6"/>
  <c r="F1667" i="6"/>
  <c r="E1668" i="6"/>
  <c r="F1668" i="6"/>
  <c r="E1669" i="6"/>
  <c r="F1669" i="6"/>
  <c r="E1670" i="6"/>
  <c r="F1670" i="6"/>
  <c r="E1671" i="6"/>
  <c r="F1671" i="6"/>
  <c r="E1672" i="6"/>
  <c r="F1672" i="6"/>
  <c r="E1673" i="6"/>
  <c r="F1673" i="6"/>
  <c r="E1674" i="6"/>
  <c r="F1674" i="6"/>
  <c r="E1675" i="6"/>
  <c r="F1675" i="6"/>
  <c r="E1676" i="6"/>
  <c r="F1676" i="6"/>
  <c r="E1677" i="6"/>
  <c r="F1677" i="6"/>
  <c r="E1678" i="6"/>
  <c r="F1678" i="6"/>
  <c r="E1679" i="6"/>
  <c r="F1679" i="6"/>
  <c r="E1680" i="6"/>
  <c r="F1680" i="6"/>
  <c r="E1681" i="6"/>
  <c r="F1681" i="6"/>
  <c r="E1682" i="6"/>
  <c r="F1682" i="6"/>
  <c r="E1683" i="6"/>
  <c r="F1683" i="6"/>
  <c r="E1684" i="6"/>
  <c r="F1684" i="6"/>
  <c r="E1685" i="6"/>
  <c r="F1685" i="6"/>
  <c r="E1686" i="6"/>
  <c r="F1686" i="6"/>
  <c r="E1687" i="6"/>
  <c r="F1687" i="6"/>
  <c r="E1688" i="6"/>
  <c r="F1688" i="6"/>
  <c r="E1689" i="6"/>
  <c r="F1689" i="6"/>
  <c r="E1690" i="6"/>
  <c r="F1690" i="6"/>
  <c r="E1691" i="6"/>
  <c r="F1691" i="6"/>
  <c r="E1692" i="6"/>
  <c r="F1692" i="6"/>
  <c r="E1693" i="6"/>
  <c r="F1693" i="6"/>
  <c r="E1694" i="6"/>
  <c r="F1694" i="6"/>
  <c r="E1695" i="6"/>
  <c r="F1695" i="6"/>
  <c r="E1696" i="6"/>
  <c r="F1696" i="6"/>
  <c r="E1697" i="6"/>
  <c r="F1697" i="6"/>
  <c r="E1698" i="6"/>
  <c r="F1698" i="6"/>
  <c r="E1699" i="6"/>
  <c r="F1699" i="6"/>
  <c r="E1700" i="6"/>
  <c r="F1700" i="6"/>
  <c r="E1701" i="6"/>
  <c r="F1701" i="6"/>
  <c r="E1702" i="6"/>
  <c r="F1702" i="6"/>
  <c r="E1703" i="6"/>
  <c r="F1703" i="6"/>
  <c r="E1704" i="6"/>
  <c r="F1704" i="6"/>
  <c r="E1705" i="6"/>
  <c r="F1705" i="6"/>
  <c r="E1706" i="6"/>
  <c r="F1706" i="6"/>
  <c r="E1707" i="6"/>
  <c r="F1707" i="6"/>
  <c r="E1708" i="6"/>
  <c r="F1708" i="6"/>
  <c r="E1709" i="6"/>
  <c r="F1709" i="6"/>
  <c r="E1710" i="6"/>
  <c r="F1710" i="6"/>
  <c r="E1711" i="6"/>
  <c r="F1711" i="6"/>
  <c r="E1712" i="6"/>
  <c r="F1712" i="6"/>
  <c r="E1713" i="6"/>
  <c r="F1713" i="6"/>
  <c r="E1714" i="6"/>
  <c r="F1714" i="6"/>
  <c r="E1715" i="6"/>
  <c r="F1715" i="6"/>
  <c r="E1716" i="6"/>
  <c r="F1716" i="6"/>
  <c r="E1717" i="6"/>
  <c r="F1717" i="6"/>
  <c r="E1718" i="6"/>
  <c r="F1718" i="6"/>
  <c r="E1719" i="6"/>
  <c r="F1719" i="6"/>
  <c r="E1720" i="6"/>
  <c r="F1720" i="6"/>
  <c r="E1721" i="6"/>
  <c r="F1721" i="6"/>
  <c r="E1722" i="6"/>
  <c r="F1722" i="6"/>
  <c r="E1723" i="6"/>
  <c r="F1723" i="6"/>
  <c r="E1724" i="6"/>
  <c r="F1724" i="6"/>
  <c r="E1725" i="6"/>
  <c r="F1725" i="6"/>
  <c r="E1726" i="6"/>
  <c r="F1726" i="6"/>
  <c r="E1727" i="6"/>
  <c r="F1727" i="6"/>
  <c r="E1728" i="6"/>
  <c r="F1728" i="6"/>
  <c r="E1729" i="6"/>
  <c r="F1729" i="6"/>
  <c r="E1730" i="6"/>
  <c r="F1730" i="6"/>
  <c r="E1731" i="6"/>
  <c r="F1731" i="6"/>
  <c r="E1732" i="6"/>
  <c r="F1732" i="6"/>
  <c r="E1733" i="6"/>
  <c r="F1733" i="6"/>
  <c r="E1734" i="6"/>
  <c r="F1734" i="6"/>
  <c r="E1735" i="6"/>
  <c r="F1735" i="6"/>
  <c r="E1736" i="6"/>
  <c r="F1736" i="6"/>
  <c r="E1737" i="6"/>
  <c r="F1737" i="6"/>
  <c r="E1738" i="6"/>
  <c r="F1738" i="6"/>
  <c r="E1739" i="6"/>
  <c r="F1739" i="6"/>
  <c r="E1740" i="6"/>
  <c r="F1740" i="6"/>
  <c r="E1741" i="6"/>
  <c r="F1741" i="6"/>
  <c r="E1742" i="6"/>
  <c r="F1742" i="6"/>
  <c r="E1743" i="6"/>
  <c r="F1743" i="6"/>
  <c r="E1744" i="6"/>
  <c r="F1744" i="6"/>
  <c r="E1745" i="6"/>
  <c r="F1745" i="6"/>
  <c r="E1746" i="6"/>
  <c r="F1746" i="6"/>
  <c r="E1747" i="6"/>
  <c r="F1747" i="6"/>
  <c r="E1748" i="6"/>
  <c r="F1748" i="6"/>
  <c r="E1749" i="6"/>
  <c r="F1749" i="6"/>
  <c r="E1750" i="6"/>
  <c r="F1750" i="6"/>
  <c r="E1751" i="6"/>
  <c r="F1751" i="6"/>
  <c r="E1752" i="6"/>
  <c r="F1752" i="6"/>
  <c r="E1753" i="6"/>
  <c r="F1753" i="6"/>
  <c r="E1754" i="6"/>
  <c r="F1754" i="6"/>
  <c r="E1755" i="6"/>
  <c r="F1755" i="6"/>
  <c r="E1756" i="6"/>
  <c r="F1756" i="6"/>
  <c r="E1757" i="6"/>
  <c r="F1757" i="6"/>
  <c r="E1758" i="6"/>
  <c r="F1758" i="6"/>
  <c r="E1759" i="6"/>
  <c r="F1759" i="6"/>
  <c r="E1760" i="6"/>
  <c r="F1760" i="6"/>
  <c r="E1761" i="6"/>
  <c r="F1761" i="6"/>
  <c r="E1762" i="6"/>
  <c r="F1762" i="6"/>
  <c r="E1763" i="6"/>
  <c r="F1763" i="6"/>
  <c r="E1764" i="6"/>
  <c r="F1764" i="6"/>
  <c r="E1765" i="6"/>
  <c r="F1765" i="6"/>
  <c r="E1766" i="6"/>
  <c r="F1766" i="6"/>
  <c r="E1767" i="6"/>
  <c r="F1767" i="6"/>
  <c r="E1768" i="6"/>
  <c r="F1768" i="6"/>
  <c r="E1769" i="6"/>
  <c r="F1769" i="6"/>
  <c r="E1770" i="6"/>
  <c r="F1770" i="6"/>
  <c r="E1771" i="6"/>
  <c r="F1771" i="6"/>
  <c r="E1772" i="6"/>
  <c r="F1772" i="6"/>
  <c r="E1773" i="6"/>
  <c r="F1773" i="6"/>
  <c r="E1774" i="6"/>
  <c r="F1774" i="6"/>
  <c r="E1775" i="6"/>
  <c r="F1775" i="6"/>
  <c r="E1776" i="6"/>
  <c r="F1776" i="6"/>
  <c r="E1777" i="6"/>
  <c r="F1777" i="6"/>
  <c r="E1778" i="6"/>
  <c r="F1778" i="6"/>
  <c r="E1779" i="6"/>
  <c r="F1779" i="6"/>
  <c r="E1780" i="6"/>
  <c r="F1780" i="6"/>
  <c r="E1781" i="6"/>
  <c r="F1781" i="6"/>
  <c r="E1782" i="6"/>
  <c r="F1782" i="6"/>
  <c r="E1783" i="6"/>
  <c r="F1783" i="6"/>
  <c r="E1784" i="6"/>
  <c r="F1784" i="6"/>
  <c r="E1785" i="6"/>
  <c r="F1785" i="6"/>
  <c r="E1786" i="6"/>
  <c r="F1786" i="6"/>
  <c r="E1787" i="6"/>
  <c r="F1787" i="6"/>
  <c r="E1788" i="6"/>
  <c r="F1788" i="6"/>
  <c r="E1789" i="6"/>
  <c r="F1789" i="6"/>
  <c r="E1790" i="6"/>
  <c r="F1790" i="6"/>
  <c r="E1791" i="6"/>
  <c r="F1791" i="6"/>
  <c r="E1792" i="6"/>
  <c r="F1792" i="6"/>
  <c r="E1793" i="6"/>
  <c r="F1793" i="6"/>
  <c r="E1794" i="6"/>
  <c r="F1794" i="6"/>
  <c r="E1795" i="6"/>
  <c r="F1795" i="6"/>
  <c r="E1796" i="6"/>
  <c r="F1796" i="6"/>
  <c r="E1797" i="6"/>
  <c r="F1797" i="6"/>
  <c r="E1798" i="6"/>
  <c r="F1798" i="6"/>
  <c r="E1799" i="6"/>
  <c r="F1799" i="6"/>
  <c r="E1800" i="6"/>
  <c r="F1800" i="6"/>
  <c r="E1801" i="6"/>
  <c r="F1801" i="6"/>
  <c r="E1802" i="6"/>
  <c r="F1802" i="6"/>
  <c r="E1803" i="6"/>
  <c r="F1803" i="6"/>
  <c r="E1804" i="6"/>
  <c r="F1804" i="6"/>
  <c r="E1805" i="6"/>
  <c r="F1805" i="6"/>
  <c r="E1806" i="6"/>
  <c r="F1806" i="6"/>
  <c r="E1807" i="6"/>
  <c r="F1807" i="6"/>
  <c r="E1808" i="6"/>
  <c r="F1808" i="6"/>
  <c r="E1809" i="6"/>
  <c r="F1809" i="6"/>
  <c r="E1810" i="6"/>
  <c r="F1810" i="6"/>
  <c r="E1811" i="6"/>
  <c r="F1811" i="6"/>
  <c r="E1812" i="6"/>
  <c r="F1812" i="6"/>
  <c r="E1813" i="6"/>
  <c r="F1813" i="6"/>
  <c r="E1814" i="6"/>
  <c r="F1814" i="6"/>
  <c r="E1815" i="6"/>
  <c r="F1815" i="6"/>
  <c r="E1816" i="6"/>
  <c r="F1816" i="6"/>
  <c r="E1817" i="6"/>
  <c r="F1817" i="6"/>
  <c r="E1818" i="6"/>
  <c r="F1818" i="6"/>
  <c r="E1819" i="6"/>
  <c r="F1819" i="6"/>
  <c r="E1820" i="6"/>
  <c r="F1820" i="6"/>
  <c r="E1821" i="6"/>
  <c r="F1821" i="6"/>
  <c r="E1822" i="6"/>
  <c r="F1822" i="6"/>
  <c r="E1823" i="6"/>
  <c r="F1823" i="6"/>
  <c r="E1824" i="6"/>
  <c r="F1824" i="6"/>
  <c r="E1825" i="6"/>
  <c r="F1825" i="6"/>
  <c r="E1826" i="6"/>
  <c r="F1826" i="6"/>
  <c r="E1827" i="6"/>
  <c r="F1827" i="6"/>
  <c r="E1828" i="6"/>
  <c r="F1828" i="6"/>
  <c r="E1829" i="6"/>
  <c r="F1829" i="6"/>
  <c r="E1830" i="6"/>
  <c r="F1830" i="6"/>
  <c r="E1831" i="6"/>
  <c r="F1831" i="6"/>
  <c r="E1832" i="6"/>
  <c r="F1832" i="6"/>
  <c r="E1833" i="6"/>
  <c r="F1833" i="6"/>
  <c r="E1834" i="6"/>
  <c r="F1834" i="6"/>
  <c r="E1835" i="6"/>
  <c r="F1835" i="6"/>
  <c r="E1836" i="6"/>
  <c r="F1836" i="6"/>
  <c r="E1837" i="6"/>
  <c r="F1837" i="6"/>
  <c r="E1838" i="6"/>
  <c r="F1838" i="6"/>
  <c r="E1839" i="6"/>
  <c r="F1839" i="6"/>
  <c r="E1840" i="6"/>
  <c r="F1840" i="6"/>
  <c r="E1841" i="6"/>
  <c r="F1841" i="6"/>
  <c r="E1842" i="6"/>
  <c r="F1842" i="6"/>
  <c r="E1843" i="6"/>
  <c r="F1843" i="6"/>
  <c r="E1844" i="6"/>
  <c r="F1844" i="6"/>
  <c r="E1845" i="6"/>
  <c r="F1845" i="6"/>
  <c r="E1846" i="6"/>
  <c r="F1846" i="6"/>
  <c r="E1847" i="6"/>
  <c r="F1847" i="6"/>
  <c r="E1848" i="6"/>
  <c r="F1848" i="6"/>
  <c r="E1849" i="6"/>
  <c r="F1849" i="6"/>
  <c r="E1850" i="6"/>
  <c r="F1850" i="6"/>
  <c r="E1851" i="6"/>
  <c r="F1851" i="6"/>
  <c r="E1852" i="6"/>
  <c r="F1852" i="6"/>
  <c r="E1853" i="6"/>
  <c r="F1853" i="6"/>
  <c r="E1854" i="6"/>
  <c r="F1854" i="6"/>
  <c r="E1855" i="6"/>
  <c r="F1855" i="6"/>
  <c r="E1856" i="6"/>
  <c r="F1856" i="6"/>
  <c r="E1857" i="6"/>
  <c r="F1857" i="6"/>
  <c r="E1858" i="6"/>
  <c r="F1858" i="6"/>
  <c r="E1859" i="6"/>
  <c r="F1859" i="6"/>
  <c r="E1860" i="6"/>
  <c r="F1860" i="6"/>
  <c r="E1861" i="6"/>
  <c r="F1861" i="6"/>
  <c r="E1862" i="6"/>
  <c r="F1862" i="6"/>
  <c r="E1863" i="6"/>
  <c r="F1863" i="6"/>
  <c r="E1864" i="6"/>
  <c r="F1864" i="6"/>
  <c r="E1865" i="6"/>
  <c r="F1865" i="6"/>
  <c r="E1866" i="6"/>
  <c r="F1866" i="6"/>
  <c r="E1867" i="6"/>
  <c r="F1867" i="6"/>
  <c r="E1868" i="6"/>
  <c r="F1868" i="6"/>
  <c r="E1869" i="6"/>
  <c r="F1869" i="6"/>
  <c r="E1870" i="6"/>
  <c r="F1870" i="6"/>
  <c r="E1871" i="6"/>
  <c r="F1871" i="6"/>
  <c r="E1872" i="6"/>
  <c r="F1872" i="6"/>
  <c r="E1873" i="6"/>
  <c r="F1873" i="6"/>
  <c r="E1874" i="6"/>
  <c r="F1874" i="6"/>
  <c r="E1875" i="6"/>
  <c r="F1875" i="6"/>
  <c r="E1876" i="6"/>
  <c r="F1876" i="6"/>
  <c r="E1877" i="6"/>
  <c r="F1877" i="6"/>
  <c r="E1878" i="6"/>
  <c r="F1878" i="6"/>
  <c r="E1879" i="6"/>
  <c r="F1879" i="6"/>
  <c r="E1880" i="6"/>
  <c r="F1880" i="6"/>
  <c r="E1881" i="6"/>
  <c r="F1881" i="6"/>
  <c r="E1882" i="6"/>
  <c r="F1882" i="6"/>
  <c r="E1883" i="6"/>
  <c r="F1883" i="6"/>
  <c r="E1884" i="6"/>
  <c r="F1884" i="6"/>
  <c r="E1885" i="6"/>
  <c r="F1885" i="6"/>
  <c r="E1886" i="6"/>
  <c r="F1886" i="6"/>
  <c r="E1887" i="6"/>
  <c r="F1887" i="6"/>
  <c r="E1888" i="6"/>
  <c r="F1888" i="6"/>
  <c r="E1889" i="6"/>
  <c r="F1889" i="6"/>
  <c r="E1890" i="6"/>
  <c r="F1890" i="6"/>
  <c r="E1891" i="6"/>
  <c r="F1891" i="6"/>
  <c r="E1892" i="6"/>
  <c r="F1892" i="6"/>
  <c r="E1893" i="6"/>
  <c r="F1893" i="6"/>
  <c r="E1894" i="6"/>
  <c r="F1894" i="6"/>
  <c r="E1895" i="6"/>
  <c r="F1895" i="6"/>
  <c r="E1896" i="6"/>
  <c r="F1896" i="6"/>
  <c r="E1897" i="6"/>
  <c r="F1897" i="6"/>
  <c r="E1898" i="6"/>
  <c r="F1898" i="6"/>
  <c r="E1899" i="6"/>
  <c r="F1899" i="6"/>
  <c r="E1900" i="6"/>
  <c r="F1900" i="6"/>
  <c r="E1901" i="6"/>
  <c r="F1901" i="6"/>
  <c r="E1902" i="6"/>
  <c r="F1902" i="6"/>
  <c r="E1903" i="6"/>
  <c r="F1903" i="6"/>
  <c r="E1904" i="6"/>
  <c r="F1904" i="6"/>
  <c r="E1905" i="6"/>
  <c r="F1905" i="6"/>
  <c r="E1906" i="6"/>
  <c r="F1906" i="6"/>
  <c r="E1907" i="6"/>
  <c r="F1907" i="6"/>
  <c r="E1908" i="6"/>
  <c r="F1908" i="6"/>
  <c r="E1909" i="6"/>
  <c r="F1909" i="6"/>
  <c r="E1910" i="6"/>
  <c r="F1910" i="6"/>
  <c r="E1911" i="6"/>
  <c r="F1911" i="6"/>
  <c r="E1912" i="6"/>
  <c r="F1912" i="6"/>
  <c r="E1913" i="6"/>
  <c r="F1913" i="6"/>
  <c r="E1914" i="6"/>
  <c r="F1914" i="6"/>
  <c r="E1915" i="6"/>
  <c r="F1915" i="6"/>
  <c r="E1916" i="6"/>
  <c r="F1916" i="6"/>
  <c r="E1917" i="6"/>
  <c r="F1917" i="6"/>
  <c r="E1918" i="6"/>
  <c r="F1918" i="6"/>
  <c r="E1919" i="6"/>
  <c r="F1919" i="6"/>
  <c r="E1920" i="6"/>
  <c r="F1920" i="6"/>
  <c r="E1921" i="6"/>
  <c r="F1921" i="6"/>
  <c r="E1922" i="6"/>
  <c r="F1922" i="6"/>
  <c r="E1923" i="6"/>
  <c r="F1923" i="6"/>
  <c r="E1924" i="6"/>
  <c r="F1924" i="6"/>
  <c r="E1925" i="6"/>
  <c r="F1925" i="6"/>
  <c r="E1926" i="6"/>
  <c r="F1926" i="6"/>
  <c r="E1927" i="6"/>
  <c r="F1927" i="6"/>
  <c r="E1928" i="6"/>
  <c r="F1928" i="6"/>
  <c r="E1929" i="6"/>
  <c r="F1929" i="6"/>
  <c r="E1930" i="6"/>
  <c r="F1930" i="6"/>
  <c r="E1931" i="6"/>
  <c r="F1931" i="6"/>
  <c r="E1932" i="6"/>
  <c r="F1932" i="6"/>
  <c r="E1933" i="6"/>
  <c r="F1933" i="6"/>
  <c r="E1934" i="6"/>
  <c r="F1934" i="6"/>
  <c r="E1935" i="6"/>
  <c r="F1935" i="6"/>
  <c r="E1936" i="6"/>
  <c r="F1936" i="6"/>
  <c r="E1937" i="6"/>
  <c r="F1937" i="6"/>
  <c r="E1938" i="6"/>
  <c r="F1938" i="6"/>
  <c r="E1939" i="6"/>
  <c r="F1939" i="6"/>
  <c r="E1940" i="6"/>
  <c r="F1940" i="6"/>
  <c r="E1941" i="6"/>
  <c r="F1941" i="6"/>
  <c r="E1942" i="6"/>
  <c r="F1942" i="6"/>
  <c r="E1943" i="6"/>
  <c r="F1943" i="6"/>
  <c r="E1944" i="6"/>
  <c r="F1944" i="6"/>
  <c r="E1945" i="6"/>
  <c r="F1945" i="6"/>
  <c r="E1946" i="6"/>
  <c r="F1946" i="6"/>
  <c r="E1947" i="6"/>
  <c r="F1947" i="6"/>
  <c r="E1948" i="6"/>
  <c r="F1948" i="6"/>
  <c r="E1949" i="6"/>
  <c r="F1949" i="6"/>
  <c r="E1950" i="6"/>
  <c r="F1950" i="6"/>
  <c r="E1951" i="6"/>
  <c r="F1951" i="6"/>
  <c r="E1952" i="6"/>
  <c r="F1952" i="6"/>
  <c r="E1953" i="6"/>
  <c r="F1953" i="6"/>
  <c r="E1954" i="6"/>
  <c r="F1954" i="6"/>
  <c r="E1955" i="6"/>
  <c r="F1955" i="6"/>
  <c r="E1956" i="6"/>
  <c r="F1956" i="6"/>
  <c r="E1957" i="6"/>
  <c r="F1957" i="6"/>
  <c r="E1958" i="6"/>
  <c r="F1958" i="6"/>
  <c r="E1959" i="6"/>
  <c r="F1959" i="6"/>
  <c r="E1960" i="6"/>
  <c r="F1960" i="6"/>
  <c r="E1961" i="6"/>
  <c r="F1961" i="6"/>
  <c r="E1962" i="6"/>
  <c r="F1962" i="6"/>
  <c r="E1963" i="6"/>
  <c r="F1963" i="6"/>
  <c r="E1964" i="6"/>
  <c r="F1964" i="6"/>
  <c r="E1965" i="6"/>
  <c r="F1965" i="6"/>
  <c r="E1966" i="6"/>
  <c r="F1966" i="6"/>
  <c r="E1967" i="6"/>
  <c r="F1967" i="6"/>
  <c r="E1968" i="6"/>
  <c r="F1968" i="6"/>
  <c r="E1969" i="6"/>
  <c r="F1969" i="6"/>
  <c r="E1970" i="6"/>
  <c r="F1970" i="6"/>
  <c r="E1971" i="6"/>
  <c r="F1971" i="6"/>
  <c r="E1972" i="6"/>
  <c r="F1972" i="6"/>
  <c r="E1973" i="6"/>
  <c r="F1973" i="6"/>
  <c r="E1974" i="6"/>
  <c r="F1974" i="6"/>
  <c r="E1975" i="6"/>
  <c r="F1975" i="6"/>
  <c r="E1976" i="6"/>
  <c r="F1976" i="6"/>
  <c r="E1977" i="6"/>
  <c r="F1977" i="6"/>
  <c r="E1978" i="6"/>
  <c r="F1978" i="6"/>
  <c r="E1979" i="6"/>
  <c r="F1979" i="6"/>
  <c r="E1980" i="6"/>
  <c r="F1980" i="6"/>
  <c r="E1981" i="6"/>
  <c r="F1981" i="6"/>
  <c r="E1982" i="6"/>
  <c r="F1982" i="6"/>
  <c r="E1983" i="6"/>
  <c r="F1983" i="6"/>
  <c r="E1984" i="6"/>
  <c r="F1984" i="6"/>
  <c r="E1985" i="6"/>
  <c r="F1985" i="6"/>
  <c r="E1986" i="6"/>
  <c r="F1986" i="6"/>
  <c r="E1987" i="6"/>
  <c r="F1987" i="6"/>
  <c r="E1988" i="6"/>
  <c r="F1988" i="6"/>
  <c r="E1989" i="6"/>
  <c r="F1989" i="6"/>
  <c r="E1990" i="6"/>
  <c r="F1990" i="6"/>
  <c r="E1991" i="6"/>
  <c r="F1991" i="6"/>
  <c r="E1992" i="6"/>
  <c r="F1992" i="6"/>
  <c r="E1993" i="6"/>
  <c r="F1993" i="6"/>
  <c r="E1994" i="6"/>
  <c r="F1994" i="6"/>
  <c r="E1995" i="6"/>
  <c r="F1995" i="6"/>
  <c r="E1996" i="6"/>
  <c r="F1996" i="6"/>
  <c r="E1997" i="6"/>
  <c r="F1997" i="6"/>
  <c r="E1998" i="6"/>
  <c r="F1998" i="6"/>
  <c r="E1999" i="6"/>
  <c r="F1999" i="6"/>
  <c r="E2000" i="6"/>
  <c r="F2000" i="6"/>
  <c r="E5" i="6"/>
  <c r="F5" i="6"/>
  <c r="M712" i="6"/>
  <c r="M713" i="6"/>
  <c r="M714" i="6"/>
  <c r="M715" i="6"/>
  <c r="M716" i="6"/>
  <c r="M717" i="6"/>
  <c r="M718" i="6"/>
  <c r="M719" i="6"/>
  <c r="M720" i="6"/>
  <c r="B717" i="6"/>
  <c r="C717" i="6"/>
  <c r="D717" i="6"/>
  <c r="B718" i="6"/>
  <c r="C718" i="6"/>
  <c r="D718" i="6"/>
  <c r="B719" i="6"/>
  <c r="C719" i="6"/>
  <c r="D719" i="6"/>
  <c r="B720" i="6"/>
  <c r="C720" i="6"/>
  <c r="D720" i="6"/>
  <c r="A719" i="6"/>
  <c r="A720" i="6"/>
  <c r="A718" i="6"/>
  <c r="A980" i="6"/>
  <c r="B980" i="6"/>
  <c r="C980" i="6"/>
  <c r="D980" i="6"/>
  <c r="A981" i="6"/>
  <c r="B981" i="6"/>
  <c r="C981" i="6"/>
  <c r="D981" i="6"/>
  <c r="A982" i="6"/>
  <c r="B982" i="6"/>
  <c r="C982" i="6"/>
  <c r="D982" i="6"/>
  <c r="A983" i="6"/>
  <c r="B983" i="6"/>
  <c r="C983" i="6"/>
  <c r="D983" i="6"/>
  <c r="A984" i="6"/>
  <c r="B984" i="6"/>
  <c r="C984" i="6"/>
  <c r="D984" i="6"/>
  <c r="A985" i="6"/>
  <c r="B985" i="6"/>
  <c r="C985" i="6"/>
  <c r="D985" i="6"/>
  <c r="A986" i="6"/>
  <c r="B986" i="6"/>
  <c r="C986" i="6"/>
  <c r="D986" i="6"/>
  <c r="A987" i="6"/>
  <c r="B987" i="6"/>
  <c r="C987" i="6"/>
  <c r="D987" i="6"/>
  <c r="A988" i="6"/>
  <c r="B988" i="6"/>
  <c r="C988" i="6"/>
  <c r="D988" i="6"/>
  <c r="A989" i="6"/>
  <c r="B989" i="6"/>
  <c r="C989" i="6"/>
  <c r="D989" i="6"/>
  <c r="A990" i="6"/>
  <c r="B990" i="6"/>
  <c r="C990" i="6"/>
  <c r="D990" i="6"/>
  <c r="A991" i="6"/>
  <c r="B991" i="6"/>
  <c r="C991" i="6"/>
  <c r="D991" i="6"/>
  <c r="A992" i="6"/>
  <c r="B992" i="6"/>
  <c r="C992" i="6"/>
  <c r="D992" i="6"/>
  <c r="A6" i="6"/>
  <c r="B6" i="6"/>
  <c r="C6" i="6"/>
  <c r="D6" i="6"/>
  <c r="A7" i="6"/>
  <c r="B7" i="6"/>
  <c r="C7" i="6"/>
  <c r="D7" i="6"/>
  <c r="A8" i="6"/>
  <c r="B8" i="6"/>
  <c r="C8" i="6"/>
  <c r="D8" i="6"/>
  <c r="A9" i="6"/>
  <c r="B9" i="6"/>
  <c r="C9" i="6"/>
  <c r="D9" i="6"/>
  <c r="A10" i="6"/>
  <c r="B10" i="6"/>
  <c r="C10" i="6"/>
  <c r="D10" i="6"/>
  <c r="A11" i="6"/>
  <c r="B11" i="6"/>
  <c r="C11" i="6"/>
  <c r="D11" i="6"/>
  <c r="A12" i="6"/>
  <c r="B12" i="6"/>
  <c r="C12" i="6"/>
  <c r="D12" i="6"/>
  <c r="A13" i="6"/>
  <c r="B13" i="6"/>
  <c r="C13" i="6"/>
  <c r="D13" i="6"/>
  <c r="A14" i="6"/>
  <c r="B14" i="6"/>
  <c r="C14" i="6"/>
  <c r="D14" i="6"/>
  <c r="A15" i="6"/>
  <c r="B15" i="6"/>
  <c r="C15" i="6"/>
  <c r="D15" i="6"/>
  <c r="A16" i="6"/>
  <c r="B16" i="6"/>
  <c r="C16" i="6"/>
  <c r="D16" i="6"/>
  <c r="A17" i="6"/>
  <c r="B17" i="6"/>
  <c r="C17" i="6"/>
  <c r="D17" i="6"/>
  <c r="A18" i="6"/>
  <c r="B18" i="6"/>
  <c r="C18" i="6"/>
  <c r="D18" i="6"/>
  <c r="A19" i="6"/>
  <c r="B19" i="6"/>
  <c r="C19" i="6"/>
  <c r="D19" i="6"/>
  <c r="A20" i="6"/>
  <c r="B20" i="6"/>
  <c r="C20" i="6"/>
  <c r="D20" i="6"/>
  <c r="A21" i="6"/>
  <c r="B21" i="6"/>
  <c r="C21" i="6"/>
  <c r="D21" i="6"/>
  <c r="A22" i="6"/>
  <c r="B22" i="6"/>
  <c r="C22" i="6"/>
  <c r="D22" i="6"/>
  <c r="A23" i="6"/>
  <c r="B23" i="6"/>
  <c r="C23" i="6"/>
  <c r="D23" i="6"/>
  <c r="A24" i="6"/>
  <c r="B24" i="6"/>
  <c r="C24" i="6"/>
  <c r="D24" i="6"/>
  <c r="A25" i="6"/>
  <c r="B25" i="6"/>
  <c r="C25" i="6"/>
  <c r="D25" i="6"/>
  <c r="A26" i="6"/>
  <c r="B26" i="6"/>
  <c r="C26" i="6"/>
  <c r="D26" i="6"/>
  <c r="A27" i="6"/>
  <c r="B27" i="6"/>
  <c r="C27" i="6"/>
  <c r="D27" i="6"/>
  <c r="A28" i="6"/>
  <c r="B28" i="6"/>
  <c r="C28" i="6"/>
  <c r="D28" i="6"/>
  <c r="A29" i="6"/>
  <c r="B29" i="6"/>
  <c r="C29" i="6"/>
  <c r="D29" i="6"/>
  <c r="A30" i="6"/>
  <c r="B30" i="6"/>
  <c r="C30" i="6"/>
  <c r="D30" i="6"/>
  <c r="A31" i="6"/>
  <c r="B31" i="6"/>
  <c r="C31" i="6"/>
  <c r="D31" i="6"/>
  <c r="A32" i="6"/>
  <c r="B32" i="6"/>
  <c r="C32" i="6"/>
  <c r="D32" i="6"/>
  <c r="A33" i="6"/>
  <c r="B33" i="6"/>
  <c r="C33" i="6"/>
  <c r="D33" i="6"/>
  <c r="A34" i="6"/>
  <c r="B34" i="6"/>
  <c r="C34" i="6"/>
  <c r="D34" i="6"/>
  <c r="A35" i="6"/>
  <c r="B35" i="6"/>
  <c r="C35" i="6"/>
  <c r="D35" i="6"/>
  <c r="A36" i="6"/>
  <c r="B36" i="6"/>
  <c r="C36" i="6"/>
  <c r="D36" i="6"/>
  <c r="A37" i="6"/>
  <c r="B37" i="6"/>
  <c r="C37" i="6"/>
  <c r="D37" i="6"/>
  <c r="A38" i="6"/>
  <c r="B38" i="6"/>
  <c r="C38" i="6"/>
  <c r="D38" i="6"/>
  <c r="A39" i="6"/>
  <c r="B39" i="6"/>
  <c r="C39" i="6"/>
  <c r="D39" i="6"/>
  <c r="A40" i="6"/>
  <c r="B40" i="6"/>
  <c r="C40" i="6"/>
  <c r="D40" i="6"/>
  <c r="A41" i="6"/>
  <c r="B41" i="6"/>
  <c r="C41" i="6"/>
  <c r="D41" i="6"/>
  <c r="A42" i="6"/>
  <c r="B42" i="6"/>
  <c r="C42" i="6"/>
  <c r="D42" i="6"/>
  <c r="A43" i="6"/>
  <c r="B43" i="6"/>
  <c r="C43" i="6"/>
  <c r="D43" i="6"/>
  <c r="A44" i="6"/>
  <c r="B44" i="6"/>
  <c r="C44" i="6"/>
  <c r="D44" i="6"/>
  <c r="A45" i="6"/>
  <c r="B45" i="6"/>
  <c r="C45" i="6"/>
  <c r="D45" i="6"/>
  <c r="A46" i="6"/>
  <c r="B46" i="6"/>
  <c r="C46" i="6"/>
  <c r="D46" i="6"/>
  <c r="A47" i="6"/>
  <c r="B47" i="6"/>
  <c r="C47" i="6"/>
  <c r="D47" i="6"/>
  <c r="A48" i="6"/>
  <c r="B48" i="6"/>
  <c r="C48" i="6"/>
  <c r="D48" i="6"/>
  <c r="A49" i="6"/>
  <c r="B49" i="6"/>
  <c r="C49" i="6"/>
  <c r="D49" i="6"/>
  <c r="A50" i="6"/>
  <c r="B50" i="6"/>
  <c r="C50" i="6"/>
  <c r="D50" i="6"/>
  <c r="A51" i="6"/>
  <c r="B51" i="6"/>
  <c r="C51" i="6"/>
  <c r="D51" i="6"/>
  <c r="A52" i="6"/>
  <c r="B52" i="6"/>
  <c r="C52" i="6"/>
  <c r="D52" i="6"/>
  <c r="A53" i="6"/>
  <c r="B53" i="6"/>
  <c r="C53" i="6"/>
  <c r="D53" i="6"/>
  <c r="A54" i="6"/>
  <c r="B54" i="6"/>
  <c r="C54" i="6"/>
  <c r="D54" i="6"/>
  <c r="A55" i="6"/>
  <c r="B55" i="6"/>
  <c r="C55" i="6"/>
  <c r="D55" i="6"/>
  <c r="A56" i="6"/>
  <c r="B56" i="6"/>
  <c r="C56" i="6"/>
  <c r="D56" i="6"/>
  <c r="A57" i="6"/>
  <c r="B57" i="6"/>
  <c r="C57" i="6"/>
  <c r="D57" i="6"/>
  <c r="A58" i="6"/>
  <c r="B58" i="6"/>
  <c r="C58" i="6"/>
  <c r="D58" i="6"/>
  <c r="A59" i="6"/>
  <c r="B59" i="6"/>
  <c r="C59" i="6"/>
  <c r="D59" i="6"/>
  <c r="A60" i="6"/>
  <c r="B60" i="6"/>
  <c r="C60" i="6"/>
  <c r="D60" i="6"/>
  <c r="A61" i="6"/>
  <c r="B61" i="6"/>
  <c r="C61" i="6"/>
  <c r="D61" i="6"/>
  <c r="A62" i="6"/>
  <c r="B62" i="6"/>
  <c r="C62" i="6"/>
  <c r="D62" i="6"/>
  <c r="A63" i="6"/>
  <c r="B63" i="6"/>
  <c r="C63" i="6"/>
  <c r="D63" i="6"/>
  <c r="A64" i="6"/>
  <c r="B64" i="6"/>
  <c r="C64" i="6"/>
  <c r="D64" i="6"/>
  <c r="A65" i="6"/>
  <c r="B65" i="6"/>
  <c r="C65" i="6"/>
  <c r="D65" i="6"/>
  <c r="A66" i="6"/>
  <c r="B66" i="6"/>
  <c r="C66" i="6"/>
  <c r="D66" i="6"/>
  <c r="A67" i="6"/>
  <c r="B67" i="6"/>
  <c r="C67" i="6"/>
  <c r="D67" i="6"/>
  <c r="A68" i="6"/>
  <c r="B68" i="6"/>
  <c r="C68" i="6"/>
  <c r="D68" i="6"/>
  <c r="A69" i="6"/>
  <c r="B69" i="6"/>
  <c r="C69" i="6"/>
  <c r="D69" i="6"/>
  <c r="A70" i="6"/>
  <c r="B70" i="6"/>
  <c r="C70" i="6"/>
  <c r="D70" i="6"/>
  <c r="A71" i="6"/>
  <c r="B71" i="6"/>
  <c r="C71" i="6"/>
  <c r="D71" i="6"/>
  <c r="A72" i="6"/>
  <c r="B72" i="6"/>
  <c r="C72" i="6"/>
  <c r="D72" i="6"/>
  <c r="A73" i="6"/>
  <c r="B73" i="6"/>
  <c r="C73" i="6"/>
  <c r="D73" i="6"/>
  <c r="A74" i="6"/>
  <c r="B74" i="6"/>
  <c r="C74" i="6"/>
  <c r="D74" i="6"/>
  <c r="A75" i="6"/>
  <c r="B75" i="6"/>
  <c r="C75" i="6"/>
  <c r="D75" i="6"/>
  <c r="A76" i="6"/>
  <c r="B76" i="6"/>
  <c r="C76" i="6"/>
  <c r="D76" i="6"/>
  <c r="A77" i="6"/>
  <c r="B77" i="6"/>
  <c r="C77" i="6"/>
  <c r="D77" i="6"/>
  <c r="A78" i="6"/>
  <c r="B78" i="6"/>
  <c r="C78" i="6"/>
  <c r="D78" i="6"/>
  <c r="A79" i="6"/>
  <c r="B79" i="6"/>
  <c r="C79" i="6"/>
  <c r="D79" i="6"/>
  <c r="A80" i="6"/>
  <c r="B80" i="6"/>
  <c r="C80" i="6"/>
  <c r="D80" i="6"/>
  <c r="A81" i="6"/>
  <c r="B81" i="6"/>
  <c r="C81" i="6"/>
  <c r="D81" i="6"/>
  <c r="A82" i="6"/>
  <c r="B82" i="6"/>
  <c r="C82" i="6"/>
  <c r="D82" i="6"/>
  <c r="A83" i="6"/>
  <c r="B83" i="6"/>
  <c r="C83" i="6"/>
  <c r="D83" i="6"/>
  <c r="A84" i="6"/>
  <c r="B84" i="6"/>
  <c r="C84" i="6"/>
  <c r="D84" i="6"/>
  <c r="A85" i="6"/>
  <c r="B85" i="6"/>
  <c r="C85" i="6"/>
  <c r="D85" i="6"/>
  <c r="A86" i="6"/>
  <c r="B86" i="6"/>
  <c r="C86" i="6"/>
  <c r="D86" i="6"/>
  <c r="A87" i="6"/>
  <c r="B87" i="6"/>
  <c r="C87" i="6"/>
  <c r="D87" i="6"/>
  <c r="A88" i="6"/>
  <c r="B88" i="6"/>
  <c r="C88" i="6"/>
  <c r="D88" i="6"/>
  <c r="A89" i="6"/>
  <c r="B89" i="6"/>
  <c r="C89" i="6"/>
  <c r="D89" i="6"/>
  <c r="A90" i="6"/>
  <c r="B90" i="6"/>
  <c r="C90" i="6"/>
  <c r="D90" i="6"/>
  <c r="A91" i="6"/>
  <c r="B91" i="6"/>
  <c r="C91" i="6"/>
  <c r="D91" i="6"/>
  <c r="A92" i="6"/>
  <c r="B92" i="6"/>
  <c r="C92" i="6"/>
  <c r="D92" i="6"/>
  <c r="A93" i="6"/>
  <c r="B93" i="6"/>
  <c r="C93" i="6"/>
  <c r="D93" i="6"/>
  <c r="A94" i="6"/>
  <c r="B94" i="6"/>
  <c r="C94" i="6"/>
  <c r="D94" i="6"/>
  <c r="A95" i="6"/>
  <c r="B95" i="6"/>
  <c r="C95" i="6"/>
  <c r="D95" i="6"/>
  <c r="A96" i="6"/>
  <c r="B96" i="6"/>
  <c r="C96" i="6"/>
  <c r="D96" i="6"/>
  <c r="A97" i="6"/>
  <c r="B97" i="6"/>
  <c r="C97" i="6"/>
  <c r="D97" i="6"/>
  <c r="A98" i="6"/>
  <c r="B98" i="6"/>
  <c r="C98" i="6"/>
  <c r="D98" i="6"/>
  <c r="A99" i="6"/>
  <c r="B99" i="6"/>
  <c r="C99" i="6"/>
  <c r="D99" i="6"/>
  <c r="A100" i="6"/>
  <c r="B100" i="6"/>
  <c r="C100" i="6"/>
  <c r="D100" i="6"/>
  <c r="A101" i="6"/>
  <c r="B101" i="6"/>
  <c r="C101" i="6"/>
  <c r="D101" i="6"/>
  <c r="A102" i="6"/>
  <c r="B102" i="6"/>
  <c r="C102" i="6"/>
  <c r="D102" i="6"/>
  <c r="A103" i="6"/>
  <c r="B103" i="6"/>
  <c r="C103" i="6"/>
  <c r="D103" i="6"/>
  <c r="A104" i="6"/>
  <c r="B104" i="6"/>
  <c r="C104" i="6"/>
  <c r="D104" i="6"/>
  <c r="A105" i="6"/>
  <c r="B105" i="6"/>
  <c r="C105" i="6"/>
  <c r="D105" i="6"/>
  <c r="A106" i="6"/>
  <c r="B106" i="6"/>
  <c r="C106" i="6"/>
  <c r="D106" i="6"/>
  <c r="A107" i="6"/>
  <c r="B107" i="6"/>
  <c r="C107" i="6"/>
  <c r="D107" i="6"/>
  <c r="A108" i="6"/>
  <c r="B108" i="6"/>
  <c r="C108" i="6"/>
  <c r="D108" i="6"/>
  <c r="A109" i="6"/>
  <c r="B109" i="6"/>
  <c r="C109" i="6"/>
  <c r="D109" i="6"/>
  <c r="A110" i="6"/>
  <c r="B110" i="6"/>
  <c r="C110" i="6"/>
  <c r="D110" i="6"/>
  <c r="A111" i="6"/>
  <c r="B111" i="6"/>
  <c r="C111" i="6"/>
  <c r="D111" i="6"/>
  <c r="A112" i="6"/>
  <c r="B112" i="6"/>
  <c r="C112" i="6"/>
  <c r="D112" i="6"/>
  <c r="A113" i="6"/>
  <c r="B113" i="6"/>
  <c r="C113" i="6"/>
  <c r="D113" i="6"/>
  <c r="A114" i="6"/>
  <c r="B114" i="6"/>
  <c r="C114" i="6"/>
  <c r="D114" i="6"/>
  <c r="C115" i="6"/>
  <c r="D115" i="6"/>
  <c r="A116" i="6"/>
  <c r="B116" i="6"/>
  <c r="C116" i="6"/>
  <c r="D116" i="6"/>
  <c r="A117" i="6"/>
  <c r="B117" i="6"/>
  <c r="C117" i="6"/>
  <c r="D117" i="6"/>
  <c r="A118" i="6"/>
  <c r="B118" i="6"/>
  <c r="C118" i="6"/>
  <c r="D118" i="6"/>
  <c r="A119" i="6"/>
  <c r="B119" i="6"/>
  <c r="C119" i="6"/>
  <c r="D119" i="6"/>
  <c r="A120" i="6"/>
  <c r="B120" i="6"/>
  <c r="C120" i="6"/>
  <c r="D120" i="6"/>
  <c r="A121" i="6"/>
  <c r="B121" i="6"/>
  <c r="C121" i="6"/>
  <c r="D121" i="6"/>
  <c r="A122" i="6"/>
  <c r="B122" i="6"/>
  <c r="C122" i="6"/>
  <c r="D122" i="6"/>
  <c r="A123" i="6"/>
  <c r="B123" i="6"/>
  <c r="C123" i="6"/>
  <c r="D123" i="6"/>
  <c r="A124" i="6"/>
  <c r="B124" i="6"/>
  <c r="C124" i="6"/>
  <c r="D124" i="6"/>
  <c r="A125" i="6"/>
  <c r="B125" i="6"/>
  <c r="C125" i="6"/>
  <c r="D125" i="6"/>
  <c r="A126" i="6"/>
  <c r="B126" i="6"/>
  <c r="C126" i="6"/>
  <c r="D126" i="6"/>
  <c r="A127" i="6"/>
  <c r="B127" i="6"/>
  <c r="C127" i="6"/>
  <c r="D127" i="6"/>
  <c r="A128" i="6"/>
  <c r="B128" i="6"/>
  <c r="C128" i="6"/>
  <c r="D128" i="6"/>
  <c r="A129" i="6"/>
  <c r="B129" i="6"/>
  <c r="C129" i="6"/>
  <c r="D129" i="6"/>
  <c r="A130" i="6"/>
  <c r="B130" i="6"/>
  <c r="C130" i="6"/>
  <c r="D130" i="6"/>
  <c r="A131" i="6"/>
  <c r="B131" i="6"/>
  <c r="C131" i="6"/>
  <c r="D131" i="6"/>
  <c r="A132" i="6"/>
  <c r="B132" i="6"/>
  <c r="C132" i="6"/>
  <c r="D132" i="6"/>
  <c r="A133" i="6"/>
  <c r="B133" i="6"/>
  <c r="C133" i="6"/>
  <c r="D133" i="6"/>
  <c r="A134" i="6"/>
  <c r="B134" i="6"/>
  <c r="C134" i="6"/>
  <c r="D134" i="6"/>
  <c r="A135" i="6"/>
  <c r="B135" i="6"/>
  <c r="C135" i="6"/>
  <c r="D135" i="6"/>
  <c r="A136" i="6"/>
  <c r="B136" i="6"/>
  <c r="C136" i="6"/>
  <c r="D136" i="6"/>
  <c r="A137" i="6"/>
  <c r="B137" i="6"/>
  <c r="C137" i="6"/>
  <c r="D137" i="6"/>
  <c r="A138" i="6"/>
  <c r="B138" i="6"/>
  <c r="C138" i="6"/>
  <c r="D138" i="6"/>
  <c r="A139" i="6"/>
  <c r="B139" i="6"/>
  <c r="C139" i="6"/>
  <c r="D139" i="6"/>
  <c r="A140" i="6"/>
  <c r="B140" i="6"/>
  <c r="C140" i="6"/>
  <c r="D140" i="6"/>
  <c r="A141" i="6"/>
  <c r="B141" i="6"/>
  <c r="C141" i="6"/>
  <c r="D141" i="6"/>
  <c r="A142" i="6"/>
  <c r="B142" i="6"/>
  <c r="C142" i="6"/>
  <c r="D142" i="6"/>
  <c r="A143" i="6"/>
  <c r="B143" i="6"/>
  <c r="C143" i="6"/>
  <c r="D143" i="6"/>
  <c r="A144" i="6"/>
  <c r="B144" i="6"/>
  <c r="C144" i="6"/>
  <c r="D144" i="6"/>
  <c r="A145" i="6"/>
  <c r="B145" i="6"/>
  <c r="C145" i="6"/>
  <c r="D145" i="6"/>
  <c r="A146" i="6"/>
  <c r="B146" i="6"/>
  <c r="C146" i="6"/>
  <c r="D146" i="6"/>
  <c r="A147" i="6"/>
  <c r="B147" i="6"/>
  <c r="C147" i="6"/>
  <c r="D147" i="6"/>
  <c r="A148" i="6"/>
  <c r="B148" i="6"/>
  <c r="C148" i="6"/>
  <c r="D148" i="6"/>
  <c r="A149" i="6"/>
  <c r="B149" i="6"/>
  <c r="C149" i="6"/>
  <c r="D149" i="6"/>
  <c r="A150" i="6"/>
  <c r="B150" i="6"/>
  <c r="C150" i="6"/>
  <c r="D150" i="6"/>
  <c r="A151" i="6"/>
  <c r="B151" i="6"/>
  <c r="C151" i="6"/>
  <c r="D151" i="6"/>
  <c r="A152" i="6"/>
  <c r="B152" i="6"/>
  <c r="C152" i="6"/>
  <c r="D152" i="6"/>
  <c r="A153" i="6"/>
  <c r="B153" i="6"/>
  <c r="C153" i="6"/>
  <c r="D153" i="6"/>
  <c r="A154" i="6"/>
  <c r="B154" i="6"/>
  <c r="C154" i="6"/>
  <c r="D154" i="6"/>
  <c r="A155" i="6"/>
  <c r="B155" i="6"/>
  <c r="C155" i="6"/>
  <c r="D155" i="6"/>
  <c r="A156" i="6"/>
  <c r="B156" i="6"/>
  <c r="C156" i="6"/>
  <c r="D156" i="6"/>
  <c r="A157" i="6"/>
  <c r="B157" i="6"/>
  <c r="C157" i="6"/>
  <c r="D157" i="6"/>
  <c r="A158" i="6"/>
  <c r="B158" i="6"/>
  <c r="C158" i="6"/>
  <c r="D158" i="6"/>
  <c r="A159" i="6"/>
  <c r="B159" i="6"/>
  <c r="C159" i="6"/>
  <c r="D159" i="6"/>
  <c r="A160" i="6"/>
  <c r="B160" i="6"/>
  <c r="C160" i="6"/>
  <c r="D160" i="6"/>
  <c r="A161" i="6"/>
  <c r="B161" i="6"/>
  <c r="C161" i="6"/>
  <c r="D161" i="6"/>
  <c r="A162" i="6"/>
  <c r="B162" i="6"/>
  <c r="C162" i="6"/>
  <c r="D162" i="6"/>
  <c r="A163" i="6"/>
  <c r="B163" i="6"/>
  <c r="C163" i="6"/>
  <c r="D163" i="6"/>
  <c r="A164" i="6"/>
  <c r="B164" i="6"/>
  <c r="C164" i="6"/>
  <c r="D164" i="6"/>
  <c r="A165" i="6"/>
  <c r="B165" i="6"/>
  <c r="C165" i="6"/>
  <c r="D165" i="6"/>
  <c r="A166" i="6"/>
  <c r="B166" i="6"/>
  <c r="C166" i="6"/>
  <c r="D166" i="6"/>
  <c r="A167" i="6"/>
  <c r="B167" i="6"/>
  <c r="C167" i="6"/>
  <c r="D167" i="6"/>
  <c r="A168" i="6"/>
  <c r="B168" i="6"/>
  <c r="C168" i="6"/>
  <c r="D168" i="6"/>
  <c r="A169" i="6"/>
  <c r="B169" i="6"/>
  <c r="C169" i="6"/>
  <c r="D169" i="6"/>
  <c r="A170" i="6"/>
  <c r="B170" i="6"/>
  <c r="C170" i="6"/>
  <c r="D170" i="6"/>
  <c r="A171" i="6"/>
  <c r="B171" i="6"/>
  <c r="C171" i="6"/>
  <c r="D171" i="6"/>
  <c r="A172" i="6"/>
  <c r="B172" i="6"/>
  <c r="C172" i="6"/>
  <c r="D172" i="6"/>
  <c r="A173" i="6"/>
  <c r="B173" i="6"/>
  <c r="C173" i="6"/>
  <c r="D173" i="6"/>
  <c r="A174" i="6"/>
  <c r="B174" i="6"/>
  <c r="C174" i="6"/>
  <c r="D174" i="6"/>
  <c r="A175" i="6"/>
  <c r="B175" i="6"/>
  <c r="C175" i="6"/>
  <c r="D175" i="6"/>
  <c r="A176" i="6"/>
  <c r="B176" i="6"/>
  <c r="C176" i="6"/>
  <c r="D176" i="6"/>
  <c r="A177" i="6"/>
  <c r="B177" i="6"/>
  <c r="C177" i="6"/>
  <c r="D177" i="6"/>
  <c r="A178" i="6"/>
  <c r="B178" i="6"/>
  <c r="C178" i="6"/>
  <c r="D178" i="6"/>
  <c r="A179" i="6"/>
  <c r="B179" i="6"/>
  <c r="C179" i="6"/>
  <c r="D179" i="6"/>
  <c r="A180" i="6"/>
  <c r="B180" i="6"/>
  <c r="C180" i="6"/>
  <c r="D180" i="6"/>
  <c r="A181" i="6"/>
  <c r="B181" i="6"/>
  <c r="C181" i="6"/>
  <c r="D181" i="6"/>
  <c r="A182" i="6"/>
  <c r="B182" i="6"/>
  <c r="C182" i="6"/>
  <c r="D182" i="6"/>
  <c r="A183" i="6"/>
  <c r="B183" i="6"/>
  <c r="C183" i="6"/>
  <c r="D183" i="6"/>
  <c r="A184" i="6"/>
  <c r="B184" i="6"/>
  <c r="C184" i="6"/>
  <c r="D184" i="6"/>
  <c r="A185" i="6"/>
  <c r="B185" i="6"/>
  <c r="C185" i="6"/>
  <c r="D185" i="6"/>
  <c r="A186" i="6"/>
  <c r="B186" i="6"/>
  <c r="C186" i="6"/>
  <c r="D186" i="6"/>
  <c r="A187" i="6"/>
  <c r="B187" i="6"/>
  <c r="C187" i="6"/>
  <c r="D187" i="6"/>
  <c r="A188" i="6"/>
  <c r="B188" i="6"/>
  <c r="C188" i="6"/>
  <c r="D188" i="6"/>
  <c r="A189" i="6"/>
  <c r="B189" i="6"/>
  <c r="C189" i="6"/>
  <c r="D189" i="6"/>
  <c r="A190" i="6"/>
  <c r="B190" i="6"/>
  <c r="C190" i="6"/>
  <c r="D190" i="6"/>
  <c r="A191" i="6"/>
  <c r="B191" i="6"/>
  <c r="C191" i="6"/>
  <c r="D191" i="6"/>
  <c r="A192" i="6"/>
  <c r="B192" i="6"/>
  <c r="C192" i="6"/>
  <c r="D192" i="6"/>
  <c r="A193" i="6"/>
  <c r="B193" i="6"/>
  <c r="C193" i="6"/>
  <c r="D193" i="6"/>
  <c r="A194" i="6"/>
  <c r="B194" i="6"/>
  <c r="C194" i="6"/>
  <c r="D194" i="6"/>
  <c r="A195" i="6"/>
  <c r="B195" i="6"/>
  <c r="C195" i="6"/>
  <c r="D195" i="6"/>
  <c r="A196" i="6"/>
  <c r="B196" i="6"/>
  <c r="C196" i="6"/>
  <c r="D196" i="6"/>
  <c r="A197" i="6"/>
  <c r="B197" i="6"/>
  <c r="C197" i="6"/>
  <c r="D197" i="6"/>
  <c r="A198" i="6"/>
  <c r="B198" i="6"/>
  <c r="C198" i="6"/>
  <c r="D198" i="6"/>
  <c r="A199" i="6"/>
  <c r="B199" i="6"/>
  <c r="C199" i="6"/>
  <c r="D199" i="6"/>
  <c r="A200" i="6"/>
  <c r="B200" i="6"/>
  <c r="C200" i="6"/>
  <c r="D200" i="6"/>
  <c r="A201" i="6"/>
  <c r="B201" i="6"/>
  <c r="C201" i="6"/>
  <c r="D201" i="6"/>
  <c r="A202" i="6"/>
  <c r="B202" i="6"/>
  <c r="C202" i="6"/>
  <c r="D202" i="6"/>
  <c r="A203" i="6"/>
  <c r="B203" i="6"/>
  <c r="C203" i="6"/>
  <c r="D203" i="6"/>
  <c r="A204" i="6"/>
  <c r="B204" i="6"/>
  <c r="C204" i="6"/>
  <c r="D204" i="6"/>
  <c r="A205" i="6"/>
  <c r="B205" i="6"/>
  <c r="C205" i="6"/>
  <c r="D205" i="6"/>
  <c r="A206" i="6"/>
  <c r="B206" i="6"/>
  <c r="C206" i="6"/>
  <c r="D206" i="6"/>
  <c r="A207" i="6"/>
  <c r="B207" i="6"/>
  <c r="C207" i="6"/>
  <c r="D207" i="6"/>
  <c r="A208" i="6"/>
  <c r="B208" i="6"/>
  <c r="C208" i="6"/>
  <c r="D208" i="6"/>
  <c r="A209" i="6"/>
  <c r="B209" i="6"/>
  <c r="C209" i="6"/>
  <c r="D209" i="6"/>
  <c r="A210" i="6"/>
  <c r="B210" i="6"/>
  <c r="C210" i="6"/>
  <c r="D210" i="6"/>
  <c r="A211" i="6"/>
  <c r="B211" i="6"/>
  <c r="C211" i="6"/>
  <c r="D211" i="6"/>
  <c r="A212" i="6"/>
  <c r="B212" i="6"/>
  <c r="C212" i="6"/>
  <c r="D212" i="6"/>
  <c r="A213" i="6"/>
  <c r="B213" i="6"/>
  <c r="C213" i="6"/>
  <c r="D213" i="6"/>
  <c r="A214" i="6"/>
  <c r="B214" i="6"/>
  <c r="C214" i="6"/>
  <c r="D214" i="6"/>
  <c r="A215" i="6"/>
  <c r="B215" i="6"/>
  <c r="C215" i="6"/>
  <c r="D215" i="6"/>
  <c r="A216" i="6"/>
  <c r="B216" i="6"/>
  <c r="C216" i="6"/>
  <c r="D216" i="6"/>
  <c r="A217" i="6"/>
  <c r="B217" i="6"/>
  <c r="C217" i="6"/>
  <c r="D217" i="6"/>
  <c r="A218" i="6"/>
  <c r="B218" i="6"/>
  <c r="C218" i="6"/>
  <c r="D218" i="6"/>
  <c r="A219" i="6"/>
  <c r="B219" i="6"/>
  <c r="C219" i="6"/>
  <c r="D219" i="6"/>
  <c r="A220" i="6"/>
  <c r="B220" i="6"/>
  <c r="C220" i="6"/>
  <c r="D220" i="6"/>
  <c r="A221" i="6"/>
  <c r="B221" i="6"/>
  <c r="C221" i="6"/>
  <c r="D221" i="6"/>
  <c r="A222" i="6"/>
  <c r="B222" i="6"/>
  <c r="C222" i="6"/>
  <c r="D222" i="6"/>
  <c r="A223" i="6"/>
  <c r="B223" i="6"/>
  <c r="C223" i="6"/>
  <c r="D223" i="6"/>
  <c r="A224" i="6"/>
  <c r="B224" i="6"/>
  <c r="C224" i="6"/>
  <c r="D224" i="6"/>
  <c r="A225" i="6"/>
  <c r="B225" i="6"/>
  <c r="C225" i="6"/>
  <c r="D225" i="6"/>
  <c r="A226" i="6"/>
  <c r="B226" i="6"/>
  <c r="C226" i="6"/>
  <c r="D226" i="6"/>
  <c r="A227" i="6"/>
  <c r="B227" i="6"/>
  <c r="C227" i="6"/>
  <c r="D227" i="6"/>
  <c r="A228" i="6"/>
  <c r="B228" i="6"/>
  <c r="C228" i="6"/>
  <c r="D228" i="6"/>
  <c r="A229" i="6"/>
  <c r="B229" i="6"/>
  <c r="C229" i="6"/>
  <c r="D229" i="6"/>
  <c r="A230" i="6"/>
  <c r="B230" i="6"/>
  <c r="C230" i="6"/>
  <c r="D230" i="6"/>
  <c r="A231" i="6"/>
  <c r="B231" i="6"/>
  <c r="C231" i="6"/>
  <c r="D231" i="6"/>
  <c r="A232" i="6"/>
  <c r="B232" i="6"/>
  <c r="C232" i="6"/>
  <c r="D232" i="6"/>
  <c r="A233" i="6"/>
  <c r="B233" i="6"/>
  <c r="C233" i="6"/>
  <c r="D233" i="6"/>
  <c r="A234" i="6"/>
  <c r="B234" i="6"/>
  <c r="C234" i="6"/>
  <c r="D234" i="6"/>
  <c r="A235" i="6"/>
  <c r="B235" i="6"/>
  <c r="C235" i="6"/>
  <c r="D235" i="6"/>
  <c r="A236" i="6"/>
  <c r="B236" i="6"/>
  <c r="C236" i="6"/>
  <c r="D236" i="6"/>
  <c r="A237" i="6"/>
  <c r="B237" i="6"/>
  <c r="C237" i="6"/>
  <c r="D237" i="6"/>
  <c r="A238" i="6"/>
  <c r="B238" i="6"/>
  <c r="C238" i="6"/>
  <c r="D238" i="6"/>
  <c r="A239" i="6"/>
  <c r="B239" i="6"/>
  <c r="C239" i="6"/>
  <c r="D239" i="6"/>
  <c r="A240" i="6"/>
  <c r="B240" i="6"/>
  <c r="C240" i="6"/>
  <c r="D240" i="6"/>
  <c r="A241" i="6"/>
  <c r="B241" i="6"/>
  <c r="C241" i="6"/>
  <c r="D241" i="6"/>
  <c r="A242" i="6"/>
  <c r="B242" i="6"/>
  <c r="C242" i="6"/>
  <c r="D242" i="6"/>
  <c r="A243" i="6"/>
  <c r="B243" i="6"/>
  <c r="C243" i="6"/>
  <c r="D243" i="6"/>
  <c r="A244" i="6"/>
  <c r="B244" i="6"/>
  <c r="C244" i="6"/>
  <c r="D244" i="6"/>
  <c r="A245" i="6"/>
  <c r="B245" i="6"/>
  <c r="C245" i="6"/>
  <c r="D245" i="6"/>
  <c r="A246" i="6"/>
  <c r="B246" i="6"/>
  <c r="C246" i="6"/>
  <c r="D246" i="6"/>
  <c r="A247" i="6"/>
  <c r="B247" i="6"/>
  <c r="C247" i="6"/>
  <c r="D247" i="6"/>
  <c r="A248" i="6"/>
  <c r="B248" i="6"/>
  <c r="C248" i="6"/>
  <c r="D248" i="6"/>
  <c r="A249" i="6"/>
  <c r="B249" i="6"/>
  <c r="C249" i="6"/>
  <c r="D249" i="6"/>
  <c r="A250" i="6"/>
  <c r="B250" i="6"/>
  <c r="C250" i="6"/>
  <c r="D250" i="6"/>
  <c r="A251" i="6"/>
  <c r="B251" i="6"/>
  <c r="C251" i="6"/>
  <c r="D251" i="6"/>
  <c r="A252" i="6"/>
  <c r="B252" i="6"/>
  <c r="C252" i="6"/>
  <c r="D252" i="6"/>
  <c r="A253" i="6"/>
  <c r="B253" i="6"/>
  <c r="C253" i="6"/>
  <c r="D253" i="6"/>
  <c r="A254" i="6"/>
  <c r="B254" i="6"/>
  <c r="C254" i="6"/>
  <c r="D254" i="6"/>
  <c r="A255" i="6"/>
  <c r="B255" i="6"/>
  <c r="C255" i="6"/>
  <c r="D255" i="6"/>
  <c r="A256" i="6"/>
  <c r="B256" i="6"/>
  <c r="C256" i="6"/>
  <c r="D256" i="6"/>
  <c r="A257" i="6"/>
  <c r="B257" i="6"/>
  <c r="C257" i="6"/>
  <c r="D257" i="6"/>
  <c r="A258" i="6"/>
  <c r="B258" i="6"/>
  <c r="C258" i="6"/>
  <c r="D258" i="6"/>
  <c r="A259" i="6"/>
  <c r="B259" i="6"/>
  <c r="C259" i="6"/>
  <c r="D259" i="6"/>
  <c r="A260" i="6"/>
  <c r="B260" i="6"/>
  <c r="C260" i="6"/>
  <c r="D260" i="6"/>
  <c r="A261" i="6"/>
  <c r="B261" i="6"/>
  <c r="C261" i="6"/>
  <c r="D261" i="6"/>
  <c r="A262" i="6"/>
  <c r="B262" i="6"/>
  <c r="C262" i="6"/>
  <c r="D262" i="6"/>
  <c r="A263" i="6"/>
  <c r="B263" i="6"/>
  <c r="C263" i="6"/>
  <c r="D263" i="6"/>
  <c r="A264" i="6"/>
  <c r="B264" i="6"/>
  <c r="C264" i="6"/>
  <c r="D264" i="6"/>
  <c r="A265" i="6"/>
  <c r="B265" i="6"/>
  <c r="C265" i="6"/>
  <c r="D265" i="6"/>
  <c r="A266" i="6"/>
  <c r="B266" i="6"/>
  <c r="C266" i="6"/>
  <c r="D266" i="6"/>
  <c r="A267" i="6"/>
  <c r="B267" i="6"/>
  <c r="C267" i="6"/>
  <c r="D267" i="6"/>
  <c r="A268" i="6"/>
  <c r="B268" i="6"/>
  <c r="C268" i="6"/>
  <c r="D268" i="6"/>
  <c r="A269" i="6"/>
  <c r="B269" i="6"/>
  <c r="C269" i="6"/>
  <c r="D269" i="6"/>
  <c r="A270" i="6"/>
  <c r="B270" i="6"/>
  <c r="C270" i="6"/>
  <c r="D270" i="6"/>
  <c r="A271" i="6"/>
  <c r="B271" i="6"/>
  <c r="C271" i="6"/>
  <c r="D271" i="6"/>
  <c r="A272" i="6"/>
  <c r="B272" i="6"/>
  <c r="C272" i="6"/>
  <c r="D272" i="6"/>
  <c r="A273" i="6"/>
  <c r="B273" i="6"/>
  <c r="C273" i="6"/>
  <c r="D273" i="6"/>
  <c r="A274" i="6"/>
  <c r="B274" i="6"/>
  <c r="C274" i="6"/>
  <c r="D274" i="6"/>
  <c r="A275" i="6"/>
  <c r="B275" i="6"/>
  <c r="C275" i="6"/>
  <c r="D275" i="6"/>
  <c r="A276" i="6"/>
  <c r="B276" i="6"/>
  <c r="C276" i="6"/>
  <c r="D276" i="6"/>
  <c r="A277" i="6"/>
  <c r="B277" i="6"/>
  <c r="C277" i="6"/>
  <c r="D277" i="6"/>
  <c r="A278" i="6"/>
  <c r="B278" i="6"/>
  <c r="C278" i="6"/>
  <c r="D278" i="6"/>
  <c r="A279" i="6"/>
  <c r="B279" i="6"/>
  <c r="C279" i="6"/>
  <c r="D279" i="6"/>
  <c r="A280" i="6"/>
  <c r="B280" i="6"/>
  <c r="C280" i="6"/>
  <c r="D280" i="6"/>
  <c r="A281" i="6"/>
  <c r="B281" i="6"/>
  <c r="C281" i="6"/>
  <c r="D281" i="6"/>
  <c r="A282" i="6"/>
  <c r="B282" i="6"/>
  <c r="C282" i="6"/>
  <c r="D282" i="6"/>
  <c r="A283" i="6"/>
  <c r="B283" i="6"/>
  <c r="C283" i="6"/>
  <c r="D283" i="6"/>
  <c r="A284" i="6"/>
  <c r="B284" i="6"/>
  <c r="C284" i="6"/>
  <c r="D284" i="6"/>
  <c r="A285" i="6"/>
  <c r="B285" i="6"/>
  <c r="C285" i="6"/>
  <c r="D285" i="6"/>
  <c r="A286" i="6"/>
  <c r="B286" i="6"/>
  <c r="C286" i="6"/>
  <c r="D286" i="6"/>
  <c r="A287" i="6"/>
  <c r="B287" i="6"/>
  <c r="C287" i="6"/>
  <c r="D287" i="6"/>
  <c r="A288" i="6"/>
  <c r="B288" i="6"/>
  <c r="C288" i="6"/>
  <c r="D288" i="6"/>
  <c r="A289" i="6"/>
  <c r="B289" i="6"/>
  <c r="C289" i="6"/>
  <c r="D289" i="6"/>
  <c r="A290" i="6"/>
  <c r="B290" i="6"/>
  <c r="C290" i="6"/>
  <c r="D290" i="6"/>
  <c r="A291" i="6"/>
  <c r="B291" i="6"/>
  <c r="C291" i="6"/>
  <c r="D291" i="6"/>
  <c r="A292" i="6"/>
  <c r="B292" i="6"/>
  <c r="C292" i="6"/>
  <c r="D292" i="6"/>
  <c r="A293" i="6"/>
  <c r="B293" i="6"/>
  <c r="C293" i="6"/>
  <c r="D293" i="6"/>
  <c r="A294" i="6"/>
  <c r="B294" i="6"/>
  <c r="C294" i="6"/>
  <c r="D294" i="6"/>
  <c r="A295" i="6"/>
  <c r="B295" i="6"/>
  <c r="C295" i="6"/>
  <c r="D295" i="6"/>
  <c r="A296" i="6"/>
  <c r="B296" i="6"/>
  <c r="C296" i="6"/>
  <c r="D296" i="6"/>
  <c r="A297" i="6"/>
  <c r="B297" i="6"/>
  <c r="C297" i="6"/>
  <c r="D297" i="6"/>
  <c r="A298" i="6"/>
  <c r="B298" i="6"/>
  <c r="C298" i="6"/>
  <c r="D298" i="6"/>
  <c r="A299" i="6"/>
  <c r="B299" i="6"/>
  <c r="C299" i="6"/>
  <c r="D299" i="6"/>
  <c r="A300" i="6"/>
  <c r="B300" i="6"/>
  <c r="C300" i="6"/>
  <c r="D300" i="6"/>
  <c r="A301" i="6"/>
  <c r="B301" i="6"/>
  <c r="C301" i="6"/>
  <c r="D301" i="6"/>
  <c r="A302" i="6"/>
  <c r="B302" i="6"/>
  <c r="C302" i="6"/>
  <c r="D302" i="6"/>
  <c r="A303" i="6"/>
  <c r="B303" i="6"/>
  <c r="C303" i="6"/>
  <c r="D303" i="6"/>
  <c r="A304" i="6"/>
  <c r="B304" i="6"/>
  <c r="C304" i="6"/>
  <c r="D304" i="6"/>
  <c r="A305" i="6"/>
  <c r="B305" i="6"/>
  <c r="C305" i="6"/>
  <c r="D305" i="6"/>
  <c r="A306" i="6"/>
  <c r="B306" i="6"/>
  <c r="C306" i="6"/>
  <c r="D306" i="6"/>
  <c r="A307" i="6"/>
  <c r="B307" i="6"/>
  <c r="C307" i="6"/>
  <c r="D307" i="6"/>
  <c r="A308" i="6"/>
  <c r="B308" i="6"/>
  <c r="C308" i="6"/>
  <c r="D308" i="6"/>
  <c r="A309" i="6"/>
  <c r="B309" i="6"/>
  <c r="C309" i="6"/>
  <c r="D309" i="6"/>
  <c r="A310" i="6"/>
  <c r="B310" i="6"/>
  <c r="C310" i="6"/>
  <c r="D310" i="6"/>
  <c r="A311" i="6"/>
  <c r="B311" i="6"/>
  <c r="C311" i="6"/>
  <c r="D311" i="6"/>
  <c r="A312" i="6"/>
  <c r="B312" i="6"/>
  <c r="C312" i="6"/>
  <c r="D312" i="6"/>
  <c r="A313" i="6"/>
  <c r="B313" i="6"/>
  <c r="C313" i="6"/>
  <c r="D313" i="6"/>
  <c r="A314" i="6"/>
  <c r="B314" i="6"/>
  <c r="C314" i="6"/>
  <c r="D314" i="6"/>
  <c r="A315" i="6"/>
  <c r="B315" i="6"/>
  <c r="C315" i="6"/>
  <c r="D315" i="6"/>
  <c r="A316" i="6"/>
  <c r="B316" i="6"/>
  <c r="C316" i="6"/>
  <c r="D316" i="6"/>
  <c r="A317" i="6"/>
  <c r="B317" i="6"/>
  <c r="C317" i="6"/>
  <c r="D317" i="6"/>
  <c r="A318" i="6"/>
  <c r="B318" i="6"/>
  <c r="C318" i="6"/>
  <c r="D318" i="6"/>
  <c r="A319" i="6"/>
  <c r="B319" i="6"/>
  <c r="C319" i="6"/>
  <c r="D319" i="6"/>
  <c r="A320" i="6"/>
  <c r="B320" i="6"/>
  <c r="C320" i="6"/>
  <c r="D320" i="6"/>
  <c r="A321" i="6"/>
  <c r="B321" i="6"/>
  <c r="C321" i="6"/>
  <c r="D321" i="6"/>
  <c r="A322" i="6"/>
  <c r="B322" i="6"/>
  <c r="C322" i="6"/>
  <c r="D322" i="6"/>
  <c r="A323" i="6"/>
  <c r="B323" i="6"/>
  <c r="C323" i="6"/>
  <c r="D323" i="6"/>
  <c r="A324" i="6"/>
  <c r="B324" i="6"/>
  <c r="C324" i="6"/>
  <c r="D324" i="6"/>
  <c r="A325" i="6"/>
  <c r="B325" i="6"/>
  <c r="C325" i="6"/>
  <c r="D325" i="6"/>
  <c r="A326" i="6"/>
  <c r="B326" i="6"/>
  <c r="C326" i="6"/>
  <c r="D326" i="6"/>
  <c r="A327" i="6"/>
  <c r="B327" i="6"/>
  <c r="C327" i="6"/>
  <c r="D327" i="6"/>
  <c r="A328" i="6"/>
  <c r="B328" i="6"/>
  <c r="C328" i="6"/>
  <c r="D328" i="6"/>
  <c r="A329" i="6"/>
  <c r="B329" i="6"/>
  <c r="C329" i="6"/>
  <c r="D329" i="6"/>
  <c r="A330" i="6"/>
  <c r="B330" i="6"/>
  <c r="C330" i="6"/>
  <c r="D330" i="6"/>
  <c r="A331" i="6"/>
  <c r="B331" i="6"/>
  <c r="C331" i="6"/>
  <c r="D331" i="6"/>
  <c r="A332" i="6"/>
  <c r="B332" i="6"/>
  <c r="C332" i="6"/>
  <c r="D332" i="6"/>
  <c r="A333" i="6"/>
  <c r="B333" i="6"/>
  <c r="C333" i="6"/>
  <c r="D333" i="6"/>
  <c r="A334" i="6"/>
  <c r="B334" i="6"/>
  <c r="C334" i="6"/>
  <c r="D334" i="6"/>
  <c r="A335" i="6"/>
  <c r="B335" i="6"/>
  <c r="C335" i="6"/>
  <c r="D335" i="6"/>
  <c r="A336" i="6"/>
  <c r="B336" i="6"/>
  <c r="C336" i="6"/>
  <c r="D336" i="6"/>
  <c r="A337" i="6"/>
  <c r="B337" i="6"/>
  <c r="C337" i="6"/>
  <c r="D337" i="6"/>
  <c r="A338" i="6"/>
  <c r="B338" i="6"/>
  <c r="C338" i="6"/>
  <c r="D338" i="6"/>
  <c r="A339" i="6"/>
  <c r="B339" i="6"/>
  <c r="C339" i="6"/>
  <c r="D339" i="6"/>
  <c r="A340" i="6"/>
  <c r="B340" i="6"/>
  <c r="C340" i="6"/>
  <c r="D340" i="6"/>
  <c r="A341" i="6"/>
  <c r="B341" i="6"/>
  <c r="C341" i="6"/>
  <c r="D341" i="6"/>
  <c r="A342" i="6"/>
  <c r="B342" i="6"/>
  <c r="C342" i="6"/>
  <c r="D342" i="6"/>
  <c r="A343" i="6"/>
  <c r="B343" i="6"/>
  <c r="C343" i="6"/>
  <c r="D343" i="6"/>
  <c r="A344" i="6"/>
  <c r="B344" i="6"/>
  <c r="C344" i="6"/>
  <c r="D344" i="6"/>
  <c r="A345" i="6"/>
  <c r="B345" i="6"/>
  <c r="C345" i="6"/>
  <c r="D345" i="6"/>
  <c r="A346" i="6"/>
  <c r="B346" i="6"/>
  <c r="C346" i="6"/>
  <c r="D346" i="6"/>
  <c r="A347" i="6"/>
  <c r="B347" i="6"/>
  <c r="C347" i="6"/>
  <c r="D347" i="6"/>
  <c r="A348" i="6"/>
  <c r="B348" i="6"/>
  <c r="C348" i="6"/>
  <c r="D348" i="6"/>
  <c r="A349" i="6"/>
  <c r="B349" i="6"/>
  <c r="C349" i="6"/>
  <c r="D349" i="6"/>
  <c r="A350" i="6"/>
  <c r="B350" i="6"/>
  <c r="C350" i="6"/>
  <c r="D350" i="6"/>
  <c r="A351" i="6"/>
  <c r="B351" i="6"/>
  <c r="C351" i="6"/>
  <c r="D351" i="6"/>
  <c r="A352" i="6"/>
  <c r="B352" i="6"/>
  <c r="C352" i="6"/>
  <c r="D352" i="6"/>
  <c r="A353" i="6"/>
  <c r="B353" i="6"/>
  <c r="C353" i="6"/>
  <c r="D353" i="6"/>
  <c r="A354" i="6"/>
  <c r="B354" i="6"/>
  <c r="C354" i="6"/>
  <c r="D354" i="6"/>
  <c r="A355" i="6"/>
  <c r="B355" i="6"/>
  <c r="C355" i="6"/>
  <c r="D355" i="6"/>
  <c r="A356" i="6"/>
  <c r="B356" i="6"/>
  <c r="C356" i="6"/>
  <c r="D356" i="6"/>
  <c r="A357" i="6"/>
  <c r="B357" i="6"/>
  <c r="C357" i="6"/>
  <c r="D357" i="6"/>
  <c r="A358" i="6"/>
  <c r="B358" i="6"/>
  <c r="C358" i="6"/>
  <c r="D358" i="6"/>
  <c r="A359" i="6"/>
  <c r="B359" i="6"/>
  <c r="C359" i="6"/>
  <c r="D359" i="6"/>
  <c r="A360" i="6"/>
  <c r="B360" i="6"/>
  <c r="C360" i="6"/>
  <c r="D360" i="6"/>
  <c r="A361" i="6"/>
  <c r="B361" i="6"/>
  <c r="C361" i="6"/>
  <c r="D361" i="6"/>
  <c r="A362" i="6"/>
  <c r="B362" i="6"/>
  <c r="C362" i="6"/>
  <c r="D362" i="6"/>
  <c r="A363" i="6"/>
  <c r="B363" i="6"/>
  <c r="C363" i="6"/>
  <c r="D363" i="6"/>
  <c r="A364" i="6"/>
  <c r="B364" i="6"/>
  <c r="C364" i="6"/>
  <c r="D364" i="6"/>
  <c r="A365" i="6"/>
  <c r="B365" i="6"/>
  <c r="C365" i="6"/>
  <c r="D365" i="6"/>
  <c r="A366" i="6"/>
  <c r="B366" i="6"/>
  <c r="C366" i="6"/>
  <c r="D366" i="6"/>
  <c r="A367" i="6"/>
  <c r="B367" i="6"/>
  <c r="C367" i="6"/>
  <c r="D367" i="6"/>
  <c r="A368" i="6"/>
  <c r="B368" i="6"/>
  <c r="C368" i="6"/>
  <c r="D368" i="6"/>
  <c r="A369" i="6"/>
  <c r="B369" i="6"/>
  <c r="C369" i="6"/>
  <c r="D369" i="6"/>
  <c r="A370" i="6"/>
  <c r="B370" i="6"/>
  <c r="C370" i="6"/>
  <c r="D370" i="6"/>
  <c r="A371" i="6"/>
  <c r="B371" i="6"/>
  <c r="C371" i="6"/>
  <c r="D371" i="6"/>
  <c r="A372" i="6"/>
  <c r="B372" i="6"/>
  <c r="C372" i="6"/>
  <c r="D372" i="6"/>
  <c r="A373" i="6"/>
  <c r="B373" i="6"/>
  <c r="C373" i="6"/>
  <c r="D373" i="6"/>
  <c r="A374" i="6"/>
  <c r="B374" i="6"/>
  <c r="C374" i="6"/>
  <c r="D374" i="6"/>
  <c r="A375" i="6"/>
  <c r="B375" i="6"/>
  <c r="C375" i="6"/>
  <c r="D375" i="6"/>
  <c r="A376" i="6"/>
  <c r="B376" i="6"/>
  <c r="C376" i="6"/>
  <c r="D376" i="6"/>
  <c r="A377" i="6"/>
  <c r="B377" i="6"/>
  <c r="C377" i="6"/>
  <c r="D377" i="6"/>
  <c r="A378" i="6"/>
  <c r="B378" i="6"/>
  <c r="C378" i="6"/>
  <c r="D378" i="6"/>
  <c r="A379" i="6"/>
  <c r="B379" i="6"/>
  <c r="C379" i="6"/>
  <c r="D379" i="6"/>
  <c r="A380" i="6"/>
  <c r="B380" i="6"/>
  <c r="C380" i="6"/>
  <c r="D380" i="6"/>
  <c r="A381" i="6"/>
  <c r="B381" i="6"/>
  <c r="C381" i="6"/>
  <c r="D381" i="6"/>
  <c r="A382" i="6"/>
  <c r="B382" i="6"/>
  <c r="C382" i="6"/>
  <c r="D382" i="6"/>
  <c r="A383" i="6"/>
  <c r="B383" i="6"/>
  <c r="C383" i="6"/>
  <c r="D383" i="6"/>
  <c r="A384" i="6"/>
  <c r="B384" i="6"/>
  <c r="C384" i="6"/>
  <c r="D384" i="6"/>
  <c r="A385" i="6"/>
  <c r="B385" i="6"/>
  <c r="C385" i="6"/>
  <c r="D385" i="6"/>
  <c r="A386" i="6"/>
  <c r="B386" i="6"/>
  <c r="C386" i="6"/>
  <c r="D386" i="6"/>
  <c r="A387" i="6"/>
  <c r="B387" i="6"/>
  <c r="C387" i="6"/>
  <c r="D387" i="6"/>
  <c r="A388" i="6"/>
  <c r="B388" i="6"/>
  <c r="C388" i="6"/>
  <c r="D388" i="6"/>
  <c r="A389" i="6"/>
  <c r="B389" i="6"/>
  <c r="C389" i="6"/>
  <c r="D389" i="6"/>
  <c r="A390" i="6"/>
  <c r="B390" i="6"/>
  <c r="C390" i="6"/>
  <c r="D390" i="6"/>
  <c r="A391" i="6"/>
  <c r="B391" i="6"/>
  <c r="C391" i="6"/>
  <c r="D391" i="6"/>
  <c r="A392" i="6"/>
  <c r="B392" i="6"/>
  <c r="C392" i="6"/>
  <c r="D392" i="6"/>
  <c r="A393" i="6"/>
  <c r="B393" i="6"/>
  <c r="C393" i="6"/>
  <c r="D393" i="6"/>
  <c r="A394" i="6"/>
  <c r="B394" i="6"/>
  <c r="C394" i="6"/>
  <c r="D394" i="6"/>
  <c r="A395" i="6"/>
  <c r="B395" i="6"/>
  <c r="C395" i="6"/>
  <c r="D395" i="6"/>
  <c r="A396" i="6"/>
  <c r="B396" i="6"/>
  <c r="C396" i="6"/>
  <c r="D396" i="6"/>
  <c r="A397" i="6"/>
  <c r="B397" i="6"/>
  <c r="C397" i="6"/>
  <c r="D397" i="6"/>
  <c r="A398" i="6"/>
  <c r="B398" i="6"/>
  <c r="C398" i="6"/>
  <c r="D398" i="6"/>
  <c r="A399" i="6"/>
  <c r="B399" i="6"/>
  <c r="C399" i="6"/>
  <c r="D399" i="6"/>
  <c r="A400" i="6"/>
  <c r="B400" i="6"/>
  <c r="C400" i="6"/>
  <c r="D400" i="6"/>
  <c r="A401" i="6"/>
  <c r="B401" i="6"/>
  <c r="C401" i="6"/>
  <c r="D401" i="6"/>
  <c r="A402" i="6"/>
  <c r="B402" i="6"/>
  <c r="C402" i="6"/>
  <c r="D402" i="6"/>
  <c r="A403" i="6"/>
  <c r="B403" i="6"/>
  <c r="C403" i="6"/>
  <c r="D403" i="6"/>
  <c r="A404" i="6"/>
  <c r="B404" i="6"/>
  <c r="C404" i="6"/>
  <c r="D404" i="6"/>
  <c r="A405" i="6"/>
  <c r="B405" i="6"/>
  <c r="C405" i="6"/>
  <c r="D405" i="6"/>
  <c r="A406" i="6"/>
  <c r="B406" i="6"/>
  <c r="C406" i="6"/>
  <c r="D406" i="6"/>
  <c r="A407" i="6"/>
  <c r="B407" i="6"/>
  <c r="C407" i="6"/>
  <c r="D407" i="6"/>
  <c r="A408" i="6"/>
  <c r="B408" i="6"/>
  <c r="C408" i="6"/>
  <c r="D408" i="6"/>
  <c r="A409" i="6"/>
  <c r="B409" i="6"/>
  <c r="C409" i="6"/>
  <c r="D409" i="6"/>
  <c r="A410" i="6"/>
  <c r="B410" i="6"/>
  <c r="C410" i="6"/>
  <c r="D410" i="6"/>
  <c r="A411" i="6"/>
  <c r="B411" i="6"/>
  <c r="C411" i="6"/>
  <c r="D411" i="6"/>
  <c r="A412" i="6"/>
  <c r="B412" i="6"/>
  <c r="C412" i="6"/>
  <c r="D412" i="6"/>
  <c r="A413" i="6"/>
  <c r="B413" i="6"/>
  <c r="C413" i="6"/>
  <c r="D413" i="6"/>
  <c r="A414" i="6"/>
  <c r="B414" i="6"/>
  <c r="C414" i="6"/>
  <c r="D414" i="6"/>
  <c r="A415" i="6"/>
  <c r="B415" i="6"/>
  <c r="C415" i="6"/>
  <c r="D415" i="6"/>
  <c r="A416" i="6"/>
  <c r="B416" i="6"/>
  <c r="C416" i="6"/>
  <c r="D416" i="6"/>
  <c r="A417" i="6"/>
  <c r="B417" i="6"/>
  <c r="C417" i="6"/>
  <c r="D417" i="6"/>
  <c r="A418" i="6"/>
  <c r="B418" i="6"/>
  <c r="C418" i="6"/>
  <c r="D418" i="6"/>
  <c r="A419" i="6"/>
  <c r="B419" i="6"/>
  <c r="C419" i="6"/>
  <c r="D419" i="6"/>
  <c r="A420" i="6"/>
  <c r="B420" i="6"/>
  <c r="C420" i="6"/>
  <c r="D420" i="6"/>
  <c r="A421" i="6"/>
  <c r="B421" i="6"/>
  <c r="C421" i="6"/>
  <c r="D421" i="6"/>
  <c r="A422" i="6"/>
  <c r="B422" i="6"/>
  <c r="C422" i="6"/>
  <c r="D422" i="6"/>
  <c r="A423" i="6"/>
  <c r="B423" i="6"/>
  <c r="C423" i="6"/>
  <c r="D423" i="6"/>
  <c r="A424" i="6"/>
  <c r="B424" i="6"/>
  <c r="C424" i="6"/>
  <c r="D424" i="6"/>
  <c r="A425" i="6"/>
  <c r="B425" i="6"/>
  <c r="C425" i="6"/>
  <c r="D425" i="6"/>
  <c r="A426" i="6"/>
  <c r="B426" i="6"/>
  <c r="C426" i="6"/>
  <c r="D426" i="6"/>
  <c r="A427" i="6"/>
  <c r="B427" i="6"/>
  <c r="C427" i="6"/>
  <c r="D427" i="6"/>
  <c r="A428" i="6"/>
  <c r="B428" i="6"/>
  <c r="C428" i="6"/>
  <c r="D428" i="6"/>
  <c r="A429" i="6"/>
  <c r="B429" i="6"/>
  <c r="C429" i="6"/>
  <c r="D429" i="6"/>
  <c r="A430" i="6"/>
  <c r="B430" i="6"/>
  <c r="C430" i="6"/>
  <c r="D430" i="6"/>
  <c r="A431" i="6"/>
  <c r="B431" i="6"/>
  <c r="C431" i="6"/>
  <c r="D431" i="6"/>
  <c r="A432" i="6"/>
  <c r="B432" i="6"/>
  <c r="C432" i="6"/>
  <c r="D432" i="6"/>
  <c r="A433" i="6"/>
  <c r="B433" i="6"/>
  <c r="C433" i="6"/>
  <c r="D433" i="6"/>
  <c r="A434" i="6"/>
  <c r="B434" i="6"/>
  <c r="C434" i="6"/>
  <c r="D434" i="6"/>
  <c r="A435" i="6"/>
  <c r="B435" i="6"/>
  <c r="C435" i="6"/>
  <c r="D435" i="6"/>
  <c r="A436" i="6"/>
  <c r="B436" i="6"/>
  <c r="C436" i="6"/>
  <c r="D436" i="6"/>
  <c r="A437" i="6"/>
  <c r="B437" i="6"/>
  <c r="C437" i="6"/>
  <c r="D437" i="6"/>
  <c r="A438" i="6"/>
  <c r="B438" i="6"/>
  <c r="C438" i="6"/>
  <c r="D438" i="6"/>
  <c r="A439" i="6"/>
  <c r="B439" i="6"/>
  <c r="C439" i="6"/>
  <c r="D439" i="6"/>
  <c r="A440" i="6"/>
  <c r="B440" i="6"/>
  <c r="C440" i="6"/>
  <c r="D440" i="6"/>
  <c r="A441" i="6"/>
  <c r="B441" i="6"/>
  <c r="C441" i="6"/>
  <c r="D441" i="6"/>
  <c r="A442" i="6"/>
  <c r="B442" i="6"/>
  <c r="C442" i="6"/>
  <c r="D442" i="6"/>
  <c r="A443" i="6"/>
  <c r="B443" i="6"/>
  <c r="C443" i="6"/>
  <c r="D443" i="6"/>
  <c r="A444" i="6"/>
  <c r="B444" i="6"/>
  <c r="C444" i="6"/>
  <c r="D444" i="6"/>
  <c r="A445" i="6"/>
  <c r="B445" i="6"/>
  <c r="C445" i="6"/>
  <c r="D445" i="6"/>
  <c r="A446" i="6"/>
  <c r="B446" i="6"/>
  <c r="C446" i="6"/>
  <c r="D446" i="6"/>
  <c r="A447" i="6"/>
  <c r="B447" i="6"/>
  <c r="C447" i="6"/>
  <c r="D447" i="6"/>
  <c r="A448" i="6"/>
  <c r="B448" i="6"/>
  <c r="C448" i="6"/>
  <c r="D448" i="6"/>
  <c r="A449" i="6"/>
  <c r="B449" i="6"/>
  <c r="C449" i="6"/>
  <c r="D449" i="6"/>
  <c r="A450" i="6"/>
  <c r="B450" i="6"/>
  <c r="C450" i="6"/>
  <c r="D450" i="6"/>
  <c r="A451" i="6"/>
  <c r="B451" i="6"/>
  <c r="C451" i="6"/>
  <c r="D451" i="6"/>
  <c r="A452" i="6"/>
  <c r="B452" i="6"/>
  <c r="C452" i="6"/>
  <c r="D452" i="6"/>
  <c r="A453" i="6"/>
  <c r="B453" i="6"/>
  <c r="C453" i="6"/>
  <c r="D453" i="6"/>
  <c r="A454" i="6"/>
  <c r="B454" i="6"/>
  <c r="C454" i="6"/>
  <c r="D454" i="6"/>
  <c r="A455" i="6"/>
  <c r="B455" i="6"/>
  <c r="C455" i="6"/>
  <c r="D455" i="6"/>
  <c r="A456" i="6"/>
  <c r="B456" i="6"/>
  <c r="C456" i="6"/>
  <c r="D456" i="6"/>
  <c r="A457" i="6"/>
  <c r="B457" i="6"/>
  <c r="C457" i="6"/>
  <c r="D457" i="6"/>
  <c r="A458" i="6"/>
  <c r="B458" i="6"/>
  <c r="C458" i="6"/>
  <c r="D458" i="6"/>
  <c r="A459" i="6"/>
  <c r="B459" i="6"/>
  <c r="C459" i="6"/>
  <c r="D459" i="6"/>
  <c r="A460" i="6"/>
  <c r="B460" i="6"/>
  <c r="C460" i="6"/>
  <c r="D460" i="6"/>
  <c r="A461" i="6"/>
  <c r="B461" i="6"/>
  <c r="C461" i="6"/>
  <c r="D461" i="6"/>
  <c r="A462" i="6"/>
  <c r="B462" i="6"/>
  <c r="C462" i="6"/>
  <c r="D462" i="6"/>
  <c r="A463" i="6"/>
  <c r="B463" i="6"/>
  <c r="C463" i="6"/>
  <c r="D463" i="6"/>
  <c r="A464" i="6"/>
  <c r="B464" i="6"/>
  <c r="C464" i="6"/>
  <c r="D464" i="6"/>
  <c r="A465" i="6"/>
  <c r="B465" i="6"/>
  <c r="C465" i="6"/>
  <c r="D465" i="6"/>
  <c r="A466" i="6"/>
  <c r="B466" i="6"/>
  <c r="C466" i="6"/>
  <c r="D466" i="6"/>
  <c r="A467" i="6"/>
  <c r="B467" i="6"/>
  <c r="C467" i="6"/>
  <c r="D467" i="6"/>
  <c r="A468" i="6"/>
  <c r="B468" i="6"/>
  <c r="C468" i="6"/>
  <c r="D468" i="6"/>
  <c r="A469" i="6"/>
  <c r="B469" i="6"/>
  <c r="C469" i="6"/>
  <c r="D469" i="6"/>
  <c r="A470" i="6"/>
  <c r="B470" i="6"/>
  <c r="C470" i="6"/>
  <c r="D470" i="6"/>
  <c r="A471" i="6"/>
  <c r="B471" i="6"/>
  <c r="C471" i="6"/>
  <c r="D471" i="6"/>
  <c r="A472" i="6"/>
  <c r="B472" i="6"/>
  <c r="C472" i="6"/>
  <c r="D472" i="6"/>
  <c r="A473" i="6"/>
  <c r="B473" i="6"/>
  <c r="C473" i="6"/>
  <c r="D473" i="6"/>
  <c r="A474" i="6"/>
  <c r="B474" i="6"/>
  <c r="C474" i="6"/>
  <c r="D474" i="6"/>
  <c r="A475" i="6"/>
  <c r="B475" i="6"/>
  <c r="C475" i="6"/>
  <c r="D475" i="6"/>
  <c r="A476" i="6"/>
  <c r="B476" i="6"/>
  <c r="C476" i="6"/>
  <c r="D476" i="6"/>
  <c r="A477" i="6"/>
  <c r="B477" i="6"/>
  <c r="C477" i="6"/>
  <c r="D477" i="6"/>
  <c r="A478" i="6"/>
  <c r="B478" i="6"/>
  <c r="C478" i="6"/>
  <c r="D478" i="6"/>
  <c r="A479" i="6"/>
  <c r="B479" i="6"/>
  <c r="C479" i="6"/>
  <c r="D479" i="6"/>
  <c r="A480" i="6"/>
  <c r="B480" i="6"/>
  <c r="C480" i="6"/>
  <c r="D480" i="6"/>
  <c r="A481" i="6"/>
  <c r="B481" i="6"/>
  <c r="C481" i="6"/>
  <c r="D481" i="6"/>
  <c r="A482" i="6"/>
  <c r="B482" i="6"/>
  <c r="C482" i="6"/>
  <c r="D482" i="6"/>
  <c r="A483" i="6"/>
  <c r="B483" i="6"/>
  <c r="C483" i="6"/>
  <c r="D483" i="6"/>
  <c r="A484" i="6"/>
  <c r="B484" i="6"/>
  <c r="C484" i="6"/>
  <c r="D484" i="6"/>
  <c r="A485" i="6"/>
  <c r="B485" i="6"/>
  <c r="C485" i="6"/>
  <c r="D485" i="6"/>
  <c r="A486" i="6"/>
  <c r="B486" i="6"/>
  <c r="C486" i="6"/>
  <c r="D486" i="6"/>
  <c r="A487" i="6"/>
  <c r="B487" i="6"/>
  <c r="C487" i="6"/>
  <c r="D487" i="6"/>
  <c r="A488" i="6"/>
  <c r="B488" i="6"/>
  <c r="C488" i="6"/>
  <c r="D488" i="6"/>
  <c r="A489" i="6"/>
  <c r="B489" i="6"/>
  <c r="C489" i="6"/>
  <c r="D489" i="6"/>
  <c r="A490" i="6"/>
  <c r="B490" i="6"/>
  <c r="C490" i="6"/>
  <c r="D490" i="6"/>
  <c r="A491" i="6"/>
  <c r="B491" i="6"/>
  <c r="C491" i="6"/>
  <c r="D491" i="6"/>
  <c r="A492" i="6"/>
  <c r="B492" i="6"/>
  <c r="C492" i="6"/>
  <c r="D492" i="6"/>
  <c r="A493" i="6"/>
  <c r="B493" i="6"/>
  <c r="C493" i="6"/>
  <c r="D493" i="6"/>
  <c r="A494" i="6"/>
  <c r="B494" i="6"/>
  <c r="C494" i="6"/>
  <c r="D494" i="6"/>
  <c r="A495" i="6"/>
  <c r="B495" i="6"/>
  <c r="C495" i="6"/>
  <c r="D495" i="6"/>
  <c r="A496" i="6"/>
  <c r="B496" i="6"/>
  <c r="C496" i="6"/>
  <c r="D496" i="6"/>
  <c r="A497" i="6"/>
  <c r="B497" i="6"/>
  <c r="C497" i="6"/>
  <c r="D497" i="6"/>
  <c r="A498" i="6"/>
  <c r="B498" i="6"/>
  <c r="C498" i="6"/>
  <c r="D498" i="6"/>
  <c r="A499" i="6"/>
  <c r="B499" i="6"/>
  <c r="C499" i="6"/>
  <c r="D499" i="6"/>
  <c r="A500" i="6"/>
  <c r="B500" i="6"/>
  <c r="C500" i="6"/>
  <c r="D500" i="6"/>
  <c r="A501" i="6"/>
  <c r="B501" i="6"/>
  <c r="C501" i="6"/>
  <c r="D501" i="6"/>
  <c r="A502" i="6"/>
  <c r="B502" i="6"/>
  <c r="C502" i="6"/>
  <c r="D502" i="6"/>
  <c r="A503" i="6"/>
  <c r="B503" i="6"/>
  <c r="C503" i="6"/>
  <c r="D503" i="6"/>
  <c r="A504" i="6"/>
  <c r="B504" i="6"/>
  <c r="C504" i="6"/>
  <c r="D504" i="6"/>
  <c r="A505" i="6"/>
  <c r="B505" i="6"/>
  <c r="C505" i="6"/>
  <c r="D505" i="6"/>
  <c r="A506" i="6"/>
  <c r="B506" i="6"/>
  <c r="C506" i="6"/>
  <c r="D506" i="6"/>
  <c r="A507" i="6"/>
  <c r="B507" i="6"/>
  <c r="C507" i="6"/>
  <c r="D507" i="6"/>
  <c r="A508" i="6"/>
  <c r="B508" i="6"/>
  <c r="C508" i="6"/>
  <c r="D508" i="6"/>
  <c r="A509" i="6"/>
  <c r="B509" i="6"/>
  <c r="C509" i="6"/>
  <c r="D509" i="6"/>
  <c r="A510" i="6"/>
  <c r="B510" i="6"/>
  <c r="C510" i="6"/>
  <c r="D510" i="6"/>
  <c r="A511" i="6"/>
  <c r="B511" i="6"/>
  <c r="C511" i="6"/>
  <c r="D511" i="6"/>
  <c r="A512" i="6"/>
  <c r="B512" i="6"/>
  <c r="C512" i="6"/>
  <c r="D512" i="6"/>
  <c r="A513" i="6"/>
  <c r="B513" i="6"/>
  <c r="C513" i="6"/>
  <c r="D513" i="6"/>
  <c r="A514" i="6"/>
  <c r="B514" i="6"/>
  <c r="C514" i="6"/>
  <c r="D514" i="6"/>
  <c r="A515" i="6"/>
  <c r="B515" i="6"/>
  <c r="C515" i="6"/>
  <c r="D515" i="6"/>
  <c r="A516" i="6"/>
  <c r="B516" i="6"/>
  <c r="C516" i="6"/>
  <c r="D516" i="6"/>
  <c r="A517" i="6"/>
  <c r="B517" i="6"/>
  <c r="C517" i="6"/>
  <c r="D517" i="6"/>
  <c r="A518" i="6"/>
  <c r="B518" i="6"/>
  <c r="C518" i="6"/>
  <c r="D518" i="6"/>
  <c r="A519" i="6"/>
  <c r="B519" i="6"/>
  <c r="C519" i="6"/>
  <c r="D519" i="6"/>
  <c r="A520" i="6"/>
  <c r="B520" i="6"/>
  <c r="C520" i="6"/>
  <c r="D520" i="6"/>
  <c r="A521" i="6"/>
  <c r="B521" i="6"/>
  <c r="C521" i="6"/>
  <c r="D521" i="6"/>
  <c r="A522" i="6"/>
  <c r="B522" i="6"/>
  <c r="C522" i="6"/>
  <c r="D522" i="6"/>
  <c r="A523" i="6"/>
  <c r="B523" i="6"/>
  <c r="C523" i="6"/>
  <c r="D523" i="6"/>
  <c r="A524" i="6"/>
  <c r="B524" i="6"/>
  <c r="C524" i="6"/>
  <c r="D524" i="6"/>
  <c r="A525" i="6"/>
  <c r="B525" i="6"/>
  <c r="C525" i="6"/>
  <c r="D525" i="6"/>
  <c r="A526" i="6"/>
  <c r="B526" i="6"/>
  <c r="C526" i="6"/>
  <c r="D526" i="6"/>
  <c r="A527" i="6"/>
  <c r="B527" i="6"/>
  <c r="C527" i="6"/>
  <c r="D527" i="6"/>
  <c r="A528" i="6"/>
  <c r="B528" i="6"/>
  <c r="C528" i="6"/>
  <c r="D528" i="6"/>
  <c r="A529" i="6"/>
  <c r="B529" i="6"/>
  <c r="C529" i="6"/>
  <c r="D529" i="6"/>
  <c r="A530" i="6"/>
  <c r="B530" i="6"/>
  <c r="C530" i="6"/>
  <c r="D530" i="6"/>
  <c r="A531" i="6"/>
  <c r="B531" i="6"/>
  <c r="C531" i="6"/>
  <c r="D531" i="6"/>
  <c r="A532" i="6"/>
  <c r="B532" i="6"/>
  <c r="C532" i="6"/>
  <c r="D532" i="6"/>
  <c r="A533" i="6"/>
  <c r="B533" i="6"/>
  <c r="C533" i="6"/>
  <c r="D533" i="6"/>
  <c r="A534" i="6"/>
  <c r="B534" i="6"/>
  <c r="C534" i="6"/>
  <c r="D534" i="6"/>
  <c r="A535" i="6"/>
  <c r="B535" i="6"/>
  <c r="C535" i="6"/>
  <c r="D535" i="6"/>
  <c r="A536" i="6"/>
  <c r="B536" i="6"/>
  <c r="C536" i="6"/>
  <c r="D536" i="6"/>
  <c r="A537" i="6"/>
  <c r="B537" i="6"/>
  <c r="C537" i="6"/>
  <c r="D537" i="6"/>
  <c r="A538" i="6"/>
  <c r="B538" i="6"/>
  <c r="C538" i="6"/>
  <c r="D538" i="6"/>
  <c r="A539" i="6"/>
  <c r="B539" i="6"/>
  <c r="C539" i="6"/>
  <c r="D539" i="6"/>
  <c r="A540" i="6"/>
  <c r="B540" i="6"/>
  <c r="C540" i="6"/>
  <c r="D540" i="6"/>
  <c r="A541" i="6"/>
  <c r="B541" i="6"/>
  <c r="C541" i="6"/>
  <c r="D541" i="6"/>
  <c r="A542" i="6"/>
  <c r="B542" i="6"/>
  <c r="C542" i="6"/>
  <c r="D542" i="6"/>
  <c r="A543" i="6"/>
  <c r="B543" i="6"/>
  <c r="C543" i="6"/>
  <c r="D543" i="6"/>
  <c r="A544" i="6"/>
  <c r="B544" i="6"/>
  <c r="C544" i="6"/>
  <c r="D544" i="6"/>
  <c r="A545" i="6"/>
  <c r="B545" i="6"/>
  <c r="C545" i="6"/>
  <c r="D545" i="6"/>
  <c r="A546" i="6"/>
  <c r="B546" i="6"/>
  <c r="C546" i="6"/>
  <c r="D546" i="6"/>
  <c r="A547" i="6"/>
  <c r="B547" i="6"/>
  <c r="C547" i="6"/>
  <c r="D547" i="6"/>
  <c r="A548" i="6"/>
  <c r="B548" i="6"/>
  <c r="C548" i="6"/>
  <c r="D548" i="6"/>
  <c r="A549" i="6"/>
  <c r="B549" i="6"/>
  <c r="C549" i="6"/>
  <c r="D549" i="6"/>
  <c r="A550" i="6"/>
  <c r="B550" i="6"/>
  <c r="C550" i="6"/>
  <c r="D550" i="6"/>
  <c r="A551" i="6"/>
  <c r="B551" i="6"/>
  <c r="C551" i="6"/>
  <c r="D551" i="6"/>
  <c r="A552" i="6"/>
  <c r="B552" i="6"/>
  <c r="C552" i="6"/>
  <c r="D552" i="6"/>
  <c r="A553" i="6"/>
  <c r="B553" i="6"/>
  <c r="C553" i="6"/>
  <c r="D553" i="6"/>
  <c r="A554" i="6"/>
  <c r="B554" i="6"/>
  <c r="C554" i="6"/>
  <c r="D554" i="6"/>
  <c r="A555" i="6"/>
  <c r="B555" i="6"/>
  <c r="C555" i="6"/>
  <c r="D555" i="6"/>
  <c r="A556" i="6"/>
  <c r="B556" i="6"/>
  <c r="C556" i="6"/>
  <c r="D556" i="6"/>
  <c r="A557" i="6"/>
  <c r="B557" i="6"/>
  <c r="C557" i="6"/>
  <c r="D557" i="6"/>
  <c r="A558" i="6"/>
  <c r="B558" i="6"/>
  <c r="C558" i="6"/>
  <c r="D558" i="6"/>
  <c r="A559" i="6"/>
  <c r="B559" i="6"/>
  <c r="C559" i="6"/>
  <c r="D559" i="6"/>
  <c r="A560" i="6"/>
  <c r="B560" i="6"/>
  <c r="C560" i="6"/>
  <c r="D560" i="6"/>
  <c r="A561" i="6"/>
  <c r="B561" i="6"/>
  <c r="C561" i="6"/>
  <c r="D561" i="6"/>
  <c r="A562" i="6"/>
  <c r="B562" i="6"/>
  <c r="C562" i="6"/>
  <c r="D562" i="6"/>
  <c r="A563" i="6"/>
  <c r="B563" i="6"/>
  <c r="C563" i="6"/>
  <c r="D563" i="6"/>
  <c r="A564" i="6"/>
  <c r="B564" i="6"/>
  <c r="C564" i="6"/>
  <c r="D564" i="6"/>
  <c r="A565" i="6"/>
  <c r="B565" i="6"/>
  <c r="C565" i="6"/>
  <c r="D565" i="6"/>
  <c r="A566" i="6"/>
  <c r="B566" i="6"/>
  <c r="C566" i="6"/>
  <c r="D566" i="6"/>
  <c r="A567" i="6"/>
  <c r="B567" i="6"/>
  <c r="C567" i="6"/>
  <c r="D567" i="6"/>
  <c r="A568" i="6"/>
  <c r="B568" i="6"/>
  <c r="C568" i="6"/>
  <c r="D568" i="6"/>
  <c r="A569" i="6"/>
  <c r="B569" i="6"/>
  <c r="C569" i="6"/>
  <c r="D569" i="6"/>
  <c r="A570" i="6"/>
  <c r="B570" i="6"/>
  <c r="C570" i="6"/>
  <c r="D570" i="6"/>
  <c r="A571" i="6"/>
  <c r="B571" i="6"/>
  <c r="C571" i="6"/>
  <c r="D571" i="6"/>
  <c r="A572" i="6"/>
  <c r="B572" i="6"/>
  <c r="C572" i="6"/>
  <c r="D572" i="6"/>
  <c r="A573" i="6"/>
  <c r="B573" i="6"/>
  <c r="C573" i="6"/>
  <c r="D573" i="6"/>
  <c r="A574" i="6"/>
  <c r="B574" i="6"/>
  <c r="C574" i="6"/>
  <c r="D574" i="6"/>
  <c r="A575" i="6"/>
  <c r="B575" i="6"/>
  <c r="C575" i="6"/>
  <c r="D575" i="6"/>
  <c r="A576" i="6"/>
  <c r="B576" i="6"/>
  <c r="C576" i="6"/>
  <c r="D576" i="6"/>
  <c r="A577" i="6"/>
  <c r="B577" i="6"/>
  <c r="C577" i="6"/>
  <c r="D577" i="6"/>
  <c r="A578" i="6"/>
  <c r="B578" i="6"/>
  <c r="C578" i="6"/>
  <c r="D578" i="6"/>
  <c r="A579" i="6"/>
  <c r="B579" i="6"/>
  <c r="C579" i="6"/>
  <c r="D579" i="6"/>
  <c r="A580" i="6"/>
  <c r="B580" i="6"/>
  <c r="C580" i="6"/>
  <c r="D580" i="6"/>
  <c r="A581" i="6"/>
  <c r="B581" i="6"/>
  <c r="C581" i="6"/>
  <c r="D581" i="6"/>
  <c r="A582" i="6"/>
  <c r="B582" i="6"/>
  <c r="C582" i="6"/>
  <c r="D582" i="6"/>
  <c r="A583" i="6"/>
  <c r="B583" i="6"/>
  <c r="C583" i="6"/>
  <c r="D583" i="6"/>
  <c r="A584" i="6"/>
  <c r="B584" i="6"/>
  <c r="C584" i="6"/>
  <c r="D584" i="6"/>
  <c r="A585" i="6"/>
  <c r="B585" i="6"/>
  <c r="C585" i="6"/>
  <c r="D585" i="6"/>
  <c r="A586" i="6"/>
  <c r="B586" i="6"/>
  <c r="C586" i="6"/>
  <c r="D586" i="6"/>
  <c r="A587" i="6"/>
  <c r="B587" i="6"/>
  <c r="C587" i="6"/>
  <c r="D587" i="6"/>
  <c r="A588" i="6"/>
  <c r="B588" i="6"/>
  <c r="C588" i="6"/>
  <c r="D588" i="6"/>
  <c r="A589" i="6"/>
  <c r="B589" i="6"/>
  <c r="C589" i="6"/>
  <c r="D589" i="6"/>
  <c r="A590" i="6"/>
  <c r="B590" i="6"/>
  <c r="C590" i="6"/>
  <c r="D590" i="6"/>
  <c r="A591" i="6"/>
  <c r="B591" i="6"/>
  <c r="C591" i="6"/>
  <c r="D591" i="6"/>
  <c r="A592" i="6"/>
  <c r="B592" i="6"/>
  <c r="C592" i="6"/>
  <c r="D592" i="6"/>
  <c r="A593" i="6"/>
  <c r="B593" i="6"/>
  <c r="C593" i="6"/>
  <c r="D593" i="6"/>
  <c r="A594" i="6"/>
  <c r="B594" i="6"/>
  <c r="C594" i="6"/>
  <c r="D594" i="6"/>
  <c r="A595" i="6"/>
  <c r="B595" i="6"/>
  <c r="C595" i="6"/>
  <c r="D595" i="6"/>
  <c r="A596" i="6"/>
  <c r="B596" i="6"/>
  <c r="C596" i="6"/>
  <c r="D596" i="6"/>
  <c r="A597" i="6"/>
  <c r="B597" i="6"/>
  <c r="C597" i="6"/>
  <c r="D597" i="6"/>
  <c r="A598" i="6"/>
  <c r="B598" i="6"/>
  <c r="C598" i="6"/>
  <c r="D598" i="6"/>
  <c r="A599" i="6"/>
  <c r="B599" i="6"/>
  <c r="C599" i="6"/>
  <c r="D599" i="6"/>
  <c r="A600" i="6"/>
  <c r="B600" i="6"/>
  <c r="C600" i="6"/>
  <c r="D600" i="6"/>
  <c r="A601" i="6"/>
  <c r="B601" i="6"/>
  <c r="C601" i="6"/>
  <c r="D601" i="6"/>
  <c r="A602" i="6"/>
  <c r="B602" i="6"/>
  <c r="C602" i="6"/>
  <c r="D602" i="6"/>
  <c r="A603" i="6"/>
  <c r="B603" i="6"/>
  <c r="C603" i="6"/>
  <c r="D603" i="6"/>
  <c r="A604" i="6"/>
  <c r="B604" i="6"/>
  <c r="C604" i="6"/>
  <c r="D604" i="6"/>
  <c r="A605" i="6"/>
  <c r="B605" i="6"/>
  <c r="C605" i="6"/>
  <c r="D605" i="6"/>
  <c r="A606" i="6"/>
  <c r="B606" i="6"/>
  <c r="C606" i="6"/>
  <c r="D606" i="6"/>
  <c r="A607" i="6"/>
  <c r="B607" i="6"/>
  <c r="C607" i="6"/>
  <c r="D607" i="6"/>
  <c r="A608" i="6"/>
  <c r="B608" i="6"/>
  <c r="C608" i="6"/>
  <c r="D608" i="6"/>
  <c r="A609" i="6"/>
  <c r="B609" i="6"/>
  <c r="C609" i="6"/>
  <c r="D609" i="6"/>
  <c r="A610" i="6"/>
  <c r="B610" i="6"/>
  <c r="C610" i="6"/>
  <c r="D610" i="6"/>
  <c r="A611" i="6"/>
  <c r="B611" i="6"/>
  <c r="C611" i="6"/>
  <c r="D611" i="6"/>
  <c r="A612" i="6"/>
  <c r="B612" i="6"/>
  <c r="C612" i="6"/>
  <c r="D612" i="6"/>
  <c r="A613" i="6"/>
  <c r="B613" i="6"/>
  <c r="C613" i="6"/>
  <c r="D613" i="6"/>
  <c r="A614" i="6"/>
  <c r="B614" i="6"/>
  <c r="C614" i="6"/>
  <c r="D614" i="6"/>
  <c r="A615" i="6"/>
  <c r="B615" i="6"/>
  <c r="C615" i="6"/>
  <c r="D615" i="6"/>
  <c r="A616" i="6"/>
  <c r="B616" i="6"/>
  <c r="C616" i="6"/>
  <c r="D616" i="6"/>
  <c r="A617" i="6"/>
  <c r="B617" i="6"/>
  <c r="C617" i="6"/>
  <c r="D617" i="6"/>
  <c r="A618" i="6"/>
  <c r="B618" i="6"/>
  <c r="C618" i="6"/>
  <c r="D618" i="6"/>
  <c r="A619" i="6"/>
  <c r="B619" i="6"/>
  <c r="C619" i="6"/>
  <c r="D619" i="6"/>
  <c r="A620" i="6"/>
  <c r="B620" i="6"/>
  <c r="C620" i="6"/>
  <c r="D620" i="6"/>
  <c r="A621" i="6"/>
  <c r="B621" i="6"/>
  <c r="C621" i="6"/>
  <c r="D621" i="6"/>
  <c r="A622" i="6"/>
  <c r="B622" i="6"/>
  <c r="C622" i="6"/>
  <c r="D622" i="6"/>
  <c r="A623" i="6"/>
  <c r="B623" i="6"/>
  <c r="C623" i="6"/>
  <c r="D623" i="6"/>
  <c r="A624" i="6"/>
  <c r="B624" i="6"/>
  <c r="C624" i="6"/>
  <c r="D624" i="6"/>
  <c r="A625" i="6"/>
  <c r="B625" i="6"/>
  <c r="C625" i="6"/>
  <c r="D625" i="6"/>
  <c r="A626" i="6"/>
  <c r="B626" i="6"/>
  <c r="C626" i="6"/>
  <c r="D626" i="6"/>
  <c r="A627" i="6"/>
  <c r="B627" i="6"/>
  <c r="C627" i="6"/>
  <c r="D627" i="6"/>
  <c r="A628" i="6"/>
  <c r="B628" i="6"/>
  <c r="C628" i="6"/>
  <c r="D628" i="6"/>
  <c r="A629" i="6"/>
  <c r="B629" i="6"/>
  <c r="C629" i="6"/>
  <c r="D629" i="6"/>
  <c r="A630" i="6"/>
  <c r="B630" i="6"/>
  <c r="C630" i="6"/>
  <c r="D630" i="6"/>
  <c r="A631" i="6"/>
  <c r="B631" i="6"/>
  <c r="C631" i="6"/>
  <c r="D631" i="6"/>
  <c r="A632" i="6"/>
  <c r="B632" i="6"/>
  <c r="C632" i="6"/>
  <c r="D632" i="6"/>
  <c r="A633" i="6"/>
  <c r="B633" i="6"/>
  <c r="C633" i="6"/>
  <c r="D633" i="6"/>
  <c r="A634" i="6"/>
  <c r="B634" i="6"/>
  <c r="C634" i="6"/>
  <c r="D634" i="6"/>
  <c r="A635" i="6"/>
  <c r="B635" i="6"/>
  <c r="C635" i="6"/>
  <c r="D635" i="6"/>
  <c r="A636" i="6"/>
  <c r="B636" i="6"/>
  <c r="C636" i="6"/>
  <c r="D636" i="6"/>
  <c r="A637" i="6"/>
  <c r="B637" i="6"/>
  <c r="C637" i="6"/>
  <c r="D637" i="6"/>
  <c r="A638" i="6"/>
  <c r="B638" i="6"/>
  <c r="C638" i="6"/>
  <c r="D638" i="6"/>
  <c r="A639" i="6"/>
  <c r="B639" i="6"/>
  <c r="C639" i="6"/>
  <c r="D639" i="6"/>
  <c r="A640" i="6"/>
  <c r="B640" i="6"/>
  <c r="C640" i="6"/>
  <c r="D640" i="6"/>
  <c r="A641" i="6"/>
  <c r="B641" i="6"/>
  <c r="C641" i="6"/>
  <c r="D641" i="6"/>
  <c r="A642" i="6"/>
  <c r="B642" i="6"/>
  <c r="C642" i="6"/>
  <c r="D642" i="6"/>
  <c r="A643" i="6"/>
  <c r="B643" i="6"/>
  <c r="C643" i="6"/>
  <c r="D643" i="6"/>
  <c r="A644" i="6"/>
  <c r="B644" i="6"/>
  <c r="C644" i="6"/>
  <c r="D644" i="6"/>
  <c r="A645" i="6"/>
  <c r="B645" i="6"/>
  <c r="C645" i="6"/>
  <c r="D645" i="6"/>
  <c r="A646" i="6"/>
  <c r="B646" i="6"/>
  <c r="C646" i="6"/>
  <c r="D646" i="6"/>
  <c r="A647" i="6"/>
  <c r="B647" i="6"/>
  <c r="C647" i="6"/>
  <c r="D647" i="6"/>
  <c r="A648" i="6"/>
  <c r="B648" i="6"/>
  <c r="C648" i="6"/>
  <c r="D648" i="6"/>
  <c r="A649" i="6"/>
  <c r="B649" i="6"/>
  <c r="C649" i="6"/>
  <c r="D649" i="6"/>
  <c r="A650" i="6"/>
  <c r="B650" i="6"/>
  <c r="C650" i="6"/>
  <c r="D650" i="6"/>
  <c r="A651" i="6"/>
  <c r="B651" i="6"/>
  <c r="C651" i="6"/>
  <c r="D651" i="6"/>
  <c r="A652" i="6"/>
  <c r="B652" i="6"/>
  <c r="C652" i="6"/>
  <c r="D652" i="6"/>
  <c r="A653" i="6"/>
  <c r="B653" i="6"/>
  <c r="C653" i="6"/>
  <c r="D653" i="6"/>
  <c r="A654" i="6"/>
  <c r="B654" i="6"/>
  <c r="C654" i="6"/>
  <c r="D654" i="6"/>
  <c r="A655" i="6"/>
  <c r="B655" i="6"/>
  <c r="C655" i="6"/>
  <c r="D655" i="6"/>
  <c r="A656" i="6"/>
  <c r="B656" i="6"/>
  <c r="C656" i="6"/>
  <c r="D656" i="6"/>
  <c r="A657" i="6"/>
  <c r="B657" i="6"/>
  <c r="C657" i="6"/>
  <c r="D657" i="6"/>
  <c r="A658" i="6"/>
  <c r="B658" i="6"/>
  <c r="C658" i="6"/>
  <c r="D658" i="6"/>
  <c r="A659" i="6"/>
  <c r="B659" i="6"/>
  <c r="C659" i="6"/>
  <c r="D659" i="6"/>
  <c r="A660" i="6"/>
  <c r="B660" i="6"/>
  <c r="C660" i="6"/>
  <c r="D660" i="6"/>
  <c r="A661" i="6"/>
  <c r="B661" i="6"/>
  <c r="C661" i="6"/>
  <c r="D661" i="6"/>
  <c r="A662" i="6"/>
  <c r="B662" i="6"/>
  <c r="C662" i="6"/>
  <c r="D662" i="6"/>
  <c r="A663" i="6"/>
  <c r="B663" i="6"/>
  <c r="C663" i="6"/>
  <c r="D663" i="6"/>
  <c r="A664" i="6"/>
  <c r="B664" i="6"/>
  <c r="C664" i="6"/>
  <c r="D664" i="6"/>
  <c r="A665" i="6"/>
  <c r="B665" i="6"/>
  <c r="C665" i="6"/>
  <c r="D665" i="6"/>
  <c r="A666" i="6"/>
  <c r="B666" i="6"/>
  <c r="C666" i="6"/>
  <c r="D666" i="6"/>
  <c r="A667" i="6"/>
  <c r="B667" i="6"/>
  <c r="C667" i="6"/>
  <c r="D667" i="6"/>
  <c r="A668" i="6"/>
  <c r="B668" i="6"/>
  <c r="C668" i="6"/>
  <c r="D668" i="6"/>
  <c r="A669" i="6"/>
  <c r="B669" i="6"/>
  <c r="C669" i="6"/>
  <c r="D669" i="6"/>
  <c r="A670" i="6"/>
  <c r="B670" i="6"/>
  <c r="C670" i="6"/>
  <c r="D670" i="6"/>
  <c r="A671" i="6"/>
  <c r="B671" i="6"/>
  <c r="C671" i="6"/>
  <c r="D671" i="6"/>
  <c r="A672" i="6"/>
  <c r="B672" i="6"/>
  <c r="C672" i="6"/>
  <c r="D672" i="6"/>
  <c r="A673" i="6"/>
  <c r="B673" i="6"/>
  <c r="C673" i="6"/>
  <c r="D673" i="6"/>
  <c r="A674" i="6"/>
  <c r="B674" i="6"/>
  <c r="C674" i="6"/>
  <c r="D674" i="6"/>
  <c r="A675" i="6"/>
  <c r="B675" i="6"/>
  <c r="C675" i="6"/>
  <c r="D675" i="6"/>
  <c r="A676" i="6"/>
  <c r="B676" i="6"/>
  <c r="C676" i="6"/>
  <c r="D676" i="6"/>
  <c r="A677" i="6"/>
  <c r="B677" i="6"/>
  <c r="C677" i="6"/>
  <c r="D677" i="6"/>
  <c r="A678" i="6"/>
  <c r="B678" i="6"/>
  <c r="C678" i="6"/>
  <c r="D678" i="6"/>
  <c r="A679" i="6"/>
  <c r="B679" i="6"/>
  <c r="C679" i="6"/>
  <c r="D679" i="6"/>
  <c r="A680" i="6"/>
  <c r="B680" i="6"/>
  <c r="C680" i="6"/>
  <c r="D680" i="6"/>
  <c r="A681" i="6"/>
  <c r="B681" i="6"/>
  <c r="C681" i="6"/>
  <c r="D681" i="6"/>
  <c r="A682" i="6"/>
  <c r="B682" i="6"/>
  <c r="C682" i="6"/>
  <c r="D682" i="6"/>
  <c r="A683" i="6"/>
  <c r="B683" i="6"/>
  <c r="C683" i="6"/>
  <c r="D683" i="6"/>
  <c r="A684" i="6"/>
  <c r="B684" i="6"/>
  <c r="C684" i="6"/>
  <c r="D684" i="6"/>
  <c r="A685" i="6"/>
  <c r="B685" i="6"/>
  <c r="C685" i="6"/>
  <c r="D685" i="6"/>
  <c r="A686" i="6"/>
  <c r="B686" i="6"/>
  <c r="C686" i="6"/>
  <c r="D686" i="6"/>
  <c r="A687" i="6"/>
  <c r="B687" i="6"/>
  <c r="C687" i="6"/>
  <c r="D687" i="6"/>
  <c r="A688" i="6"/>
  <c r="B688" i="6"/>
  <c r="C688" i="6"/>
  <c r="D688" i="6"/>
  <c r="A689" i="6"/>
  <c r="B689" i="6"/>
  <c r="C689" i="6"/>
  <c r="D689" i="6"/>
  <c r="A690" i="6"/>
  <c r="B690" i="6"/>
  <c r="C690" i="6"/>
  <c r="D690" i="6"/>
  <c r="A691" i="6"/>
  <c r="B691" i="6"/>
  <c r="C691" i="6"/>
  <c r="D691" i="6"/>
  <c r="A692" i="6"/>
  <c r="B692" i="6"/>
  <c r="C692" i="6"/>
  <c r="D692" i="6"/>
  <c r="A693" i="6"/>
  <c r="B693" i="6"/>
  <c r="C693" i="6"/>
  <c r="D693" i="6"/>
  <c r="A694" i="6"/>
  <c r="B694" i="6"/>
  <c r="C694" i="6"/>
  <c r="D694" i="6"/>
  <c r="A695" i="6"/>
  <c r="B695" i="6"/>
  <c r="C695" i="6"/>
  <c r="D695" i="6"/>
  <c r="A696" i="6"/>
  <c r="B696" i="6"/>
  <c r="C696" i="6"/>
  <c r="D696" i="6"/>
  <c r="A697" i="6"/>
  <c r="B697" i="6"/>
  <c r="C697" i="6"/>
  <c r="D697" i="6"/>
  <c r="A698" i="6"/>
  <c r="B698" i="6"/>
  <c r="C698" i="6"/>
  <c r="D698" i="6"/>
  <c r="A699" i="6"/>
  <c r="B699" i="6"/>
  <c r="C699" i="6"/>
  <c r="D699" i="6"/>
  <c r="A700" i="6"/>
  <c r="B700" i="6"/>
  <c r="C700" i="6"/>
  <c r="D700" i="6"/>
  <c r="A701" i="6"/>
  <c r="B701" i="6"/>
  <c r="C701" i="6"/>
  <c r="D701" i="6"/>
  <c r="A702" i="6"/>
  <c r="B702" i="6"/>
  <c r="C702" i="6"/>
  <c r="D702" i="6"/>
  <c r="A703" i="6"/>
  <c r="B703" i="6"/>
  <c r="C703" i="6"/>
  <c r="D703" i="6"/>
  <c r="A704" i="6"/>
  <c r="B704" i="6"/>
  <c r="C704" i="6"/>
  <c r="D704" i="6"/>
  <c r="A705" i="6"/>
  <c r="B705" i="6"/>
  <c r="C705" i="6"/>
  <c r="D705" i="6"/>
  <c r="A706" i="6"/>
  <c r="B706" i="6"/>
  <c r="C706" i="6"/>
  <c r="D706" i="6"/>
  <c r="A707" i="6"/>
  <c r="B707" i="6"/>
  <c r="C707" i="6"/>
  <c r="D707" i="6"/>
  <c r="A708" i="6"/>
  <c r="B708" i="6"/>
  <c r="C708" i="6"/>
  <c r="D708" i="6"/>
  <c r="A709" i="6"/>
  <c r="B709" i="6"/>
  <c r="C709" i="6"/>
  <c r="D709" i="6"/>
  <c r="A710" i="6"/>
  <c r="B710" i="6"/>
  <c r="C710" i="6"/>
  <c r="D710" i="6"/>
  <c r="A711" i="6"/>
  <c r="B711" i="6"/>
  <c r="C711" i="6"/>
  <c r="D711" i="6"/>
  <c r="A712" i="6"/>
  <c r="B712" i="6"/>
  <c r="C712" i="6"/>
  <c r="D712" i="6"/>
  <c r="A713" i="6"/>
  <c r="B713" i="6"/>
  <c r="C713" i="6"/>
  <c r="D713" i="6"/>
  <c r="A714" i="6"/>
  <c r="B714" i="6"/>
  <c r="C714" i="6"/>
  <c r="D714" i="6"/>
  <c r="A715" i="6"/>
  <c r="B715" i="6"/>
  <c r="C715" i="6"/>
  <c r="D715" i="6"/>
  <c r="A716" i="6"/>
  <c r="B716" i="6"/>
  <c r="C716" i="6"/>
  <c r="D716" i="6"/>
  <c r="A717" i="6"/>
  <c r="A721" i="6"/>
  <c r="B721" i="6"/>
  <c r="C721" i="6"/>
  <c r="D721" i="6"/>
  <c r="A722" i="6"/>
  <c r="B722" i="6"/>
  <c r="C722" i="6"/>
  <c r="D722" i="6"/>
  <c r="A723" i="6"/>
  <c r="B723" i="6"/>
  <c r="C723" i="6"/>
  <c r="D723" i="6"/>
  <c r="A724" i="6"/>
  <c r="B724" i="6"/>
  <c r="C724" i="6"/>
  <c r="D724" i="6"/>
  <c r="A725" i="6"/>
  <c r="B725" i="6"/>
  <c r="C725" i="6"/>
  <c r="D725" i="6"/>
  <c r="A726" i="6"/>
  <c r="B726" i="6"/>
  <c r="C726" i="6"/>
  <c r="D726" i="6"/>
  <c r="A727" i="6"/>
  <c r="B727" i="6"/>
  <c r="C727" i="6"/>
  <c r="D727" i="6"/>
  <c r="A728" i="6"/>
  <c r="B728" i="6"/>
  <c r="C728" i="6"/>
  <c r="D728" i="6"/>
  <c r="A729" i="6"/>
  <c r="B729" i="6"/>
  <c r="C729" i="6"/>
  <c r="D729" i="6"/>
  <c r="A730" i="6"/>
  <c r="B730" i="6"/>
  <c r="C730" i="6"/>
  <c r="D730" i="6"/>
  <c r="A731" i="6"/>
  <c r="B731" i="6"/>
  <c r="C731" i="6"/>
  <c r="D731" i="6"/>
  <c r="A732" i="6"/>
  <c r="B732" i="6"/>
  <c r="C732" i="6"/>
  <c r="D732" i="6"/>
  <c r="A733" i="6"/>
  <c r="B733" i="6"/>
  <c r="C733" i="6"/>
  <c r="D733" i="6"/>
  <c r="A734" i="6"/>
  <c r="B734" i="6"/>
  <c r="C734" i="6"/>
  <c r="D734" i="6"/>
  <c r="A735" i="6"/>
  <c r="B735" i="6"/>
  <c r="C735" i="6"/>
  <c r="D735" i="6"/>
  <c r="A736" i="6"/>
  <c r="B736" i="6"/>
  <c r="C736" i="6"/>
  <c r="D736" i="6"/>
  <c r="A737" i="6"/>
  <c r="B737" i="6"/>
  <c r="C737" i="6"/>
  <c r="D737" i="6"/>
  <c r="A738" i="6"/>
  <c r="B738" i="6"/>
  <c r="C738" i="6"/>
  <c r="D738" i="6"/>
  <c r="A739" i="6"/>
  <c r="B739" i="6"/>
  <c r="C739" i="6"/>
  <c r="D739" i="6"/>
  <c r="A740" i="6"/>
  <c r="B740" i="6"/>
  <c r="C740" i="6"/>
  <c r="D740" i="6"/>
  <c r="A741" i="6"/>
  <c r="B741" i="6"/>
  <c r="C741" i="6"/>
  <c r="D741" i="6"/>
  <c r="A742" i="6"/>
  <c r="B742" i="6"/>
  <c r="C742" i="6"/>
  <c r="D742" i="6"/>
  <c r="A743" i="6"/>
  <c r="B743" i="6"/>
  <c r="C743" i="6"/>
  <c r="D743" i="6"/>
  <c r="A744" i="6"/>
  <c r="B744" i="6"/>
  <c r="C744" i="6"/>
  <c r="D744" i="6"/>
  <c r="A745" i="6"/>
  <c r="B745" i="6"/>
  <c r="C745" i="6"/>
  <c r="D745" i="6"/>
  <c r="A746" i="6"/>
  <c r="B746" i="6"/>
  <c r="C746" i="6"/>
  <c r="D746" i="6"/>
  <c r="A747" i="6"/>
  <c r="B747" i="6"/>
  <c r="C747" i="6"/>
  <c r="D747" i="6"/>
  <c r="A748" i="6"/>
  <c r="B748" i="6"/>
  <c r="C748" i="6"/>
  <c r="D748" i="6"/>
  <c r="A749" i="6"/>
  <c r="B749" i="6"/>
  <c r="C749" i="6"/>
  <c r="D749" i="6"/>
  <c r="A750" i="6"/>
  <c r="B750" i="6"/>
  <c r="C750" i="6"/>
  <c r="D750" i="6"/>
  <c r="A751" i="6"/>
  <c r="B751" i="6"/>
  <c r="C751" i="6"/>
  <c r="D751" i="6"/>
  <c r="A752" i="6"/>
  <c r="B752" i="6"/>
  <c r="C752" i="6"/>
  <c r="D752" i="6"/>
  <c r="A753" i="6"/>
  <c r="B753" i="6"/>
  <c r="C753" i="6"/>
  <c r="D753" i="6"/>
  <c r="A754" i="6"/>
  <c r="B754" i="6"/>
  <c r="C754" i="6"/>
  <c r="D754" i="6"/>
  <c r="A755" i="6"/>
  <c r="B755" i="6"/>
  <c r="C755" i="6"/>
  <c r="D755" i="6"/>
  <c r="A756" i="6"/>
  <c r="B756" i="6"/>
  <c r="C756" i="6"/>
  <c r="D756" i="6"/>
  <c r="A757" i="6"/>
  <c r="B757" i="6"/>
  <c r="C757" i="6"/>
  <c r="D757" i="6"/>
  <c r="A758" i="6"/>
  <c r="B758" i="6"/>
  <c r="C758" i="6"/>
  <c r="D758" i="6"/>
  <c r="A759" i="6"/>
  <c r="B759" i="6"/>
  <c r="C759" i="6"/>
  <c r="D759" i="6"/>
  <c r="A760" i="6"/>
  <c r="B760" i="6"/>
  <c r="C760" i="6"/>
  <c r="D760" i="6"/>
  <c r="A761" i="6"/>
  <c r="B761" i="6"/>
  <c r="C761" i="6"/>
  <c r="D761" i="6"/>
  <c r="A762" i="6"/>
  <c r="B762" i="6"/>
  <c r="C762" i="6"/>
  <c r="D762" i="6"/>
  <c r="A763" i="6"/>
  <c r="B763" i="6"/>
  <c r="C763" i="6"/>
  <c r="D763" i="6"/>
  <c r="A764" i="6"/>
  <c r="B764" i="6"/>
  <c r="C764" i="6"/>
  <c r="D764" i="6"/>
  <c r="A765" i="6"/>
  <c r="B765" i="6"/>
  <c r="C765" i="6"/>
  <c r="D765" i="6"/>
  <c r="A766" i="6"/>
  <c r="B766" i="6"/>
  <c r="C766" i="6"/>
  <c r="D766" i="6"/>
  <c r="A767" i="6"/>
  <c r="B767" i="6"/>
  <c r="C767" i="6"/>
  <c r="D767" i="6"/>
  <c r="A768" i="6"/>
  <c r="B768" i="6"/>
  <c r="C768" i="6"/>
  <c r="D768" i="6"/>
  <c r="A769" i="6"/>
  <c r="B769" i="6"/>
  <c r="C769" i="6"/>
  <c r="D769" i="6"/>
  <c r="A770" i="6"/>
  <c r="B770" i="6"/>
  <c r="C770" i="6"/>
  <c r="D770" i="6"/>
  <c r="A771" i="6"/>
  <c r="B771" i="6"/>
  <c r="C771" i="6"/>
  <c r="D771" i="6"/>
  <c r="A772" i="6"/>
  <c r="B772" i="6"/>
  <c r="C772" i="6"/>
  <c r="D772" i="6"/>
  <c r="A773" i="6"/>
  <c r="B773" i="6"/>
  <c r="C773" i="6"/>
  <c r="D773" i="6"/>
  <c r="A774" i="6"/>
  <c r="B774" i="6"/>
  <c r="C774" i="6"/>
  <c r="D774" i="6"/>
  <c r="A775" i="6"/>
  <c r="B775" i="6"/>
  <c r="C775" i="6"/>
  <c r="D775" i="6"/>
  <c r="A776" i="6"/>
  <c r="B776" i="6"/>
  <c r="C776" i="6"/>
  <c r="D776" i="6"/>
  <c r="A777" i="6"/>
  <c r="B777" i="6"/>
  <c r="C777" i="6"/>
  <c r="D777" i="6"/>
  <c r="A778" i="6"/>
  <c r="B778" i="6"/>
  <c r="C778" i="6"/>
  <c r="D778" i="6"/>
  <c r="A779" i="6"/>
  <c r="B779" i="6"/>
  <c r="C779" i="6"/>
  <c r="D779" i="6"/>
  <c r="A780" i="6"/>
  <c r="B780" i="6"/>
  <c r="C780" i="6"/>
  <c r="D780" i="6"/>
  <c r="A781" i="6"/>
  <c r="B781" i="6"/>
  <c r="C781" i="6"/>
  <c r="D781" i="6"/>
  <c r="A782" i="6"/>
  <c r="B782" i="6"/>
  <c r="C782" i="6"/>
  <c r="D782" i="6"/>
  <c r="A783" i="6"/>
  <c r="B783" i="6"/>
  <c r="C783" i="6"/>
  <c r="D783" i="6"/>
  <c r="A784" i="6"/>
  <c r="B784" i="6"/>
  <c r="C784" i="6"/>
  <c r="D784" i="6"/>
  <c r="A785" i="6"/>
  <c r="B785" i="6"/>
  <c r="C785" i="6"/>
  <c r="D785" i="6"/>
  <c r="A786" i="6"/>
  <c r="B786" i="6"/>
  <c r="C786" i="6"/>
  <c r="D786" i="6"/>
  <c r="A787" i="6"/>
  <c r="B787" i="6"/>
  <c r="C787" i="6"/>
  <c r="D787" i="6"/>
  <c r="A788" i="6"/>
  <c r="B788" i="6"/>
  <c r="C788" i="6"/>
  <c r="D788" i="6"/>
  <c r="A789" i="6"/>
  <c r="B789" i="6"/>
  <c r="C789" i="6"/>
  <c r="D789" i="6"/>
  <c r="A790" i="6"/>
  <c r="B790" i="6"/>
  <c r="C790" i="6"/>
  <c r="D790" i="6"/>
  <c r="A791" i="6"/>
  <c r="B791" i="6"/>
  <c r="C791" i="6"/>
  <c r="D791" i="6"/>
  <c r="A792" i="6"/>
  <c r="B792" i="6"/>
  <c r="C792" i="6"/>
  <c r="D792" i="6"/>
  <c r="A793" i="6"/>
  <c r="B793" i="6"/>
  <c r="C793" i="6"/>
  <c r="D793" i="6"/>
  <c r="A794" i="6"/>
  <c r="B794" i="6"/>
  <c r="C794" i="6"/>
  <c r="D794" i="6"/>
  <c r="A795" i="6"/>
  <c r="B795" i="6"/>
  <c r="C795" i="6"/>
  <c r="D795" i="6"/>
  <c r="A796" i="6"/>
  <c r="B796" i="6"/>
  <c r="C796" i="6"/>
  <c r="D796" i="6"/>
  <c r="A797" i="6"/>
  <c r="B797" i="6"/>
  <c r="C797" i="6"/>
  <c r="D797" i="6"/>
  <c r="A798" i="6"/>
  <c r="B798" i="6"/>
  <c r="C798" i="6"/>
  <c r="D798" i="6"/>
  <c r="A799" i="6"/>
  <c r="B799" i="6"/>
  <c r="C799" i="6"/>
  <c r="D799" i="6"/>
  <c r="A800" i="6"/>
  <c r="B800" i="6"/>
  <c r="C800" i="6"/>
  <c r="D800" i="6"/>
  <c r="A801" i="6"/>
  <c r="B801" i="6"/>
  <c r="C801" i="6"/>
  <c r="D801" i="6"/>
  <c r="A802" i="6"/>
  <c r="B802" i="6"/>
  <c r="C802" i="6"/>
  <c r="D802" i="6"/>
  <c r="A803" i="6"/>
  <c r="B803" i="6"/>
  <c r="C803" i="6"/>
  <c r="D803" i="6"/>
  <c r="A804" i="6"/>
  <c r="B804" i="6"/>
  <c r="C804" i="6"/>
  <c r="D804" i="6"/>
  <c r="A805" i="6"/>
  <c r="B805" i="6"/>
  <c r="C805" i="6"/>
  <c r="D805" i="6"/>
  <c r="A806" i="6"/>
  <c r="B806" i="6"/>
  <c r="C806" i="6"/>
  <c r="D806" i="6"/>
  <c r="A807" i="6"/>
  <c r="B807" i="6"/>
  <c r="C807" i="6"/>
  <c r="D807" i="6"/>
  <c r="A808" i="6"/>
  <c r="B808" i="6"/>
  <c r="C808" i="6"/>
  <c r="D808" i="6"/>
  <c r="A809" i="6"/>
  <c r="B809" i="6"/>
  <c r="C809" i="6"/>
  <c r="D809" i="6"/>
  <c r="A810" i="6"/>
  <c r="B810" i="6"/>
  <c r="C810" i="6"/>
  <c r="D810" i="6"/>
  <c r="A811" i="6"/>
  <c r="B811" i="6"/>
  <c r="C811" i="6"/>
  <c r="D811" i="6"/>
  <c r="A812" i="6"/>
  <c r="B812" i="6"/>
  <c r="C812" i="6"/>
  <c r="D812" i="6"/>
  <c r="A813" i="6"/>
  <c r="B813" i="6"/>
  <c r="C813" i="6"/>
  <c r="D813" i="6"/>
  <c r="A814" i="6"/>
  <c r="B814" i="6"/>
  <c r="C814" i="6"/>
  <c r="D814" i="6"/>
  <c r="A815" i="6"/>
  <c r="B815" i="6"/>
  <c r="C815" i="6"/>
  <c r="D815" i="6"/>
  <c r="A816" i="6"/>
  <c r="B816" i="6"/>
  <c r="C816" i="6"/>
  <c r="D816" i="6"/>
  <c r="A817" i="6"/>
  <c r="B817" i="6"/>
  <c r="C817" i="6"/>
  <c r="D817" i="6"/>
  <c r="A818" i="6"/>
  <c r="B818" i="6"/>
  <c r="C818" i="6"/>
  <c r="D818" i="6"/>
  <c r="A819" i="6"/>
  <c r="B819" i="6"/>
  <c r="C819" i="6"/>
  <c r="D819" i="6"/>
  <c r="A820" i="6"/>
  <c r="B820" i="6"/>
  <c r="C820" i="6"/>
  <c r="D820" i="6"/>
  <c r="A821" i="6"/>
  <c r="B821" i="6"/>
  <c r="C821" i="6"/>
  <c r="D821" i="6"/>
  <c r="A822" i="6"/>
  <c r="B822" i="6"/>
  <c r="C822" i="6"/>
  <c r="D822" i="6"/>
  <c r="A823" i="6"/>
  <c r="B823" i="6"/>
  <c r="C823" i="6"/>
  <c r="D823" i="6"/>
  <c r="A824" i="6"/>
  <c r="B824" i="6"/>
  <c r="C824" i="6"/>
  <c r="D824" i="6"/>
  <c r="A825" i="6"/>
  <c r="B825" i="6"/>
  <c r="C825" i="6"/>
  <c r="D825" i="6"/>
  <c r="A826" i="6"/>
  <c r="B826" i="6"/>
  <c r="C826" i="6"/>
  <c r="D826" i="6"/>
  <c r="A827" i="6"/>
  <c r="B827" i="6"/>
  <c r="C827" i="6"/>
  <c r="D827" i="6"/>
  <c r="A828" i="6"/>
  <c r="B828" i="6"/>
  <c r="C828" i="6"/>
  <c r="D828" i="6"/>
  <c r="A829" i="6"/>
  <c r="B829" i="6"/>
  <c r="C829" i="6"/>
  <c r="D829" i="6"/>
  <c r="A830" i="6"/>
  <c r="B830" i="6"/>
  <c r="C830" i="6"/>
  <c r="D830" i="6"/>
  <c r="A831" i="6"/>
  <c r="B831" i="6"/>
  <c r="C831" i="6"/>
  <c r="D831" i="6"/>
  <c r="A832" i="6"/>
  <c r="B832" i="6"/>
  <c r="C832" i="6"/>
  <c r="D832" i="6"/>
  <c r="A833" i="6"/>
  <c r="B833" i="6"/>
  <c r="C833" i="6"/>
  <c r="D833" i="6"/>
  <c r="A834" i="6"/>
  <c r="B834" i="6"/>
  <c r="C834" i="6"/>
  <c r="D834" i="6"/>
  <c r="A835" i="6"/>
  <c r="B835" i="6"/>
  <c r="C835" i="6"/>
  <c r="D835" i="6"/>
  <c r="A836" i="6"/>
  <c r="B836" i="6"/>
  <c r="C836" i="6"/>
  <c r="D836" i="6"/>
  <c r="A837" i="6"/>
  <c r="B837" i="6"/>
  <c r="C837" i="6"/>
  <c r="D837" i="6"/>
  <c r="A838" i="6"/>
  <c r="B838" i="6"/>
  <c r="C838" i="6"/>
  <c r="D838" i="6"/>
  <c r="A839" i="6"/>
  <c r="B839" i="6"/>
  <c r="C839" i="6"/>
  <c r="D839" i="6"/>
  <c r="A840" i="6"/>
  <c r="B840" i="6"/>
  <c r="C840" i="6"/>
  <c r="D840" i="6"/>
  <c r="A841" i="6"/>
  <c r="B841" i="6"/>
  <c r="C841" i="6"/>
  <c r="D841" i="6"/>
  <c r="A842" i="6"/>
  <c r="B842" i="6"/>
  <c r="C842" i="6"/>
  <c r="D842" i="6"/>
  <c r="A843" i="6"/>
  <c r="B843" i="6"/>
  <c r="C843" i="6"/>
  <c r="D843" i="6"/>
  <c r="A844" i="6"/>
  <c r="B844" i="6"/>
  <c r="C844" i="6"/>
  <c r="D844" i="6"/>
  <c r="A845" i="6"/>
  <c r="B845" i="6"/>
  <c r="C845" i="6"/>
  <c r="D845" i="6"/>
  <c r="A846" i="6"/>
  <c r="B846" i="6"/>
  <c r="C846" i="6"/>
  <c r="D846" i="6"/>
  <c r="A847" i="6"/>
  <c r="B847" i="6"/>
  <c r="C847" i="6"/>
  <c r="D847" i="6"/>
  <c r="A848" i="6"/>
  <c r="B848" i="6"/>
  <c r="C848" i="6"/>
  <c r="D848" i="6"/>
  <c r="A849" i="6"/>
  <c r="B849" i="6"/>
  <c r="C849" i="6"/>
  <c r="D849" i="6"/>
  <c r="A850" i="6"/>
  <c r="B850" i="6"/>
  <c r="C850" i="6"/>
  <c r="D850" i="6"/>
  <c r="A851" i="6"/>
  <c r="B851" i="6"/>
  <c r="C851" i="6"/>
  <c r="D851" i="6"/>
  <c r="A852" i="6"/>
  <c r="B852" i="6"/>
  <c r="C852" i="6"/>
  <c r="D852" i="6"/>
  <c r="A853" i="6"/>
  <c r="B853" i="6"/>
  <c r="C853" i="6"/>
  <c r="D853" i="6"/>
  <c r="A854" i="6"/>
  <c r="B854" i="6"/>
  <c r="C854" i="6"/>
  <c r="D854" i="6"/>
  <c r="A855" i="6"/>
  <c r="B855" i="6"/>
  <c r="C855" i="6"/>
  <c r="D855" i="6"/>
  <c r="A856" i="6"/>
  <c r="B856" i="6"/>
  <c r="C856" i="6"/>
  <c r="D856" i="6"/>
  <c r="A857" i="6"/>
  <c r="B857" i="6"/>
  <c r="C857" i="6"/>
  <c r="D857" i="6"/>
  <c r="A858" i="6"/>
  <c r="B858" i="6"/>
  <c r="C858" i="6"/>
  <c r="D858" i="6"/>
  <c r="A859" i="6"/>
  <c r="B859" i="6"/>
  <c r="C859" i="6"/>
  <c r="D859" i="6"/>
  <c r="A860" i="6"/>
  <c r="B860" i="6"/>
  <c r="C860" i="6"/>
  <c r="D860" i="6"/>
  <c r="A861" i="6"/>
  <c r="B861" i="6"/>
  <c r="C861" i="6"/>
  <c r="D861" i="6"/>
  <c r="A862" i="6"/>
  <c r="B862" i="6"/>
  <c r="C862" i="6"/>
  <c r="D862" i="6"/>
  <c r="A863" i="6"/>
  <c r="B863" i="6"/>
  <c r="C863" i="6"/>
  <c r="D863" i="6"/>
  <c r="A864" i="6"/>
  <c r="B864" i="6"/>
  <c r="C864" i="6"/>
  <c r="D864" i="6"/>
  <c r="A865" i="6"/>
  <c r="B865" i="6"/>
  <c r="C865" i="6"/>
  <c r="D865" i="6"/>
  <c r="A866" i="6"/>
  <c r="B866" i="6"/>
  <c r="C866" i="6"/>
  <c r="D866" i="6"/>
  <c r="A867" i="6"/>
  <c r="B867" i="6"/>
  <c r="C867" i="6"/>
  <c r="D867" i="6"/>
  <c r="A868" i="6"/>
  <c r="B868" i="6"/>
  <c r="C868" i="6"/>
  <c r="D868" i="6"/>
  <c r="A869" i="6"/>
  <c r="B869" i="6"/>
  <c r="C869" i="6"/>
  <c r="D869" i="6"/>
  <c r="A870" i="6"/>
  <c r="B870" i="6"/>
  <c r="C870" i="6"/>
  <c r="D870" i="6"/>
  <c r="A871" i="6"/>
  <c r="B871" i="6"/>
  <c r="C871" i="6"/>
  <c r="D871" i="6"/>
  <c r="A872" i="6"/>
  <c r="B872" i="6"/>
  <c r="C872" i="6"/>
  <c r="D872" i="6"/>
  <c r="A873" i="6"/>
  <c r="B873" i="6"/>
  <c r="C873" i="6"/>
  <c r="D873" i="6"/>
  <c r="A874" i="6"/>
  <c r="B874" i="6"/>
  <c r="C874" i="6"/>
  <c r="D874" i="6"/>
  <c r="A875" i="6"/>
  <c r="B875" i="6"/>
  <c r="C875" i="6"/>
  <c r="D875" i="6"/>
  <c r="A876" i="6"/>
  <c r="B876" i="6"/>
  <c r="C876" i="6"/>
  <c r="D876" i="6"/>
  <c r="A877" i="6"/>
  <c r="B877" i="6"/>
  <c r="C877" i="6"/>
  <c r="D877" i="6"/>
  <c r="A878" i="6"/>
  <c r="B878" i="6"/>
  <c r="C878" i="6"/>
  <c r="D878" i="6"/>
  <c r="A879" i="6"/>
  <c r="B879" i="6"/>
  <c r="C879" i="6"/>
  <c r="D879" i="6"/>
  <c r="A880" i="6"/>
  <c r="B880" i="6"/>
  <c r="C880" i="6"/>
  <c r="D880" i="6"/>
  <c r="A881" i="6"/>
  <c r="B881" i="6"/>
  <c r="C881" i="6"/>
  <c r="D881" i="6"/>
  <c r="A882" i="6"/>
  <c r="B882" i="6"/>
  <c r="C882" i="6"/>
  <c r="D882" i="6"/>
  <c r="A883" i="6"/>
  <c r="B883" i="6"/>
  <c r="C883" i="6"/>
  <c r="D883" i="6"/>
  <c r="A884" i="6"/>
  <c r="B884" i="6"/>
  <c r="C884" i="6"/>
  <c r="D884" i="6"/>
  <c r="A885" i="6"/>
  <c r="B885" i="6"/>
  <c r="C885" i="6"/>
  <c r="D885" i="6"/>
  <c r="A886" i="6"/>
  <c r="B886" i="6"/>
  <c r="C886" i="6"/>
  <c r="D886" i="6"/>
  <c r="A887" i="6"/>
  <c r="B887" i="6"/>
  <c r="C887" i="6"/>
  <c r="D887" i="6"/>
  <c r="A888" i="6"/>
  <c r="B888" i="6"/>
  <c r="C888" i="6"/>
  <c r="D888" i="6"/>
  <c r="A889" i="6"/>
  <c r="B889" i="6"/>
  <c r="C889" i="6"/>
  <c r="D889" i="6"/>
  <c r="A890" i="6"/>
  <c r="B890" i="6"/>
  <c r="C890" i="6"/>
  <c r="D890" i="6"/>
  <c r="A891" i="6"/>
  <c r="B891" i="6"/>
  <c r="C891" i="6"/>
  <c r="D891" i="6"/>
  <c r="A892" i="6"/>
  <c r="B892" i="6"/>
  <c r="C892" i="6"/>
  <c r="D892" i="6"/>
  <c r="A893" i="6"/>
  <c r="B893" i="6"/>
  <c r="C893" i="6"/>
  <c r="D893" i="6"/>
  <c r="A894" i="6"/>
  <c r="B894" i="6"/>
  <c r="C894" i="6"/>
  <c r="D894" i="6"/>
  <c r="A895" i="6"/>
  <c r="B895" i="6"/>
  <c r="C895" i="6"/>
  <c r="D895" i="6"/>
  <c r="A896" i="6"/>
  <c r="B896" i="6"/>
  <c r="C896" i="6"/>
  <c r="D896" i="6"/>
  <c r="A897" i="6"/>
  <c r="B897" i="6"/>
  <c r="C897" i="6"/>
  <c r="D897" i="6"/>
  <c r="A898" i="6"/>
  <c r="B898" i="6"/>
  <c r="C898" i="6"/>
  <c r="D898" i="6"/>
  <c r="A899" i="6"/>
  <c r="B899" i="6"/>
  <c r="C899" i="6"/>
  <c r="D899" i="6"/>
  <c r="A900" i="6"/>
  <c r="B900" i="6"/>
  <c r="C900" i="6"/>
  <c r="D900" i="6"/>
  <c r="A901" i="6"/>
  <c r="B901" i="6"/>
  <c r="C901" i="6"/>
  <c r="D901" i="6"/>
  <c r="A902" i="6"/>
  <c r="B902" i="6"/>
  <c r="C902" i="6"/>
  <c r="D902" i="6"/>
  <c r="A903" i="6"/>
  <c r="B903" i="6"/>
  <c r="C903" i="6"/>
  <c r="D903" i="6"/>
  <c r="A904" i="6"/>
  <c r="B904" i="6"/>
  <c r="C904" i="6"/>
  <c r="D904" i="6"/>
  <c r="A905" i="6"/>
  <c r="B905" i="6"/>
  <c r="C905" i="6"/>
  <c r="D905" i="6"/>
  <c r="A906" i="6"/>
  <c r="B906" i="6"/>
  <c r="C906" i="6"/>
  <c r="D906" i="6"/>
  <c r="A907" i="6"/>
  <c r="B907" i="6"/>
  <c r="C907" i="6"/>
  <c r="D907" i="6"/>
  <c r="A908" i="6"/>
  <c r="B908" i="6"/>
  <c r="C908" i="6"/>
  <c r="D908" i="6"/>
  <c r="A909" i="6"/>
  <c r="B909" i="6"/>
  <c r="C909" i="6"/>
  <c r="D909" i="6"/>
  <c r="A910" i="6"/>
  <c r="B910" i="6"/>
  <c r="C910" i="6"/>
  <c r="D910" i="6"/>
  <c r="A911" i="6"/>
  <c r="B911" i="6"/>
  <c r="C911" i="6"/>
  <c r="D911" i="6"/>
  <c r="A912" i="6"/>
  <c r="B912" i="6"/>
  <c r="C912" i="6"/>
  <c r="D912" i="6"/>
  <c r="A913" i="6"/>
  <c r="B913" i="6"/>
  <c r="C913" i="6"/>
  <c r="D913" i="6"/>
  <c r="A914" i="6"/>
  <c r="B914" i="6"/>
  <c r="C914" i="6"/>
  <c r="D914" i="6"/>
  <c r="A915" i="6"/>
  <c r="B915" i="6"/>
  <c r="C915" i="6"/>
  <c r="D915" i="6"/>
  <c r="A916" i="6"/>
  <c r="B916" i="6"/>
  <c r="C916" i="6"/>
  <c r="D916" i="6"/>
  <c r="A917" i="6"/>
  <c r="B917" i="6"/>
  <c r="C917" i="6"/>
  <c r="D917" i="6"/>
  <c r="A918" i="6"/>
  <c r="B918" i="6"/>
  <c r="C918" i="6"/>
  <c r="D918" i="6"/>
  <c r="A919" i="6"/>
  <c r="B919" i="6"/>
  <c r="C919" i="6"/>
  <c r="D919" i="6"/>
  <c r="A920" i="6"/>
  <c r="B920" i="6"/>
  <c r="C920" i="6"/>
  <c r="D920" i="6"/>
  <c r="A921" i="6"/>
  <c r="B921" i="6"/>
  <c r="C921" i="6"/>
  <c r="D921" i="6"/>
  <c r="A922" i="6"/>
  <c r="B922" i="6"/>
  <c r="C922" i="6"/>
  <c r="D922" i="6"/>
  <c r="A923" i="6"/>
  <c r="B923" i="6"/>
  <c r="C923" i="6"/>
  <c r="D923" i="6"/>
  <c r="A924" i="6"/>
  <c r="B924" i="6"/>
  <c r="C924" i="6"/>
  <c r="D924" i="6"/>
  <c r="A925" i="6"/>
  <c r="B925" i="6"/>
  <c r="C925" i="6"/>
  <c r="D925" i="6"/>
  <c r="A926" i="6"/>
  <c r="B926" i="6"/>
  <c r="C926" i="6"/>
  <c r="D926" i="6"/>
  <c r="A927" i="6"/>
  <c r="B927" i="6"/>
  <c r="C927" i="6"/>
  <c r="D927" i="6"/>
  <c r="A928" i="6"/>
  <c r="B928" i="6"/>
  <c r="C928" i="6"/>
  <c r="D928" i="6"/>
  <c r="A929" i="6"/>
  <c r="B929" i="6"/>
  <c r="C929" i="6"/>
  <c r="D929" i="6"/>
  <c r="A930" i="6"/>
  <c r="B930" i="6"/>
  <c r="C930" i="6"/>
  <c r="D930" i="6"/>
  <c r="A931" i="6"/>
  <c r="B931" i="6"/>
  <c r="C931" i="6"/>
  <c r="D931" i="6"/>
  <c r="A932" i="6"/>
  <c r="B932" i="6"/>
  <c r="C932" i="6"/>
  <c r="D932" i="6"/>
  <c r="A933" i="6"/>
  <c r="B933" i="6"/>
  <c r="C933" i="6"/>
  <c r="D933" i="6"/>
  <c r="A934" i="6"/>
  <c r="B934" i="6"/>
  <c r="C934" i="6"/>
  <c r="D934" i="6"/>
  <c r="A935" i="6"/>
  <c r="B935" i="6"/>
  <c r="C935" i="6"/>
  <c r="D935" i="6"/>
  <c r="A936" i="6"/>
  <c r="B936" i="6"/>
  <c r="C936" i="6"/>
  <c r="D936" i="6"/>
  <c r="A937" i="6"/>
  <c r="B937" i="6"/>
  <c r="C937" i="6"/>
  <c r="D937" i="6"/>
  <c r="A938" i="6"/>
  <c r="B938" i="6"/>
  <c r="C938" i="6"/>
  <c r="D938" i="6"/>
  <c r="A939" i="6"/>
  <c r="B939" i="6"/>
  <c r="C939" i="6"/>
  <c r="D939" i="6"/>
  <c r="A940" i="6"/>
  <c r="B940" i="6"/>
  <c r="C940" i="6"/>
  <c r="D940" i="6"/>
  <c r="A941" i="6"/>
  <c r="B941" i="6"/>
  <c r="C941" i="6"/>
  <c r="D941" i="6"/>
  <c r="A942" i="6"/>
  <c r="B942" i="6"/>
  <c r="C942" i="6"/>
  <c r="D942" i="6"/>
  <c r="A943" i="6"/>
  <c r="B943" i="6"/>
  <c r="C943" i="6"/>
  <c r="D943" i="6"/>
  <c r="A944" i="6"/>
  <c r="B944" i="6"/>
  <c r="C944" i="6"/>
  <c r="D944" i="6"/>
  <c r="A945" i="6"/>
  <c r="B945" i="6"/>
  <c r="C945" i="6"/>
  <c r="D945" i="6"/>
  <c r="A946" i="6"/>
  <c r="B946" i="6"/>
  <c r="C946" i="6"/>
  <c r="D946" i="6"/>
  <c r="A947" i="6"/>
  <c r="B947" i="6"/>
  <c r="C947" i="6"/>
  <c r="D947" i="6"/>
  <c r="A948" i="6"/>
  <c r="B948" i="6"/>
  <c r="C948" i="6"/>
  <c r="D948" i="6"/>
  <c r="A949" i="6"/>
  <c r="B949" i="6"/>
  <c r="C949" i="6"/>
  <c r="D949" i="6"/>
  <c r="A950" i="6"/>
  <c r="B950" i="6"/>
  <c r="C950" i="6"/>
  <c r="D950" i="6"/>
  <c r="A951" i="6"/>
  <c r="B951" i="6"/>
  <c r="C951" i="6"/>
  <c r="D951" i="6"/>
  <c r="A952" i="6"/>
  <c r="B952" i="6"/>
  <c r="C952" i="6"/>
  <c r="D952" i="6"/>
  <c r="A953" i="6"/>
  <c r="B953" i="6"/>
  <c r="C953" i="6"/>
  <c r="D953" i="6"/>
  <c r="A954" i="6"/>
  <c r="B954" i="6"/>
  <c r="C954" i="6"/>
  <c r="D954" i="6"/>
  <c r="A955" i="6"/>
  <c r="B955" i="6"/>
  <c r="C955" i="6"/>
  <c r="D955" i="6"/>
  <c r="A956" i="6"/>
  <c r="B956" i="6"/>
  <c r="C956" i="6"/>
  <c r="D956" i="6"/>
  <c r="A957" i="6"/>
  <c r="B957" i="6"/>
  <c r="C957" i="6"/>
  <c r="D957" i="6"/>
  <c r="A958" i="6"/>
  <c r="B958" i="6"/>
  <c r="C958" i="6"/>
  <c r="D958" i="6"/>
  <c r="A959" i="6"/>
  <c r="B959" i="6"/>
  <c r="C959" i="6"/>
  <c r="D959" i="6"/>
  <c r="A960" i="6"/>
  <c r="B960" i="6"/>
  <c r="C960" i="6"/>
  <c r="D960" i="6"/>
  <c r="A961" i="6"/>
  <c r="B961" i="6"/>
  <c r="C961" i="6"/>
  <c r="D961" i="6"/>
  <c r="A962" i="6"/>
  <c r="B962" i="6"/>
  <c r="C962" i="6"/>
  <c r="D962" i="6"/>
  <c r="A963" i="6"/>
  <c r="B963" i="6"/>
  <c r="C963" i="6"/>
  <c r="D963" i="6"/>
  <c r="A964" i="6"/>
  <c r="B964" i="6"/>
  <c r="C964" i="6"/>
  <c r="D964" i="6"/>
  <c r="A965" i="6"/>
  <c r="B965" i="6"/>
  <c r="C965" i="6"/>
  <c r="D965" i="6"/>
  <c r="A966" i="6"/>
  <c r="B966" i="6"/>
  <c r="C966" i="6"/>
  <c r="D966" i="6"/>
  <c r="A967" i="6"/>
  <c r="B967" i="6"/>
  <c r="C967" i="6"/>
  <c r="D967" i="6"/>
  <c r="A968" i="6"/>
  <c r="B968" i="6"/>
  <c r="C968" i="6"/>
  <c r="D968" i="6"/>
  <c r="A969" i="6"/>
  <c r="B969" i="6"/>
  <c r="C969" i="6"/>
  <c r="D969" i="6"/>
  <c r="A970" i="6"/>
  <c r="B970" i="6"/>
  <c r="C970" i="6"/>
  <c r="D970" i="6"/>
  <c r="A971" i="6"/>
  <c r="B971" i="6"/>
  <c r="C971" i="6"/>
  <c r="D971" i="6"/>
  <c r="A972" i="6"/>
  <c r="B972" i="6"/>
  <c r="C972" i="6"/>
  <c r="D972" i="6"/>
  <c r="A973" i="6"/>
  <c r="B973" i="6"/>
  <c r="C973" i="6"/>
  <c r="D973" i="6"/>
  <c r="A974" i="6"/>
  <c r="B974" i="6"/>
  <c r="C974" i="6"/>
  <c r="D974" i="6"/>
  <c r="A975" i="6"/>
  <c r="B975" i="6"/>
  <c r="C975" i="6"/>
  <c r="D975" i="6"/>
  <c r="A976" i="6"/>
  <c r="B976" i="6"/>
  <c r="C976" i="6"/>
  <c r="D976" i="6"/>
  <c r="A977" i="6"/>
  <c r="B977" i="6"/>
  <c r="C977" i="6"/>
  <c r="D977" i="6"/>
  <c r="A978" i="6"/>
  <c r="B978" i="6"/>
  <c r="C978" i="6"/>
  <c r="D978" i="6"/>
  <c r="A979" i="6"/>
  <c r="B979" i="6"/>
  <c r="C979" i="6"/>
  <c r="D979" i="6"/>
  <c r="A993" i="6"/>
  <c r="B993" i="6"/>
  <c r="C993" i="6"/>
  <c r="D993" i="6"/>
  <c r="A994" i="6"/>
  <c r="B994" i="6"/>
  <c r="C994" i="6"/>
  <c r="D994" i="6"/>
  <c r="A995" i="6"/>
  <c r="B995" i="6"/>
  <c r="C995" i="6"/>
  <c r="D995" i="6"/>
  <c r="A996" i="6"/>
  <c r="B996" i="6"/>
  <c r="C996" i="6"/>
  <c r="D996" i="6"/>
  <c r="A997" i="6"/>
  <c r="B997" i="6"/>
  <c r="C997" i="6"/>
  <c r="D997" i="6"/>
  <c r="A998" i="6"/>
  <c r="B998" i="6"/>
  <c r="C998" i="6"/>
  <c r="D998" i="6"/>
  <c r="A999" i="6"/>
  <c r="B999" i="6"/>
  <c r="C999" i="6"/>
  <c r="D999" i="6"/>
  <c r="A1000" i="6"/>
  <c r="B1000" i="6"/>
  <c r="C1000" i="6"/>
  <c r="D1000" i="6"/>
  <c r="A1001" i="6"/>
  <c r="B1001" i="6"/>
  <c r="C1001" i="6"/>
  <c r="D1001" i="6"/>
  <c r="A1002" i="6"/>
  <c r="B1002" i="6"/>
  <c r="C1002" i="6"/>
  <c r="D1002" i="6"/>
  <c r="A1003" i="6"/>
  <c r="B1003" i="6"/>
  <c r="C1003" i="6"/>
  <c r="D1003" i="6"/>
  <c r="A1004" i="6"/>
  <c r="B1004" i="6"/>
  <c r="C1004" i="6"/>
  <c r="D1004" i="6"/>
  <c r="A1005" i="6"/>
  <c r="B1005" i="6"/>
  <c r="C1005" i="6"/>
  <c r="D1005" i="6"/>
  <c r="A1006" i="6"/>
  <c r="B1006" i="6"/>
  <c r="C1006" i="6"/>
  <c r="D1006" i="6"/>
  <c r="A1007" i="6"/>
  <c r="B1007" i="6"/>
  <c r="C1007" i="6"/>
  <c r="D1007" i="6"/>
  <c r="A1008" i="6"/>
  <c r="B1008" i="6"/>
  <c r="C1008" i="6"/>
  <c r="D1008" i="6"/>
  <c r="A1009" i="6"/>
  <c r="B1009" i="6"/>
  <c r="C1009" i="6"/>
  <c r="D1009" i="6"/>
  <c r="A1010" i="6"/>
  <c r="B1010" i="6"/>
  <c r="C1010" i="6"/>
  <c r="D1010" i="6"/>
  <c r="A1011" i="6"/>
  <c r="B1011" i="6"/>
  <c r="C1011" i="6"/>
  <c r="D1011" i="6"/>
  <c r="A1012" i="6"/>
  <c r="B1012" i="6"/>
  <c r="C1012" i="6"/>
  <c r="D1012" i="6"/>
  <c r="A1013" i="6"/>
  <c r="B1013" i="6"/>
  <c r="C1013" i="6"/>
  <c r="D1013" i="6"/>
  <c r="A1014" i="6"/>
  <c r="B1014" i="6"/>
  <c r="C1014" i="6"/>
  <c r="D1014" i="6"/>
  <c r="A1015" i="6"/>
  <c r="B1015" i="6"/>
  <c r="C1015" i="6"/>
  <c r="D1015" i="6"/>
  <c r="A1016" i="6"/>
  <c r="B1016" i="6"/>
  <c r="C1016" i="6"/>
  <c r="D1016" i="6"/>
  <c r="A1017" i="6"/>
  <c r="B1017" i="6"/>
  <c r="C1017" i="6"/>
  <c r="D1017" i="6"/>
  <c r="A1018" i="6"/>
  <c r="B1018" i="6"/>
  <c r="C1018" i="6"/>
  <c r="D1018" i="6"/>
  <c r="A1019" i="6"/>
  <c r="B1019" i="6"/>
  <c r="C1019" i="6"/>
  <c r="D1019" i="6"/>
  <c r="A1020" i="6"/>
  <c r="B1020" i="6"/>
  <c r="C1020" i="6"/>
  <c r="D1020" i="6"/>
  <c r="A1021" i="6"/>
  <c r="B1021" i="6"/>
  <c r="C1021" i="6"/>
  <c r="D1021" i="6"/>
  <c r="A1022" i="6"/>
  <c r="B1022" i="6"/>
  <c r="C1022" i="6"/>
  <c r="D1022" i="6"/>
  <c r="A1023" i="6"/>
  <c r="B1023" i="6"/>
  <c r="C1023" i="6"/>
  <c r="D1023" i="6"/>
  <c r="A1024" i="6"/>
  <c r="B1024" i="6"/>
  <c r="C1024" i="6"/>
  <c r="D1024" i="6"/>
  <c r="A1025" i="6"/>
  <c r="B1025" i="6"/>
  <c r="C1025" i="6"/>
  <c r="D1025" i="6"/>
  <c r="A1026" i="6"/>
  <c r="B1026" i="6"/>
  <c r="C1026" i="6"/>
  <c r="D1026" i="6"/>
  <c r="A1027" i="6"/>
  <c r="B1027" i="6"/>
  <c r="C1027" i="6"/>
  <c r="D1027" i="6"/>
  <c r="A1028" i="6"/>
  <c r="B1028" i="6"/>
  <c r="C1028" i="6"/>
  <c r="D1028" i="6"/>
  <c r="A1029" i="6"/>
  <c r="B1029" i="6"/>
  <c r="C1029" i="6"/>
  <c r="D1029" i="6"/>
  <c r="A1030" i="6"/>
  <c r="B1030" i="6"/>
  <c r="C1030" i="6"/>
  <c r="D1030" i="6"/>
  <c r="A1031" i="6"/>
  <c r="B1031" i="6"/>
  <c r="C1031" i="6"/>
  <c r="D1031" i="6"/>
  <c r="A1032" i="6"/>
  <c r="B1032" i="6"/>
  <c r="C1032" i="6"/>
  <c r="D1032" i="6"/>
  <c r="A1033" i="6"/>
  <c r="B1033" i="6"/>
  <c r="C1033" i="6"/>
  <c r="D1033" i="6"/>
  <c r="A1034" i="6"/>
  <c r="B1034" i="6"/>
  <c r="C1034" i="6"/>
  <c r="D1034" i="6"/>
  <c r="A1035" i="6"/>
  <c r="B1035" i="6"/>
  <c r="C1035" i="6"/>
  <c r="D1035" i="6"/>
  <c r="A1036" i="6"/>
  <c r="B1036" i="6"/>
  <c r="C1036" i="6"/>
  <c r="D1036" i="6"/>
  <c r="A1037" i="6"/>
  <c r="B1037" i="6"/>
  <c r="C1037" i="6"/>
  <c r="D1037" i="6"/>
  <c r="A1038" i="6"/>
  <c r="B1038" i="6"/>
  <c r="C1038" i="6"/>
  <c r="D1038" i="6"/>
  <c r="A1039" i="6"/>
  <c r="B1039" i="6"/>
  <c r="C1039" i="6"/>
  <c r="D1039" i="6"/>
  <c r="A1040" i="6"/>
  <c r="B1040" i="6"/>
  <c r="C1040" i="6"/>
  <c r="D1040" i="6"/>
  <c r="A1041" i="6"/>
  <c r="B1041" i="6"/>
  <c r="C1041" i="6"/>
  <c r="D1041" i="6"/>
  <c r="A1042" i="6"/>
  <c r="B1042" i="6"/>
  <c r="C1042" i="6"/>
  <c r="D1042" i="6"/>
  <c r="A1043" i="6"/>
  <c r="B1043" i="6"/>
  <c r="C1043" i="6"/>
  <c r="D1043" i="6"/>
  <c r="A1044" i="6"/>
  <c r="B1044" i="6"/>
  <c r="C1044" i="6"/>
  <c r="D1044" i="6"/>
  <c r="A1045" i="6"/>
  <c r="B1045" i="6"/>
  <c r="C1045" i="6"/>
  <c r="D1045" i="6"/>
  <c r="A1046" i="6"/>
  <c r="B1046" i="6"/>
  <c r="C1046" i="6"/>
  <c r="D1046" i="6"/>
  <c r="A1047" i="6"/>
  <c r="B1047" i="6"/>
  <c r="C1047" i="6"/>
  <c r="D1047" i="6"/>
  <c r="A1048" i="6"/>
  <c r="B1048" i="6"/>
  <c r="C1048" i="6"/>
  <c r="D1048" i="6"/>
  <c r="A1049" i="6"/>
  <c r="B1049" i="6"/>
  <c r="C1049" i="6"/>
  <c r="D1049" i="6"/>
  <c r="A1050" i="6"/>
  <c r="B1050" i="6"/>
  <c r="C1050" i="6"/>
  <c r="D1050" i="6"/>
  <c r="A1051" i="6"/>
  <c r="B1051" i="6"/>
  <c r="C1051" i="6"/>
  <c r="D1051" i="6"/>
  <c r="A1052" i="6"/>
  <c r="B1052" i="6"/>
  <c r="C1052" i="6"/>
  <c r="D1052" i="6"/>
  <c r="A1053" i="6"/>
  <c r="B1053" i="6"/>
  <c r="C1053" i="6"/>
  <c r="D1053" i="6"/>
  <c r="A1054" i="6"/>
  <c r="B1054" i="6"/>
  <c r="C1054" i="6"/>
  <c r="D1054" i="6"/>
  <c r="A1055" i="6"/>
  <c r="B1055" i="6"/>
  <c r="C1055" i="6"/>
  <c r="D1055" i="6"/>
  <c r="A1056" i="6"/>
  <c r="B1056" i="6"/>
  <c r="C1056" i="6"/>
  <c r="D1056" i="6"/>
  <c r="A1057" i="6"/>
  <c r="B1057" i="6"/>
  <c r="C1057" i="6"/>
  <c r="D1057" i="6"/>
  <c r="A1058" i="6"/>
  <c r="B1058" i="6"/>
  <c r="C1058" i="6"/>
  <c r="D1058" i="6"/>
  <c r="A1059" i="6"/>
  <c r="B1059" i="6"/>
  <c r="C1059" i="6"/>
  <c r="D1059" i="6"/>
  <c r="A1060" i="6"/>
  <c r="B1060" i="6"/>
  <c r="C1060" i="6"/>
  <c r="D1060" i="6"/>
  <c r="A1061" i="6"/>
  <c r="B1061" i="6"/>
  <c r="C1061" i="6"/>
  <c r="D1061" i="6"/>
  <c r="A1062" i="6"/>
  <c r="B1062" i="6"/>
  <c r="C1062" i="6"/>
  <c r="D1062" i="6"/>
  <c r="A1063" i="6"/>
  <c r="B1063" i="6"/>
  <c r="C1063" i="6"/>
  <c r="D1063" i="6"/>
  <c r="A1064" i="6"/>
  <c r="B1064" i="6"/>
  <c r="C1064" i="6"/>
  <c r="D1064" i="6"/>
  <c r="A1065" i="6"/>
  <c r="B1065" i="6"/>
  <c r="C1065" i="6"/>
  <c r="D1065" i="6"/>
  <c r="A1066" i="6"/>
  <c r="B1066" i="6"/>
  <c r="C1066" i="6"/>
  <c r="D1066" i="6"/>
  <c r="A1067" i="6"/>
  <c r="B1067" i="6"/>
  <c r="C1067" i="6"/>
  <c r="D1067" i="6"/>
  <c r="A1068" i="6"/>
  <c r="B1068" i="6"/>
  <c r="C1068" i="6"/>
  <c r="D1068" i="6"/>
  <c r="A1069" i="6"/>
  <c r="B1069" i="6"/>
  <c r="C1069" i="6"/>
  <c r="D1069" i="6"/>
  <c r="A1070" i="6"/>
  <c r="B1070" i="6"/>
  <c r="C1070" i="6"/>
  <c r="D1070" i="6"/>
  <c r="A1071" i="6"/>
  <c r="B1071" i="6"/>
  <c r="C1071" i="6"/>
  <c r="D1071" i="6"/>
  <c r="A1072" i="6"/>
  <c r="B1072" i="6"/>
  <c r="C1072" i="6"/>
  <c r="D1072" i="6"/>
  <c r="A1073" i="6"/>
  <c r="B1073" i="6"/>
  <c r="C1073" i="6"/>
  <c r="D1073" i="6"/>
  <c r="A1074" i="6"/>
  <c r="B1074" i="6"/>
  <c r="C1074" i="6"/>
  <c r="D1074" i="6"/>
  <c r="A1075" i="6"/>
  <c r="B1075" i="6"/>
  <c r="C1075" i="6"/>
  <c r="D1075" i="6"/>
  <c r="A1076" i="6"/>
  <c r="B1076" i="6"/>
  <c r="C1076" i="6"/>
  <c r="D1076" i="6"/>
  <c r="A1077" i="6"/>
  <c r="B1077" i="6"/>
  <c r="C1077" i="6"/>
  <c r="D1077" i="6"/>
  <c r="A1078" i="6"/>
  <c r="B1078" i="6"/>
  <c r="C1078" i="6"/>
  <c r="D1078" i="6"/>
  <c r="A1079" i="6"/>
  <c r="B1079" i="6"/>
  <c r="C1079" i="6"/>
  <c r="D1079" i="6"/>
  <c r="A1080" i="6"/>
  <c r="B1080" i="6"/>
  <c r="C1080" i="6"/>
  <c r="D1080" i="6"/>
  <c r="A1081" i="6"/>
  <c r="B1081" i="6"/>
  <c r="C1081" i="6"/>
  <c r="D1081" i="6"/>
  <c r="A1082" i="6"/>
  <c r="B1082" i="6"/>
  <c r="C1082" i="6"/>
  <c r="D1082" i="6"/>
  <c r="A1083" i="6"/>
  <c r="B1083" i="6"/>
  <c r="C1083" i="6"/>
  <c r="D1083" i="6"/>
  <c r="A1084" i="6"/>
  <c r="B1084" i="6"/>
  <c r="C1084" i="6"/>
  <c r="D1084" i="6"/>
  <c r="A1085" i="6"/>
  <c r="B1085" i="6"/>
  <c r="C1085" i="6"/>
  <c r="D1085" i="6"/>
  <c r="A1086" i="6"/>
  <c r="B1086" i="6"/>
  <c r="C1086" i="6"/>
  <c r="D1086" i="6"/>
  <c r="A1087" i="6"/>
  <c r="B1087" i="6"/>
  <c r="C1087" i="6"/>
  <c r="D1087" i="6"/>
  <c r="A1088" i="6"/>
  <c r="B1088" i="6"/>
  <c r="C1088" i="6"/>
  <c r="D1088" i="6"/>
  <c r="A1089" i="6"/>
  <c r="B1089" i="6"/>
  <c r="C1089" i="6"/>
  <c r="D1089" i="6"/>
  <c r="A1090" i="6"/>
  <c r="B1090" i="6"/>
  <c r="C1090" i="6"/>
  <c r="D1090" i="6"/>
  <c r="A1091" i="6"/>
  <c r="B1091" i="6"/>
  <c r="C1091" i="6"/>
  <c r="D1091" i="6"/>
  <c r="A1092" i="6"/>
  <c r="B1092" i="6"/>
  <c r="C1092" i="6"/>
  <c r="D1092" i="6"/>
  <c r="A1093" i="6"/>
  <c r="B1093" i="6"/>
  <c r="C1093" i="6"/>
  <c r="D1093" i="6"/>
  <c r="A1094" i="6"/>
  <c r="B1094" i="6"/>
  <c r="C1094" i="6"/>
  <c r="D1094" i="6"/>
  <c r="A1095" i="6"/>
  <c r="B1095" i="6"/>
  <c r="C1095" i="6"/>
  <c r="D1095" i="6"/>
  <c r="A1096" i="6"/>
  <c r="B1096" i="6"/>
  <c r="C1096" i="6"/>
  <c r="D1096" i="6"/>
  <c r="A1097" i="6"/>
  <c r="B1097" i="6"/>
  <c r="C1097" i="6"/>
  <c r="D1097" i="6"/>
  <c r="A1098" i="6"/>
  <c r="B1098" i="6"/>
  <c r="C1098" i="6"/>
  <c r="D1098" i="6"/>
  <c r="A1099" i="6"/>
  <c r="B1099" i="6"/>
  <c r="C1099" i="6"/>
  <c r="D1099" i="6"/>
  <c r="A1100" i="6"/>
  <c r="B1100" i="6"/>
  <c r="C1100" i="6"/>
  <c r="D1100" i="6"/>
  <c r="A1101" i="6"/>
  <c r="B1101" i="6"/>
  <c r="C1101" i="6"/>
  <c r="D1101" i="6"/>
  <c r="A1102" i="6"/>
  <c r="B1102" i="6"/>
  <c r="C1102" i="6"/>
  <c r="D1102" i="6"/>
  <c r="A1103" i="6"/>
  <c r="B1103" i="6"/>
  <c r="C1103" i="6"/>
  <c r="D1103" i="6"/>
  <c r="A1104" i="6"/>
  <c r="B1104" i="6"/>
  <c r="C1104" i="6"/>
  <c r="D1104" i="6"/>
  <c r="A1105" i="6"/>
  <c r="B1105" i="6"/>
  <c r="C1105" i="6"/>
  <c r="D1105" i="6"/>
  <c r="A1106" i="6"/>
  <c r="B1106" i="6"/>
  <c r="C1106" i="6"/>
  <c r="D1106" i="6"/>
  <c r="A1107" i="6"/>
  <c r="B1107" i="6"/>
  <c r="C1107" i="6"/>
  <c r="D1107" i="6"/>
  <c r="A1108" i="6"/>
  <c r="B1108" i="6"/>
  <c r="C1108" i="6"/>
  <c r="D1108" i="6"/>
  <c r="A1109" i="6"/>
  <c r="B1109" i="6"/>
  <c r="C1109" i="6"/>
  <c r="D1109" i="6"/>
  <c r="A1110" i="6"/>
  <c r="B1110" i="6"/>
  <c r="C1110" i="6"/>
  <c r="D1110" i="6"/>
  <c r="A1111" i="6"/>
  <c r="B1111" i="6"/>
  <c r="C1111" i="6"/>
  <c r="D1111" i="6"/>
  <c r="A1112" i="6"/>
  <c r="B1112" i="6"/>
  <c r="C1112" i="6"/>
  <c r="D1112" i="6"/>
  <c r="A1113" i="6"/>
  <c r="B1113" i="6"/>
  <c r="C1113" i="6"/>
  <c r="D1113" i="6"/>
  <c r="A1114" i="6"/>
  <c r="B1114" i="6"/>
  <c r="C1114" i="6"/>
  <c r="D1114" i="6"/>
  <c r="A1115" i="6"/>
  <c r="B1115" i="6"/>
  <c r="C1115" i="6"/>
  <c r="D1115" i="6"/>
  <c r="A1116" i="6"/>
  <c r="B1116" i="6"/>
  <c r="C1116" i="6"/>
  <c r="D1116" i="6"/>
  <c r="A1117" i="6"/>
  <c r="B1117" i="6"/>
  <c r="C1117" i="6"/>
  <c r="D1117" i="6"/>
  <c r="A1118" i="6"/>
  <c r="B1118" i="6"/>
  <c r="C1118" i="6"/>
  <c r="D1118" i="6"/>
  <c r="A1119" i="6"/>
  <c r="B1119" i="6"/>
  <c r="C1119" i="6"/>
  <c r="D1119" i="6"/>
  <c r="A1120" i="6"/>
  <c r="B1120" i="6"/>
  <c r="C1120" i="6"/>
  <c r="D1120" i="6"/>
  <c r="A1121" i="6"/>
  <c r="B1121" i="6"/>
  <c r="C1121" i="6"/>
  <c r="D1121" i="6"/>
  <c r="A1122" i="6"/>
  <c r="B1122" i="6"/>
  <c r="C1122" i="6"/>
  <c r="D1122" i="6"/>
  <c r="A1123" i="6"/>
  <c r="B1123" i="6"/>
  <c r="C1123" i="6"/>
  <c r="D1123" i="6"/>
  <c r="A1124" i="6"/>
  <c r="B1124" i="6"/>
  <c r="C1124" i="6"/>
  <c r="D1124" i="6"/>
  <c r="A1125" i="6"/>
  <c r="B1125" i="6"/>
  <c r="C1125" i="6"/>
  <c r="D1125" i="6"/>
  <c r="A1126" i="6"/>
  <c r="B1126" i="6"/>
  <c r="C1126" i="6"/>
  <c r="D1126" i="6"/>
  <c r="A1127" i="6"/>
  <c r="B1127" i="6"/>
  <c r="C1127" i="6"/>
  <c r="D1127" i="6"/>
  <c r="A1128" i="6"/>
  <c r="B1128" i="6"/>
  <c r="C1128" i="6"/>
  <c r="D1128" i="6"/>
  <c r="A1129" i="6"/>
  <c r="B1129" i="6"/>
  <c r="C1129" i="6"/>
  <c r="D1129" i="6"/>
  <c r="A1130" i="6"/>
  <c r="B1130" i="6"/>
  <c r="C1130" i="6"/>
  <c r="D1130" i="6"/>
  <c r="A1131" i="6"/>
  <c r="B1131" i="6"/>
  <c r="C1131" i="6"/>
  <c r="D1131" i="6"/>
  <c r="A1132" i="6"/>
  <c r="B1132" i="6"/>
  <c r="C1132" i="6"/>
  <c r="D1132" i="6"/>
  <c r="A1133" i="6"/>
  <c r="B1133" i="6"/>
  <c r="C1133" i="6"/>
  <c r="D1133" i="6"/>
  <c r="A1134" i="6"/>
  <c r="B1134" i="6"/>
  <c r="C1134" i="6"/>
  <c r="D1134" i="6"/>
  <c r="A1135" i="6"/>
  <c r="B1135" i="6"/>
  <c r="C1135" i="6"/>
  <c r="D1135" i="6"/>
  <c r="A1136" i="6"/>
  <c r="B1136" i="6"/>
  <c r="C1136" i="6"/>
  <c r="D1136" i="6"/>
  <c r="A1137" i="6"/>
  <c r="B1137" i="6"/>
  <c r="C1137" i="6"/>
  <c r="D1137" i="6"/>
  <c r="A1138" i="6"/>
  <c r="B1138" i="6"/>
  <c r="C1138" i="6"/>
  <c r="D1138" i="6"/>
  <c r="A1139" i="6"/>
  <c r="B1139" i="6"/>
  <c r="C1139" i="6"/>
  <c r="D1139" i="6"/>
  <c r="A1140" i="6"/>
  <c r="B1140" i="6"/>
  <c r="C1140" i="6"/>
  <c r="D1140" i="6"/>
  <c r="A1141" i="6"/>
  <c r="B1141" i="6"/>
  <c r="C1141" i="6"/>
  <c r="D1141" i="6"/>
  <c r="A1142" i="6"/>
  <c r="B1142" i="6"/>
  <c r="C1142" i="6"/>
  <c r="D1142" i="6"/>
  <c r="A1143" i="6"/>
  <c r="B1143" i="6"/>
  <c r="C1143" i="6"/>
  <c r="D1143" i="6"/>
  <c r="A1144" i="6"/>
  <c r="B1144" i="6"/>
  <c r="C1144" i="6"/>
  <c r="D1144" i="6"/>
  <c r="A1145" i="6"/>
  <c r="B1145" i="6"/>
  <c r="C1145" i="6"/>
  <c r="D1145" i="6"/>
  <c r="A1146" i="6"/>
  <c r="B1146" i="6"/>
  <c r="C1146" i="6"/>
  <c r="D1146" i="6"/>
  <c r="A1147" i="6"/>
  <c r="B1147" i="6"/>
  <c r="C1147" i="6"/>
  <c r="D1147" i="6"/>
  <c r="A1148" i="6"/>
  <c r="B1148" i="6"/>
  <c r="C1148" i="6"/>
  <c r="D1148" i="6"/>
  <c r="A1149" i="6"/>
  <c r="B1149" i="6"/>
  <c r="C1149" i="6"/>
  <c r="D1149" i="6"/>
  <c r="A1150" i="6"/>
  <c r="B1150" i="6"/>
  <c r="C1150" i="6"/>
  <c r="D1150" i="6"/>
  <c r="A1151" i="6"/>
  <c r="B1151" i="6"/>
  <c r="C1151" i="6"/>
  <c r="D1151" i="6"/>
  <c r="A1152" i="6"/>
  <c r="B1152" i="6"/>
  <c r="C1152" i="6"/>
  <c r="D1152" i="6"/>
  <c r="A1153" i="6"/>
  <c r="B1153" i="6"/>
  <c r="C1153" i="6"/>
  <c r="D1153" i="6"/>
  <c r="A1154" i="6"/>
  <c r="B1154" i="6"/>
  <c r="C1154" i="6"/>
  <c r="D1154" i="6"/>
  <c r="A1155" i="6"/>
  <c r="B1155" i="6"/>
  <c r="C1155" i="6"/>
  <c r="D1155" i="6"/>
  <c r="A1156" i="6"/>
  <c r="B1156" i="6"/>
  <c r="C1156" i="6"/>
  <c r="D1156" i="6"/>
  <c r="A1157" i="6"/>
  <c r="B1157" i="6"/>
  <c r="C1157" i="6"/>
  <c r="D1157" i="6"/>
  <c r="A1158" i="6"/>
  <c r="B1158" i="6"/>
  <c r="C1158" i="6"/>
  <c r="D1158" i="6"/>
  <c r="A1159" i="6"/>
  <c r="B1159" i="6"/>
  <c r="C1159" i="6"/>
  <c r="D1159" i="6"/>
  <c r="A1160" i="6"/>
  <c r="B1160" i="6"/>
  <c r="C1160" i="6"/>
  <c r="D1160" i="6"/>
  <c r="A1161" i="6"/>
  <c r="B1161" i="6"/>
  <c r="C1161" i="6"/>
  <c r="D1161" i="6"/>
  <c r="A1162" i="6"/>
  <c r="B1162" i="6"/>
  <c r="C1162" i="6"/>
  <c r="D1162" i="6"/>
  <c r="A1163" i="6"/>
  <c r="B1163" i="6"/>
  <c r="C1163" i="6"/>
  <c r="D1163" i="6"/>
  <c r="A1164" i="6"/>
  <c r="B1164" i="6"/>
  <c r="C1164" i="6"/>
  <c r="D1164" i="6"/>
  <c r="A1165" i="6"/>
  <c r="B1165" i="6"/>
  <c r="C1165" i="6"/>
  <c r="D1165" i="6"/>
  <c r="A1166" i="6"/>
  <c r="B1166" i="6"/>
  <c r="C1166" i="6"/>
  <c r="D1166" i="6"/>
  <c r="A1167" i="6"/>
  <c r="B1167" i="6"/>
  <c r="C1167" i="6"/>
  <c r="D1167" i="6"/>
  <c r="A1168" i="6"/>
  <c r="B1168" i="6"/>
  <c r="C1168" i="6"/>
  <c r="D1168" i="6"/>
  <c r="A1169" i="6"/>
  <c r="B1169" i="6"/>
  <c r="C1169" i="6"/>
  <c r="D1169" i="6"/>
  <c r="A1170" i="6"/>
  <c r="B1170" i="6"/>
  <c r="C1170" i="6"/>
  <c r="D1170" i="6"/>
  <c r="A1171" i="6"/>
  <c r="B1171" i="6"/>
  <c r="C1171" i="6"/>
  <c r="D1171" i="6"/>
  <c r="A1172" i="6"/>
  <c r="B1172" i="6"/>
  <c r="C1172" i="6"/>
  <c r="D1172" i="6"/>
  <c r="A1173" i="6"/>
  <c r="B1173" i="6"/>
  <c r="C1173" i="6"/>
  <c r="D1173" i="6"/>
  <c r="A1174" i="6"/>
  <c r="B1174" i="6"/>
  <c r="C1174" i="6"/>
  <c r="D1174" i="6"/>
  <c r="A1175" i="6"/>
  <c r="B1175" i="6"/>
  <c r="C1175" i="6"/>
  <c r="D1175" i="6"/>
  <c r="A1176" i="6"/>
  <c r="B1176" i="6"/>
  <c r="C1176" i="6"/>
  <c r="D1176" i="6"/>
  <c r="A1177" i="6"/>
  <c r="B1177" i="6"/>
  <c r="C1177" i="6"/>
  <c r="D1177" i="6"/>
  <c r="A1178" i="6"/>
  <c r="B1178" i="6"/>
  <c r="C1178" i="6"/>
  <c r="D1178" i="6"/>
  <c r="A1179" i="6"/>
  <c r="B1179" i="6"/>
  <c r="C1179" i="6"/>
  <c r="D1179" i="6"/>
  <c r="A1180" i="6"/>
  <c r="B1180" i="6"/>
  <c r="C1180" i="6"/>
  <c r="D1180" i="6"/>
  <c r="A1181" i="6"/>
  <c r="B1181" i="6"/>
  <c r="C1181" i="6"/>
  <c r="D1181" i="6"/>
  <c r="A1182" i="6"/>
  <c r="B1182" i="6"/>
  <c r="C1182" i="6"/>
  <c r="D1182" i="6"/>
  <c r="A1183" i="6"/>
  <c r="B1183" i="6"/>
  <c r="C1183" i="6"/>
  <c r="D1183" i="6"/>
  <c r="A1184" i="6"/>
  <c r="B1184" i="6"/>
  <c r="C1184" i="6"/>
  <c r="D1184" i="6"/>
  <c r="A1185" i="6"/>
  <c r="B1185" i="6"/>
  <c r="C1185" i="6"/>
  <c r="D1185" i="6"/>
  <c r="A1186" i="6"/>
  <c r="B1186" i="6"/>
  <c r="C1186" i="6"/>
  <c r="D1186" i="6"/>
  <c r="A1187" i="6"/>
  <c r="B1187" i="6"/>
  <c r="C1187" i="6"/>
  <c r="D1187" i="6"/>
  <c r="A1188" i="6"/>
  <c r="B1188" i="6"/>
  <c r="C1188" i="6"/>
  <c r="D1188" i="6"/>
  <c r="A1189" i="6"/>
  <c r="B1189" i="6"/>
  <c r="C1189" i="6"/>
  <c r="D1189" i="6"/>
  <c r="A1190" i="6"/>
  <c r="B1190" i="6"/>
  <c r="C1190" i="6"/>
  <c r="D1190" i="6"/>
  <c r="A1191" i="6"/>
  <c r="B1191" i="6"/>
  <c r="C1191" i="6"/>
  <c r="D1191" i="6"/>
  <c r="A1192" i="6"/>
  <c r="B1192" i="6"/>
  <c r="C1192" i="6"/>
  <c r="D1192" i="6"/>
  <c r="A1193" i="6"/>
  <c r="B1193" i="6"/>
  <c r="C1193" i="6"/>
  <c r="D1193" i="6"/>
  <c r="A1194" i="6"/>
  <c r="B1194" i="6"/>
  <c r="C1194" i="6"/>
  <c r="D1194" i="6"/>
  <c r="A1195" i="6"/>
  <c r="B1195" i="6"/>
  <c r="C1195" i="6"/>
  <c r="D1195" i="6"/>
  <c r="A1196" i="6"/>
  <c r="B1196" i="6"/>
  <c r="C1196" i="6"/>
  <c r="D1196" i="6"/>
  <c r="A1197" i="6"/>
  <c r="B1197" i="6"/>
  <c r="C1197" i="6"/>
  <c r="D1197" i="6"/>
  <c r="A1198" i="6"/>
  <c r="B1198" i="6"/>
  <c r="C1198" i="6"/>
  <c r="D1198" i="6"/>
  <c r="A1199" i="6"/>
  <c r="B1199" i="6"/>
  <c r="C1199" i="6"/>
  <c r="D1199" i="6"/>
  <c r="A1200" i="6"/>
  <c r="B1200" i="6"/>
  <c r="C1200" i="6"/>
  <c r="D1200" i="6"/>
  <c r="A1201" i="6"/>
  <c r="B1201" i="6"/>
  <c r="C1201" i="6"/>
  <c r="D1201" i="6"/>
  <c r="A1202" i="6"/>
  <c r="B1202" i="6"/>
  <c r="C1202" i="6"/>
  <c r="D1202" i="6"/>
  <c r="A1203" i="6"/>
  <c r="B1203" i="6"/>
  <c r="C1203" i="6"/>
  <c r="D1203" i="6"/>
  <c r="A1204" i="6"/>
  <c r="B1204" i="6"/>
  <c r="C1204" i="6"/>
  <c r="D1204" i="6"/>
  <c r="A1205" i="6"/>
  <c r="B1205" i="6"/>
  <c r="C1205" i="6"/>
  <c r="D1205" i="6"/>
  <c r="A1206" i="6"/>
  <c r="B1206" i="6"/>
  <c r="C1206" i="6"/>
  <c r="D1206" i="6"/>
  <c r="A1207" i="6"/>
  <c r="B1207" i="6"/>
  <c r="C1207" i="6"/>
  <c r="D1207" i="6"/>
  <c r="A1208" i="6"/>
  <c r="B1208" i="6"/>
  <c r="C1208" i="6"/>
  <c r="D1208" i="6"/>
  <c r="A1209" i="6"/>
  <c r="B1209" i="6"/>
  <c r="C1209" i="6"/>
  <c r="D1209" i="6"/>
  <c r="A1210" i="6"/>
  <c r="B1210" i="6"/>
  <c r="C1210" i="6"/>
  <c r="D1210" i="6"/>
  <c r="A1211" i="6"/>
  <c r="B1211" i="6"/>
  <c r="C1211" i="6"/>
  <c r="D1211" i="6"/>
  <c r="A1212" i="6"/>
  <c r="B1212" i="6"/>
  <c r="C1212" i="6"/>
  <c r="D1212" i="6"/>
  <c r="A1213" i="6"/>
  <c r="B1213" i="6"/>
  <c r="C1213" i="6"/>
  <c r="D1213" i="6"/>
  <c r="A1214" i="6"/>
  <c r="B1214" i="6"/>
  <c r="C1214" i="6"/>
  <c r="D1214" i="6"/>
  <c r="A1215" i="6"/>
  <c r="B1215" i="6"/>
  <c r="C1215" i="6"/>
  <c r="D1215" i="6"/>
  <c r="A1216" i="6"/>
  <c r="B1216" i="6"/>
  <c r="C1216" i="6"/>
  <c r="D1216" i="6"/>
  <c r="A1217" i="6"/>
  <c r="B1217" i="6"/>
  <c r="C1217" i="6"/>
  <c r="D1217" i="6"/>
  <c r="A1218" i="6"/>
  <c r="B1218" i="6"/>
  <c r="C1218" i="6"/>
  <c r="D1218" i="6"/>
  <c r="A1219" i="6"/>
  <c r="B1219" i="6"/>
  <c r="C1219" i="6"/>
  <c r="D1219" i="6"/>
  <c r="A1220" i="6"/>
  <c r="B1220" i="6"/>
  <c r="C1220" i="6"/>
  <c r="D1220" i="6"/>
  <c r="A1221" i="6"/>
  <c r="B1221" i="6"/>
  <c r="C1221" i="6"/>
  <c r="D1221" i="6"/>
  <c r="A1222" i="6"/>
  <c r="B1222" i="6"/>
  <c r="C1222" i="6"/>
  <c r="D1222" i="6"/>
  <c r="A1223" i="6"/>
  <c r="B1223" i="6"/>
  <c r="C1223" i="6"/>
  <c r="D1223" i="6"/>
  <c r="A1224" i="6"/>
  <c r="B1224" i="6"/>
  <c r="C1224" i="6"/>
  <c r="D1224" i="6"/>
  <c r="A1225" i="6"/>
  <c r="B1225" i="6"/>
  <c r="C1225" i="6"/>
  <c r="D1225" i="6"/>
  <c r="A1226" i="6"/>
  <c r="B1226" i="6"/>
  <c r="C1226" i="6"/>
  <c r="D1226" i="6"/>
  <c r="A1227" i="6"/>
  <c r="B1227" i="6"/>
  <c r="C1227" i="6"/>
  <c r="D1227" i="6"/>
  <c r="A1228" i="6"/>
  <c r="B1228" i="6"/>
  <c r="C1228" i="6"/>
  <c r="D1228" i="6"/>
  <c r="A1229" i="6"/>
  <c r="B1229" i="6"/>
  <c r="C1229" i="6"/>
  <c r="D1229" i="6"/>
  <c r="A1230" i="6"/>
  <c r="B1230" i="6"/>
  <c r="C1230" i="6"/>
  <c r="D1230" i="6"/>
  <c r="A1231" i="6"/>
  <c r="B1231" i="6"/>
  <c r="C1231" i="6"/>
  <c r="D1231" i="6"/>
  <c r="A1232" i="6"/>
  <c r="B1232" i="6"/>
  <c r="C1232" i="6"/>
  <c r="D1232" i="6"/>
  <c r="A1233" i="6"/>
  <c r="B1233" i="6"/>
  <c r="C1233" i="6"/>
  <c r="D1233" i="6"/>
  <c r="A1234" i="6"/>
  <c r="B1234" i="6"/>
  <c r="C1234" i="6"/>
  <c r="D1234" i="6"/>
  <c r="A1235" i="6"/>
  <c r="B1235" i="6"/>
  <c r="C1235" i="6"/>
  <c r="D1235" i="6"/>
  <c r="A1236" i="6"/>
  <c r="B1236" i="6"/>
  <c r="C1236" i="6"/>
  <c r="D1236" i="6"/>
  <c r="A1237" i="6"/>
  <c r="B1237" i="6"/>
  <c r="C1237" i="6"/>
  <c r="D1237" i="6"/>
  <c r="A1238" i="6"/>
  <c r="B1238" i="6"/>
  <c r="C1238" i="6"/>
  <c r="D1238" i="6"/>
  <c r="A1239" i="6"/>
  <c r="B1239" i="6"/>
  <c r="C1239" i="6"/>
  <c r="D1239" i="6"/>
  <c r="A1240" i="6"/>
  <c r="B1240" i="6"/>
  <c r="C1240" i="6"/>
  <c r="D1240" i="6"/>
  <c r="A1241" i="6"/>
  <c r="B1241" i="6"/>
  <c r="C1241" i="6"/>
  <c r="D1241" i="6"/>
  <c r="A1242" i="6"/>
  <c r="B1242" i="6"/>
  <c r="C1242" i="6"/>
  <c r="D1242" i="6"/>
  <c r="A1243" i="6"/>
  <c r="B1243" i="6"/>
  <c r="C1243" i="6"/>
  <c r="D1243" i="6"/>
  <c r="A1244" i="6"/>
  <c r="B1244" i="6"/>
  <c r="C1244" i="6"/>
  <c r="D1244" i="6"/>
  <c r="A1245" i="6"/>
  <c r="B1245" i="6"/>
  <c r="C1245" i="6"/>
  <c r="D1245" i="6"/>
  <c r="A1246" i="6"/>
  <c r="B1246" i="6"/>
  <c r="C1246" i="6"/>
  <c r="D1246" i="6"/>
  <c r="A1247" i="6"/>
  <c r="B1247" i="6"/>
  <c r="C1247" i="6"/>
  <c r="D1247" i="6"/>
  <c r="A1248" i="6"/>
  <c r="B1248" i="6"/>
  <c r="C1248" i="6"/>
  <c r="D1248" i="6"/>
  <c r="A1249" i="6"/>
  <c r="B1249" i="6"/>
  <c r="C1249" i="6"/>
  <c r="D1249" i="6"/>
  <c r="A1250" i="6"/>
  <c r="B1250" i="6"/>
  <c r="C1250" i="6"/>
  <c r="D1250" i="6"/>
  <c r="A1251" i="6"/>
  <c r="B1251" i="6"/>
  <c r="C1251" i="6"/>
  <c r="D1251" i="6"/>
  <c r="A1252" i="6"/>
  <c r="B1252" i="6"/>
  <c r="C1252" i="6"/>
  <c r="D1252" i="6"/>
  <c r="A1253" i="6"/>
  <c r="B1253" i="6"/>
  <c r="C1253" i="6"/>
  <c r="D1253" i="6"/>
  <c r="A1254" i="6"/>
  <c r="B1254" i="6"/>
  <c r="C1254" i="6"/>
  <c r="D1254" i="6"/>
  <c r="A1255" i="6"/>
  <c r="B1255" i="6"/>
  <c r="C1255" i="6"/>
  <c r="D1255" i="6"/>
  <c r="A1256" i="6"/>
  <c r="B1256" i="6"/>
  <c r="C1256" i="6"/>
  <c r="D1256" i="6"/>
  <c r="A1257" i="6"/>
  <c r="B1257" i="6"/>
  <c r="C1257" i="6"/>
  <c r="D1257" i="6"/>
  <c r="A1258" i="6"/>
  <c r="B1258" i="6"/>
  <c r="C1258" i="6"/>
  <c r="D1258" i="6"/>
  <c r="A1259" i="6"/>
  <c r="B1259" i="6"/>
  <c r="C1259" i="6"/>
  <c r="D1259" i="6"/>
  <c r="A1260" i="6"/>
  <c r="B1260" i="6"/>
  <c r="C1260" i="6"/>
  <c r="D1260" i="6"/>
  <c r="A1261" i="6"/>
  <c r="B1261" i="6"/>
  <c r="C1261" i="6"/>
  <c r="D1261" i="6"/>
  <c r="A1262" i="6"/>
  <c r="B1262" i="6"/>
  <c r="C1262" i="6"/>
  <c r="D1262" i="6"/>
  <c r="A1263" i="6"/>
  <c r="B1263" i="6"/>
  <c r="C1263" i="6"/>
  <c r="D1263" i="6"/>
  <c r="A1264" i="6"/>
  <c r="B1264" i="6"/>
  <c r="C1264" i="6"/>
  <c r="D1264" i="6"/>
  <c r="A1265" i="6"/>
  <c r="B1265" i="6"/>
  <c r="C1265" i="6"/>
  <c r="D1265" i="6"/>
  <c r="A1266" i="6"/>
  <c r="B1266" i="6"/>
  <c r="C1266" i="6"/>
  <c r="D1266" i="6"/>
  <c r="A1267" i="6"/>
  <c r="B1267" i="6"/>
  <c r="C1267" i="6"/>
  <c r="D1267" i="6"/>
  <c r="A1268" i="6"/>
  <c r="B1268" i="6"/>
  <c r="C1268" i="6"/>
  <c r="D1268" i="6"/>
  <c r="A1269" i="6"/>
  <c r="B1269" i="6"/>
  <c r="C1269" i="6"/>
  <c r="D1269" i="6"/>
  <c r="A1270" i="6"/>
  <c r="B1270" i="6"/>
  <c r="C1270" i="6"/>
  <c r="D1270" i="6"/>
  <c r="A1271" i="6"/>
  <c r="B1271" i="6"/>
  <c r="C1271" i="6"/>
  <c r="D1271" i="6"/>
  <c r="A1272" i="6"/>
  <c r="B1272" i="6"/>
  <c r="C1272" i="6"/>
  <c r="D1272" i="6"/>
  <c r="A1273" i="6"/>
  <c r="B1273" i="6"/>
  <c r="C1273" i="6"/>
  <c r="D1273" i="6"/>
  <c r="A1274" i="6"/>
  <c r="B1274" i="6"/>
  <c r="C1274" i="6"/>
  <c r="D1274" i="6"/>
  <c r="A1275" i="6"/>
  <c r="B1275" i="6"/>
  <c r="C1275" i="6"/>
  <c r="D1275" i="6"/>
  <c r="A1276" i="6"/>
  <c r="B1276" i="6"/>
  <c r="C1276" i="6"/>
  <c r="D1276" i="6"/>
  <c r="A1277" i="6"/>
  <c r="B1277" i="6"/>
  <c r="C1277" i="6"/>
  <c r="D1277" i="6"/>
  <c r="A1278" i="6"/>
  <c r="B1278" i="6"/>
  <c r="C1278" i="6"/>
  <c r="D1278" i="6"/>
  <c r="A1279" i="6"/>
  <c r="B1279" i="6"/>
  <c r="C1279" i="6"/>
  <c r="D1279" i="6"/>
  <c r="A1280" i="6"/>
  <c r="B1280" i="6"/>
  <c r="C1280" i="6"/>
  <c r="D1280" i="6"/>
  <c r="A1281" i="6"/>
  <c r="B1281" i="6"/>
  <c r="C1281" i="6"/>
  <c r="D1281" i="6"/>
  <c r="A1282" i="6"/>
  <c r="B1282" i="6"/>
  <c r="C1282" i="6"/>
  <c r="D1282" i="6"/>
  <c r="A1283" i="6"/>
  <c r="B1283" i="6"/>
  <c r="C1283" i="6"/>
  <c r="D1283" i="6"/>
  <c r="A1284" i="6"/>
  <c r="B1284" i="6"/>
  <c r="C1284" i="6"/>
  <c r="D1284" i="6"/>
  <c r="A1285" i="6"/>
  <c r="B1285" i="6"/>
  <c r="C1285" i="6"/>
  <c r="D1285" i="6"/>
  <c r="A1286" i="6"/>
  <c r="B1286" i="6"/>
  <c r="C1286" i="6"/>
  <c r="D1286" i="6"/>
  <c r="A1287" i="6"/>
  <c r="B1287" i="6"/>
  <c r="C1287" i="6"/>
  <c r="D1287" i="6"/>
  <c r="A1288" i="6"/>
  <c r="B1288" i="6"/>
  <c r="C1288" i="6"/>
  <c r="D1288" i="6"/>
  <c r="A1289" i="6"/>
  <c r="B1289" i="6"/>
  <c r="C1289" i="6"/>
  <c r="D1289" i="6"/>
  <c r="A1290" i="6"/>
  <c r="B1290" i="6"/>
  <c r="C1290" i="6"/>
  <c r="D1290" i="6"/>
  <c r="A1291" i="6"/>
  <c r="B1291" i="6"/>
  <c r="C1291" i="6"/>
  <c r="D1291" i="6"/>
  <c r="A1292" i="6"/>
  <c r="B1292" i="6"/>
  <c r="C1292" i="6"/>
  <c r="D1292" i="6"/>
  <c r="A1293" i="6"/>
  <c r="B1293" i="6"/>
  <c r="C1293" i="6"/>
  <c r="D1293" i="6"/>
  <c r="A1294" i="6"/>
  <c r="B1294" i="6"/>
  <c r="C1294" i="6"/>
  <c r="D1294" i="6"/>
  <c r="A1295" i="6"/>
  <c r="B1295" i="6"/>
  <c r="C1295" i="6"/>
  <c r="D1295" i="6"/>
  <c r="A1296" i="6"/>
  <c r="B1296" i="6"/>
  <c r="C1296" i="6"/>
  <c r="D1296" i="6"/>
  <c r="A1297" i="6"/>
  <c r="B1297" i="6"/>
  <c r="C1297" i="6"/>
  <c r="D1297" i="6"/>
  <c r="A1298" i="6"/>
  <c r="B1298" i="6"/>
  <c r="C1298" i="6"/>
  <c r="D1298" i="6"/>
  <c r="A1299" i="6"/>
  <c r="B1299" i="6"/>
  <c r="C1299" i="6"/>
  <c r="D1299" i="6"/>
  <c r="A1300" i="6"/>
  <c r="B1300" i="6"/>
  <c r="C1300" i="6"/>
  <c r="D1300" i="6"/>
  <c r="A1301" i="6"/>
  <c r="B1301" i="6"/>
  <c r="C1301" i="6"/>
  <c r="D1301" i="6"/>
  <c r="A1302" i="6"/>
  <c r="B1302" i="6"/>
  <c r="C1302" i="6"/>
  <c r="D1302" i="6"/>
  <c r="A1303" i="6"/>
  <c r="B1303" i="6"/>
  <c r="C1303" i="6"/>
  <c r="D1303" i="6"/>
  <c r="A1304" i="6"/>
  <c r="B1304" i="6"/>
  <c r="C1304" i="6"/>
  <c r="D1304" i="6"/>
  <c r="A1305" i="6"/>
  <c r="B1305" i="6"/>
  <c r="C1305" i="6"/>
  <c r="D1305" i="6"/>
  <c r="A1306" i="6"/>
  <c r="B1306" i="6"/>
  <c r="C1306" i="6"/>
  <c r="D1306" i="6"/>
  <c r="A1307" i="6"/>
  <c r="B1307" i="6"/>
  <c r="C1307" i="6"/>
  <c r="D1307" i="6"/>
  <c r="A1308" i="6"/>
  <c r="B1308" i="6"/>
  <c r="C1308" i="6"/>
  <c r="D1308" i="6"/>
  <c r="A1309" i="6"/>
  <c r="B1309" i="6"/>
  <c r="C1309" i="6"/>
  <c r="D1309" i="6"/>
  <c r="A1310" i="6"/>
  <c r="B1310" i="6"/>
  <c r="C1310" i="6"/>
  <c r="D1310" i="6"/>
  <c r="A1311" i="6"/>
  <c r="B1311" i="6"/>
  <c r="C1311" i="6"/>
  <c r="D1311" i="6"/>
  <c r="A1312" i="6"/>
  <c r="B1312" i="6"/>
  <c r="C1312" i="6"/>
  <c r="D1312" i="6"/>
  <c r="A1313" i="6"/>
  <c r="B1313" i="6"/>
  <c r="C1313" i="6"/>
  <c r="D1313" i="6"/>
  <c r="A1314" i="6"/>
  <c r="B1314" i="6"/>
  <c r="C1314" i="6"/>
  <c r="D1314" i="6"/>
  <c r="A1315" i="6"/>
  <c r="B1315" i="6"/>
  <c r="C1315" i="6"/>
  <c r="D1315" i="6"/>
  <c r="A1316" i="6"/>
  <c r="B1316" i="6"/>
  <c r="C1316" i="6"/>
  <c r="D1316" i="6"/>
  <c r="A1317" i="6"/>
  <c r="B1317" i="6"/>
  <c r="C1317" i="6"/>
  <c r="D1317" i="6"/>
  <c r="A1318" i="6"/>
  <c r="B1318" i="6"/>
  <c r="C1318" i="6"/>
  <c r="D1318" i="6"/>
  <c r="A1319" i="6"/>
  <c r="B1319" i="6"/>
  <c r="C1319" i="6"/>
  <c r="D1319" i="6"/>
  <c r="A1320" i="6"/>
  <c r="B1320" i="6"/>
  <c r="C1320" i="6"/>
  <c r="D1320" i="6"/>
  <c r="A1321" i="6"/>
  <c r="B1321" i="6"/>
  <c r="C1321" i="6"/>
  <c r="D1321" i="6"/>
  <c r="A1322" i="6"/>
  <c r="B1322" i="6"/>
  <c r="C1322" i="6"/>
  <c r="D1322" i="6"/>
  <c r="A1323" i="6"/>
  <c r="B1323" i="6"/>
  <c r="C1323" i="6"/>
  <c r="D1323" i="6"/>
  <c r="A1324" i="6"/>
  <c r="B1324" i="6"/>
  <c r="C1324" i="6"/>
  <c r="D1324" i="6"/>
  <c r="A1325" i="6"/>
  <c r="B1325" i="6"/>
  <c r="C1325" i="6"/>
  <c r="D1325" i="6"/>
  <c r="A1326" i="6"/>
  <c r="B1326" i="6"/>
  <c r="C1326" i="6"/>
  <c r="D1326" i="6"/>
  <c r="A1327" i="6"/>
  <c r="B1327" i="6"/>
  <c r="C1327" i="6"/>
  <c r="D1327" i="6"/>
  <c r="A1328" i="6"/>
  <c r="B1328" i="6"/>
  <c r="C1328" i="6"/>
  <c r="D1328" i="6"/>
  <c r="A1329" i="6"/>
  <c r="B1329" i="6"/>
  <c r="C1329" i="6"/>
  <c r="D1329" i="6"/>
  <c r="A1330" i="6"/>
  <c r="B1330" i="6"/>
  <c r="C1330" i="6"/>
  <c r="D1330" i="6"/>
  <c r="A1331" i="6"/>
  <c r="B1331" i="6"/>
  <c r="C1331" i="6"/>
  <c r="D1331" i="6"/>
  <c r="A1332" i="6"/>
  <c r="B1332" i="6"/>
  <c r="C1332" i="6"/>
  <c r="D1332" i="6"/>
  <c r="A1333" i="6"/>
  <c r="B1333" i="6"/>
  <c r="C1333" i="6"/>
  <c r="D1333" i="6"/>
  <c r="A1334" i="6"/>
  <c r="B1334" i="6"/>
  <c r="C1334" i="6"/>
  <c r="D1334" i="6"/>
  <c r="A1335" i="6"/>
  <c r="B1335" i="6"/>
  <c r="C1335" i="6"/>
  <c r="D1335" i="6"/>
  <c r="A1336" i="6"/>
  <c r="B1336" i="6"/>
  <c r="C1336" i="6"/>
  <c r="D1336" i="6"/>
  <c r="A1337" i="6"/>
  <c r="B1337" i="6"/>
  <c r="C1337" i="6"/>
  <c r="D1337" i="6"/>
  <c r="A1338" i="6"/>
  <c r="B1338" i="6"/>
  <c r="C1338" i="6"/>
  <c r="D1338" i="6"/>
  <c r="A1339" i="6"/>
  <c r="B1339" i="6"/>
  <c r="C1339" i="6"/>
  <c r="D1339" i="6"/>
  <c r="A1340" i="6"/>
  <c r="B1340" i="6"/>
  <c r="C1340" i="6"/>
  <c r="D1340" i="6"/>
  <c r="A1341" i="6"/>
  <c r="B1341" i="6"/>
  <c r="C1341" i="6"/>
  <c r="D1341" i="6"/>
  <c r="A1342" i="6"/>
  <c r="B1342" i="6"/>
  <c r="C1342" i="6"/>
  <c r="D1342" i="6"/>
  <c r="A1343" i="6"/>
  <c r="B1343" i="6"/>
  <c r="C1343" i="6"/>
  <c r="D1343" i="6"/>
  <c r="A1344" i="6"/>
  <c r="B1344" i="6"/>
  <c r="C1344" i="6"/>
  <c r="D1344" i="6"/>
  <c r="A1345" i="6"/>
  <c r="B1345" i="6"/>
  <c r="C1345" i="6"/>
  <c r="D1345" i="6"/>
  <c r="A1346" i="6"/>
  <c r="B1346" i="6"/>
  <c r="C1346" i="6"/>
  <c r="D1346" i="6"/>
  <c r="A1347" i="6"/>
  <c r="B1347" i="6"/>
  <c r="C1347" i="6"/>
  <c r="D1347" i="6"/>
  <c r="A1348" i="6"/>
  <c r="B1348" i="6"/>
  <c r="C1348" i="6"/>
  <c r="D1348" i="6"/>
  <c r="A1349" i="6"/>
  <c r="B1349" i="6"/>
  <c r="C1349" i="6"/>
  <c r="D1349" i="6"/>
  <c r="A1350" i="6"/>
  <c r="B1350" i="6"/>
  <c r="C1350" i="6"/>
  <c r="D1350" i="6"/>
  <c r="A1351" i="6"/>
  <c r="B1351" i="6"/>
  <c r="C1351" i="6"/>
  <c r="D1351" i="6"/>
  <c r="A1352" i="6"/>
  <c r="B1352" i="6"/>
  <c r="C1352" i="6"/>
  <c r="D1352" i="6"/>
  <c r="A1353" i="6"/>
  <c r="B1353" i="6"/>
  <c r="C1353" i="6"/>
  <c r="D1353" i="6"/>
  <c r="A1354" i="6"/>
  <c r="B1354" i="6"/>
  <c r="C1354" i="6"/>
  <c r="D1354" i="6"/>
  <c r="A1355" i="6"/>
  <c r="B1355" i="6"/>
  <c r="C1355" i="6"/>
  <c r="D1355" i="6"/>
  <c r="A1356" i="6"/>
  <c r="B1356" i="6"/>
  <c r="C1356" i="6"/>
  <c r="D1356" i="6"/>
  <c r="A1357" i="6"/>
  <c r="B1357" i="6"/>
  <c r="C1357" i="6"/>
  <c r="D1357" i="6"/>
  <c r="A1358" i="6"/>
  <c r="B1358" i="6"/>
  <c r="C1358" i="6"/>
  <c r="D1358" i="6"/>
  <c r="A1359" i="6"/>
  <c r="B1359" i="6"/>
  <c r="C1359" i="6"/>
  <c r="D1359" i="6"/>
  <c r="A1360" i="6"/>
  <c r="B1360" i="6"/>
  <c r="C1360" i="6"/>
  <c r="D1360" i="6"/>
  <c r="A1361" i="6"/>
  <c r="B1361" i="6"/>
  <c r="C1361" i="6"/>
  <c r="D1361" i="6"/>
  <c r="A1362" i="6"/>
  <c r="B1362" i="6"/>
  <c r="C1362" i="6"/>
  <c r="D1362" i="6"/>
  <c r="A1363" i="6"/>
  <c r="B1363" i="6"/>
  <c r="C1363" i="6"/>
  <c r="D1363" i="6"/>
  <c r="A1364" i="6"/>
  <c r="B1364" i="6"/>
  <c r="C1364" i="6"/>
  <c r="D1364" i="6"/>
  <c r="A1365" i="6"/>
  <c r="B1365" i="6"/>
  <c r="C1365" i="6"/>
  <c r="D1365" i="6"/>
  <c r="A1366" i="6"/>
  <c r="B1366" i="6"/>
  <c r="C1366" i="6"/>
  <c r="D1366" i="6"/>
  <c r="A1367" i="6"/>
  <c r="B1367" i="6"/>
  <c r="C1367" i="6"/>
  <c r="D1367" i="6"/>
  <c r="A1368" i="6"/>
  <c r="B1368" i="6"/>
  <c r="C1368" i="6"/>
  <c r="D1368" i="6"/>
  <c r="A1369" i="6"/>
  <c r="B1369" i="6"/>
  <c r="C1369" i="6"/>
  <c r="D1369" i="6"/>
  <c r="A1370" i="6"/>
  <c r="B1370" i="6"/>
  <c r="C1370" i="6"/>
  <c r="D1370" i="6"/>
  <c r="A1371" i="6"/>
  <c r="B1371" i="6"/>
  <c r="C1371" i="6"/>
  <c r="D1371" i="6"/>
  <c r="A1372" i="6"/>
  <c r="B1372" i="6"/>
  <c r="C1372" i="6"/>
  <c r="D1372" i="6"/>
  <c r="A1373" i="6"/>
  <c r="B1373" i="6"/>
  <c r="C1373" i="6"/>
  <c r="D1373" i="6"/>
  <c r="A1374" i="6"/>
  <c r="B1374" i="6"/>
  <c r="C1374" i="6"/>
  <c r="D1374" i="6"/>
  <c r="A1375" i="6"/>
  <c r="B1375" i="6"/>
  <c r="C1375" i="6"/>
  <c r="D1375" i="6"/>
  <c r="A1376" i="6"/>
  <c r="B1376" i="6"/>
  <c r="C1376" i="6"/>
  <c r="D1376" i="6"/>
  <c r="A1377" i="6"/>
  <c r="B1377" i="6"/>
  <c r="C1377" i="6"/>
  <c r="D1377" i="6"/>
  <c r="A1378" i="6"/>
  <c r="B1378" i="6"/>
  <c r="C1378" i="6"/>
  <c r="D1378" i="6"/>
  <c r="A1379" i="6"/>
  <c r="B1379" i="6"/>
  <c r="C1379" i="6"/>
  <c r="D1379" i="6"/>
  <c r="A1380" i="6"/>
  <c r="B1380" i="6"/>
  <c r="C1380" i="6"/>
  <c r="D1380" i="6"/>
  <c r="A1381" i="6"/>
  <c r="B1381" i="6"/>
  <c r="C1381" i="6"/>
  <c r="D1381" i="6"/>
  <c r="A1382" i="6"/>
  <c r="B1382" i="6"/>
  <c r="C1382" i="6"/>
  <c r="D1382" i="6"/>
  <c r="A1383" i="6"/>
  <c r="B1383" i="6"/>
  <c r="C1383" i="6"/>
  <c r="D1383" i="6"/>
  <c r="A1384" i="6"/>
  <c r="B1384" i="6"/>
  <c r="C1384" i="6"/>
  <c r="D1384" i="6"/>
  <c r="A1385" i="6"/>
  <c r="B1385" i="6"/>
  <c r="C1385" i="6"/>
  <c r="D1385" i="6"/>
  <c r="A1386" i="6"/>
  <c r="B1386" i="6"/>
  <c r="C1386" i="6"/>
  <c r="D1386" i="6"/>
  <c r="A1387" i="6"/>
  <c r="B1387" i="6"/>
  <c r="C1387" i="6"/>
  <c r="D1387" i="6"/>
  <c r="A1388" i="6"/>
  <c r="B1388" i="6"/>
  <c r="C1388" i="6"/>
  <c r="D1388" i="6"/>
  <c r="A1389" i="6"/>
  <c r="B1389" i="6"/>
  <c r="C1389" i="6"/>
  <c r="D1389" i="6"/>
  <c r="A1390" i="6"/>
  <c r="B1390" i="6"/>
  <c r="C1390" i="6"/>
  <c r="D1390" i="6"/>
  <c r="A1391" i="6"/>
  <c r="B1391" i="6"/>
  <c r="C1391" i="6"/>
  <c r="D1391" i="6"/>
  <c r="A1392" i="6"/>
  <c r="B1392" i="6"/>
  <c r="C1392" i="6"/>
  <c r="D1392" i="6"/>
  <c r="A1393" i="6"/>
  <c r="B1393" i="6"/>
  <c r="C1393" i="6"/>
  <c r="D1393" i="6"/>
  <c r="A1394" i="6"/>
  <c r="B1394" i="6"/>
  <c r="C1394" i="6"/>
  <c r="D1394" i="6"/>
  <c r="A1395" i="6"/>
  <c r="B1395" i="6"/>
  <c r="C1395" i="6"/>
  <c r="D1395" i="6"/>
  <c r="A1396" i="6"/>
  <c r="B1396" i="6"/>
  <c r="C1396" i="6"/>
  <c r="D1396" i="6"/>
  <c r="A1397" i="6"/>
  <c r="B1397" i="6"/>
  <c r="C1397" i="6"/>
  <c r="D1397" i="6"/>
  <c r="A1398" i="6"/>
  <c r="B1398" i="6"/>
  <c r="C1398" i="6"/>
  <c r="D1398" i="6"/>
  <c r="A1399" i="6"/>
  <c r="B1399" i="6"/>
  <c r="C1399" i="6"/>
  <c r="D1399" i="6"/>
  <c r="A1400" i="6"/>
  <c r="B1400" i="6"/>
  <c r="C1400" i="6"/>
  <c r="D1400" i="6"/>
  <c r="A1401" i="6"/>
  <c r="B1401" i="6"/>
  <c r="C1401" i="6"/>
  <c r="D1401" i="6"/>
  <c r="A1402" i="6"/>
  <c r="B1402" i="6"/>
  <c r="C1402" i="6"/>
  <c r="D1402" i="6"/>
  <c r="A1403" i="6"/>
  <c r="B1403" i="6"/>
  <c r="C1403" i="6"/>
  <c r="D1403" i="6"/>
  <c r="A1404" i="6"/>
  <c r="B1404" i="6"/>
  <c r="C1404" i="6"/>
  <c r="D1404" i="6"/>
  <c r="A1405" i="6"/>
  <c r="B1405" i="6"/>
  <c r="C1405" i="6"/>
  <c r="D1405" i="6"/>
  <c r="A1406" i="6"/>
  <c r="B1406" i="6"/>
  <c r="C1406" i="6"/>
  <c r="D1406" i="6"/>
  <c r="A1407" i="6"/>
  <c r="B1407" i="6"/>
  <c r="C1407" i="6"/>
  <c r="D1407" i="6"/>
  <c r="A1408" i="6"/>
  <c r="B1408" i="6"/>
  <c r="C1408" i="6"/>
  <c r="D1408" i="6"/>
  <c r="A1409" i="6"/>
  <c r="B1409" i="6"/>
  <c r="C1409" i="6"/>
  <c r="D1409" i="6"/>
  <c r="A1410" i="6"/>
  <c r="B1410" i="6"/>
  <c r="C1410" i="6"/>
  <c r="D1410" i="6"/>
  <c r="A1411" i="6"/>
  <c r="B1411" i="6"/>
  <c r="C1411" i="6"/>
  <c r="D1411" i="6"/>
  <c r="A1412" i="6"/>
  <c r="B1412" i="6"/>
  <c r="C1412" i="6"/>
  <c r="D1412" i="6"/>
  <c r="A1413" i="6"/>
  <c r="B1413" i="6"/>
  <c r="C1413" i="6"/>
  <c r="D1413" i="6"/>
  <c r="A1414" i="6"/>
  <c r="B1414" i="6"/>
  <c r="C1414" i="6"/>
  <c r="D1414" i="6"/>
  <c r="A1415" i="6"/>
  <c r="B1415" i="6"/>
  <c r="C1415" i="6"/>
  <c r="D1415" i="6"/>
  <c r="A1416" i="6"/>
  <c r="B1416" i="6"/>
  <c r="C1416" i="6"/>
  <c r="D1416" i="6"/>
  <c r="A1417" i="6"/>
  <c r="B1417" i="6"/>
  <c r="C1417" i="6"/>
  <c r="D1417" i="6"/>
  <c r="A1418" i="6"/>
  <c r="B1418" i="6"/>
  <c r="C1418" i="6"/>
  <c r="D1418" i="6"/>
  <c r="A1419" i="6"/>
  <c r="B1419" i="6"/>
  <c r="C1419" i="6"/>
  <c r="D1419" i="6"/>
  <c r="A1420" i="6"/>
  <c r="B1420" i="6"/>
  <c r="C1420" i="6"/>
  <c r="D1420" i="6"/>
  <c r="A1421" i="6"/>
  <c r="B1421" i="6"/>
  <c r="C1421" i="6"/>
  <c r="D1421" i="6"/>
  <c r="A1422" i="6"/>
  <c r="B1422" i="6"/>
  <c r="C1422" i="6"/>
  <c r="D1422" i="6"/>
  <c r="A1423" i="6"/>
  <c r="B1423" i="6"/>
  <c r="C1423" i="6"/>
  <c r="D1423" i="6"/>
  <c r="A1424" i="6"/>
  <c r="B1424" i="6"/>
  <c r="C1424" i="6"/>
  <c r="D1424" i="6"/>
  <c r="A1425" i="6"/>
  <c r="B1425" i="6"/>
  <c r="C1425" i="6"/>
  <c r="D1425" i="6"/>
  <c r="A1426" i="6"/>
  <c r="B1426" i="6"/>
  <c r="C1426" i="6"/>
  <c r="D1426" i="6"/>
  <c r="A1427" i="6"/>
  <c r="B1427" i="6"/>
  <c r="C1427" i="6"/>
  <c r="D1427" i="6"/>
  <c r="A1428" i="6"/>
  <c r="B1428" i="6"/>
  <c r="C1428" i="6"/>
  <c r="D1428" i="6"/>
  <c r="A1429" i="6"/>
  <c r="B1429" i="6"/>
  <c r="C1429" i="6"/>
  <c r="D1429" i="6"/>
  <c r="A1430" i="6"/>
  <c r="B1430" i="6"/>
  <c r="C1430" i="6"/>
  <c r="D1430" i="6"/>
  <c r="A1431" i="6"/>
  <c r="B1431" i="6"/>
  <c r="C1431" i="6"/>
  <c r="D1431" i="6"/>
  <c r="A1432" i="6"/>
  <c r="B1432" i="6"/>
  <c r="C1432" i="6"/>
  <c r="D1432" i="6"/>
  <c r="A1433" i="6"/>
  <c r="B1433" i="6"/>
  <c r="C1433" i="6"/>
  <c r="D1433" i="6"/>
  <c r="A1434" i="6"/>
  <c r="B1434" i="6"/>
  <c r="C1434" i="6"/>
  <c r="D1434" i="6"/>
  <c r="A1435" i="6"/>
  <c r="B1435" i="6"/>
  <c r="C1435" i="6"/>
  <c r="D1435" i="6"/>
  <c r="A1436" i="6"/>
  <c r="B1436" i="6"/>
  <c r="C1436" i="6"/>
  <c r="D1436" i="6"/>
  <c r="A1437" i="6"/>
  <c r="B1437" i="6"/>
  <c r="C1437" i="6"/>
  <c r="D1437" i="6"/>
  <c r="A1438" i="6"/>
  <c r="B1438" i="6"/>
  <c r="C1438" i="6"/>
  <c r="D1438" i="6"/>
  <c r="A1439" i="6"/>
  <c r="B1439" i="6"/>
  <c r="C1439" i="6"/>
  <c r="D1439" i="6"/>
  <c r="A1440" i="6"/>
  <c r="B1440" i="6"/>
  <c r="C1440" i="6"/>
  <c r="D1440" i="6"/>
  <c r="A1441" i="6"/>
  <c r="B1441" i="6"/>
  <c r="C1441" i="6"/>
  <c r="D1441" i="6"/>
  <c r="A1442" i="6"/>
  <c r="B1442" i="6"/>
  <c r="C1442" i="6"/>
  <c r="D1442" i="6"/>
  <c r="A1443" i="6"/>
  <c r="B1443" i="6"/>
  <c r="C1443" i="6"/>
  <c r="D1443" i="6"/>
  <c r="A1444" i="6"/>
  <c r="B1444" i="6"/>
  <c r="C1444" i="6"/>
  <c r="D1444" i="6"/>
  <c r="A1445" i="6"/>
  <c r="B1445" i="6"/>
  <c r="C1445" i="6"/>
  <c r="D1445" i="6"/>
  <c r="A1446" i="6"/>
  <c r="B1446" i="6"/>
  <c r="C1446" i="6"/>
  <c r="D1446" i="6"/>
  <c r="A1447" i="6"/>
  <c r="B1447" i="6"/>
  <c r="C1447" i="6"/>
  <c r="D1447" i="6"/>
  <c r="A1448" i="6"/>
  <c r="B1448" i="6"/>
  <c r="C1448" i="6"/>
  <c r="D1448" i="6"/>
  <c r="A1449" i="6"/>
  <c r="B1449" i="6"/>
  <c r="C1449" i="6"/>
  <c r="D1449" i="6"/>
  <c r="A1450" i="6"/>
  <c r="B1450" i="6"/>
  <c r="C1450" i="6"/>
  <c r="D1450" i="6"/>
  <c r="A1451" i="6"/>
  <c r="B1451" i="6"/>
  <c r="C1451" i="6"/>
  <c r="D1451" i="6"/>
  <c r="A1452" i="6"/>
  <c r="B1452" i="6"/>
  <c r="C1452" i="6"/>
  <c r="D1452" i="6"/>
  <c r="A1453" i="6"/>
  <c r="B1453" i="6"/>
  <c r="C1453" i="6"/>
  <c r="D1453" i="6"/>
  <c r="A1454" i="6"/>
  <c r="B1454" i="6"/>
  <c r="C1454" i="6"/>
  <c r="D1454" i="6"/>
  <c r="A1455" i="6"/>
  <c r="B1455" i="6"/>
  <c r="C1455" i="6"/>
  <c r="D1455" i="6"/>
  <c r="A1456" i="6"/>
  <c r="B1456" i="6"/>
  <c r="C1456" i="6"/>
  <c r="D1456" i="6"/>
  <c r="A1457" i="6"/>
  <c r="B1457" i="6"/>
  <c r="C1457" i="6"/>
  <c r="D1457" i="6"/>
  <c r="A1458" i="6"/>
  <c r="B1458" i="6"/>
  <c r="C1458" i="6"/>
  <c r="D1458" i="6"/>
  <c r="A1459" i="6"/>
  <c r="B1459" i="6"/>
  <c r="C1459" i="6"/>
  <c r="D1459" i="6"/>
  <c r="A1460" i="6"/>
  <c r="B1460" i="6"/>
  <c r="C1460" i="6"/>
  <c r="D1460" i="6"/>
  <c r="A1461" i="6"/>
  <c r="B1461" i="6"/>
  <c r="C1461" i="6"/>
  <c r="D1461" i="6"/>
  <c r="A1462" i="6"/>
  <c r="B1462" i="6"/>
  <c r="C1462" i="6"/>
  <c r="D1462" i="6"/>
  <c r="A1463" i="6"/>
  <c r="B1463" i="6"/>
  <c r="C1463" i="6"/>
  <c r="D1463" i="6"/>
  <c r="A1464" i="6"/>
  <c r="B1464" i="6"/>
  <c r="C1464" i="6"/>
  <c r="D1464" i="6"/>
  <c r="A1465" i="6"/>
  <c r="B1465" i="6"/>
  <c r="C1465" i="6"/>
  <c r="D1465" i="6"/>
  <c r="A1466" i="6"/>
  <c r="B1466" i="6"/>
  <c r="C1466" i="6"/>
  <c r="D1466" i="6"/>
  <c r="A1467" i="6"/>
  <c r="B1467" i="6"/>
  <c r="C1467" i="6"/>
  <c r="D1467" i="6"/>
  <c r="A1468" i="6"/>
  <c r="B1468" i="6"/>
  <c r="C1468" i="6"/>
  <c r="D1468" i="6"/>
  <c r="A1469" i="6"/>
  <c r="B1469" i="6"/>
  <c r="C1469" i="6"/>
  <c r="D1469" i="6"/>
  <c r="A1470" i="6"/>
  <c r="B1470" i="6"/>
  <c r="C1470" i="6"/>
  <c r="D1470" i="6"/>
  <c r="A1471" i="6"/>
  <c r="B1471" i="6"/>
  <c r="C1471" i="6"/>
  <c r="D1471" i="6"/>
  <c r="A1472" i="6"/>
  <c r="B1472" i="6"/>
  <c r="C1472" i="6"/>
  <c r="D1472" i="6"/>
  <c r="A1473" i="6"/>
  <c r="B1473" i="6"/>
  <c r="C1473" i="6"/>
  <c r="D1473" i="6"/>
  <c r="A1474" i="6"/>
  <c r="B1474" i="6"/>
  <c r="C1474" i="6"/>
  <c r="D1474" i="6"/>
  <c r="A1475" i="6"/>
  <c r="B1475" i="6"/>
  <c r="C1475" i="6"/>
  <c r="D1475" i="6"/>
  <c r="A1476" i="6"/>
  <c r="B1476" i="6"/>
  <c r="C1476" i="6"/>
  <c r="D1476" i="6"/>
  <c r="A1477" i="6"/>
  <c r="B1477" i="6"/>
  <c r="C1477" i="6"/>
  <c r="D1477" i="6"/>
  <c r="A1478" i="6"/>
  <c r="B1478" i="6"/>
  <c r="C1478" i="6"/>
  <c r="D1478" i="6"/>
  <c r="A1479" i="6"/>
  <c r="B1479" i="6"/>
  <c r="C1479" i="6"/>
  <c r="D1479" i="6"/>
  <c r="A1480" i="6"/>
  <c r="B1480" i="6"/>
  <c r="C1480" i="6"/>
  <c r="D1480" i="6"/>
  <c r="A1481" i="6"/>
  <c r="B1481" i="6"/>
  <c r="C1481" i="6"/>
  <c r="D1481" i="6"/>
  <c r="A1482" i="6"/>
  <c r="B1482" i="6"/>
  <c r="C1482" i="6"/>
  <c r="D1482" i="6"/>
  <c r="A1483" i="6"/>
  <c r="B1483" i="6"/>
  <c r="C1483" i="6"/>
  <c r="D1483" i="6"/>
  <c r="A1484" i="6"/>
  <c r="B1484" i="6"/>
  <c r="C1484" i="6"/>
  <c r="D1484" i="6"/>
  <c r="A1485" i="6"/>
  <c r="B1485" i="6"/>
  <c r="C1485" i="6"/>
  <c r="D1485" i="6"/>
  <c r="A1486" i="6"/>
  <c r="B1486" i="6"/>
  <c r="C1486" i="6"/>
  <c r="D1486" i="6"/>
  <c r="A1487" i="6"/>
  <c r="B1487" i="6"/>
  <c r="C1487" i="6"/>
  <c r="D1487" i="6"/>
  <c r="A1488" i="6"/>
  <c r="B1488" i="6"/>
  <c r="C1488" i="6"/>
  <c r="D1488" i="6"/>
  <c r="A1489" i="6"/>
  <c r="B1489" i="6"/>
  <c r="C1489" i="6"/>
  <c r="D1489" i="6"/>
  <c r="A1490" i="6"/>
  <c r="B1490" i="6"/>
  <c r="C1490" i="6"/>
  <c r="D1490" i="6"/>
  <c r="A1491" i="6"/>
  <c r="B1491" i="6"/>
  <c r="C1491" i="6"/>
  <c r="D1491" i="6"/>
  <c r="A1492" i="6"/>
  <c r="B1492" i="6"/>
  <c r="C1492" i="6"/>
  <c r="D1492" i="6"/>
  <c r="A1493" i="6"/>
  <c r="B1493" i="6"/>
  <c r="C1493" i="6"/>
  <c r="D1493" i="6"/>
  <c r="A1494" i="6"/>
  <c r="B1494" i="6"/>
  <c r="C1494" i="6"/>
  <c r="D1494" i="6"/>
  <c r="A1495" i="6"/>
  <c r="B1495" i="6"/>
  <c r="C1495" i="6"/>
  <c r="D1495" i="6"/>
  <c r="A1496" i="6"/>
  <c r="B1496" i="6"/>
  <c r="C1496" i="6"/>
  <c r="D1496" i="6"/>
  <c r="A1497" i="6"/>
  <c r="B1497" i="6"/>
  <c r="C1497" i="6"/>
  <c r="D1497" i="6"/>
  <c r="A1498" i="6"/>
  <c r="B1498" i="6"/>
  <c r="C1498" i="6"/>
  <c r="D1498" i="6"/>
  <c r="A1499" i="6"/>
  <c r="B1499" i="6"/>
  <c r="C1499" i="6"/>
  <c r="D1499" i="6"/>
  <c r="A1500" i="6"/>
  <c r="B1500" i="6"/>
  <c r="C1500" i="6"/>
  <c r="D1500" i="6"/>
  <c r="A1501" i="6"/>
  <c r="B1501" i="6"/>
  <c r="C1501" i="6"/>
  <c r="D1501" i="6"/>
  <c r="A1502" i="6"/>
  <c r="B1502" i="6"/>
  <c r="C1502" i="6"/>
  <c r="D1502" i="6"/>
  <c r="A1503" i="6"/>
  <c r="B1503" i="6"/>
  <c r="C1503" i="6"/>
  <c r="D1503" i="6"/>
  <c r="A1504" i="6"/>
  <c r="B1504" i="6"/>
  <c r="C1504" i="6"/>
  <c r="D1504" i="6"/>
  <c r="A1505" i="6"/>
  <c r="B1505" i="6"/>
  <c r="C1505" i="6"/>
  <c r="D1505" i="6"/>
  <c r="A1506" i="6"/>
  <c r="B1506" i="6"/>
  <c r="C1506" i="6"/>
  <c r="D1506" i="6"/>
  <c r="A1507" i="6"/>
  <c r="B1507" i="6"/>
  <c r="C1507" i="6"/>
  <c r="D1507" i="6"/>
  <c r="A1508" i="6"/>
  <c r="B1508" i="6"/>
  <c r="C1508" i="6"/>
  <c r="D1508" i="6"/>
  <c r="A1509" i="6"/>
  <c r="B1509" i="6"/>
  <c r="C1509" i="6"/>
  <c r="D1509" i="6"/>
  <c r="A1510" i="6"/>
  <c r="B1510" i="6"/>
  <c r="C1510" i="6"/>
  <c r="D1510" i="6"/>
  <c r="A1511" i="6"/>
  <c r="B1511" i="6"/>
  <c r="C1511" i="6"/>
  <c r="D1511" i="6"/>
  <c r="A1512" i="6"/>
  <c r="B1512" i="6"/>
  <c r="C1512" i="6"/>
  <c r="D1512" i="6"/>
  <c r="A1513" i="6"/>
  <c r="B1513" i="6"/>
  <c r="C1513" i="6"/>
  <c r="D1513" i="6"/>
  <c r="A1514" i="6"/>
  <c r="B1514" i="6"/>
  <c r="C1514" i="6"/>
  <c r="D1514" i="6"/>
  <c r="A1515" i="6"/>
  <c r="B1515" i="6"/>
  <c r="C1515" i="6"/>
  <c r="D1515" i="6"/>
  <c r="A1516" i="6"/>
  <c r="B1516" i="6"/>
  <c r="C1516" i="6"/>
  <c r="D1516" i="6"/>
  <c r="A1517" i="6"/>
  <c r="B1517" i="6"/>
  <c r="C1517" i="6"/>
  <c r="D1517" i="6"/>
  <c r="A1518" i="6"/>
  <c r="B1518" i="6"/>
  <c r="C1518" i="6"/>
  <c r="D1518" i="6"/>
  <c r="A1519" i="6"/>
  <c r="B1519" i="6"/>
  <c r="C1519" i="6"/>
  <c r="D1519" i="6"/>
  <c r="A1520" i="6"/>
  <c r="B1520" i="6"/>
  <c r="C1520" i="6"/>
  <c r="D1520" i="6"/>
  <c r="A1521" i="6"/>
  <c r="B1521" i="6"/>
  <c r="C1521" i="6"/>
  <c r="D1521" i="6"/>
  <c r="A1522" i="6"/>
  <c r="B1522" i="6"/>
  <c r="C1522" i="6"/>
  <c r="D1522" i="6"/>
  <c r="A1523" i="6"/>
  <c r="B1523" i="6"/>
  <c r="C1523" i="6"/>
  <c r="D1523" i="6"/>
  <c r="A1524" i="6"/>
  <c r="B1524" i="6"/>
  <c r="C1524" i="6"/>
  <c r="D1524" i="6"/>
  <c r="A1525" i="6"/>
  <c r="B1525" i="6"/>
  <c r="C1525" i="6"/>
  <c r="D1525" i="6"/>
  <c r="A1526" i="6"/>
  <c r="B1526" i="6"/>
  <c r="C1526" i="6"/>
  <c r="D1526" i="6"/>
  <c r="A1527" i="6"/>
  <c r="B1527" i="6"/>
  <c r="C1527" i="6"/>
  <c r="D1527" i="6"/>
  <c r="A1528" i="6"/>
  <c r="B1528" i="6"/>
  <c r="C1528" i="6"/>
  <c r="D1528" i="6"/>
  <c r="A1529" i="6"/>
  <c r="B1529" i="6"/>
  <c r="C1529" i="6"/>
  <c r="D1529" i="6"/>
  <c r="A1530" i="6"/>
  <c r="B1530" i="6"/>
  <c r="C1530" i="6"/>
  <c r="D1530" i="6"/>
  <c r="A1531" i="6"/>
  <c r="B1531" i="6"/>
  <c r="C1531" i="6"/>
  <c r="D1531" i="6"/>
  <c r="A1532" i="6"/>
  <c r="B1532" i="6"/>
  <c r="C1532" i="6"/>
  <c r="D1532" i="6"/>
  <c r="A1533" i="6"/>
  <c r="B1533" i="6"/>
  <c r="C1533" i="6"/>
  <c r="D1533" i="6"/>
  <c r="A1534" i="6"/>
  <c r="B1534" i="6"/>
  <c r="C1534" i="6"/>
  <c r="D1534" i="6"/>
  <c r="A1535" i="6"/>
  <c r="B1535" i="6"/>
  <c r="C1535" i="6"/>
  <c r="D1535" i="6"/>
  <c r="A1536" i="6"/>
  <c r="B1536" i="6"/>
  <c r="C1536" i="6"/>
  <c r="D1536" i="6"/>
  <c r="A1537" i="6"/>
  <c r="B1537" i="6"/>
  <c r="C1537" i="6"/>
  <c r="D1537" i="6"/>
  <c r="A1538" i="6"/>
  <c r="B1538" i="6"/>
  <c r="C1538" i="6"/>
  <c r="D1538" i="6"/>
  <c r="A1539" i="6"/>
  <c r="B1539" i="6"/>
  <c r="C1539" i="6"/>
  <c r="D1539" i="6"/>
  <c r="A1540" i="6"/>
  <c r="B1540" i="6"/>
  <c r="C1540" i="6"/>
  <c r="D1540" i="6"/>
  <c r="A1541" i="6"/>
  <c r="B1541" i="6"/>
  <c r="C1541" i="6"/>
  <c r="D1541" i="6"/>
  <c r="A1542" i="6"/>
  <c r="B1542" i="6"/>
  <c r="C1542" i="6"/>
  <c r="D1542" i="6"/>
  <c r="A1543" i="6"/>
  <c r="B1543" i="6"/>
  <c r="C1543" i="6"/>
  <c r="D1543" i="6"/>
  <c r="A1544" i="6"/>
  <c r="B1544" i="6"/>
  <c r="C1544" i="6"/>
  <c r="D1544" i="6"/>
  <c r="A1545" i="6"/>
  <c r="B1545" i="6"/>
  <c r="C1545" i="6"/>
  <c r="D1545" i="6"/>
  <c r="A1546" i="6"/>
  <c r="B1546" i="6"/>
  <c r="C1546" i="6"/>
  <c r="D1546" i="6"/>
  <c r="A1547" i="6"/>
  <c r="B1547" i="6"/>
  <c r="C1547" i="6"/>
  <c r="D1547" i="6"/>
  <c r="A1548" i="6"/>
  <c r="B1548" i="6"/>
  <c r="C1548" i="6"/>
  <c r="D1548" i="6"/>
  <c r="A1549" i="6"/>
  <c r="B1549" i="6"/>
  <c r="C1549" i="6"/>
  <c r="D1549" i="6"/>
  <c r="A1550" i="6"/>
  <c r="B1550" i="6"/>
  <c r="C1550" i="6"/>
  <c r="D1550" i="6"/>
  <c r="A1551" i="6"/>
  <c r="B1551" i="6"/>
  <c r="C1551" i="6"/>
  <c r="D1551" i="6"/>
  <c r="A1552" i="6"/>
  <c r="B1552" i="6"/>
  <c r="C1552" i="6"/>
  <c r="D1552" i="6"/>
  <c r="A1553" i="6"/>
  <c r="B1553" i="6"/>
  <c r="C1553" i="6"/>
  <c r="D1553" i="6"/>
  <c r="A1554" i="6"/>
  <c r="B1554" i="6"/>
  <c r="C1554" i="6"/>
  <c r="D1554" i="6"/>
  <c r="A1555" i="6"/>
  <c r="B1555" i="6"/>
  <c r="C1555" i="6"/>
  <c r="D1555" i="6"/>
  <c r="A1556" i="6"/>
  <c r="B1556" i="6"/>
  <c r="C1556" i="6"/>
  <c r="D1556" i="6"/>
  <c r="A1557" i="6"/>
  <c r="B1557" i="6"/>
  <c r="C1557" i="6"/>
  <c r="D1557" i="6"/>
  <c r="A1558" i="6"/>
  <c r="B1558" i="6"/>
  <c r="C1558" i="6"/>
  <c r="D1558" i="6"/>
  <c r="A1559" i="6"/>
  <c r="B1559" i="6"/>
  <c r="C1559" i="6"/>
  <c r="D1559" i="6"/>
  <c r="A1560" i="6"/>
  <c r="B1560" i="6"/>
  <c r="C1560" i="6"/>
  <c r="D1560" i="6"/>
  <c r="A1561" i="6"/>
  <c r="B1561" i="6"/>
  <c r="C1561" i="6"/>
  <c r="D1561" i="6"/>
  <c r="A1562" i="6"/>
  <c r="B1562" i="6"/>
  <c r="C1562" i="6"/>
  <c r="D1562" i="6"/>
  <c r="A1563" i="6"/>
  <c r="B1563" i="6"/>
  <c r="C1563" i="6"/>
  <c r="D1563" i="6"/>
  <c r="A1564" i="6"/>
  <c r="B1564" i="6"/>
  <c r="C1564" i="6"/>
  <c r="D1564" i="6"/>
  <c r="A1565" i="6"/>
  <c r="B1565" i="6"/>
  <c r="C1565" i="6"/>
  <c r="D1565" i="6"/>
  <c r="A1566" i="6"/>
  <c r="B1566" i="6"/>
  <c r="C1566" i="6"/>
  <c r="D1566" i="6"/>
  <c r="A1567" i="6"/>
  <c r="B1567" i="6"/>
  <c r="C1567" i="6"/>
  <c r="D1567" i="6"/>
  <c r="A1568" i="6"/>
  <c r="B1568" i="6"/>
  <c r="C1568" i="6"/>
  <c r="D1568" i="6"/>
  <c r="A1569" i="6"/>
  <c r="B1569" i="6"/>
  <c r="C1569" i="6"/>
  <c r="D1569" i="6"/>
  <c r="A1570" i="6"/>
  <c r="B1570" i="6"/>
  <c r="C1570" i="6"/>
  <c r="D1570" i="6"/>
  <c r="A1571" i="6"/>
  <c r="B1571" i="6"/>
  <c r="C1571" i="6"/>
  <c r="D1571" i="6"/>
  <c r="A1572" i="6"/>
  <c r="B1572" i="6"/>
  <c r="C1572" i="6"/>
  <c r="D1572" i="6"/>
  <c r="A1573" i="6"/>
  <c r="B1573" i="6"/>
  <c r="C1573" i="6"/>
  <c r="D1573" i="6"/>
  <c r="A1574" i="6"/>
  <c r="B1574" i="6"/>
  <c r="C1574" i="6"/>
  <c r="D1574" i="6"/>
  <c r="A1575" i="6"/>
  <c r="B1575" i="6"/>
  <c r="C1575" i="6"/>
  <c r="D1575" i="6"/>
  <c r="A1576" i="6"/>
  <c r="B1576" i="6"/>
  <c r="C1576" i="6"/>
  <c r="D1576" i="6"/>
  <c r="A1577" i="6"/>
  <c r="B1577" i="6"/>
  <c r="C1577" i="6"/>
  <c r="D1577" i="6"/>
  <c r="A1578" i="6"/>
  <c r="B1578" i="6"/>
  <c r="C1578" i="6"/>
  <c r="D1578" i="6"/>
  <c r="A1579" i="6"/>
  <c r="B1579" i="6"/>
  <c r="C1579" i="6"/>
  <c r="D1579" i="6"/>
  <c r="A1580" i="6"/>
  <c r="B1580" i="6"/>
  <c r="C1580" i="6"/>
  <c r="D1580" i="6"/>
  <c r="A1581" i="6"/>
  <c r="B1581" i="6"/>
  <c r="C1581" i="6"/>
  <c r="D1581" i="6"/>
  <c r="A1582" i="6"/>
  <c r="B1582" i="6"/>
  <c r="C1582" i="6"/>
  <c r="D1582" i="6"/>
  <c r="A1583" i="6"/>
  <c r="B1583" i="6"/>
  <c r="C1583" i="6"/>
  <c r="D1583" i="6"/>
  <c r="A1584" i="6"/>
  <c r="B1584" i="6"/>
  <c r="C1584" i="6"/>
  <c r="D1584" i="6"/>
  <c r="A1585" i="6"/>
  <c r="B1585" i="6"/>
  <c r="C1585" i="6"/>
  <c r="D1585" i="6"/>
  <c r="A1586" i="6"/>
  <c r="B1586" i="6"/>
  <c r="C1586" i="6"/>
  <c r="D1586" i="6"/>
  <c r="A1587" i="6"/>
  <c r="B1587" i="6"/>
  <c r="C1587" i="6"/>
  <c r="D1587" i="6"/>
  <c r="A1588" i="6"/>
  <c r="B1588" i="6"/>
  <c r="C1588" i="6"/>
  <c r="D1588" i="6"/>
  <c r="A1589" i="6"/>
  <c r="B1589" i="6"/>
  <c r="C1589" i="6"/>
  <c r="D1589" i="6"/>
  <c r="A1590" i="6"/>
  <c r="B1590" i="6"/>
  <c r="C1590" i="6"/>
  <c r="D1590" i="6"/>
  <c r="A1591" i="6"/>
  <c r="B1591" i="6"/>
  <c r="C1591" i="6"/>
  <c r="D1591" i="6"/>
  <c r="A1592" i="6"/>
  <c r="B1592" i="6"/>
  <c r="C1592" i="6"/>
  <c r="D1592" i="6"/>
  <c r="A1593" i="6"/>
  <c r="B1593" i="6"/>
  <c r="C1593" i="6"/>
  <c r="D1593" i="6"/>
  <c r="A1594" i="6"/>
  <c r="B1594" i="6"/>
  <c r="C1594" i="6"/>
  <c r="D1594" i="6"/>
  <c r="A1595" i="6"/>
  <c r="B1595" i="6"/>
  <c r="C1595" i="6"/>
  <c r="D1595" i="6"/>
  <c r="A1596" i="6"/>
  <c r="B1596" i="6"/>
  <c r="C1596" i="6"/>
  <c r="D1596" i="6"/>
  <c r="A1597" i="6"/>
  <c r="B1597" i="6"/>
  <c r="C1597" i="6"/>
  <c r="D1597" i="6"/>
  <c r="A1598" i="6"/>
  <c r="B1598" i="6"/>
  <c r="C1598" i="6"/>
  <c r="D1598" i="6"/>
  <c r="A1599" i="6"/>
  <c r="B1599" i="6"/>
  <c r="C1599" i="6"/>
  <c r="D1599" i="6"/>
  <c r="A1600" i="6"/>
  <c r="B1600" i="6"/>
  <c r="C1600" i="6"/>
  <c r="D1600" i="6"/>
  <c r="A1601" i="6"/>
  <c r="B1601" i="6"/>
  <c r="C1601" i="6"/>
  <c r="D1601" i="6"/>
  <c r="A1602" i="6"/>
  <c r="B1602" i="6"/>
  <c r="C1602" i="6"/>
  <c r="D1602" i="6"/>
  <c r="A1603" i="6"/>
  <c r="B1603" i="6"/>
  <c r="C1603" i="6"/>
  <c r="D1603" i="6"/>
  <c r="A1604" i="6"/>
  <c r="B1604" i="6"/>
  <c r="C1604" i="6"/>
  <c r="D1604" i="6"/>
  <c r="A1605" i="6"/>
  <c r="B1605" i="6"/>
  <c r="C1605" i="6"/>
  <c r="D1605" i="6"/>
  <c r="A1606" i="6"/>
  <c r="B1606" i="6"/>
  <c r="C1606" i="6"/>
  <c r="D1606" i="6"/>
  <c r="A1607" i="6"/>
  <c r="B1607" i="6"/>
  <c r="C1607" i="6"/>
  <c r="D1607" i="6"/>
  <c r="A1608" i="6"/>
  <c r="B1608" i="6"/>
  <c r="C1608" i="6"/>
  <c r="D1608" i="6"/>
  <c r="A1609" i="6"/>
  <c r="B1609" i="6"/>
  <c r="C1609" i="6"/>
  <c r="D1609" i="6"/>
  <c r="A1610" i="6"/>
  <c r="B1610" i="6"/>
  <c r="C1610" i="6"/>
  <c r="D1610" i="6"/>
  <c r="A1611" i="6"/>
  <c r="B1611" i="6"/>
  <c r="C1611" i="6"/>
  <c r="D1611" i="6"/>
  <c r="A1612" i="6"/>
  <c r="B1612" i="6"/>
  <c r="C1612" i="6"/>
  <c r="D1612" i="6"/>
  <c r="A1613" i="6"/>
  <c r="B1613" i="6"/>
  <c r="C1613" i="6"/>
  <c r="D1613" i="6"/>
  <c r="A1614" i="6"/>
  <c r="B1614" i="6"/>
  <c r="C1614" i="6"/>
  <c r="D1614" i="6"/>
  <c r="A1615" i="6"/>
  <c r="B1615" i="6"/>
  <c r="C1615" i="6"/>
  <c r="D1615" i="6"/>
  <c r="A1616" i="6"/>
  <c r="B1616" i="6"/>
  <c r="C1616" i="6"/>
  <c r="D1616" i="6"/>
  <c r="A1617" i="6"/>
  <c r="B1617" i="6"/>
  <c r="C1617" i="6"/>
  <c r="D1617" i="6"/>
  <c r="A1618" i="6"/>
  <c r="B1618" i="6"/>
  <c r="C1618" i="6"/>
  <c r="D1618" i="6"/>
  <c r="A1619" i="6"/>
  <c r="B1619" i="6"/>
  <c r="C1619" i="6"/>
  <c r="D1619" i="6"/>
  <c r="A1620" i="6"/>
  <c r="B1620" i="6"/>
  <c r="C1620" i="6"/>
  <c r="D1620" i="6"/>
  <c r="A1621" i="6"/>
  <c r="B1621" i="6"/>
  <c r="C1621" i="6"/>
  <c r="D1621" i="6"/>
  <c r="A1622" i="6"/>
  <c r="B1622" i="6"/>
  <c r="C1622" i="6"/>
  <c r="D1622" i="6"/>
  <c r="A1623" i="6"/>
  <c r="B1623" i="6"/>
  <c r="C1623" i="6"/>
  <c r="D1623" i="6"/>
  <c r="A1624" i="6"/>
  <c r="B1624" i="6"/>
  <c r="C1624" i="6"/>
  <c r="D1624" i="6"/>
  <c r="A1625" i="6"/>
  <c r="B1625" i="6"/>
  <c r="C1625" i="6"/>
  <c r="D1625" i="6"/>
  <c r="A1626" i="6"/>
  <c r="B1626" i="6"/>
  <c r="C1626" i="6"/>
  <c r="D1626" i="6"/>
  <c r="A1627" i="6"/>
  <c r="B1627" i="6"/>
  <c r="C1627" i="6"/>
  <c r="D1627" i="6"/>
  <c r="A1628" i="6"/>
  <c r="B1628" i="6"/>
  <c r="C1628" i="6"/>
  <c r="D1628" i="6"/>
  <c r="A1629" i="6"/>
  <c r="B1629" i="6"/>
  <c r="C1629" i="6"/>
  <c r="D1629" i="6"/>
  <c r="A1630" i="6"/>
  <c r="B1630" i="6"/>
  <c r="C1630" i="6"/>
  <c r="D1630" i="6"/>
  <c r="A1631" i="6"/>
  <c r="B1631" i="6"/>
  <c r="C1631" i="6"/>
  <c r="D1631" i="6"/>
  <c r="A1632" i="6"/>
  <c r="B1632" i="6"/>
  <c r="C1632" i="6"/>
  <c r="D1632" i="6"/>
  <c r="A1633" i="6"/>
  <c r="B1633" i="6"/>
  <c r="C1633" i="6"/>
  <c r="D1633" i="6"/>
  <c r="A1634" i="6"/>
  <c r="B1634" i="6"/>
  <c r="C1634" i="6"/>
  <c r="D1634" i="6"/>
  <c r="A1635" i="6"/>
  <c r="B1635" i="6"/>
  <c r="C1635" i="6"/>
  <c r="D1635" i="6"/>
  <c r="A1636" i="6"/>
  <c r="B1636" i="6"/>
  <c r="C1636" i="6"/>
  <c r="D1636" i="6"/>
  <c r="A1637" i="6"/>
  <c r="B1637" i="6"/>
  <c r="C1637" i="6"/>
  <c r="D1637" i="6"/>
  <c r="A1638" i="6"/>
  <c r="B1638" i="6"/>
  <c r="C1638" i="6"/>
  <c r="D1638" i="6"/>
  <c r="A1639" i="6"/>
  <c r="B1639" i="6"/>
  <c r="C1639" i="6"/>
  <c r="D1639" i="6"/>
  <c r="A1640" i="6"/>
  <c r="B1640" i="6"/>
  <c r="C1640" i="6"/>
  <c r="D1640" i="6"/>
  <c r="A1641" i="6"/>
  <c r="B1641" i="6"/>
  <c r="C1641" i="6"/>
  <c r="D1641" i="6"/>
  <c r="A1642" i="6"/>
  <c r="B1642" i="6"/>
  <c r="C1642" i="6"/>
  <c r="D1642" i="6"/>
  <c r="A1643" i="6"/>
  <c r="B1643" i="6"/>
  <c r="C1643" i="6"/>
  <c r="D1643" i="6"/>
  <c r="A1644" i="6"/>
  <c r="B1644" i="6"/>
  <c r="C1644" i="6"/>
  <c r="D1644" i="6"/>
  <c r="A1645" i="6"/>
  <c r="B1645" i="6"/>
  <c r="C1645" i="6"/>
  <c r="D1645" i="6"/>
  <c r="A1646" i="6"/>
  <c r="B1646" i="6"/>
  <c r="C1646" i="6"/>
  <c r="D1646" i="6"/>
  <c r="A1647" i="6"/>
  <c r="B1647" i="6"/>
  <c r="C1647" i="6"/>
  <c r="D1647" i="6"/>
  <c r="A1648" i="6"/>
  <c r="B1648" i="6"/>
  <c r="C1648" i="6"/>
  <c r="D1648" i="6"/>
  <c r="A1649" i="6"/>
  <c r="B1649" i="6"/>
  <c r="C1649" i="6"/>
  <c r="D1649" i="6"/>
  <c r="A1650" i="6"/>
  <c r="B1650" i="6"/>
  <c r="C1650" i="6"/>
  <c r="D1650" i="6"/>
  <c r="A1651" i="6"/>
  <c r="B1651" i="6"/>
  <c r="C1651" i="6"/>
  <c r="D1651" i="6"/>
  <c r="A1652" i="6"/>
  <c r="B1652" i="6"/>
  <c r="C1652" i="6"/>
  <c r="D1652" i="6"/>
  <c r="A1653" i="6"/>
  <c r="B1653" i="6"/>
  <c r="C1653" i="6"/>
  <c r="D1653" i="6"/>
  <c r="A1654" i="6"/>
  <c r="B1654" i="6"/>
  <c r="C1654" i="6"/>
  <c r="D1654" i="6"/>
  <c r="A1655" i="6"/>
  <c r="B1655" i="6"/>
  <c r="C1655" i="6"/>
  <c r="D1655" i="6"/>
  <c r="A1656" i="6"/>
  <c r="B1656" i="6"/>
  <c r="C1656" i="6"/>
  <c r="D1656" i="6"/>
  <c r="A1657" i="6"/>
  <c r="B1657" i="6"/>
  <c r="C1657" i="6"/>
  <c r="D1657" i="6"/>
  <c r="A1658" i="6"/>
  <c r="B1658" i="6"/>
  <c r="C1658" i="6"/>
  <c r="D1658" i="6"/>
  <c r="A1659" i="6"/>
  <c r="B1659" i="6"/>
  <c r="C1659" i="6"/>
  <c r="D1659" i="6"/>
  <c r="A1660" i="6"/>
  <c r="B1660" i="6"/>
  <c r="C1660" i="6"/>
  <c r="D1660" i="6"/>
  <c r="A1661" i="6"/>
  <c r="B1661" i="6"/>
  <c r="C1661" i="6"/>
  <c r="D1661" i="6"/>
  <c r="A1662" i="6"/>
  <c r="B1662" i="6"/>
  <c r="C1662" i="6"/>
  <c r="D1662" i="6"/>
  <c r="A1663" i="6"/>
  <c r="B1663" i="6"/>
  <c r="C1663" i="6"/>
  <c r="D1663" i="6"/>
  <c r="A1664" i="6"/>
  <c r="B1664" i="6"/>
  <c r="C1664" i="6"/>
  <c r="D1664" i="6"/>
  <c r="A1665" i="6"/>
  <c r="B1665" i="6"/>
  <c r="C1665" i="6"/>
  <c r="D1665" i="6"/>
  <c r="A1666" i="6"/>
  <c r="B1666" i="6"/>
  <c r="C1666" i="6"/>
  <c r="D1666" i="6"/>
  <c r="A1667" i="6"/>
  <c r="B1667" i="6"/>
  <c r="C1667" i="6"/>
  <c r="D1667" i="6"/>
  <c r="A1668" i="6"/>
  <c r="B1668" i="6"/>
  <c r="C1668" i="6"/>
  <c r="D1668" i="6"/>
  <c r="A1669" i="6"/>
  <c r="B1669" i="6"/>
  <c r="C1669" i="6"/>
  <c r="D1669" i="6"/>
  <c r="A1670" i="6"/>
  <c r="B1670" i="6"/>
  <c r="C1670" i="6"/>
  <c r="D1670" i="6"/>
  <c r="A1671" i="6"/>
  <c r="B1671" i="6"/>
  <c r="C1671" i="6"/>
  <c r="D1671" i="6"/>
  <c r="A1672" i="6"/>
  <c r="B1672" i="6"/>
  <c r="C1672" i="6"/>
  <c r="D1672" i="6"/>
  <c r="A1673" i="6"/>
  <c r="B1673" i="6"/>
  <c r="C1673" i="6"/>
  <c r="D1673" i="6"/>
  <c r="A1674" i="6"/>
  <c r="B1674" i="6"/>
  <c r="C1674" i="6"/>
  <c r="D1674" i="6"/>
  <c r="A1675" i="6"/>
  <c r="B1675" i="6"/>
  <c r="C1675" i="6"/>
  <c r="D1675" i="6"/>
  <c r="A1676" i="6"/>
  <c r="B1676" i="6"/>
  <c r="C1676" i="6"/>
  <c r="D1676" i="6"/>
  <c r="A1677" i="6"/>
  <c r="B1677" i="6"/>
  <c r="C1677" i="6"/>
  <c r="D1677" i="6"/>
  <c r="A1678" i="6"/>
  <c r="B1678" i="6"/>
  <c r="C1678" i="6"/>
  <c r="D1678" i="6"/>
  <c r="A1679" i="6"/>
  <c r="B1679" i="6"/>
  <c r="C1679" i="6"/>
  <c r="D1679" i="6"/>
  <c r="A1680" i="6"/>
  <c r="B1680" i="6"/>
  <c r="C1680" i="6"/>
  <c r="D1680" i="6"/>
  <c r="A1681" i="6"/>
  <c r="B1681" i="6"/>
  <c r="C1681" i="6"/>
  <c r="D1681" i="6"/>
  <c r="A1682" i="6"/>
  <c r="B1682" i="6"/>
  <c r="C1682" i="6"/>
  <c r="D1682" i="6"/>
  <c r="A1683" i="6"/>
  <c r="B1683" i="6"/>
  <c r="C1683" i="6"/>
  <c r="D1683" i="6"/>
  <c r="A1684" i="6"/>
  <c r="B1684" i="6"/>
  <c r="C1684" i="6"/>
  <c r="D1684" i="6"/>
  <c r="A1685" i="6"/>
  <c r="B1685" i="6"/>
  <c r="C1685" i="6"/>
  <c r="D1685" i="6"/>
  <c r="A1686" i="6"/>
  <c r="B1686" i="6"/>
  <c r="C1686" i="6"/>
  <c r="D1686" i="6"/>
  <c r="A1687" i="6"/>
  <c r="B1687" i="6"/>
  <c r="C1687" i="6"/>
  <c r="D1687" i="6"/>
  <c r="A1688" i="6"/>
  <c r="B1688" i="6"/>
  <c r="C1688" i="6"/>
  <c r="D1688" i="6"/>
  <c r="A1689" i="6"/>
  <c r="B1689" i="6"/>
  <c r="C1689" i="6"/>
  <c r="D1689" i="6"/>
  <c r="A1690" i="6"/>
  <c r="B1690" i="6"/>
  <c r="C1690" i="6"/>
  <c r="D1690" i="6"/>
  <c r="A1691" i="6"/>
  <c r="B1691" i="6"/>
  <c r="C1691" i="6"/>
  <c r="D1691" i="6"/>
  <c r="A1692" i="6"/>
  <c r="B1692" i="6"/>
  <c r="C1692" i="6"/>
  <c r="D1692" i="6"/>
  <c r="A1693" i="6"/>
  <c r="B1693" i="6"/>
  <c r="C1693" i="6"/>
  <c r="D1693" i="6"/>
  <c r="A1694" i="6"/>
  <c r="B1694" i="6"/>
  <c r="C1694" i="6"/>
  <c r="D1694" i="6"/>
  <c r="A1695" i="6"/>
  <c r="B1695" i="6"/>
  <c r="C1695" i="6"/>
  <c r="D1695" i="6"/>
  <c r="A1696" i="6"/>
  <c r="B1696" i="6"/>
  <c r="C1696" i="6"/>
  <c r="D1696" i="6"/>
  <c r="A1697" i="6"/>
  <c r="B1697" i="6"/>
  <c r="C1697" i="6"/>
  <c r="D1697" i="6"/>
  <c r="A1698" i="6"/>
  <c r="B1698" i="6"/>
  <c r="C1698" i="6"/>
  <c r="D1698" i="6"/>
  <c r="A1699" i="6"/>
  <c r="B1699" i="6"/>
  <c r="C1699" i="6"/>
  <c r="D1699" i="6"/>
  <c r="A1700" i="6"/>
  <c r="B1700" i="6"/>
  <c r="C1700" i="6"/>
  <c r="D1700" i="6"/>
  <c r="A1701" i="6"/>
  <c r="B1701" i="6"/>
  <c r="C1701" i="6"/>
  <c r="D1701" i="6"/>
  <c r="A1702" i="6"/>
  <c r="B1702" i="6"/>
  <c r="C1702" i="6"/>
  <c r="D1702" i="6"/>
  <c r="A1703" i="6"/>
  <c r="B1703" i="6"/>
  <c r="C1703" i="6"/>
  <c r="D1703" i="6"/>
  <c r="A1704" i="6"/>
  <c r="B1704" i="6"/>
  <c r="C1704" i="6"/>
  <c r="D1704" i="6"/>
  <c r="A1705" i="6"/>
  <c r="B1705" i="6"/>
  <c r="C1705" i="6"/>
  <c r="D1705" i="6"/>
  <c r="A1706" i="6"/>
  <c r="B1706" i="6"/>
  <c r="C1706" i="6"/>
  <c r="D1706" i="6"/>
  <c r="A1707" i="6"/>
  <c r="B1707" i="6"/>
  <c r="C1707" i="6"/>
  <c r="D1707" i="6"/>
  <c r="A1708" i="6"/>
  <c r="B1708" i="6"/>
  <c r="C1708" i="6"/>
  <c r="D1708" i="6"/>
  <c r="A1709" i="6"/>
  <c r="B1709" i="6"/>
  <c r="C1709" i="6"/>
  <c r="D1709" i="6"/>
  <c r="A1710" i="6"/>
  <c r="B1710" i="6"/>
  <c r="C1710" i="6"/>
  <c r="D1710" i="6"/>
  <c r="A1711" i="6"/>
  <c r="B1711" i="6"/>
  <c r="C1711" i="6"/>
  <c r="D1711" i="6"/>
  <c r="A1712" i="6"/>
  <c r="B1712" i="6"/>
  <c r="C1712" i="6"/>
  <c r="D1712" i="6"/>
  <c r="A1713" i="6"/>
  <c r="B1713" i="6"/>
  <c r="C1713" i="6"/>
  <c r="D1713" i="6"/>
  <c r="A1714" i="6"/>
  <c r="B1714" i="6"/>
  <c r="C1714" i="6"/>
  <c r="D1714" i="6"/>
  <c r="A1715" i="6"/>
  <c r="B1715" i="6"/>
  <c r="C1715" i="6"/>
  <c r="D1715" i="6"/>
  <c r="A1716" i="6"/>
  <c r="B1716" i="6"/>
  <c r="C1716" i="6"/>
  <c r="D1716" i="6"/>
  <c r="A1717" i="6"/>
  <c r="B1717" i="6"/>
  <c r="C1717" i="6"/>
  <c r="D1717" i="6"/>
  <c r="A1718" i="6"/>
  <c r="B1718" i="6"/>
  <c r="C1718" i="6"/>
  <c r="D1718" i="6"/>
  <c r="A1719" i="6"/>
  <c r="B1719" i="6"/>
  <c r="C1719" i="6"/>
  <c r="D1719" i="6"/>
  <c r="A1720" i="6"/>
  <c r="B1720" i="6"/>
  <c r="C1720" i="6"/>
  <c r="D1720" i="6"/>
  <c r="A1721" i="6"/>
  <c r="B1721" i="6"/>
  <c r="C1721" i="6"/>
  <c r="D1721" i="6"/>
  <c r="A1722" i="6"/>
  <c r="B1722" i="6"/>
  <c r="C1722" i="6"/>
  <c r="D1722" i="6"/>
  <c r="A1723" i="6"/>
  <c r="B1723" i="6"/>
  <c r="C1723" i="6"/>
  <c r="D1723" i="6"/>
  <c r="A1724" i="6"/>
  <c r="B1724" i="6"/>
  <c r="C1724" i="6"/>
  <c r="D1724" i="6"/>
  <c r="A1725" i="6"/>
  <c r="B1725" i="6"/>
  <c r="C1725" i="6"/>
  <c r="D1725" i="6"/>
  <c r="A1726" i="6"/>
  <c r="B1726" i="6"/>
  <c r="C1726" i="6"/>
  <c r="D1726" i="6"/>
  <c r="A1727" i="6"/>
  <c r="B1727" i="6"/>
  <c r="C1727" i="6"/>
  <c r="D1727" i="6"/>
  <c r="A1728" i="6"/>
  <c r="B1728" i="6"/>
  <c r="C1728" i="6"/>
  <c r="D1728" i="6"/>
  <c r="A1729" i="6"/>
  <c r="B1729" i="6"/>
  <c r="C1729" i="6"/>
  <c r="D1729" i="6"/>
  <c r="A1730" i="6"/>
  <c r="B1730" i="6"/>
  <c r="C1730" i="6"/>
  <c r="D1730" i="6"/>
  <c r="A1731" i="6"/>
  <c r="B1731" i="6"/>
  <c r="C1731" i="6"/>
  <c r="D1731" i="6"/>
  <c r="A1732" i="6"/>
  <c r="B1732" i="6"/>
  <c r="C1732" i="6"/>
  <c r="D1732" i="6"/>
  <c r="A1733" i="6"/>
  <c r="B1733" i="6"/>
  <c r="C1733" i="6"/>
  <c r="D1733" i="6"/>
  <c r="A1734" i="6"/>
  <c r="B1734" i="6"/>
  <c r="C1734" i="6"/>
  <c r="D1734" i="6"/>
  <c r="A1735" i="6"/>
  <c r="B1735" i="6"/>
  <c r="C1735" i="6"/>
  <c r="D1735" i="6"/>
  <c r="A1736" i="6"/>
  <c r="B1736" i="6"/>
  <c r="C1736" i="6"/>
  <c r="D1736" i="6"/>
  <c r="A1737" i="6"/>
  <c r="B1737" i="6"/>
  <c r="C1737" i="6"/>
  <c r="D1737" i="6"/>
  <c r="A1738" i="6"/>
  <c r="B1738" i="6"/>
  <c r="C1738" i="6"/>
  <c r="D1738" i="6"/>
  <c r="A1739" i="6"/>
  <c r="B1739" i="6"/>
  <c r="C1739" i="6"/>
  <c r="D1739" i="6"/>
  <c r="A1740" i="6"/>
  <c r="B1740" i="6"/>
  <c r="C1740" i="6"/>
  <c r="D1740" i="6"/>
  <c r="A1741" i="6"/>
  <c r="B1741" i="6"/>
  <c r="C1741" i="6"/>
  <c r="D1741" i="6"/>
  <c r="A1742" i="6"/>
  <c r="B1742" i="6"/>
  <c r="C1742" i="6"/>
  <c r="D1742" i="6"/>
  <c r="A1743" i="6"/>
  <c r="B1743" i="6"/>
  <c r="C1743" i="6"/>
  <c r="D1743" i="6"/>
  <c r="A1744" i="6"/>
  <c r="B1744" i="6"/>
  <c r="C1744" i="6"/>
  <c r="D1744" i="6"/>
  <c r="A1745" i="6"/>
  <c r="B1745" i="6"/>
  <c r="C1745" i="6"/>
  <c r="D1745" i="6"/>
  <c r="A1746" i="6"/>
  <c r="B1746" i="6"/>
  <c r="C1746" i="6"/>
  <c r="D1746" i="6"/>
  <c r="A1747" i="6"/>
  <c r="B1747" i="6"/>
  <c r="C1747" i="6"/>
  <c r="D1747" i="6"/>
  <c r="A1748" i="6"/>
  <c r="B1748" i="6"/>
  <c r="C1748" i="6"/>
  <c r="D1748" i="6"/>
  <c r="A1749" i="6"/>
  <c r="B1749" i="6"/>
  <c r="C1749" i="6"/>
  <c r="D1749" i="6"/>
  <c r="A1750" i="6"/>
  <c r="B1750" i="6"/>
  <c r="C1750" i="6"/>
  <c r="D1750" i="6"/>
  <c r="A1751" i="6"/>
  <c r="B1751" i="6"/>
  <c r="C1751" i="6"/>
  <c r="D1751" i="6"/>
  <c r="A1752" i="6"/>
  <c r="B1752" i="6"/>
  <c r="C1752" i="6"/>
  <c r="D1752" i="6"/>
  <c r="A1753" i="6"/>
  <c r="B1753" i="6"/>
  <c r="C1753" i="6"/>
  <c r="D1753" i="6"/>
  <c r="A1754" i="6"/>
  <c r="B1754" i="6"/>
  <c r="C1754" i="6"/>
  <c r="D1754" i="6"/>
  <c r="A1755" i="6"/>
  <c r="B1755" i="6"/>
  <c r="C1755" i="6"/>
  <c r="D1755" i="6"/>
  <c r="A1756" i="6"/>
  <c r="B1756" i="6"/>
  <c r="C1756" i="6"/>
  <c r="D1756" i="6"/>
  <c r="A1757" i="6"/>
  <c r="B1757" i="6"/>
  <c r="C1757" i="6"/>
  <c r="D1757" i="6"/>
  <c r="A1758" i="6"/>
  <c r="B1758" i="6"/>
  <c r="C1758" i="6"/>
  <c r="D1758" i="6"/>
  <c r="A1759" i="6"/>
  <c r="B1759" i="6"/>
  <c r="C1759" i="6"/>
  <c r="D1759" i="6"/>
  <c r="A1760" i="6"/>
  <c r="B1760" i="6"/>
  <c r="C1760" i="6"/>
  <c r="D1760" i="6"/>
  <c r="A1761" i="6"/>
  <c r="B1761" i="6"/>
  <c r="C1761" i="6"/>
  <c r="D1761" i="6"/>
  <c r="A1762" i="6"/>
  <c r="B1762" i="6"/>
  <c r="C1762" i="6"/>
  <c r="D1762" i="6"/>
  <c r="A1763" i="6"/>
  <c r="B1763" i="6"/>
  <c r="C1763" i="6"/>
  <c r="D1763" i="6"/>
  <c r="A1764" i="6"/>
  <c r="B1764" i="6"/>
  <c r="C1764" i="6"/>
  <c r="D1764" i="6"/>
  <c r="A1765" i="6"/>
  <c r="B1765" i="6"/>
  <c r="C1765" i="6"/>
  <c r="D1765" i="6"/>
  <c r="A1766" i="6"/>
  <c r="B1766" i="6"/>
  <c r="C1766" i="6"/>
  <c r="D1766" i="6"/>
  <c r="A1767" i="6"/>
  <c r="B1767" i="6"/>
  <c r="C1767" i="6"/>
  <c r="D1767" i="6"/>
  <c r="A1768" i="6"/>
  <c r="B1768" i="6"/>
  <c r="C1768" i="6"/>
  <c r="D1768" i="6"/>
  <c r="A1769" i="6"/>
  <c r="B1769" i="6"/>
  <c r="C1769" i="6"/>
  <c r="D1769" i="6"/>
  <c r="A1770" i="6"/>
  <c r="B1770" i="6"/>
  <c r="C1770" i="6"/>
  <c r="D1770" i="6"/>
  <c r="A1771" i="6"/>
  <c r="B1771" i="6"/>
  <c r="C1771" i="6"/>
  <c r="D1771" i="6"/>
  <c r="A1772" i="6"/>
  <c r="B1772" i="6"/>
  <c r="C1772" i="6"/>
  <c r="D1772" i="6"/>
  <c r="A1773" i="6"/>
  <c r="B1773" i="6"/>
  <c r="C1773" i="6"/>
  <c r="D1773" i="6"/>
  <c r="A1774" i="6"/>
  <c r="B1774" i="6"/>
  <c r="C1774" i="6"/>
  <c r="D1774" i="6"/>
  <c r="A1775" i="6"/>
  <c r="B1775" i="6"/>
  <c r="C1775" i="6"/>
  <c r="D1775" i="6"/>
  <c r="A1776" i="6"/>
  <c r="B1776" i="6"/>
  <c r="C1776" i="6"/>
  <c r="D1776" i="6"/>
  <c r="A1777" i="6"/>
  <c r="B1777" i="6"/>
  <c r="C1777" i="6"/>
  <c r="D1777" i="6"/>
  <c r="A1778" i="6"/>
  <c r="B1778" i="6"/>
  <c r="C1778" i="6"/>
  <c r="D1778" i="6"/>
  <c r="A1779" i="6"/>
  <c r="B1779" i="6"/>
  <c r="C1779" i="6"/>
  <c r="D1779" i="6"/>
  <c r="A1780" i="6"/>
  <c r="B1780" i="6"/>
  <c r="C1780" i="6"/>
  <c r="D1780" i="6"/>
  <c r="A1781" i="6"/>
  <c r="B1781" i="6"/>
  <c r="C1781" i="6"/>
  <c r="D1781" i="6"/>
  <c r="A1782" i="6"/>
  <c r="B1782" i="6"/>
  <c r="C1782" i="6"/>
  <c r="D1782" i="6"/>
  <c r="A1783" i="6"/>
  <c r="B1783" i="6"/>
  <c r="C1783" i="6"/>
  <c r="D1783" i="6"/>
  <c r="A1784" i="6"/>
  <c r="B1784" i="6"/>
  <c r="C1784" i="6"/>
  <c r="D1784" i="6"/>
  <c r="A1785" i="6"/>
  <c r="B1785" i="6"/>
  <c r="C1785" i="6"/>
  <c r="D1785" i="6"/>
  <c r="A1786" i="6"/>
  <c r="B1786" i="6"/>
  <c r="C1786" i="6"/>
  <c r="D1786" i="6"/>
  <c r="A1787" i="6"/>
  <c r="B1787" i="6"/>
  <c r="C1787" i="6"/>
  <c r="D1787" i="6"/>
  <c r="A1788" i="6"/>
  <c r="B1788" i="6"/>
  <c r="C1788" i="6"/>
  <c r="D1788" i="6"/>
  <c r="A1789" i="6"/>
  <c r="B1789" i="6"/>
  <c r="C1789" i="6"/>
  <c r="D1789" i="6"/>
  <c r="A1790" i="6"/>
  <c r="B1790" i="6"/>
  <c r="C1790" i="6"/>
  <c r="D1790" i="6"/>
  <c r="A1791" i="6"/>
  <c r="B1791" i="6"/>
  <c r="C1791" i="6"/>
  <c r="D1791" i="6"/>
  <c r="A1792" i="6"/>
  <c r="B1792" i="6"/>
  <c r="C1792" i="6"/>
  <c r="D1792" i="6"/>
  <c r="A1793" i="6"/>
  <c r="B1793" i="6"/>
  <c r="C1793" i="6"/>
  <c r="D1793" i="6"/>
  <c r="A1794" i="6"/>
  <c r="B1794" i="6"/>
  <c r="C1794" i="6"/>
  <c r="D1794" i="6"/>
  <c r="A1795" i="6"/>
  <c r="B1795" i="6"/>
  <c r="C1795" i="6"/>
  <c r="D1795" i="6"/>
  <c r="A1796" i="6"/>
  <c r="B1796" i="6"/>
  <c r="C1796" i="6"/>
  <c r="D1796" i="6"/>
  <c r="A1797" i="6"/>
  <c r="B1797" i="6"/>
  <c r="C1797" i="6"/>
  <c r="D1797" i="6"/>
  <c r="A1798" i="6"/>
  <c r="B1798" i="6"/>
  <c r="C1798" i="6"/>
  <c r="D1798" i="6"/>
  <c r="A1799" i="6"/>
  <c r="B1799" i="6"/>
  <c r="C1799" i="6"/>
  <c r="D1799" i="6"/>
  <c r="A1800" i="6"/>
  <c r="B1800" i="6"/>
  <c r="C1800" i="6"/>
  <c r="D1800" i="6"/>
  <c r="A1801" i="6"/>
  <c r="B1801" i="6"/>
  <c r="C1801" i="6"/>
  <c r="D1801" i="6"/>
  <c r="A1802" i="6"/>
  <c r="B1802" i="6"/>
  <c r="C1802" i="6"/>
  <c r="D1802" i="6"/>
  <c r="A1803" i="6"/>
  <c r="B1803" i="6"/>
  <c r="C1803" i="6"/>
  <c r="D1803" i="6"/>
  <c r="A1804" i="6"/>
  <c r="B1804" i="6"/>
  <c r="C1804" i="6"/>
  <c r="D1804" i="6"/>
  <c r="A1805" i="6"/>
  <c r="B1805" i="6"/>
  <c r="C1805" i="6"/>
  <c r="D1805" i="6"/>
  <c r="A1806" i="6"/>
  <c r="B1806" i="6"/>
  <c r="C1806" i="6"/>
  <c r="D1806" i="6"/>
  <c r="A1807" i="6"/>
  <c r="B1807" i="6"/>
  <c r="C1807" i="6"/>
  <c r="D1807" i="6"/>
  <c r="A1808" i="6"/>
  <c r="B1808" i="6"/>
  <c r="C1808" i="6"/>
  <c r="D1808" i="6"/>
  <c r="A1809" i="6"/>
  <c r="B1809" i="6"/>
  <c r="C1809" i="6"/>
  <c r="D1809" i="6"/>
  <c r="A1810" i="6"/>
  <c r="B1810" i="6"/>
  <c r="C1810" i="6"/>
  <c r="D1810" i="6"/>
  <c r="A1811" i="6"/>
  <c r="B1811" i="6"/>
  <c r="C1811" i="6"/>
  <c r="D1811" i="6"/>
  <c r="A1812" i="6"/>
  <c r="B1812" i="6"/>
  <c r="C1812" i="6"/>
  <c r="D1812" i="6"/>
  <c r="A1813" i="6"/>
  <c r="B1813" i="6"/>
  <c r="C1813" i="6"/>
  <c r="D1813" i="6"/>
  <c r="A1814" i="6"/>
  <c r="B1814" i="6"/>
  <c r="C1814" i="6"/>
  <c r="D1814" i="6"/>
  <c r="A1815" i="6"/>
  <c r="B1815" i="6"/>
  <c r="C1815" i="6"/>
  <c r="D1815" i="6"/>
  <c r="A1816" i="6"/>
  <c r="B1816" i="6"/>
  <c r="C1816" i="6"/>
  <c r="D1816" i="6"/>
  <c r="A1817" i="6"/>
  <c r="B1817" i="6"/>
  <c r="C1817" i="6"/>
  <c r="D1817" i="6"/>
  <c r="A1818" i="6"/>
  <c r="B1818" i="6"/>
  <c r="C1818" i="6"/>
  <c r="D1818" i="6"/>
  <c r="A1819" i="6"/>
  <c r="B1819" i="6"/>
  <c r="C1819" i="6"/>
  <c r="D1819" i="6"/>
  <c r="A1820" i="6"/>
  <c r="B1820" i="6"/>
  <c r="C1820" i="6"/>
  <c r="D1820" i="6"/>
  <c r="A1821" i="6"/>
  <c r="B1821" i="6"/>
  <c r="C1821" i="6"/>
  <c r="D1821" i="6"/>
  <c r="A1822" i="6"/>
  <c r="B1822" i="6"/>
  <c r="C1822" i="6"/>
  <c r="D1822" i="6"/>
  <c r="A1823" i="6"/>
  <c r="B1823" i="6"/>
  <c r="C1823" i="6"/>
  <c r="D1823" i="6"/>
  <c r="A1824" i="6"/>
  <c r="B1824" i="6"/>
  <c r="C1824" i="6"/>
  <c r="D1824" i="6"/>
  <c r="A1825" i="6"/>
  <c r="B1825" i="6"/>
  <c r="C1825" i="6"/>
  <c r="D1825" i="6"/>
  <c r="A1826" i="6"/>
  <c r="B1826" i="6"/>
  <c r="C1826" i="6"/>
  <c r="D1826" i="6"/>
  <c r="A1827" i="6"/>
  <c r="B1827" i="6"/>
  <c r="C1827" i="6"/>
  <c r="D1827" i="6"/>
  <c r="A1828" i="6"/>
  <c r="B1828" i="6"/>
  <c r="C1828" i="6"/>
  <c r="D1828" i="6"/>
  <c r="A1829" i="6"/>
  <c r="B1829" i="6"/>
  <c r="C1829" i="6"/>
  <c r="D1829" i="6"/>
  <c r="A1830" i="6"/>
  <c r="B1830" i="6"/>
  <c r="C1830" i="6"/>
  <c r="D1830" i="6"/>
  <c r="A1831" i="6"/>
  <c r="B1831" i="6"/>
  <c r="C1831" i="6"/>
  <c r="D1831" i="6"/>
  <c r="A1832" i="6"/>
  <c r="B1832" i="6"/>
  <c r="C1832" i="6"/>
  <c r="D1832" i="6"/>
  <c r="A1833" i="6"/>
  <c r="B1833" i="6"/>
  <c r="C1833" i="6"/>
  <c r="D1833" i="6"/>
  <c r="A1834" i="6"/>
  <c r="B1834" i="6"/>
  <c r="C1834" i="6"/>
  <c r="D1834" i="6"/>
  <c r="A1835" i="6"/>
  <c r="B1835" i="6"/>
  <c r="C1835" i="6"/>
  <c r="D1835" i="6"/>
  <c r="A1836" i="6"/>
  <c r="B1836" i="6"/>
  <c r="C1836" i="6"/>
  <c r="D1836" i="6"/>
  <c r="A1837" i="6"/>
  <c r="B1837" i="6"/>
  <c r="C1837" i="6"/>
  <c r="D1837" i="6"/>
  <c r="A1838" i="6"/>
  <c r="B1838" i="6"/>
  <c r="C1838" i="6"/>
  <c r="D1838" i="6"/>
  <c r="A1839" i="6"/>
  <c r="B1839" i="6"/>
  <c r="C1839" i="6"/>
  <c r="D1839" i="6"/>
  <c r="A1840" i="6"/>
  <c r="B1840" i="6"/>
  <c r="C1840" i="6"/>
  <c r="D1840" i="6"/>
  <c r="A1841" i="6"/>
  <c r="B1841" i="6"/>
  <c r="C1841" i="6"/>
  <c r="D1841" i="6"/>
  <c r="A1842" i="6"/>
  <c r="B1842" i="6"/>
  <c r="C1842" i="6"/>
  <c r="D1842" i="6"/>
  <c r="A1843" i="6"/>
  <c r="B1843" i="6"/>
  <c r="C1843" i="6"/>
  <c r="D1843" i="6"/>
  <c r="A1844" i="6"/>
  <c r="B1844" i="6"/>
  <c r="C1844" i="6"/>
  <c r="D1844" i="6"/>
  <c r="A1845" i="6"/>
  <c r="B1845" i="6"/>
  <c r="C1845" i="6"/>
  <c r="D1845" i="6"/>
  <c r="A1846" i="6"/>
  <c r="B1846" i="6"/>
  <c r="C1846" i="6"/>
  <c r="D1846" i="6"/>
  <c r="A1847" i="6"/>
  <c r="B1847" i="6"/>
  <c r="C1847" i="6"/>
  <c r="D1847" i="6"/>
  <c r="A1848" i="6"/>
  <c r="B1848" i="6"/>
  <c r="C1848" i="6"/>
  <c r="D1848" i="6"/>
  <c r="A1849" i="6"/>
  <c r="B1849" i="6"/>
  <c r="C1849" i="6"/>
  <c r="D1849" i="6"/>
  <c r="A1850" i="6"/>
  <c r="B1850" i="6"/>
  <c r="C1850" i="6"/>
  <c r="D1850" i="6"/>
  <c r="A1851" i="6"/>
  <c r="B1851" i="6"/>
  <c r="C1851" i="6"/>
  <c r="D1851" i="6"/>
  <c r="A1852" i="6"/>
  <c r="B1852" i="6"/>
  <c r="C1852" i="6"/>
  <c r="D1852" i="6"/>
  <c r="A1853" i="6"/>
  <c r="B1853" i="6"/>
  <c r="C1853" i="6"/>
  <c r="D1853" i="6"/>
  <c r="A1854" i="6"/>
  <c r="B1854" i="6"/>
  <c r="C1854" i="6"/>
  <c r="D1854" i="6"/>
  <c r="A1855" i="6"/>
  <c r="B1855" i="6"/>
  <c r="C1855" i="6"/>
  <c r="D1855" i="6"/>
  <c r="A1856" i="6"/>
  <c r="B1856" i="6"/>
  <c r="C1856" i="6"/>
  <c r="D1856" i="6"/>
  <c r="A1857" i="6"/>
  <c r="B1857" i="6"/>
  <c r="C1857" i="6"/>
  <c r="D1857" i="6"/>
  <c r="A1858" i="6"/>
  <c r="B1858" i="6"/>
  <c r="C1858" i="6"/>
  <c r="D1858" i="6"/>
  <c r="A1859" i="6"/>
  <c r="B1859" i="6"/>
  <c r="C1859" i="6"/>
  <c r="D1859" i="6"/>
  <c r="A1860" i="6"/>
  <c r="B1860" i="6"/>
  <c r="C1860" i="6"/>
  <c r="D1860" i="6"/>
  <c r="A1861" i="6"/>
  <c r="B1861" i="6"/>
  <c r="C1861" i="6"/>
  <c r="D1861" i="6"/>
  <c r="A1862" i="6"/>
  <c r="B1862" i="6"/>
  <c r="C1862" i="6"/>
  <c r="D1862" i="6"/>
  <c r="A1863" i="6"/>
  <c r="B1863" i="6"/>
  <c r="C1863" i="6"/>
  <c r="D1863" i="6"/>
  <c r="A1864" i="6"/>
  <c r="B1864" i="6"/>
  <c r="C1864" i="6"/>
  <c r="D1864" i="6"/>
  <c r="A1865" i="6"/>
  <c r="B1865" i="6"/>
  <c r="C1865" i="6"/>
  <c r="D1865" i="6"/>
  <c r="A1866" i="6"/>
  <c r="B1866" i="6"/>
  <c r="C1866" i="6"/>
  <c r="D1866" i="6"/>
  <c r="A1867" i="6"/>
  <c r="B1867" i="6"/>
  <c r="D1867" i="6"/>
  <c r="A1868" i="6"/>
  <c r="B1868" i="6"/>
  <c r="C1868" i="6"/>
  <c r="D1868" i="6"/>
  <c r="A1869" i="6"/>
  <c r="B1869" i="6"/>
  <c r="C1869" i="6"/>
  <c r="D1869" i="6"/>
  <c r="A1870" i="6"/>
  <c r="B1870" i="6"/>
  <c r="C1870" i="6"/>
  <c r="D1870" i="6"/>
  <c r="A1871" i="6"/>
  <c r="B1871" i="6"/>
  <c r="C1871" i="6"/>
  <c r="D1871" i="6"/>
  <c r="A1872" i="6"/>
  <c r="B1872" i="6"/>
  <c r="C1872" i="6"/>
  <c r="D1872" i="6"/>
  <c r="A1873" i="6"/>
  <c r="B1873" i="6"/>
  <c r="C1873" i="6"/>
  <c r="D1873" i="6"/>
  <c r="A1874" i="6"/>
  <c r="B1874" i="6"/>
  <c r="C1874" i="6"/>
  <c r="D1874" i="6"/>
  <c r="A1875" i="6"/>
  <c r="B1875" i="6"/>
  <c r="C1875" i="6"/>
  <c r="D1875" i="6"/>
  <c r="A1876" i="6"/>
  <c r="B1876" i="6"/>
  <c r="C1876" i="6"/>
  <c r="D1876" i="6"/>
  <c r="A1877" i="6"/>
  <c r="B1877" i="6"/>
  <c r="C1877" i="6"/>
  <c r="D1877" i="6"/>
  <c r="A1878" i="6"/>
  <c r="B1878" i="6"/>
  <c r="C1878" i="6"/>
  <c r="D1878" i="6"/>
  <c r="A1879" i="6"/>
  <c r="B1879" i="6"/>
  <c r="C1879" i="6"/>
  <c r="D1879" i="6"/>
  <c r="A1880" i="6"/>
  <c r="B1880" i="6"/>
  <c r="C1880" i="6"/>
  <c r="D1880" i="6"/>
  <c r="A1881" i="6"/>
  <c r="B1881" i="6"/>
  <c r="C1881" i="6"/>
  <c r="D1881" i="6"/>
  <c r="A1882" i="6"/>
  <c r="B1882" i="6"/>
  <c r="C1882" i="6"/>
  <c r="D1882" i="6"/>
  <c r="A1883" i="6"/>
  <c r="B1883" i="6"/>
  <c r="C1883" i="6"/>
  <c r="D1883" i="6"/>
  <c r="A1884" i="6"/>
  <c r="B1884" i="6"/>
  <c r="C1884" i="6"/>
  <c r="D1884" i="6"/>
  <c r="A1885" i="6"/>
  <c r="B1885" i="6"/>
  <c r="C1885" i="6"/>
  <c r="D1885" i="6"/>
  <c r="A1886" i="6"/>
  <c r="B1886" i="6"/>
  <c r="C1886" i="6"/>
  <c r="D1886" i="6"/>
  <c r="A1887" i="6"/>
  <c r="B1887" i="6"/>
  <c r="C1887" i="6"/>
  <c r="D1887" i="6"/>
  <c r="A1888" i="6"/>
  <c r="B1888" i="6"/>
  <c r="C1888" i="6"/>
  <c r="D1888" i="6"/>
  <c r="A1889" i="6"/>
  <c r="B1889" i="6"/>
  <c r="C1889" i="6"/>
  <c r="D1889" i="6"/>
  <c r="A1890" i="6"/>
  <c r="B1890" i="6"/>
  <c r="C1890" i="6"/>
  <c r="D1890" i="6"/>
  <c r="A1891" i="6"/>
  <c r="B1891" i="6"/>
  <c r="C1891" i="6"/>
  <c r="D1891" i="6"/>
  <c r="A1892" i="6"/>
  <c r="B1892" i="6"/>
  <c r="C1892" i="6"/>
  <c r="D1892" i="6"/>
  <c r="A1893" i="6"/>
  <c r="B1893" i="6"/>
  <c r="C1893" i="6"/>
  <c r="D1893" i="6"/>
  <c r="A1894" i="6"/>
  <c r="B1894" i="6"/>
  <c r="C1894" i="6"/>
  <c r="D1894" i="6"/>
  <c r="A1895" i="6"/>
  <c r="B1895" i="6"/>
  <c r="C1895" i="6"/>
  <c r="D1895" i="6"/>
  <c r="A1896" i="6"/>
  <c r="B1896" i="6"/>
  <c r="C1896" i="6"/>
  <c r="D1896" i="6"/>
  <c r="A1897" i="6"/>
  <c r="B1897" i="6"/>
  <c r="C1897" i="6"/>
  <c r="D1897" i="6"/>
  <c r="A1898" i="6"/>
  <c r="B1898" i="6"/>
  <c r="C1898" i="6"/>
  <c r="D1898" i="6"/>
  <c r="A1899" i="6"/>
  <c r="B1899" i="6"/>
  <c r="C1899" i="6"/>
  <c r="D1899" i="6"/>
  <c r="A1900" i="6"/>
  <c r="B1900" i="6"/>
  <c r="C1900" i="6"/>
  <c r="D1900" i="6"/>
  <c r="A1901" i="6"/>
  <c r="B1901" i="6"/>
  <c r="C1901" i="6"/>
  <c r="D1901" i="6"/>
  <c r="A1902" i="6"/>
  <c r="B1902" i="6"/>
  <c r="C1902" i="6"/>
  <c r="D1902" i="6"/>
  <c r="A1903" i="6"/>
  <c r="B1903" i="6"/>
  <c r="C1903" i="6"/>
  <c r="D1903" i="6"/>
  <c r="A1904" i="6"/>
  <c r="B1904" i="6"/>
  <c r="C1904" i="6"/>
  <c r="D1904" i="6"/>
  <c r="A1905" i="6"/>
  <c r="B1905" i="6"/>
  <c r="C1905" i="6"/>
  <c r="D1905" i="6"/>
  <c r="A1906" i="6"/>
  <c r="B1906" i="6"/>
  <c r="C1906" i="6"/>
  <c r="D1906" i="6"/>
  <c r="A1907" i="6"/>
  <c r="B1907" i="6"/>
  <c r="C1907" i="6"/>
  <c r="D1907" i="6"/>
  <c r="A1908" i="6"/>
  <c r="B1908" i="6"/>
  <c r="C1908" i="6"/>
  <c r="D1908" i="6"/>
  <c r="A1909" i="6"/>
  <c r="B1909" i="6"/>
  <c r="C1909" i="6"/>
  <c r="D1909" i="6"/>
  <c r="A1910" i="6"/>
  <c r="B1910" i="6"/>
  <c r="C1910" i="6"/>
  <c r="D1910" i="6"/>
  <c r="A1911" i="6"/>
  <c r="B1911" i="6"/>
  <c r="C1911" i="6"/>
  <c r="D1911" i="6"/>
  <c r="A1912" i="6"/>
  <c r="B1912" i="6"/>
  <c r="C1912" i="6"/>
  <c r="D1912" i="6"/>
  <c r="A1913" i="6"/>
  <c r="B1913" i="6"/>
  <c r="C1913" i="6"/>
  <c r="D1913" i="6"/>
  <c r="A1914" i="6"/>
  <c r="B1914" i="6"/>
  <c r="C1914" i="6"/>
  <c r="D1914" i="6"/>
  <c r="A1915" i="6"/>
  <c r="B1915" i="6"/>
  <c r="C1915" i="6"/>
  <c r="D1915" i="6"/>
  <c r="A1916" i="6"/>
  <c r="B1916" i="6"/>
  <c r="C1916" i="6"/>
  <c r="D1916" i="6"/>
  <c r="A1917" i="6"/>
  <c r="B1917" i="6"/>
  <c r="C1917" i="6"/>
  <c r="D1917" i="6"/>
  <c r="A1918" i="6"/>
  <c r="B1918" i="6"/>
  <c r="C1918" i="6"/>
  <c r="D1918" i="6"/>
  <c r="A1919" i="6"/>
  <c r="B1919" i="6"/>
  <c r="C1919" i="6"/>
  <c r="D1919" i="6"/>
  <c r="A1920" i="6"/>
  <c r="B1920" i="6"/>
  <c r="C1920" i="6"/>
  <c r="D1920" i="6"/>
  <c r="A1921" i="6"/>
  <c r="B1921" i="6"/>
  <c r="C1921" i="6"/>
  <c r="D1921" i="6"/>
  <c r="A1922" i="6"/>
  <c r="B1922" i="6"/>
  <c r="C1922" i="6"/>
  <c r="D1922" i="6"/>
  <c r="A1923" i="6"/>
  <c r="B1923" i="6"/>
  <c r="C1923" i="6"/>
  <c r="D1923" i="6"/>
  <c r="A1924" i="6"/>
  <c r="B1924" i="6"/>
  <c r="C1924" i="6"/>
  <c r="D1924" i="6"/>
  <c r="A1925" i="6"/>
  <c r="B1925" i="6"/>
  <c r="C1925" i="6"/>
  <c r="D1925" i="6"/>
  <c r="A1926" i="6"/>
  <c r="B1926" i="6"/>
  <c r="C1926" i="6"/>
  <c r="D1926" i="6"/>
  <c r="A1927" i="6"/>
  <c r="B1927" i="6"/>
  <c r="C1927" i="6"/>
  <c r="D1927" i="6"/>
  <c r="A1928" i="6"/>
  <c r="B1928" i="6"/>
  <c r="C1928" i="6"/>
  <c r="D1928" i="6"/>
  <c r="A1929" i="6"/>
  <c r="B1929" i="6"/>
  <c r="C1929" i="6"/>
  <c r="D1929" i="6"/>
  <c r="A1930" i="6"/>
  <c r="B1930" i="6"/>
  <c r="C1930" i="6"/>
  <c r="D1930" i="6"/>
  <c r="A1931" i="6"/>
  <c r="B1931" i="6"/>
  <c r="C1931" i="6"/>
  <c r="D1931" i="6"/>
  <c r="A1932" i="6"/>
  <c r="B1932" i="6"/>
  <c r="C1932" i="6"/>
  <c r="D1932" i="6"/>
  <c r="A1933" i="6"/>
  <c r="B1933" i="6"/>
  <c r="C1933" i="6"/>
  <c r="D1933" i="6"/>
  <c r="A1934" i="6"/>
  <c r="B1934" i="6"/>
  <c r="C1934" i="6"/>
  <c r="D1934" i="6"/>
  <c r="A1935" i="6"/>
  <c r="B1935" i="6"/>
  <c r="C1935" i="6"/>
  <c r="D1935" i="6"/>
  <c r="A1936" i="6"/>
  <c r="B1936" i="6"/>
  <c r="C1936" i="6"/>
  <c r="D1936" i="6"/>
  <c r="A1937" i="6"/>
  <c r="B1937" i="6"/>
  <c r="C1937" i="6"/>
  <c r="D1937" i="6"/>
  <c r="A1938" i="6"/>
  <c r="B1938" i="6"/>
  <c r="C1938" i="6"/>
  <c r="D1938" i="6"/>
  <c r="B1939" i="6"/>
  <c r="C1939" i="6"/>
  <c r="D1939" i="6"/>
  <c r="A1940" i="6"/>
  <c r="B1940" i="6"/>
  <c r="C1940" i="6"/>
  <c r="D1940" i="6"/>
  <c r="B1941" i="6"/>
  <c r="C1941" i="6"/>
  <c r="D1941" i="6"/>
  <c r="A1942" i="6"/>
  <c r="B1942" i="6"/>
  <c r="C1942" i="6"/>
  <c r="D1942" i="6"/>
  <c r="A1943" i="6"/>
  <c r="B1943" i="6"/>
  <c r="C1943" i="6"/>
  <c r="D1943" i="6"/>
  <c r="B1944" i="6"/>
  <c r="C1944" i="6"/>
  <c r="D1944" i="6"/>
  <c r="A1945" i="6"/>
  <c r="B1945" i="6"/>
  <c r="C1945" i="6"/>
  <c r="D1945" i="6"/>
  <c r="A1946" i="6"/>
  <c r="B1946" i="6"/>
  <c r="C1946" i="6"/>
  <c r="D1946" i="6"/>
  <c r="A1947" i="6"/>
  <c r="B1947" i="6"/>
  <c r="C1947" i="6"/>
  <c r="D1947" i="6"/>
  <c r="A1948" i="6"/>
  <c r="B1948" i="6"/>
  <c r="C1948" i="6"/>
  <c r="D1948" i="6"/>
  <c r="A1949" i="6"/>
  <c r="B1949" i="6"/>
  <c r="C1949" i="6"/>
  <c r="D1949" i="6"/>
  <c r="A1950" i="6"/>
  <c r="B1950" i="6"/>
  <c r="C1950" i="6"/>
  <c r="D1950" i="6"/>
  <c r="A1951" i="6"/>
  <c r="B1951" i="6"/>
  <c r="C1951" i="6"/>
  <c r="D1951" i="6"/>
  <c r="A1952" i="6"/>
  <c r="B1952" i="6"/>
  <c r="C1952" i="6"/>
  <c r="D1952" i="6"/>
  <c r="A1953" i="6"/>
  <c r="B1953" i="6"/>
  <c r="C1953" i="6"/>
  <c r="D1953" i="6"/>
  <c r="A1954" i="6"/>
  <c r="B1954" i="6"/>
  <c r="C1954" i="6"/>
  <c r="D1954" i="6"/>
  <c r="A1955" i="6"/>
  <c r="B1955" i="6"/>
  <c r="C1955" i="6"/>
  <c r="D1955" i="6"/>
  <c r="A1956" i="6"/>
  <c r="B1956" i="6"/>
  <c r="C1956" i="6"/>
  <c r="D1956" i="6"/>
  <c r="A1957" i="6"/>
  <c r="B1957" i="6"/>
  <c r="C1957" i="6"/>
  <c r="D1957" i="6"/>
  <c r="A1958" i="6"/>
  <c r="B1958" i="6"/>
  <c r="C1958" i="6"/>
  <c r="D1958" i="6"/>
  <c r="A1959" i="6"/>
  <c r="B1959" i="6"/>
  <c r="C1959" i="6"/>
  <c r="D1959" i="6"/>
  <c r="A1960" i="6"/>
  <c r="B1960" i="6"/>
  <c r="C1960" i="6"/>
  <c r="D1960" i="6"/>
  <c r="A1961" i="6"/>
  <c r="B1961" i="6"/>
  <c r="C1961" i="6"/>
  <c r="D1961" i="6"/>
  <c r="A1962" i="6"/>
  <c r="B1962" i="6"/>
  <c r="C1962" i="6"/>
  <c r="D1962" i="6"/>
  <c r="A1963" i="6"/>
  <c r="B1963" i="6"/>
  <c r="C1963" i="6"/>
  <c r="D1963" i="6"/>
  <c r="A1964" i="6"/>
  <c r="B1964" i="6"/>
  <c r="C1964" i="6"/>
  <c r="D1964" i="6"/>
  <c r="A1965" i="6"/>
  <c r="B1965" i="6"/>
  <c r="C1965" i="6"/>
  <c r="D1965" i="6"/>
  <c r="A1966" i="6"/>
  <c r="B1966" i="6"/>
  <c r="C1966" i="6"/>
  <c r="D1966" i="6"/>
  <c r="A1967" i="6"/>
  <c r="B1967" i="6"/>
  <c r="C1967" i="6"/>
  <c r="D1967" i="6"/>
  <c r="A1968" i="6"/>
  <c r="B1968" i="6"/>
  <c r="C1968" i="6"/>
  <c r="D1968" i="6"/>
  <c r="A1969" i="6"/>
  <c r="B1969" i="6"/>
  <c r="C1969" i="6"/>
  <c r="D1969" i="6"/>
  <c r="A1970" i="6"/>
  <c r="B1970" i="6"/>
  <c r="C1970" i="6"/>
  <c r="D1970" i="6"/>
  <c r="A1971" i="6"/>
  <c r="B1971" i="6"/>
  <c r="C1971" i="6"/>
  <c r="D1971" i="6"/>
  <c r="A1972" i="6"/>
  <c r="B1972" i="6"/>
  <c r="C1972" i="6"/>
  <c r="D1972" i="6"/>
  <c r="A1973" i="6"/>
  <c r="B1973" i="6"/>
  <c r="C1973" i="6"/>
  <c r="D1973" i="6"/>
  <c r="A1974" i="6"/>
  <c r="B1974" i="6"/>
  <c r="C1974" i="6"/>
  <c r="D1974" i="6"/>
  <c r="A1975" i="6"/>
  <c r="B1975" i="6"/>
  <c r="C1975" i="6"/>
  <c r="D1975" i="6"/>
  <c r="A1976" i="6"/>
  <c r="B1976" i="6"/>
  <c r="C1976" i="6"/>
  <c r="D1976" i="6"/>
  <c r="A1977" i="6"/>
  <c r="B1977" i="6"/>
  <c r="C1977" i="6"/>
  <c r="D1977" i="6"/>
  <c r="A1978" i="6"/>
  <c r="B1978" i="6"/>
  <c r="C1978" i="6"/>
  <c r="D1978" i="6"/>
  <c r="A1979" i="6"/>
  <c r="B1979" i="6"/>
  <c r="C1979" i="6"/>
  <c r="D1979" i="6"/>
  <c r="A1980" i="6"/>
  <c r="B1980" i="6"/>
  <c r="C1980" i="6"/>
  <c r="D1980" i="6"/>
  <c r="A1981" i="6"/>
  <c r="B1981" i="6"/>
  <c r="C1981" i="6"/>
  <c r="D1981" i="6"/>
  <c r="A1982" i="6"/>
  <c r="B1982" i="6"/>
  <c r="C1982" i="6"/>
  <c r="D1982" i="6"/>
  <c r="A1983" i="6"/>
  <c r="B1983" i="6"/>
  <c r="C1983" i="6"/>
  <c r="D1983" i="6"/>
  <c r="A1984" i="6"/>
  <c r="B1984" i="6"/>
  <c r="C1984" i="6"/>
  <c r="D1984" i="6"/>
  <c r="A1985" i="6"/>
  <c r="B1985" i="6"/>
  <c r="C1985" i="6"/>
  <c r="D1985" i="6"/>
  <c r="A1986" i="6"/>
  <c r="B1986" i="6"/>
  <c r="C1986" i="6"/>
  <c r="D1986" i="6"/>
  <c r="A1987" i="6"/>
  <c r="B1987" i="6"/>
  <c r="C1987" i="6"/>
  <c r="D1987" i="6"/>
  <c r="A1988" i="6"/>
  <c r="B1988" i="6"/>
  <c r="C1988" i="6"/>
  <c r="D1988" i="6"/>
  <c r="A1989" i="6"/>
  <c r="B1989" i="6"/>
  <c r="C1989" i="6"/>
  <c r="D1989" i="6"/>
  <c r="A1990" i="6"/>
  <c r="B1990" i="6"/>
  <c r="C1990" i="6"/>
  <c r="D1990" i="6"/>
  <c r="A1991" i="6"/>
  <c r="B1991" i="6"/>
  <c r="C1991" i="6"/>
  <c r="D1991" i="6"/>
  <c r="A1992" i="6"/>
  <c r="B1992" i="6"/>
  <c r="C1992" i="6"/>
  <c r="D1992" i="6"/>
  <c r="A1993" i="6"/>
  <c r="B1993" i="6"/>
  <c r="C1993" i="6"/>
  <c r="D1993" i="6"/>
  <c r="A1994" i="6"/>
  <c r="B1994" i="6"/>
  <c r="C1994" i="6"/>
  <c r="D1994" i="6"/>
  <c r="A1995" i="6"/>
  <c r="B1995" i="6"/>
  <c r="C1995" i="6"/>
  <c r="D1995" i="6"/>
  <c r="A1996" i="6"/>
  <c r="B1996" i="6"/>
  <c r="C1996" i="6"/>
  <c r="D1996" i="6"/>
  <c r="A1997" i="6"/>
  <c r="B1997" i="6"/>
  <c r="C1997" i="6"/>
  <c r="D1997" i="6"/>
  <c r="A1998" i="6"/>
  <c r="B1998" i="6"/>
  <c r="C1998" i="6"/>
  <c r="D1998" i="6"/>
  <c r="A1999" i="6"/>
  <c r="B1999" i="6"/>
  <c r="C1999" i="6"/>
  <c r="D1999" i="6"/>
  <c r="A2000" i="6"/>
  <c r="B2000" i="6"/>
  <c r="C2000" i="6"/>
  <c r="D2000" i="6"/>
  <c r="B5" i="6"/>
  <c r="C5" i="6"/>
  <c r="D5" i="6"/>
  <c r="A5" i="6"/>
  <c r="I75" i="7" l="1"/>
  <c r="I74" i="7"/>
  <c r="I30" i="7"/>
  <c r="I29" i="7"/>
  <c r="I73" i="7"/>
  <c r="I28" i="7"/>
  <c r="I5" i="7"/>
  <c r="I24" i="7" l="1"/>
  <c r="I8" i="7"/>
  <c r="I9" i="7"/>
  <c r="I71" i="7"/>
  <c r="I25" i="7"/>
  <c r="I26" i="7"/>
  <c r="I12" i="7"/>
  <c r="I27" i="7"/>
  <c r="I72" i="7"/>
  <c r="I68" i="7" l="1"/>
  <c r="I19" i="7"/>
  <c r="I62" i="7"/>
  <c r="I64" i="7"/>
  <c r="I70" i="7"/>
  <c r="I63" i="7"/>
  <c r="I67" i="7"/>
  <c r="I20" i="7"/>
  <c r="I14" i="7"/>
  <c r="I16" i="7"/>
  <c r="I15" i="7"/>
  <c r="I22" i="7"/>
  <c r="I17" i="7"/>
  <c r="I11" i="7"/>
  <c r="I56" i="7"/>
  <c r="I58" i="7"/>
  <c r="I36" i="7"/>
  <c r="I35" i="7"/>
  <c r="I38" i="7"/>
  <c r="I33" i="7"/>
  <c r="I45" i="7"/>
  <c r="I44" i="7"/>
  <c r="I54" i="7"/>
  <c r="I55" i="7"/>
  <c r="I49" i="7"/>
  <c r="I39" i="7"/>
  <c r="I41" i="7"/>
  <c r="I50" i="7"/>
  <c r="I40" i="7"/>
  <c r="I46" i="7"/>
  <c r="I48" i="7"/>
  <c r="I42" i="7"/>
  <c r="I47" i="7"/>
  <c r="I52" i="7"/>
  <c r="I51" i="7"/>
  <c r="I31" i="7"/>
  <c r="I53" i="7"/>
  <c r="I66" i="7"/>
  <c r="I10" i="7"/>
  <c r="I59" i="7"/>
  <c r="I23" i="7"/>
  <c r="I34" i="7"/>
  <c r="I18" i="7"/>
  <c r="I61" i="7"/>
  <c r="I60" i="7"/>
  <c r="I32" i="7"/>
  <c r="I65" i="7"/>
  <c r="I69" i="7"/>
  <c r="I43" i="7"/>
  <c r="I57" i="7"/>
  <c r="I4" i="7"/>
  <c r="I6" i="7"/>
  <c r="I7" i="7"/>
  <c r="I13" i="7"/>
  <c r="I21" i="7"/>
  <c r="I37" i="7"/>
  <c r="H982" i="6" l="1"/>
  <c r="M982" i="6" s="1"/>
  <c r="H981" i="6"/>
  <c r="M981" i="6" s="1"/>
  <c r="H980" i="6"/>
  <c r="M980" i="6" s="1"/>
  <c r="H979" i="6"/>
  <c r="M979" i="6" s="1"/>
  <c r="H978" i="6"/>
  <c r="M978" i="6" s="1"/>
  <c r="H977" i="6"/>
  <c r="M977" i="6" s="1"/>
  <c r="H976" i="6"/>
  <c r="M976" i="6" s="1"/>
  <c r="H975" i="6"/>
  <c r="M975" i="6" s="1"/>
  <c r="H974" i="6"/>
  <c r="M974" i="6" s="1"/>
  <c r="H973" i="6"/>
  <c r="M973" i="6" s="1"/>
  <c r="H972" i="6"/>
  <c r="M972" i="6" s="1"/>
  <c r="H971" i="6"/>
  <c r="M971" i="6" s="1"/>
  <c r="H970" i="6"/>
  <c r="M970" i="6" s="1"/>
  <c r="H969" i="6"/>
  <c r="M969" i="6" s="1"/>
  <c r="H968" i="6"/>
  <c r="M968" i="6" s="1"/>
  <c r="H967" i="6"/>
  <c r="M967" i="6" s="1"/>
  <c r="H966" i="6"/>
  <c r="M966" i="6" s="1"/>
  <c r="H965" i="6"/>
  <c r="M965" i="6" s="1"/>
  <c r="H964" i="6"/>
  <c r="M964" i="6" s="1"/>
  <c r="H963" i="6"/>
  <c r="M963" i="6" s="1"/>
  <c r="H962" i="6"/>
  <c r="M962" i="6" s="1"/>
  <c r="H961" i="6"/>
  <c r="M961" i="6" s="1"/>
  <c r="H960" i="6"/>
  <c r="M960" i="6" s="1"/>
  <c r="H959" i="6"/>
  <c r="M959" i="6" s="1"/>
  <c r="H958" i="6"/>
  <c r="M958" i="6" s="1"/>
  <c r="H957" i="6"/>
  <c r="M957" i="6" s="1"/>
  <c r="H956" i="6"/>
  <c r="M956" i="6" s="1"/>
  <c r="H955" i="6"/>
  <c r="M955" i="6" s="1"/>
  <c r="H954" i="6"/>
  <c r="M954" i="6" s="1"/>
  <c r="H953" i="6"/>
  <c r="M953" i="6" s="1"/>
  <c r="H952" i="6"/>
  <c r="M952" i="6" s="1"/>
  <c r="H951" i="6"/>
  <c r="M951" i="6" s="1"/>
  <c r="H950" i="6"/>
  <c r="M950" i="6" s="1"/>
  <c r="H949" i="6"/>
  <c r="M949" i="6" s="1"/>
  <c r="H948" i="6"/>
  <c r="M948" i="6" s="1"/>
  <c r="H947" i="6"/>
  <c r="M947" i="6" s="1"/>
  <c r="H946" i="6"/>
  <c r="M946" i="6" s="1"/>
  <c r="H945" i="6"/>
  <c r="M945" i="6" s="1"/>
  <c r="H944" i="6"/>
  <c r="M944" i="6" s="1"/>
  <c r="H943" i="6"/>
  <c r="M943" i="6" s="1"/>
  <c r="H942" i="6"/>
  <c r="M942" i="6" s="1"/>
  <c r="H941" i="6"/>
  <c r="M941" i="6" s="1"/>
  <c r="H940" i="6"/>
  <c r="M940" i="6" s="1"/>
  <c r="H939" i="6"/>
  <c r="M939" i="6" s="1"/>
  <c r="H938" i="6"/>
  <c r="M938" i="6" s="1"/>
  <c r="H937" i="6"/>
  <c r="M937" i="6" s="1"/>
  <c r="H936" i="6"/>
  <c r="M936" i="6" s="1"/>
  <c r="H935" i="6"/>
  <c r="M935" i="6" s="1"/>
  <c r="H934" i="6"/>
  <c r="M934" i="6" s="1"/>
  <c r="H933" i="6"/>
  <c r="M933" i="6" s="1"/>
  <c r="H932" i="6"/>
  <c r="M932" i="6" s="1"/>
  <c r="H931" i="6"/>
  <c r="M931" i="6" s="1"/>
  <c r="H930" i="6"/>
  <c r="M930" i="6" s="1"/>
  <c r="H929" i="6"/>
  <c r="M929" i="6" s="1"/>
  <c r="H928" i="6"/>
  <c r="M928" i="6" s="1"/>
  <c r="H927" i="6"/>
  <c r="M927" i="6" s="1"/>
  <c r="H926" i="6"/>
  <c r="M926" i="6" s="1"/>
  <c r="H925" i="6"/>
  <c r="M925" i="6" s="1"/>
  <c r="H924" i="6"/>
  <c r="M924" i="6" s="1"/>
  <c r="H923" i="6"/>
  <c r="M923" i="6" s="1"/>
  <c r="H922" i="6"/>
  <c r="M922" i="6" s="1"/>
  <c r="H921" i="6"/>
  <c r="M921" i="6" s="1"/>
  <c r="H920" i="6"/>
  <c r="M920" i="6" s="1"/>
  <c r="H919" i="6"/>
  <c r="M919" i="6" s="1"/>
  <c r="H918" i="6"/>
  <c r="M918" i="6" s="1"/>
  <c r="H917" i="6"/>
  <c r="M917" i="6" s="1"/>
  <c r="H916" i="6"/>
  <c r="M916" i="6" s="1"/>
  <c r="H915" i="6"/>
  <c r="M915" i="6" s="1"/>
  <c r="H914" i="6"/>
  <c r="M914" i="6" s="1"/>
  <c r="H913" i="6"/>
  <c r="M913" i="6" s="1"/>
  <c r="H912" i="6"/>
  <c r="M912" i="6" s="1"/>
  <c r="H911" i="6"/>
  <c r="M911" i="6" s="1"/>
  <c r="H910" i="6"/>
  <c r="M910" i="6" s="1"/>
  <c r="H909" i="6"/>
  <c r="M909" i="6" s="1"/>
  <c r="H908" i="6"/>
  <c r="M908" i="6" s="1"/>
  <c r="H907" i="6"/>
  <c r="M907" i="6" s="1"/>
  <c r="H906" i="6"/>
  <c r="M906" i="6" s="1"/>
  <c r="H905" i="6"/>
  <c r="M905" i="6" s="1"/>
  <c r="H904" i="6"/>
  <c r="M904" i="6" s="1"/>
  <c r="H903" i="6"/>
  <c r="M903" i="6" s="1"/>
  <c r="H902" i="6"/>
  <c r="M902" i="6" s="1"/>
  <c r="H901" i="6"/>
  <c r="M901" i="6" s="1"/>
  <c r="H900" i="6"/>
  <c r="M900" i="6" s="1"/>
  <c r="H899" i="6"/>
  <c r="M899" i="6" s="1"/>
  <c r="H898" i="6"/>
  <c r="M898" i="6" s="1"/>
  <c r="H897" i="6"/>
  <c r="M897" i="6" s="1"/>
  <c r="H896" i="6"/>
  <c r="M896" i="6" s="1"/>
  <c r="H895" i="6"/>
  <c r="M895" i="6" s="1"/>
  <c r="H894" i="6"/>
  <c r="M894" i="6" s="1"/>
  <c r="H893" i="6"/>
  <c r="M893" i="6" s="1"/>
  <c r="H892" i="6"/>
  <c r="M892" i="6" s="1"/>
  <c r="H891" i="6"/>
  <c r="M891" i="6" s="1"/>
  <c r="H890" i="6"/>
  <c r="M890" i="6" s="1"/>
  <c r="H889" i="6"/>
  <c r="M889" i="6" s="1"/>
  <c r="H888" i="6"/>
  <c r="M888" i="6" s="1"/>
  <c r="H887" i="6"/>
  <c r="M887" i="6" s="1"/>
  <c r="H886" i="6"/>
  <c r="M886" i="6" s="1"/>
  <c r="H885" i="6"/>
  <c r="M885" i="6" s="1"/>
  <c r="H884" i="6"/>
  <c r="M884" i="6" s="1"/>
  <c r="H883" i="6"/>
  <c r="M883" i="6" s="1"/>
  <c r="H882" i="6"/>
  <c r="M882" i="6" s="1"/>
  <c r="H881" i="6"/>
  <c r="M881" i="6" s="1"/>
  <c r="H880" i="6"/>
  <c r="M880" i="6" s="1"/>
  <c r="H879" i="6"/>
  <c r="M879" i="6" s="1"/>
  <c r="H878" i="6"/>
  <c r="M878" i="6" s="1"/>
  <c r="H877" i="6"/>
  <c r="M877" i="6" s="1"/>
  <c r="H876" i="6"/>
  <c r="M876" i="6" s="1"/>
  <c r="H875" i="6"/>
  <c r="M875" i="6" s="1"/>
  <c r="H874" i="6"/>
  <c r="M874" i="6" s="1"/>
  <c r="H873" i="6"/>
  <c r="M873" i="6" s="1"/>
  <c r="H872" i="6"/>
  <c r="M872" i="6" s="1"/>
  <c r="H871" i="6"/>
  <c r="M871" i="6" s="1"/>
  <c r="H870" i="6"/>
  <c r="M870" i="6" s="1"/>
  <c r="H869" i="6"/>
  <c r="M869" i="6" s="1"/>
  <c r="H868" i="6"/>
  <c r="M868" i="6" s="1"/>
  <c r="H867" i="6"/>
  <c r="M867" i="6" s="1"/>
  <c r="H866" i="6"/>
  <c r="M866" i="6" s="1"/>
  <c r="H865" i="6"/>
  <c r="M865" i="6" s="1"/>
  <c r="H864" i="6"/>
  <c r="M864" i="6" s="1"/>
  <c r="H863" i="6"/>
  <c r="M863" i="6" s="1"/>
  <c r="H862" i="6"/>
  <c r="M862" i="6" s="1"/>
  <c r="H861" i="6"/>
  <c r="M861" i="6" s="1"/>
  <c r="H860" i="6"/>
  <c r="M860" i="6" s="1"/>
  <c r="H859" i="6"/>
  <c r="M859" i="6" s="1"/>
  <c r="H858" i="6"/>
  <c r="M858" i="6" s="1"/>
  <c r="H857" i="6"/>
  <c r="M857" i="6" s="1"/>
  <c r="H856" i="6"/>
  <c r="M856" i="6" s="1"/>
  <c r="H855" i="6"/>
  <c r="M855" i="6" s="1"/>
  <c r="H854" i="6"/>
  <c r="M854" i="6" s="1"/>
  <c r="H853" i="6"/>
  <c r="M853" i="6" s="1"/>
  <c r="H852" i="6"/>
  <c r="M852" i="6" s="1"/>
  <c r="H851" i="6"/>
  <c r="M851" i="6" s="1"/>
  <c r="H850" i="6"/>
  <c r="M850" i="6" s="1"/>
  <c r="H849" i="6"/>
  <c r="M849" i="6" s="1"/>
  <c r="H848" i="6"/>
  <c r="M848" i="6" s="1"/>
  <c r="H847" i="6"/>
  <c r="M847" i="6" s="1"/>
  <c r="H846" i="6"/>
  <c r="M846" i="6" s="1"/>
  <c r="H845" i="6"/>
  <c r="M845" i="6" s="1"/>
  <c r="H844" i="6"/>
  <c r="M844" i="6" s="1"/>
  <c r="H843" i="6"/>
  <c r="M843" i="6" s="1"/>
  <c r="H842" i="6"/>
  <c r="M842" i="6" s="1"/>
  <c r="H841" i="6"/>
  <c r="M841" i="6" s="1"/>
  <c r="H840" i="6"/>
  <c r="M840" i="6" s="1"/>
  <c r="H839" i="6"/>
  <c r="M839" i="6" s="1"/>
  <c r="H838" i="6"/>
  <c r="M838" i="6" s="1"/>
  <c r="H837" i="6"/>
  <c r="M837" i="6" s="1"/>
  <c r="H836" i="6"/>
  <c r="M836" i="6" s="1"/>
  <c r="H835" i="6"/>
  <c r="M835" i="6" s="1"/>
  <c r="H834" i="6"/>
  <c r="M834" i="6" s="1"/>
  <c r="H833" i="6"/>
  <c r="M833" i="6" s="1"/>
  <c r="H832" i="6"/>
  <c r="M832" i="6" s="1"/>
  <c r="H831" i="6"/>
  <c r="M831" i="6" s="1"/>
  <c r="H830" i="6"/>
  <c r="M830" i="6" s="1"/>
  <c r="H829" i="6"/>
  <c r="M829" i="6" s="1"/>
  <c r="H828" i="6"/>
  <c r="M828" i="6" s="1"/>
  <c r="H827" i="6"/>
  <c r="M827" i="6" s="1"/>
  <c r="H826" i="6"/>
  <c r="M826" i="6" s="1"/>
  <c r="H825" i="6"/>
  <c r="M825" i="6" s="1"/>
  <c r="H824" i="6"/>
  <c r="M824" i="6" s="1"/>
  <c r="H823" i="6"/>
  <c r="M823" i="6" s="1"/>
  <c r="H822" i="6"/>
  <c r="M822" i="6" s="1"/>
  <c r="H821" i="6"/>
  <c r="M821" i="6" s="1"/>
  <c r="H820" i="6"/>
  <c r="M820" i="6" s="1"/>
  <c r="H819" i="6"/>
  <c r="M819" i="6" s="1"/>
  <c r="H818" i="6"/>
  <c r="M818" i="6" s="1"/>
  <c r="H817" i="6"/>
  <c r="M817" i="6" s="1"/>
  <c r="H816" i="6"/>
  <c r="M816" i="6" s="1"/>
  <c r="H815" i="6"/>
  <c r="M815" i="6" s="1"/>
  <c r="H814" i="6"/>
  <c r="M814" i="6" s="1"/>
  <c r="H813" i="6"/>
  <c r="M813" i="6" s="1"/>
  <c r="H812" i="6"/>
  <c r="M812" i="6" s="1"/>
  <c r="H811" i="6"/>
  <c r="M811" i="6" s="1"/>
  <c r="H810" i="6"/>
  <c r="M810" i="6" s="1"/>
  <c r="H809" i="6"/>
  <c r="M809" i="6" s="1"/>
  <c r="H808" i="6"/>
  <c r="M808" i="6" s="1"/>
  <c r="H807" i="6"/>
  <c r="M807" i="6" s="1"/>
  <c r="H806" i="6"/>
  <c r="M806" i="6" s="1"/>
  <c r="H805" i="6"/>
  <c r="M805" i="6" s="1"/>
  <c r="H804" i="6"/>
  <c r="M804" i="6" s="1"/>
  <c r="H803" i="6"/>
  <c r="M803" i="6" s="1"/>
  <c r="H802" i="6"/>
  <c r="M802" i="6" s="1"/>
  <c r="H801" i="6"/>
  <c r="M801" i="6" s="1"/>
  <c r="H800" i="6"/>
  <c r="M800" i="6" s="1"/>
  <c r="H799" i="6"/>
  <c r="M799" i="6" s="1"/>
  <c r="H798" i="6"/>
  <c r="M798" i="6" s="1"/>
  <c r="H797" i="6"/>
  <c r="M797" i="6" s="1"/>
  <c r="H796" i="6"/>
  <c r="M796" i="6" s="1"/>
  <c r="H795" i="6"/>
  <c r="M795" i="6" s="1"/>
  <c r="H794" i="6"/>
  <c r="M794" i="6" s="1"/>
  <c r="H793" i="6"/>
  <c r="M793" i="6" s="1"/>
  <c r="H792" i="6"/>
  <c r="M792" i="6" s="1"/>
  <c r="H791" i="6"/>
  <c r="M791" i="6" s="1"/>
  <c r="H790" i="6"/>
  <c r="M790" i="6" s="1"/>
  <c r="H789" i="6"/>
  <c r="M789" i="6" s="1"/>
  <c r="H788" i="6"/>
  <c r="M788" i="6" s="1"/>
  <c r="H787" i="6"/>
  <c r="M787" i="6" s="1"/>
  <c r="H786" i="6"/>
  <c r="M786" i="6" s="1"/>
  <c r="H785" i="6"/>
  <c r="M785" i="6" s="1"/>
  <c r="H784" i="6"/>
  <c r="M784" i="6" s="1"/>
  <c r="H783" i="6"/>
  <c r="M783" i="6" s="1"/>
  <c r="H782" i="6"/>
  <c r="M782" i="6" s="1"/>
  <c r="H781" i="6"/>
  <c r="M781" i="6" s="1"/>
  <c r="H780" i="6"/>
  <c r="M780" i="6" s="1"/>
  <c r="H779" i="6"/>
  <c r="M779" i="6" s="1"/>
  <c r="H778" i="6"/>
  <c r="M778" i="6" s="1"/>
  <c r="H777" i="6"/>
  <c r="M777" i="6" s="1"/>
  <c r="H776" i="6"/>
  <c r="M776" i="6" s="1"/>
  <c r="H775" i="6"/>
  <c r="M775" i="6" s="1"/>
  <c r="H774" i="6"/>
  <c r="M774" i="6" s="1"/>
  <c r="H773" i="6"/>
  <c r="M773" i="6" s="1"/>
  <c r="H772" i="6"/>
  <c r="M772" i="6" s="1"/>
  <c r="H771" i="6"/>
  <c r="M771" i="6" s="1"/>
  <c r="H770" i="6"/>
  <c r="M770" i="6" s="1"/>
  <c r="H769" i="6"/>
  <c r="M769" i="6" s="1"/>
  <c r="H768" i="6"/>
  <c r="M768" i="6" s="1"/>
  <c r="H767" i="6"/>
  <c r="M767" i="6" s="1"/>
  <c r="H766" i="6"/>
  <c r="M766" i="6" s="1"/>
  <c r="H765" i="6"/>
  <c r="M765" i="6" s="1"/>
  <c r="H764" i="6"/>
  <c r="M764" i="6" s="1"/>
  <c r="H763" i="6"/>
  <c r="M763" i="6" s="1"/>
  <c r="H762" i="6"/>
  <c r="M762" i="6" s="1"/>
  <c r="H761" i="6"/>
  <c r="M761" i="6" s="1"/>
  <c r="H760" i="6"/>
  <c r="M760" i="6" s="1"/>
  <c r="H759" i="6"/>
  <c r="M759" i="6" s="1"/>
  <c r="H758" i="6"/>
  <c r="M758" i="6" s="1"/>
  <c r="H757" i="6"/>
  <c r="M757" i="6" s="1"/>
  <c r="H756" i="6"/>
  <c r="M756" i="6" s="1"/>
  <c r="H755" i="6"/>
  <c r="M755" i="6" s="1"/>
  <c r="H754" i="6"/>
  <c r="M754" i="6" s="1"/>
  <c r="H753" i="6"/>
  <c r="M753" i="6" s="1"/>
  <c r="H752" i="6"/>
  <c r="M752" i="6" s="1"/>
  <c r="H751" i="6"/>
  <c r="M751" i="6" s="1"/>
  <c r="H750" i="6"/>
  <c r="M750" i="6" s="1"/>
  <c r="H749" i="6"/>
  <c r="M749" i="6" s="1"/>
  <c r="H748" i="6"/>
  <c r="M748" i="6" s="1"/>
  <c r="H747" i="6"/>
  <c r="M747" i="6" s="1"/>
  <c r="H746" i="6"/>
  <c r="M746" i="6" s="1"/>
  <c r="H745" i="6"/>
  <c r="M745" i="6" s="1"/>
  <c r="H744" i="6"/>
  <c r="M744" i="6" s="1"/>
  <c r="H743" i="6"/>
  <c r="M743" i="6" s="1"/>
  <c r="H742" i="6"/>
  <c r="M742" i="6" s="1"/>
  <c r="H741" i="6"/>
  <c r="M741" i="6" s="1"/>
  <c r="H740" i="6"/>
  <c r="M740" i="6" s="1"/>
  <c r="H739" i="6"/>
  <c r="M739" i="6" s="1"/>
  <c r="H738" i="6"/>
  <c r="M738" i="6" s="1"/>
  <c r="H737" i="6"/>
  <c r="M737" i="6" s="1"/>
  <c r="H736" i="6"/>
  <c r="M736" i="6" s="1"/>
  <c r="H735" i="6"/>
  <c r="M735" i="6" s="1"/>
  <c r="H734" i="6"/>
  <c r="M734" i="6" s="1"/>
  <c r="H733" i="6"/>
  <c r="M733" i="6" s="1"/>
  <c r="H732" i="6"/>
  <c r="M732" i="6" s="1"/>
  <c r="H731" i="6"/>
  <c r="M731" i="6" s="1"/>
  <c r="H730" i="6"/>
  <c r="M730" i="6" s="1"/>
  <c r="H729" i="6"/>
  <c r="M729" i="6" s="1"/>
  <c r="H728" i="6"/>
  <c r="M728" i="6" s="1"/>
  <c r="H727" i="6"/>
  <c r="M727" i="6" s="1"/>
  <c r="H726" i="6"/>
  <c r="M726" i="6" s="1"/>
  <c r="H725" i="6"/>
  <c r="M725" i="6" s="1"/>
  <c r="H724" i="6"/>
  <c r="M724" i="6" s="1"/>
  <c r="H723" i="6"/>
  <c r="M723" i="6" s="1"/>
  <c r="H722" i="6"/>
  <c r="M722" i="6" s="1"/>
  <c r="H721" i="6"/>
  <c r="M721" i="6" s="1"/>
  <c r="M711" i="6"/>
  <c r="M710" i="6"/>
  <c r="M709" i="6"/>
  <c r="H708" i="6"/>
  <c r="M708" i="6" s="1"/>
  <c r="H707" i="6"/>
  <c r="M707" i="6" s="1"/>
  <c r="H706" i="6"/>
  <c r="M706" i="6" s="1"/>
  <c r="H705" i="6"/>
  <c r="M705" i="6" s="1"/>
  <c r="H704" i="6"/>
  <c r="M704" i="6" s="1"/>
  <c r="H703" i="6"/>
  <c r="M703" i="6" s="1"/>
  <c r="H702" i="6"/>
  <c r="M702" i="6" s="1"/>
  <c r="H701" i="6"/>
  <c r="M701" i="6" s="1"/>
  <c r="H700" i="6"/>
  <c r="M700" i="6" s="1"/>
  <c r="H699" i="6"/>
  <c r="M699" i="6" s="1"/>
  <c r="H698" i="6"/>
  <c r="M698" i="6" s="1"/>
  <c r="H697" i="6"/>
  <c r="M697" i="6" s="1"/>
  <c r="H696" i="6"/>
  <c r="M696" i="6" s="1"/>
  <c r="H695" i="6"/>
  <c r="M695" i="6" s="1"/>
  <c r="H694" i="6"/>
  <c r="M694" i="6" s="1"/>
  <c r="H693" i="6"/>
  <c r="M693" i="6" s="1"/>
  <c r="H692" i="6"/>
  <c r="M692" i="6" s="1"/>
  <c r="H691" i="6"/>
  <c r="M691" i="6" s="1"/>
  <c r="H690" i="6"/>
  <c r="M690" i="6" s="1"/>
  <c r="H689" i="6"/>
  <c r="M689" i="6" s="1"/>
  <c r="H688" i="6"/>
  <c r="M688" i="6" s="1"/>
  <c r="H687" i="6"/>
  <c r="M687" i="6" s="1"/>
  <c r="H686" i="6"/>
  <c r="M686" i="6" s="1"/>
  <c r="H685" i="6"/>
  <c r="M685" i="6" s="1"/>
  <c r="H684" i="6"/>
  <c r="M684" i="6" s="1"/>
  <c r="H683" i="6"/>
  <c r="M683" i="6" s="1"/>
  <c r="H682" i="6"/>
  <c r="M682" i="6" s="1"/>
  <c r="H681" i="6"/>
  <c r="M681" i="6" s="1"/>
  <c r="H680" i="6"/>
  <c r="M680" i="6" s="1"/>
  <c r="H679" i="6"/>
  <c r="M679" i="6" s="1"/>
  <c r="H678" i="6"/>
  <c r="M678" i="6" s="1"/>
  <c r="H677" i="6"/>
  <c r="M677" i="6" s="1"/>
  <c r="H676" i="6"/>
  <c r="M676" i="6" s="1"/>
  <c r="H675" i="6"/>
  <c r="M675" i="6" s="1"/>
  <c r="H674" i="6"/>
  <c r="M674" i="6" s="1"/>
  <c r="H673" i="6"/>
  <c r="M673" i="6" s="1"/>
  <c r="H672" i="6"/>
  <c r="M672" i="6" s="1"/>
  <c r="H671" i="6"/>
  <c r="M671" i="6" s="1"/>
  <c r="H670" i="6"/>
  <c r="M670" i="6" s="1"/>
  <c r="H669" i="6"/>
  <c r="M669" i="6" s="1"/>
  <c r="H668" i="6"/>
  <c r="M668" i="6" s="1"/>
  <c r="H667" i="6"/>
  <c r="M667" i="6" s="1"/>
  <c r="H666" i="6"/>
  <c r="M666" i="6" s="1"/>
  <c r="H665" i="6"/>
  <c r="M665" i="6" s="1"/>
  <c r="H664" i="6"/>
  <c r="M664" i="6" s="1"/>
  <c r="H663" i="6"/>
  <c r="M663" i="6" s="1"/>
  <c r="H662" i="6"/>
  <c r="M662" i="6" s="1"/>
  <c r="H661" i="6"/>
  <c r="M661" i="6" s="1"/>
  <c r="H660" i="6"/>
  <c r="M660" i="6" s="1"/>
  <c r="H659" i="6"/>
  <c r="M659" i="6" s="1"/>
  <c r="H658" i="6"/>
  <c r="M658" i="6" s="1"/>
  <c r="H657" i="6"/>
  <c r="M657" i="6" s="1"/>
  <c r="H656" i="6"/>
  <c r="M656" i="6" s="1"/>
  <c r="H655" i="6"/>
  <c r="M655" i="6" s="1"/>
  <c r="H654" i="6"/>
  <c r="M654" i="6" s="1"/>
  <c r="H653" i="6"/>
  <c r="M653" i="6" s="1"/>
  <c r="H652" i="6"/>
  <c r="M652" i="6" s="1"/>
  <c r="H651" i="6"/>
  <c r="M651" i="6" s="1"/>
  <c r="H650" i="6"/>
  <c r="M650" i="6" s="1"/>
  <c r="H649" i="6"/>
  <c r="M649" i="6" s="1"/>
  <c r="H648" i="6"/>
  <c r="M648" i="6" s="1"/>
  <c r="H647" i="6"/>
  <c r="M647" i="6" s="1"/>
  <c r="H646" i="6"/>
  <c r="M646" i="6" s="1"/>
  <c r="H645" i="6"/>
  <c r="M645" i="6" s="1"/>
  <c r="H644" i="6"/>
  <c r="M644" i="6" s="1"/>
  <c r="H643" i="6"/>
  <c r="M643" i="6" s="1"/>
  <c r="H642" i="6"/>
  <c r="M642" i="6" s="1"/>
  <c r="H641" i="6"/>
  <c r="M641" i="6" s="1"/>
  <c r="H640" i="6"/>
  <c r="M640" i="6" s="1"/>
  <c r="H639" i="6"/>
  <c r="M639" i="6" s="1"/>
  <c r="H638" i="6"/>
  <c r="M638" i="6" s="1"/>
  <c r="H637" i="6"/>
  <c r="M637" i="6" s="1"/>
  <c r="H636" i="6"/>
  <c r="M636" i="6" s="1"/>
  <c r="H635" i="6"/>
  <c r="M635" i="6" s="1"/>
  <c r="H634" i="6"/>
  <c r="M634" i="6" s="1"/>
  <c r="H633" i="6"/>
  <c r="M633" i="6" s="1"/>
  <c r="H632" i="6"/>
  <c r="M632" i="6" s="1"/>
  <c r="H631" i="6"/>
  <c r="M631" i="6" s="1"/>
  <c r="H630" i="6"/>
  <c r="M630" i="6" s="1"/>
  <c r="H629" i="6"/>
  <c r="M629" i="6" s="1"/>
  <c r="H628" i="6"/>
  <c r="M628" i="6" s="1"/>
  <c r="H627" i="6"/>
  <c r="M627" i="6" s="1"/>
  <c r="H626" i="6"/>
  <c r="M626" i="6" s="1"/>
  <c r="H625" i="6"/>
  <c r="M625" i="6" s="1"/>
  <c r="H624" i="6"/>
  <c r="M624" i="6" s="1"/>
  <c r="H623" i="6"/>
  <c r="M623" i="6" s="1"/>
  <c r="H622" i="6"/>
  <c r="M622" i="6" s="1"/>
  <c r="H621" i="6"/>
  <c r="M621" i="6" s="1"/>
  <c r="H620" i="6"/>
  <c r="M620" i="6" s="1"/>
  <c r="H619" i="6"/>
  <c r="M619" i="6" s="1"/>
  <c r="H618" i="6"/>
  <c r="M618" i="6" s="1"/>
  <c r="H617" i="6"/>
  <c r="M617" i="6" s="1"/>
  <c r="H616" i="6"/>
  <c r="M616" i="6" s="1"/>
  <c r="H615" i="6"/>
  <c r="M615" i="6" s="1"/>
  <c r="H614" i="6"/>
  <c r="M614" i="6" s="1"/>
  <c r="H613" i="6"/>
  <c r="M613" i="6" s="1"/>
  <c r="H612" i="6"/>
  <c r="M612" i="6" s="1"/>
  <c r="H611" i="6"/>
  <c r="M611" i="6" s="1"/>
  <c r="H610" i="6"/>
  <c r="M610" i="6" s="1"/>
  <c r="H609" i="6"/>
  <c r="M609" i="6" s="1"/>
  <c r="H608" i="6"/>
  <c r="M608" i="6" s="1"/>
  <c r="H607" i="6"/>
  <c r="M607" i="6" s="1"/>
  <c r="H606" i="6"/>
  <c r="M606" i="6" s="1"/>
  <c r="H605" i="6"/>
  <c r="M605" i="6" s="1"/>
  <c r="H604" i="6"/>
  <c r="M604" i="6" s="1"/>
  <c r="H603" i="6"/>
  <c r="M603" i="6" s="1"/>
  <c r="H602" i="6"/>
  <c r="M602" i="6" s="1"/>
  <c r="H601" i="6"/>
  <c r="M601" i="6" s="1"/>
  <c r="H600" i="6"/>
  <c r="M600" i="6" s="1"/>
  <c r="H599" i="6"/>
  <c r="M599" i="6" s="1"/>
  <c r="H598" i="6"/>
  <c r="M598" i="6" s="1"/>
  <c r="H597" i="6"/>
  <c r="M597" i="6" s="1"/>
  <c r="H596" i="6"/>
  <c r="M596" i="6" s="1"/>
  <c r="H595" i="6"/>
  <c r="M595" i="6" s="1"/>
  <c r="H594" i="6"/>
  <c r="M594" i="6" s="1"/>
  <c r="H593" i="6"/>
  <c r="M593" i="6" s="1"/>
  <c r="H592" i="6"/>
  <c r="M592" i="6" s="1"/>
  <c r="H591" i="6"/>
  <c r="M591" i="6" s="1"/>
  <c r="H590" i="6"/>
  <c r="M590" i="6" s="1"/>
  <c r="H589" i="6"/>
  <c r="M589" i="6" s="1"/>
  <c r="H588" i="6"/>
  <c r="M588" i="6" s="1"/>
  <c r="H587" i="6"/>
  <c r="M587" i="6" s="1"/>
  <c r="H586" i="6"/>
  <c r="M586" i="6" s="1"/>
  <c r="H585" i="6"/>
  <c r="M585" i="6" s="1"/>
  <c r="H584" i="6"/>
  <c r="M584" i="6" s="1"/>
  <c r="H583" i="6"/>
  <c r="M583" i="6" s="1"/>
  <c r="H582" i="6"/>
  <c r="M582" i="6" s="1"/>
  <c r="H581" i="6"/>
  <c r="M581" i="6" s="1"/>
  <c r="H580" i="6"/>
  <c r="M580" i="6" s="1"/>
  <c r="H579" i="6"/>
  <c r="M579" i="6" s="1"/>
  <c r="H578" i="6"/>
  <c r="M578" i="6" s="1"/>
  <c r="H577" i="6"/>
  <c r="M577" i="6" s="1"/>
  <c r="H576" i="6"/>
  <c r="M576" i="6" s="1"/>
  <c r="H575" i="6"/>
  <c r="M575" i="6" s="1"/>
  <c r="H574" i="6"/>
  <c r="M574" i="6" s="1"/>
  <c r="H573" i="6"/>
  <c r="M573" i="6" s="1"/>
  <c r="H572" i="6"/>
  <c r="M572" i="6" s="1"/>
  <c r="H571" i="6"/>
  <c r="M571" i="6" s="1"/>
  <c r="H570" i="6"/>
  <c r="M570" i="6" s="1"/>
  <c r="H569" i="6"/>
  <c r="M569" i="6" s="1"/>
  <c r="H568" i="6"/>
  <c r="M568" i="6" s="1"/>
  <c r="H567" i="6"/>
  <c r="M567" i="6" s="1"/>
  <c r="H566" i="6"/>
  <c r="M566" i="6" s="1"/>
  <c r="H565" i="6"/>
  <c r="M565" i="6" s="1"/>
  <c r="H564" i="6"/>
  <c r="M564" i="6" s="1"/>
  <c r="H563" i="6"/>
  <c r="M563" i="6" s="1"/>
  <c r="H562" i="6"/>
  <c r="M562" i="6" s="1"/>
  <c r="H561" i="6"/>
  <c r="M561" i="6" s="1"/>
  <c r="H560" i="6"/>
  <c r="M560" i="6" s="1"/>
  <c r="H559" i="6"/>
  <c r="M559" i="6" s="1"/>
  <c r="H558" i="6"/>
  <c r="M558" i="6" s="1"/>
  <c r="H557" i="6"/>
  <c r="M557" i="6" s="1"/>
  <c r="H556" i="6"/>
  <c r="M556" i="6" s="1"/>
  <c r="H555" i="6"/>
  <c r="M555" i="6" s="1"/>
  <c r="H554" i="6"/>
  <c r="M554" i="6" s="1"/>
  <c r="H553" i="6"/>
  <c r="M553" i="6" s="1"/>
  <c r="H552" i="6"/>
  <c r="M552" i="6" s="1"/>
  <c r="H551" i="6"/>
  <c r="M551" i="6" s="1"/>
  <c r="H550" i="6"/>
  <c r="M550" i="6" s="1"/>
  <c r="H549" i="6"/>
  <c r="M549" i="6" s="1"/>
  <c r="H548" i="6"/>
  <c r="M548" i="6" s="1"/>
  <c r="H547" i="6"/>
  <c r="M547" i="6" s="1"/>
  <c r="H546" i="6"/>
  <c r="M546" i="6" s="1"/>
  <c r="H545" i="6"/>
  <c r="M545" i="6" s="1"/>
  <c r="H544" i="6"/>
  <c r="M544" i="6" s="1"/>
  <c r="H543" i="6"/>
  <c r="M543" i="6" s="1"/>
  <c r="H542" i="6"/>
  <c r="M542" i="6" s="1"/>
  <c r="H541" i="6"/>
  <c r="M541" i="6" s="1"/>
  <c r="H540" i="6"/>
  <c r="M540" i="6" s="1"/>
  <c r="H539" i="6"/>
  <c r="M539" i="6" s="1"/>
  <c r="H538" i="6"/>
  <c r="M538" i="6" s="1"/>
  <c r="H537" i="6"/>
  <c r="M537" i="6" s="1"/>
  <c r="H536" i="6"/>
  <c r="M536" i="6" s="1"/>
  <c r="H535" i="6"/>
  <c r="M535" i="6" s="1"/>
  <c r="H534" i="6"/>
  <c r="M534" i="6" s="1"/>
  <c r="H533" i="6"/>
  <c r="M533" i="6" s="1"/>
  <c r="H532" i="6"/>
  <c r="M532" i="6" s="1"/>
  <c r="H531" i="6"/>
  <c r="M531" i="6" s="1"/>
  <c r="H530" i="6"/>
  <c r="M530" i="6" s="1"/>
  <c r="H529" i="6"/>
  <c r="M529" i="6" s="1"/>
  <c r="H528" i="6"/>
  <c r="M528" i="6" s="1"/>
  <c r="H527" i="6"/>
  <c r="M527" i="6" s="1"/>
  <c r="H526" i="6"/>
  <c r="M526" i="6" s="1"/>
  <c r="H525" i="6"/>
  <c r="M525" i="6" s="1"/>
  <c r="H524" i="6"/>
  <c r="M524" i="6" s="1"/>
  <c r="H523" i="6"/>
  <c r="M523" i="6" s="1"/>
  <c r="H522" i="6"/>
  <c r="M522" i="6" s="1"/>
  <c r="H521" i="6"/>
  <c r="M521" i="6" s="1"/>
  <c r="H520" i="6"/>
  <c r="M520" i="6" s="1"/>
  <c r="H519" i="6"/>
  <c r="M519" i="6" s="1"/>
  <c r="H518" i="6"/>
  <c r="M518" i="6" s="1"/>
  <c r="H517" i="6"/>
  <c r="M517" i="6" s="1"/>
  <c r="H516" i="6"/>
  <c r="M516" i="6" s="1"/>
  <c r="H515" i="6"/>
  <c r="M515" i="6" s="1"/>
  <c r="H514" i="6"/>
  <c r="M514" i="6" s="1"/>
  <c r="H513" i="6"/>
  <c r="M513" i="6" s="1"/>
  <c r="H512" i="6"/>
  <c r="M512" i="6" s="1"/>
  <c r="H511" i="6"/>
  <c r="M511" i="6" s="1"/>
  <c r="H510" i="6"/>
  <c r="H509" i="6"/>
  <c r="M509" i="6" s="1"/>
  <c r="H508" i="6"/>
  <c r="M508" i="6" s="1"/>
  <c r="H507" i="6"/>
  <c r="M507" i="6" s="1"/>
  <c r="H506" i="6"/>
  <c r="M506" i="6" s="1"/>
  <c r="H505" i="6"/>
  <c r="M505" i="6" s="1"/>
  <c r="H504" i="6"/>
  <c r="M504" i="6" s="1"/>
  <c r="H503" i="6"/>
  <c r="M503" i="6" s="1"/>
  <c r="H502" i="6"/>
  <c r="M502" i="6" s="1"/>
  <c r="H501" i="6"/>
  <c r="M501" i="6" s="1"/>
  <c r="H500" i="6"/>
  <c r="M500" i="6" s="1"/>
  <c r="H499" i="6"/>
  <c r="M499" i="6" s="1"/>
  <c r="H498" i="6"/>
  <c r="M498" i="6" s="1"/>
  <c r="H497" i="6"/>
  <c r="M497" i="6" s="1"/>
  <c r="H496" i="6"/>
  <c r="M496" i="6" s="1"/>
  <c r="H495" i="6"/>
  <c r="M495" i="6" s="1"/>
  <c r="H494" i="6"/>
  <c r="M494" i="6" s="1"/>
  <c r="H493" i="6"/>
  <c r="M493" i="6" s="1"/>
  <c r="H492" i="6"/>
  <c r="M492" i="6" s="1"/>
  <c r="H491" i="6"/>
  <c r="M491" i="6" s="1"/>
  <c r="H490" i="6"/>
  <c r="M490" i="6" s="1"/>
  <c r="H489" i="6"/>
  <c r="M489" i="6" s="1"/>
  <c r="H488" i="6"/>
  <c r="M488" i="6" s="1"/>
  <c r="H487" i="6"/>
  <c r="M487" i="6" s="1"/>
  <c r="H486" i="6"/>
  <c r="M486" i="6" s="1"/>
  <c r="H485" i="6"/>
  <c r="M485" i="6" s="1"/>
  <c r="H484" i="6"/>
  <c r="M484" i="6" s="1"/>
  <c r="H483" i="6"/>
  <c r="M483" i="6" s="1"/>
  <c r="H482" i="6"/>
  <c r="M482" i="6" s="1"/>
  <c r="H481" i="6"/>
  <c r="M481" i="6" s="1"/>
  <c r="H480" i="6"/>
  <c r="M480" i="6" s="1"/>
  <c r="H479" i="6"/>
  <c r="M479" i="6" s="1"/>
  <c r="H478" i="6"/>
  <c r="M478" i="6" s="1"/>
  <c r="H477" i="6"/>
  <c r="M477" i="6" s="1"/>
  <c r="H476" i="6"/>
  <c r="M476" i="6" s="1"/>
  <c r="H475" i="6"/>
  <c r="M475" i="6" s="1"/>
  <c r="H474" i="6"/>
  <c r="M474" i="6" s="1"/>
  <c r="H473" i="6"/>
  <c r="M473" i="6" s="1"/>
  <c r="H472" i="6"/>
  <c r="M472" i="6" s="1"/>
  <c r="H471" i="6"/>
  <c r="M471" i="6" s="1"/>
  <c r="H470" i="6"/>
  <c r="M470" i="6" s="1"/>
  <c r="H469" i="6"/>
  <c r="M469" i="6" s="1"/>
  <c r="H468" i="6"/>
  <c r="M468" i="6" s="1"/>
  <c r="H467" i="6"/>
  <c r="M467" i="6" s="1"/>
  <c r="H466" i="6"/>
  <c r="M466" i="6" s="1"/>
  <c r="H465" i="6"/>
  <c r="M465" i="6" s="1"/>
  <c r="H464" i="6"/>
  <c r="M464" i="6" s="1"/>
  <c r="H463" i="6"/>
  <c r="M463" i="6" s="1"/>
  <c r="H462" i="6"/>
  <c r="M462" i="6" s="1"/>
  <c r="H461" i="6"/>
  <c r="M461" i="6" s="1"/>
  <c r="H460" i="6"/>
  <c r="M460" i="6" s="1"/>
  <c r="H459" i="6"/>
  <c r="M459" i="6" s="1"/>
  <c r="H458" i="6"/>
  <c r="M458" i="6" s="1"/>
  <c r="H457" i="6"/>
  <c r="M457" i="6" s="1"/>
  <c r="H456" i="6"/>
  <c r="M456" i="6" s="1"/>
  <c r="H455" i="6"/>
  <c r="M455" i="6" s="1"/>
  <c r="H454" i="6"/>
  <c r="M454" i="6" s="1"/>
  <c r="H453" i="6"/>
  <c r="M453" i="6" s="1"/>
  <c r="H452" i="6"/>
  <c r="M452" i="6" s="1"/>
  <c r="H451" i="6"/>
  <c r="M451" i="6" s="1"/>
  <c r="H450" i="6"/>
  <c r="M450" i="6" s="1"/>
  <c r="H449" i="6"/>
  <c r="M449" i="6" s="1"/>
  <c r="H448" i="6"/>
  <c r="M448" i="6" s="1"/>
  <c r="H447" i="6"/>
  <c r="M447" i="6" s="1"/>
  <c r="H446" i="6"/>
  <c r="M446" i="6" s="1"/>
  <c r="H445" i="6"/>
  <c r="M445" i="6" s="1"/>
  <c r="H444" i="6"/>
  <c r="M444" i="6" s="1"/>
  <c r="H443" i="6"/>
  <c r="M443" i="6" s="1"/>
  <c r="H442" i="6"/>
  <c r="M442" i="6" s="1"/>
  <c r="H441" i="6"/>
  <c r="M441" i="6" s="1"/>
  <c r="H440" i="6"/>
  <c r="M440" i="6" s="1"/>
  <c r="H439" i="6"/>
  <c r="M439" i="6" s="1"/>
  <c r="H438" i="6"/>
  <c r="M438" i="6" s="1"/>
  <c r="H437" i="6"/>
  <c r="M437" i="6" s="1"/>
  <c r="H436" i="6"/>
  <c r="M436" i="6" s="1"/>
  <c r="H435" i="6"/>
  <c r="M435" i="6" s="1"/>
  <c r="H434" i="6"/>
  <c r="M434" i="6" s="1"/>
  <c r="H433" i="6"/>
  <c r="M433" i="6" s="1"/>
  <c r="H432" i="6"/>
  <c r="M432" i="6" s="1"/>
  <c r="H431" i="6"/>
  <c r="M431" i="6" s="1"/>
  <c r="H430" i="6"/>
  <c r="M430" i="6" s="1"/>
  <c r="H429" i="6"/>
  <c r="M429" i="6" s="1"/>
  <c r="H428" i="6"/>
  <c r="M428" i="6" s="1"/>
  <c r="H427" i="6"/>
  <c r="M427" i="6" s="1"/>
  <c r="H426" i="6"/>
  <c r="M426" i="6" s="1"/>
  <c r="H425" i="6"/>
  <c r="M425" i="6" s="1"/>
  <c r="H424" i="6"/>
  <c r="M424" i="6" s="1"/>
  <c r="H423" i="6"/>
  <c r="M423" i="6" s="1"/>
  <c r="H422" i="6"/>
  <c r="M422" i="6" s="1"/>
  <c r="H421" i="6"/>
  <c r="M421" i="6" s="1"/>
  <c r="H420" i="6"/>
  <c r="M420" i="6" s="1"/>
  <c r="H419" i="6"/>
  <c r="M419" i="6" s="1"/>
  <c r="H418" i="6"/>
  <c r="M418" i="6" s="1"/>
  <c r="H417" i="6"/>
  <c r="M417" i="6" s="1"/>
  <c r="H416" i="6"/>
  <c r="M416" i="6" s="1"/>
  <c r="H415" i="6"/>
  <c r="M415" i="6" s="1"/>
  <c r="H414" i="6"/>
  <c r="M414" i="6" s="1"/>
  <c r="H413" i="6"/>
  <c r="M413" i="6" s="1"/>
  <c r="H412" i="6"/>
  <c r="M412" i="6" s="1"/>
  <c r="H411" i="6"/>
  <c r="M411" i="6" s="1"/>
  <c r="H410" i="6"/>
  <c r="M410" i="6" s="1"/>
  <c r="H409" i="6"/>
  <c r="M409" i="6" s="1"/>
  <c r="H408" i="6"/>
  <c r="M408" i="6" s="1"/>
  <c r="H407" i="6"/>
  <c r="M407" i="6" s="1"/>
  <c r="H406" i="6"/>
  <c r="M406" i="6" s="1"/>
  <c r="H405" i="6"/>
  <c r="M405" i="6" s="1"/>
  <c r="H404" i="6"/>
  <c r="M404" i="6" s="1"/>
  <c r="H403" i="6"/>
  <c r="M403" i="6" s="1"/>
  <c r="H402" i="6"/>
  <c r="M402" i="6" s="1"/>
  <c r="H401" i="6"/>
  <c r="M401" i="6" s="1"/>
  <c r="H400" i="6"/>
  <c r="M400" i="6" s="1"/>
  <c r="H399" i="6"/>
  <c r="M399" i="6" s="1"/>
  <c r="H398" i="6"/>
  <c r="M398" i="6" s="1"/>
  <c r="H397" i="6"/>
  <c r="M397" i="6" s="1"/>
  <c r="H396" i="6"/>
  <c r="M396" i="6" s="1"/>
  <c r="H395" i="6"/>
  <c r="M395" i="6" s="1"/>
  <c r="H394" i="6"/>
  <c r="M394" i="6" s="1"/>
  <c r="H393" i="6"/>
  <c r="M393" i="6" s="1"/>
  <c r="H392" i="6"/>
  <c r="M392" i="6" s="1"/>
  <c r="H391" i="6"/>
  <c r="M391" i="6" s="1"/>
  <c r="H390" i="6"/>
  <c r="M390" i="6" s="1"/>
  <c r="H389" i="6"/>
  <c r="M389" i="6" s="1"/>
  <c r="H388" i="6"/>
  <c r="M388" i="6" s="1"/>
  <c r="H387" i="6"/>
  <c r="M387" i="6" s="1"/>
  <c r="H386" i="6"/>
  <c r="M386" i="6" s="1"/>
  <c r="H385" i="6"/>
  <c r="M385" i="6" s="1"/>
  <c r="H384" i="6"/>
  <c r="M384" i="6" s="1"/>
  <c r="H383" i="6"/>
  <c r="M383" i="6" s="1"/>
  <c r="H382" i="6"/>
  <c r="M382" i="6" s="1"/>
  <c r="H381" i="6"/>
  <c r="M381" i="6" s="1"/>
  <c r="H380" i="6"/>
  <c r="M380" i="6" s="1"/>
  <c r="H379" i="6"/>
  <c r="M379" i="6" s="1"/>
  <c r="H378" i="6"/>
  <c r="M378" i="6" s="1"/>
  <c r="H377" i="6"/>
  <c r="M377" i="6" s="1"/>
  <c r="H376" i="6"/>
  <c r="M376" i="6" s="1"/>
  <c r="H375" i="6"/>
  <c r="M375" i="6" s="1"/>
  <c r="H374" i="6"/>
  <c r="M374" i="6" s="1"/>
  <c r="H373" i="6"/>
  <c r="M373" i="6" s="1"/>
  <c r="H372" i="6"/>
  <c r="M372" i="6" s="1"/>
  <c r="H371" i="6"/>
  <c r="M371" i="6" s="1"/>
  <c r="H370" i="6"/>
  <c r="M370" i="6" s="1"/>
  <c r="H369" i="6"/>
  <c r="M369" i="6" s="1"/>
  <c r="H368" i="6"/>
  <c r="M368" i="6" s="1"/>
  <c r="H367" i="6"/>
  <c r="M367" i="6" s="1"/>
  <c r="H366" i="6"/>
  <c r="M366" i="6" s="1"/>
  <c r="H365" i="6"/>
  <c r="M365" i="6" s="1"/>
  <c r="H364" i="6"/>
  <c r="M364" i="6" s="1"/>
  <c r="H363" i="6"/>
  <c r="M363" i="6" s="1"/>
  <c r="H362" i="6"/>
  <c r="M362" i="6" s="1"/>
  <c r="H361" i="6"/>
  <c r="M361" i="6" s="1"/>
  <c r="H360" i="6"/>
  <c r="M360" i="6" s="1"/>
  <c r="H359" i="6"/>
  <c r="M359" i="6" s="1"/>
  <c r="H358" i="6"/>
  <c r="M358" i="6" s="1"/>
  <c r="H357" i="6"/>
  <c r="M357" i="6" s="1"/>
  <c r="H356" i="6"/>
  <c r="M356" i="6" s="1"/>
  <c r="H355" i="6"/>
  <c r="M355" i="6" s="1"/>
  <c r="H354" i="6"/>
  <c r="M354" i="6" s="1"/>
  <c r="H353" i="6"/>
  <c r="M353" i="6" s="1"/>
  <c r="H352" i="6"/>
  <c r="M352" i="6" s="1"/>
  <c r="H351" i="6"/>
  <c r="M351" i="6" s="1"/>
  <c r="H350" i="6"/>
  <c r="M350" i="6" s="1"/>
  <c r="H349" i="6"/>
  <c r="M349" i="6" s="1"/>
  <c r="H348" i="6"/>
  <c r="M348" i="6" s="1"/>
  <c r="H347" i="6"/>
  <c r="M347" i="6" s="1"/>
  <c r="H346" i="6"/>
  <c r="M346" i="6" s="1"/>
  <c r="H345" i="6"/>
  <c r="M345" i="6" s="1"/>
  <c r="H344" i="6"/>
  <c r="M344" i="6" s="1"/>
  <c r="H343" i="6"/>
  <c r="M343" i="6" s="1"/>
  <c r="H342" i="6"/>
  <c r="M342" i="6" s="1"/>
  <c r="H341" i="6"/>
  <c r="M341" i="6" s="1"/>
  <c r="H340" i="6"/>
  <c r="M340" i="6" s="1"/>
  <c r="H339" i="6"/>
  <c r="M339" i="6" s="1"/>
  <c r="H338" i="6"/>
  <c r="M338" i="6" s="1"/>
  <c r="H337" i="6"/>
  <c r="M337" i="6" s="1"/>
  <c r="H336" i="6"/>
  <c r="M336" i="6" s="1"/>
  <c r="H335" i="6"/>
  <c r="M335" i="6" s="1"/>
  <c r="H334" i="6"/>
  <c r="M334" i="6" s="1"/>
  <c r="H333" i="6"/>
  <c r="M333" i="6" s="1"/>
  <c r="H332" i="6"/>
  <c r="M332" i="6" s="1"/>
  <c r="H331" i="6"/>
  <c r="M331" i="6" s="1"/>
  <c r="H330" i="6"/>
  <c r="M330" i="6" s="1"/>
  <c r="H329" i="6"/>
  <c r="M329" i="6" s="1"/>
  <c r="H328" i="6"/>
  <c r="M328" i="6" s="1"/>
  <c r="H327" i="6"/>
  <c r="M327" i="6" s="1"/>
  <c r="H326" i="6"/>
  <c r="M326" i="6" s="1"/>
  <c r="H325" i="6"/>
  <c r="M325" i="6" s="1"/>
  <c r="H324" i="6"/>
  <c r="M324" i="6" s="1"/>
  <c r="H323" i="6"/>
  <c r="M323" i="6" s="1"/>
  <c r="H322" i="6"/>
  <c r="M322" i="6" s="1"/>
  <c r="H321" i="6"/>
  <c r="M321" i="6" s="1"/>
  <c r="H320" i="6"/>
  <c r="M320" i="6" s="1"/>
  <c r="H319" i="6"/>
  <c r="M319" i="6" s="1"/>
  <c r="H318" i="6"/>
  <c r="M318" i="6" s="1"/>
  <c r="H317" i="6"/>
  <c r="M317" i="6" s="1"/>
  <c r="H316" i="6"/>
  <c r="M316" i="6" s="1"/>
  <c r="H315" i="6"/>
  <c r="M315" i="6" s="1"/>
  <c r="H314" i="6"/>
  <c r="M314" i="6" s="1"/>
  <c r="H313" i="6"/>
  <c r="M313" i="6" s="1"/>
  <c r="H312" i="6"/>
  <c r="M312" i="6" s="1"/>
  <c r="H311" i="6"/>
  <c r="M311" i="6" s="1"/>
  <c r="H310" i="6"/>
  <c r="M310" i="6" s="1"/>
  <c r="H309" i="6"/>
  <c r="M309" i="6" s="1"/>
  <c r="H308" i="6"/>
  <c r="M308" i="6" s="1"/>
  <c r="H307" i="6"/>
  <c r="M307" i="6" s="1"/>
  <c r="H306" i="6"/>
  <c r="M306" i="6" s="1"/>
  <c r="H305" i="6"/>
  <c r="M305" i="6" s="1"/>
  <c r="H304" i="6"/>
  <c r="M304" i="6" s="1"/>
  <c r="H303" i="6"/>
  <c r="M303" i="6" s="1"/>
  <c r="H302" i="6"/>
  <c r="M302" i="6" s="1"/>
  <c r="H301" i="6"/>
  <c r="M301" i="6" s="1"/>
  <c r="H300" i="6"/>
  <c r="M300" i="6" s="1"/>
  <c r="H299" i="6"/>
  <c r="M299" i="6" s="1"/>
  <c r="H298" i="6"/>
  <c r="M298" i="6" s="1"/>
  <c r="H297" i="6"/>
  <c r="M297" i="6" s="1"/>
  <c r="H296" i="6"/>
  <c r="M296" i="6" s="1"/>
  <c r="H295" i="6"/>
  <c r="M295" i="6" s="1"/>
  <c r="H294" i="6"/>
  <c r="M294" i="6" s="1"/>
  <c r="H293" i="6"/>
  <c r="M293" i="6" s="1"/>
  <c r="H292" i="6"/>
  <c r="M292" i="6" s="1"/>
  <c r="H291" i="6"/>
  <c r="M291" i="6" s="1"/>
  <c r="H290" i="6"/>
  <c r="M290" i="6" s="1"/>
  <c r="H289" i="6"/>
  <c r="M289" i="6" s="1"/>
  <c r="H288" i="6"/>
  <c r="M288" i="6" s="1"/>
  <c r="H287" i="6"/>
  <c r="M287" i="6" s="1"/>
  <c r="H286" i="6"/>
  <c r="M286" i="6" s="1"/>
  <c r="H285" i="6"/>
  <c r="M285" i="6" s="1"/>
  <c r="H284" i="6"/>
  <c r="M284" i="6" s="1"/>
  <c r="H283" i="6"/>
  <c r="M283" i="6" s="1"/>
  <c r="H282" i="6"/>
  <c r="M282" i="6" s="1"/>
  <c r="H281" i="6"/>
  <c r="M281" i="6" s="1"/>
  <c r="H280" i="6"/>
  <c r="M280" i="6" s="1"/>
  <c r="H279" i="6"/>
  <c r="M279" i="6" s="1"/>
  <c r="H278" i="6"/>
  <c r="M278" i="6" s="1"/>
  <c r="H277" i="6"/>
  <c r="M277" i="6" s="1"/>
  <c r="H276" i="6"/>
  <c r="M276" i="6" s="1"/>
  <c r="H275" i="6"/>
  <c r="M275" i="6" s="1"/>
  <c r="H274" i="6"/>
  <c r="M274" i="6" s="1"/>
  <c r="H273" i="6"/>
  <c r="M273" i="6" s="1"/>
  <c r="H272" i="6"/>
  <c r="M272" i="6" s="1"/>
  <c r="H271" i="6"/>
  <c r="M271" i="6" s="1"/>
  <c r="H270" i="6"/>
  <c r="M270" i="6" s="1"/>
  <c r="H269" i="6"/>
  <c r="M269" i="6" s="1"/>
  <c r="H268" i="6"/>
  <c r="M268" i="6" s="1"/>
  <c r="H267" i="6"/>
  <c r="M267" i="6" s="1"/>
  <c r="H266" i="6"/>
  <c r="M266" i="6" s="1"/>
  <c r="H265" i="6"/>
  <c r="M265" i="6" s="1"/>
  <c r="H264" i="6"/>
  <c r="M264" i="6" s="1"/>
  <c r="H263" i="6"/>
  <c r="M263" i="6" s="1"/>
  <c r="H262" i="6"/>
  <c r="M262" i="6" s="1"/>
  <c r="H261" i="6"/>
  <c r="M261" i="6" s="1"/>
  <c r="H260" i="6"/>
  <c r="M260" i="6" s="1"/>
  <c r="H259" i="6"/>
  <c r="M259" i="6" s="1"/>
  <c r="H258" i="6"/>
  <c r="M258" i="6" s="1"/>
  <c r="H257" i="6"/>
  <c r="M257" i="6" s="1"/>
  <c r="H256" i="6"/>
  <c r="M256" i="6" s="1"/>
  <c r="H255" i="6"/>
  <c r="M255" i="6" s="1"/>
  <c r="H254" i="6"/>
  <c r="M254" i="6" s="1"/>
  <c r="H253" i="6"/>
  <c r="M253" i="6" s="1"/>
  <c r="H252" i="6"/>
  <c r="M252" i="6" s="1"/>
  <c r="H251" i="6"/>
  <c r="M251" i="6" s="1"/>
  <c r="H250" i="6"/>
  <c r="M250" i="6" s="1"/>
  <c r="H249" i="6"/>
  <c r="M249" i="6" s="1"/>
  <c r="H248" i="6"/>
  <c r="M248" i="6" s="1"/>
  <c r="H247" i="6"/>
  <c r="M247" i="6" s="1"/>
  <c r="H246" i="6"/>
  <c r="M246" i="6" s="1"/>
  <c r="H245" i="6"/>
  <c r="M245" i="6" s="1"/>
  <c r="H244" i="6"/>
  <c r="M244" i="6" s="1"/>
  <c r="H243" i="6"/>
  <c r="M243" i="6" s="1"/>
  <c r="H242" i="6"/>
  <c r="M242" i="6" s="1"/>
  <c r="H241" i="6"/>
  <c r="M241" i="6" s="1"/>
  <c r="H240" i="6"/>
  <c r="M240" i="6" s="1"/>
  <c r="H239" i="6"/>
  <c r="M239" i="6" s="1"/>
  <c r="H238" i="6"/>
  <c r="M238" i="6" s="1"/>
  <c r="H237" i="6"/>
  <c r="M237" i="6" s="1"/>
  <c r="H236" i="6"/>
  <c r="M236" i="6" s="1"/>
  <c r="H235" i="6"/>
  <c r="M235" i="6" s="1"/>
  <c r="H234" i="6"/>
  <c r="M234" i="6" s="1"/>
  <c r="H233" i="6"/>
  <c r="M233" i="6" s="1"/>
  <c r="H232" i="6"/>
  <c r="M232" i="6" s="1"/>
  <c r="H231" i="6"/>
  <c r="M231" i="6" s="1"/>
  <c r="H230" i="6"/>
  <c r="M230" i="6" s="1"/>
  <c r="H229" i="6"/>
  <c r="M229" i="6" s="1"/>
  <c r="H228" i="6"/>
  <c r="M228" i="6" s="1"/>
  <c r="H227" i="6"/>
  <c r="M227" i="6" s="1"/>
  <c r="H226" i="6"/>
  <c r="M226" i="6" s="1"/>
  <c r="H225" i="6"/>
  <c r="M225" i="6" s="1"/>
  <c r="H224" i="6"/>
  <c r="M224" i="6" s="1"/>
  <c r="H223" i="6"/>
  <c r="M223" i="6" s="1"/>
  <c r="H222" i="6"/>
  <c r="M222" i="6" s="1"/>
  <c r="H221" i="6"/>
  <c r="M221" i="6" s="1"/>
  <c r="H220" i="6"/>
  <c r="M220" i="6" s="1"/>
  <c r="H219" i="6"/>
  <c r="M219" i="6" s="1"/>
  <c r="M218" i="6"/>
  <c r="H217" i="6"/>
  <c r="M217" i="6" s="1"/>
  <c r="H216" i="6"/>
  <c r="M216" i="6" s="1"/>
  <c r="H215" i="6"/>
  <c r="M215" i="6" s="1"/>
  <c r="H214" i="6"/>
  <c r="M214" i="6" s="1"/>
  <c r="H213" i="6"/>
  <c r="M213" i="6" s="1"/>
  <c r="H212" i="6"/>
  <c r="M212" i="6" s="1"/>
  <c r="H211" i="6"/>
  <c r="M211" i="6" s="1"/>
  <c r="H210" i="6"/>
  <c r="M210" i="6" s="1"/>
  <c r="H209" i="6"/>
  <c r="M209" i="6" s="1"/>
  <c r="H208" i="6"/>
  <c r="M208" i="6" s="1"/>
  <c r="H207" i="6"/>
  <c r="M207" i="6" s="1"/>
  <c r="H206" i="6"/>
  <c r="M206" i="6" s="1"/>
  <c r="H205" i="6"/>
  <c r="M205" i="6" s="1"/>
  <c r="H204" i="6"/>
  <c r="M204" i="6" s="1"/>
  <c r="H203" i="6"/>
  <c r="M203" i="6" s="1"/>
  <c r="H202" i="6"/>
  <c r="M202" i="6" s="1"/>
  <c r="H201" i="6"/>
  <c r="M201" i="6" s="1"/>
  <c r="H200" i="6"/>
  <c r="M200" i="6" s="1"/>
  <c r="H199" i="6"/>
  <c r="M199" i="6" s="1"/>
  <c r="H198" i="6"/>
  <c r="M198" i="6" s="1"/>
  <c r="H197" i="6"/>
  <c r="M197" i="6" s="1"/>
  <c r="H196" i="6"/>
  <c r="M196" i="6" s="1"/>
  <c r="H195" i="6"/>
  <c r="M195" i="6" s="1"/>
  <c r="H194" i="6"/>
  <c r="M194" i="6" s="1"/>
  <c r="H193" i="6"/>
  <c r="M193" i="6" s="1"/>
  <c r="H192" i="6"/>
  <c r="M192" i="6" s="1"/>
  <c r="H191" i="6"/>
  <c r="M191" i="6" s="1"/>
  <c r="H190" i="6"/>
  <c r="M190" i="6" s="1"/>
  <c r="H189" i="6"/>
  <c r="M189" i="6" s="1"/>
  <c r="H188" i="6"/>
  <c r="M188" i="6" s="1"/>
  <c r="H187" i="6"/>
  <c r="M187" i="6" s="1"/>
  <c r="H186" i="6"/>
  <c r="M186" i="6" s="1"/>
  <c r="H185" i="6"/>
  <c r="M185" i="6" s="1"/>
  <c r="H184" i="6"/>
  <c r="M184" i="6" s="1"/>
  <c r="H183" i="6"/>
  <c r="M183" i="6" s="1"/>
  <c r="H182" i="6"/>
  <c r="M182" i="6" s="1"/>
  <c r="H181" i="6"/>
  <c r="M181" i="6" s="1"/>
  <c r="H180" i="6"/>
  <c r="M180" i="6" s="1"/>
  <c r="H179" i="6"/>
  <c r="M179" i="6" s="1"/>
  <c r="H178" i="6"/>
  <c r="M178" i="6" s="1"/>
  <c r="H177" i="6"/>
  <c r="M177" i="6" s="1"/>
  <c r="H176" i="6"/>
  <c r="M176" i="6" s="1"/>
  <c r="H175" i="6"/>
  <c r="M175" i="6" s="1"/>
  <c r="H174" i="6"/>
  <c r="M174" i="6" s="1"/>
  <c r="H173" i="6"/>
  <c r="M173" i="6" s="1"/>
  <c r="H172" i="6"/>
  <c r="M172" i="6" s="1"/>
  <c r="H171" i="6"/>
  <c r="M171" i="6" s="1"/>
  <c r="H170" i="6"/>
  <c r="M170" i="6" s="1"/>
  <c r="H169" i="6"/>
  <c r="M169" i="6" s="1"/>
  <c r="H168" i="6"/>
  <c r="M168" i="6" s="1"/>
  <c r="H167" i="6"/>
  <c r="M167" i="6" s="1"/>
  <c r="H166" i="6"/>
  <c r="M166" i="6" s="1"/>
  <c r="H165" i="6"/>
  <c r="M165" i="6" s="1"/>
  <c r="H164" i="6"/>
  <c r="M164" i="6" s="1"/>
  <c r="H163" i="6"/>
  <c r="M163" i="6" s="1"/>
  <c r="H162" i="6"/>
  <c r="M162" i="6" s="1"/>
  <c r="H161" i="6"/>
  <c r="M161" i="6" s="1"/>
  <c r="H160" i="6"/>
  <c r="M160" i="6" s="1"/>
  <c r="H159" i="6"/>
  <c r="M159" i="6" s="1"/>
  <c r="H158" i="6"/>
  <c r="M158" i="6" s="1"/>
  <c r="H157" i="6"/>
  <c r="M157" i="6" s="1"/>
  <c r="H156" i="6"/>
  <c r="M156" i="6" s="1"/>
  <c r="H155" i="6"/>
  <c r="M155" i="6" s="1"/>
  <c r="H154" i="6"/>
  <c r="M154" i="6" s="1"/>
  <c r="H153" i="6"/>
  <c r="M153" i="6" s="1"/>
  <c r="H152" i="6"/>
  <c r="M152" i="6" s="1"/>
  <c r="H151" i="6"/>
  <c r="M151" i="6" s="1"/>
  <c r="H150" i="6"/>
  <c r="M150" i="6" s="1"/>
  <c r="H149" i="6"/>
  <c r="M149" i="6" s="1"/>
  <c r="M148" i="6"/>
  <c r="H147" i="6"/>
  <c r="M147" i="6" s="1"/>
  <c r="H146" i="6"/>
  <c r="M146" i="6" s="1"/>
  <c r="H145" i="6"/>
  <c r="M145" i="6" s="1"/>
  <c r="H144" i="6"/>
  <c r="M144" i="6" s="1"/>
  <c r="H143" i="6"/>
  <c r="M143" i="6" s="1"/>
  <c r="H142" i="6"/>
  <c r="M142" i="6" s="1"/>
  <c r="H141" i="6"/>
  <c r="M141" i="6" s="1"/>
  <c r="H140" i="6"/>
  <c r="M140" i="6" s="1"/>
  <c r="H139" i="6"/>
  <c r="M139" i="6" s="1"/>
  <c r="H138" i="6"/>
  <c r="M138" i="6" s="1"/>
  <c r="H137" i="6"/>
  <c r="M137" i="6" s="1"/>
  <c r="H136" i="6"/>
  <c r="M136" i="6" s="1"/>
  <c r="H135" i="6"/>
  <c r="M135" i="6" s="1"/>
  <c r="H134" i="6"/>
  <c r="M134" i="6" s="1"/>
  <c r="H133" i="6"/>
  <c r="M133" i="6" s="1"/>
  <c r="H132" i="6"/>
  <c r="M132" i="6" s="1"/>
  <c r="H131" i="6"/>
  <c r="M131" i="6" s="1"/>
  <c r="H130" i="6"/>
  <c r="M130" i="6" s="1"/>
  <c r="H129" i="6"/>
  <c r="M129" i="6" s="1"/>
  <c r="H128" i="6"/>
  <c r="M128" i="6" s="1"/>
  <c r="H127" i="6"/>
  <c r="M127" i="6" s="1"/>
  <c r="H126" i="6"/>
  <c r="M126" i="6" s="1"/>
  <c r="H125" i="6"/>
  <c r="M125" i="6" s="1"/>
  <c r="H124" i="6"/>
  <c r="M124" i="6" s="1"/>
  <c r="H123" i="6"/>
  <c r="M123" i="6" s="1"/>
  <c r="H122" i="6"/>
  <c r="M122" i="6" s="1"/>
  <c r="H121" i="6"/>
  <c r="M121" i="6" s="1"/>
  <c r="H120" i="6"/>
  <c r="M120" i="6" s="1"/>
  <c r="H119" i="6"/>
  <c r="M119" i="6" s="1"/>
  <c r="H118" i="6"/>
  <c r="M118" i="6" s="1"/>
  <c r="H117" i="6"/>
  <c r="M117" i="6" s="1"/>
  <c r="H116" i="6"/>
  <c r="M116" i="6" s="1"/>
  <c r="H115" i="6"/>
  <c r="M115" i="6" s="1"/>
  <c r="H114" i="6"/>
  <c r="M114" i="6" s="1"/>
  <c r="H113" i="6"/>
  <c r="M113" i="6" s="1"/>
  <c r="H112" i="6"/>
  <c r="M112" i="6" s="1"/>
  <c r="H111" i="6"/>
  <c r="M111" i="6" s="1"/>
  <c r="H110" i="6"/>
  <c r="M110" i="6" s="1"/>
  <c r="H109" i="6"/>
  <c r="M109" i="6" s="1"/>
  <c r="H108" i="6"/>
  <c r="M108" i="6" s="1"/>
  <c r="H107" i="6"/>
  <c r="M107" i="6" s="1"/>
  <c r="H106" i="6"/>
  <c r="M106" i="6" s="1"/>
  <c r="H105" i="6"/>
  <c r="M105" i="6" s="1"/>
  <c r="H104" i="6"/>
  <c r="M104" i="6" s="1"/>
  <c r="H103" i="6"/>
  <c r="M103" i="6" s="1"/>
  <c r="M102" i="6"/>
  <c r="H101" i="6"/>
  <c r="M101" i="6" s="1"/>
  <c r="H100" i="6"/>
  <c r="M100" i="6" s="1"/>
  <c r="H99" i="6"/>
  <c r="M99" i="6" s="1"/>
  <c r="H98" i="6"/>
  <c r="M98" i="6" s="1"/>
  <c r="H97" i="6"/>
  <c r="M97" i="6" s="1"/>
  <c r="H96" i="6"/>
  <c r="M96" i="6" s="1"/>
  <c r="H95" i="6"/>
  <c r="M95" i="6" s="1"/>
  <c r="H94" i="6"/>
  <c r="M94" i="6" s="1"/>
  <c r="H93" i="6"/>
  <c r="M93" i="6" s="1"/>
  <c r="H92" i="6"/>
  <c r="M92" i="6" s="1"/>
  <c r="H91" i="6"/>
  <c r="M91" i="6" s="1"/>
  <c r="H90" i="6"/>
  <c r="M90" i="6" s="1"/>
  <c r="H89" i="6"/>
  <c r="M89" i="6" s="1"/>
  <c r="H88" i="6"/>
  <c r="M88" i="6" s="1"/>
  <c r="H87" i="6"/>
  <c r="M87" i="6" s="1"/>
  <c r="H86" i="6"/>
  <c r="M86" i="6" s="1"/>
  <c r="H85" i="6"/>
  <c r="M85" i="6" s="1"/>
  <c r="H84" i="6"/>
  <c r="M84" i="6" s="1"/>
  <c r="H83" i="6"/>
  <c r="M83" i="6" s="1"/>
  <c r="H82" i="6"/>
  <c r="M82" i="6" s="1"/>
  <c r="H81" i="6"/>
  <c r="M81" i="6" s="1"/>
  <c r="M80" i="6"/>
  <c r="H79" i="6"/>
  <c r="M79" i="6" s="1"/>
  <c r="H78" i="6"/>
  <c r="M78" i="6" s="1"/>
  <c r="H77" i="6"/>
  <c r="M77" i="6" s="1"/>
  <c r="H76" i="6"/>
  <c r="M76" i="6" s="1"/>
  <c r="H75" i="6"/>
  <c r="M75" i="6" s="1"/>
  <c r="H74" i="6"/>
  <c r="M74" i="6" s="1"/>
  <c r="H73" i="6"/>
  <c r="M73" i="6" s="1"/>
  <c r="H72" i="6"/>
  <c r="M72" i="6" s="1"/>
  <c r="H71" i="6"/>
  <c r="M71" i="6" s="1"/>
  <c r="H70" i="6"/>
  <c r="M70" i="6" s="1"/>
  <c r="H69" i="6"/>
  <c r="M69" i="6" s="1"/>
  <c r="H68" i="6"/>
  <c r="M68" i="6" s="1"/>
  <c r="H67" i="6"/>
  <c r="M67" i="6" s="1"/>
  <c r="H66" i="6"/>
  <c r="M66" i="6" s="1"/>
  <c r="H65" i="6"/>
  <c r="M65" i="6" s="1"/>
  <c r="H64" i="6"/>
  <c r="M64" i="6" s="1"/>
  <c r="H63" i="6"/>
  <c r="M63" i="6" s="1"/>
  <c r="H62" i="6"/>
  <c r="M62" i="6" s="1"/>
  <c r="H61" i="6"/>
  <c r="M61" i="6" s="1"/>
  <c r="H60" i="6"/>
  <c r="M60" i="6" s="1"/>
  <c r="H59" i="6"/>
  <c r="M59" i="6" s="1"/>
  <c r="H58" i="6"/>
  <c r="M58" i="6" s="1"/>
  <c r="H57" i="6"/>
  <c r="M57" i="6" s="1"/>
  <c r="H56" i="6"/>
  <c r="M56" i="6" s="1"/>
  <c r="H55" i="6"/>
  <c r="M55" i="6" s="1"/>
  <c r="H54" i="6"/>
  <c r="M54" i="6" s="1"/>
  <c r="H53" i="6"/>
  <c r="M53" i="6" s="1"/>
  <c r="H52" i="6"/>
  <c r="M52" i="6" s="1"/>
  <c r="H51" i="6"/>
  <c r="M51" i="6" s="1"/>
  <c r="H50" i="6"/>
  <c r="M50" i="6" s="1"/>
  <c r="H49" i="6"/>
  <c r="M49" i="6" s="1"/>
  <c r="H48" i="6"/>
  <c r="M48" i="6" s="1"/>
  <c r="H47" i="6"/>
  <c r="M47" i="6" s="1"/>
  <c r="H46" i="6"/>
  <c r="M46" i="6" s="1"/>
  <c r="H45" i="6"/>
  <c r="M45" i="6" s="1"/>
  <c r="H44" i="6"/>
  <c r="M44" i="6" s="1"/>
  <c r="H43" i="6"/>
  <c r="M43" i="6" s="1"/>
  <c r="H42" i="6"/>
  <c r="M42" i="6" s="1"/>
  <c r="H41" i="6"/>
  <c r="M41" i="6" s="1"/>
  <c r="H40" i="6"/>
  <c r="M40" i="6" s="1"/>
  <c r="H39" i="6"/>
  <c r="M39" i="6" s="1"/>
  <c r="H38" i="6"/>
  <c r="M38" i="6" s="1"/>
  <c r="H37" i="6"/>
  <c r="M37" i="6" s="1"/>
  <c r="H36" i="6"/>
  <c r="M36" i="6" s="1"/>
  <c r="H35" i="6"/>
  <c r="M35" i="6" s="1"/>
  <c r="H34" i="6"/>
  <c r="M34" i="6" s="1"/>
  <c r="H33" i="6"/>
  <c r="M33" i="6" s="1"/>
  <c r="H32" i="6"/>
  <c r="M32" i="6" s="1"/>
  <c r="H31" i="6"/>
  <c r="M31" i="6" s="1"/>
  <c r="H30" i="6"/>
  <c r="M30" i="6" s="1"/>
  <c r="H29" i="6"/>
  <c r="M29" i="6" s="1"/>
  <c r="H28" i="6"/>
  <c r="M28" i="6" s="1"/>
  <c r="H27" i="6"/>
  <c r="M27" i="6" s="1"/>
  <c r="H26" i="6"/>
  <c r="M26" i="6" s="1"/>
  <c r="H25" i="6"/>
  <c r="M25" i="6" s="1"/>
  <c r="H24" i="6"/>
  <c r="M24" i="6" s="1"/>
  <c r="M23" i="6"/>
  <c r="H22" i="6"/>
  <c r="M22" i="6" s="1"/>
  <c r="H21" i="6"/>
  <c r="M21" i="6" s="1"/>
  <c r="H20" i="6"/>
  <c r="M20" i="6" s="1"/>
  <c r="H19" i="6"/>
  <c r="M19" i="6" s="1"/>
  <c r="H18" i="6"/>
  <c r="M18" i="6" s="1"/>
  <c r="H17" i="6"/>
  <c r="M17" i="6" s="1"/>
  <c r="H16" i="6"/>
  <c r="M16" i="6" s="1"/>
  <c r="M15" i="6"/>
  <c r="M14" i="6"/>
  <c r="H13" i="6"/>
  <c r="M13" i="6" s="1"/>
  <c r="H12" i="6"/>
  <c r="M12" i="6" s="1"/>
  <c r="H11" i="6"/>
  <c r="M11" i="6" s="1"/>
  <c r="H9" i="6"/>
  <c r="M9" i="6" s="1"/>
  <c r="H7" i="6"/>
  <c r="M7" i="6" s="1"/>
  <c r="H6" i="6"/>
  <c r="M6" i="6" s="1"/>
  <c r="H5" i="6"/>
  <c r="M5" i="6" s="1"/>
  <c r="H4" i="6"/>
  <c r="M4" i="6" s="1"/>
  <c r="H983" i="1"/>
  <c r="M983" i="1" s="1"/>
  <c r="H982" i="1"/>
  <c r="M982" i="1" s="1"/>
  <c r="H981" i="1"/>
  <c r="M981" i="1" s="1"/>
  <c r="H980" i="1"/>
  <c r="M980" i="1" s="1"/>
  <c r="H979" i="1"/>
  <c r="M979" i="1" s="1"/>
  <c r="H978" i="1"/>
  <c r="M978" i="1" s="1"/>
  <c r="H977" i="1"/>
  <c r="M977" i="1" s="1"/>
  <c r="H976" i="1"/>
  <c r="M976" i="1" s="1"/>
  <c r="H975" i="1"/>
  <c r="M975" i="1" s="1"/>
  <c r="H974" i="1"/>
  <c r="M974" i="1" s="1"/>
  <c r="H973" i="1"/>
  <c r="M973" i="1" s="1"/>
  <c r="H972" i="1"/>
  <c r="M972" i="1" s="1"/>
  <c r="H971" i="1"/>
  <c r="M971" i="1" s="1"/>
  <c r="H970" i="1"/>
  <c r="M970" i="1" s="1"/>
  <c r="H969" i="1"/>
  <c r="M969" i="1" s="1"/>
  <c r="H968" i="1"/>
  <c r="M968" i="1" s="1"/>
  <c r="H967" i="1"/>
  <c r="M967" i="1" s="1"/>
  <c r="H966" i="1"/>
  <c r="M966" i="1" s="1"/>
  <c r="H965" i="1"/>
  <c r="M965" i="1" s="1"/>
  <c r="H964" i="1"/>
  <c r="M964" i="1" s="1"/>
  <c r="H963" i="1"/>
  <c r="M963" i="1" s="1"/>
  <c r="H962" i="1"/>
  <c r="M962" i="1" s="1"/>
  <c r="H961" i="1"/>
  <c r="M961" i="1" s="1"/>
  <c r="H960" i="1"/>
  <c r="M960" i="1" s="1"/>
  <c r="H959" i="1"/>
  <c r="M959" i="1" s="1"/>
  <c r="H958" i="1"/>
  <c r="M958" i="1" s="1"/>
  <c r="H957" i="1"/>
  <c r="M957" i="1" s="1"/>
  <c r="H956" i="1"/>
  <c r="M956" i="1" s="1"/>
  <c r="H955" i="1"/>
  <c r="M955" i="1" s="1"/>
  <c r="H954" i="1"/>
  <c r="M954" i="1" s="1"/>
  <c r="H953" i="1"/>
  <c r="M953" i="1" s="1"/>
  <c r="H952" i="1"/>
  <c r="M952" i="1" s="1"/>
  <c r="H951" i="1"/>
  <c r="M951" i="1" s="1"/>
  <c r="H950" i="1"/>
  <c r="M950" i="1" s="1"/>
  <c r="H949" i="1"/>
  <c r="M949" i="1" s="1"/>
  <c r="H948" i="1"/>
  <c r="M948" i="1" s="1"/>
  <c r="H947" i="1"/>
  <c r="M947" i="1" s="1"/>
  <c r="H946" i="1"/>
  <c r="M946" i="1" s="1"/>
  <c r="H945" i="1"/>
  <c r="M945" i="1" s="1"/>
  <c r="H944" i="1"/>
  <c r="M944" i="1" s="1"/>
  <c r="H943" i="1"/>
  <c r="M943" i="1" s="1"/>
  <c r="H942" i="1"/>
  <c r="M942" i="1" s="1"/>
  <c r="H941" i="1"/>
  <c r="M941" i="1" s="1"/>
  <c r="H940" i="1"/>
  <c r="M940" i="1" s="1"/>
  <c r="H939" i="1"/>
  <c r="M939" i="1" s="1"/>
  <c r="H938" i="1"/>
  <c r="M938" i="1" s="1"/>
  <c r="H937" i="1"/>
  <c r="M937" i="1" s="1"/>
  <c r="H936" i="1"/>
  <c r="M936" i="1" s="1"/>
  <c r="H935" i="1"/>
  <c r="M935" i="1" s="1"/>
  <c r="H934" i="1"/>
  <c r="M934" i="1" s="1"/>
  <c r="H933" i="1"/>
  <c r="M933" i="1" s="1"/>
  <c r="H932" i="1"/>
  <c r="M932" i="1" s="1"/>
  <c r="H931" i="1"/>
  <c r="M931" i="1" s="1"/>
  <c r="H930" i="1"/>
  <c r="M930" i="1" s="1"/>
  <c r="H929" i="1"/>
  <c r="M929" i="1" s="1"/>
  <c r="H928" i="1"/>
  <c r="M928" i="1" s="1"/>
  <c r="H927" i="1"/>
  <c r="M927" i="1" s="1"/>
  <c r="H926" i="1"/>
  <c r="M926" i="1" s="1"/>
  <c r="H925" i="1"/>
  <c r="M925" i="1" s="1"/>
  <c r="H924" i="1"/>
  <c r="M924" i="1" s="1"/>
  <c r="H923" i="1"/>
  <c r="M923" i="1" s="1"/>
  <c r="H922" i="1"/>
  <c r="M922" i="1" s="1"/>
  <c r="H921" i="1"/>
  <c r="M921" i="1" s="1"/>
  <c r="H920" i="1"/>
  <c r="M920" i="1" s="1"/>
  <c r="H919" i="1"/>
  <c r="M919" i="1" s="1"/>
  <c r="H918" i="1"/>
  <c r="M918" i="1" s="1"/>
  <c r="H917" i="1"/>
  <c r="M917" i="1" s="1"/>
  <c r="H916" i="1"/>
  <c r="M916" i="1" s="1"/>
  <c r="H915" i="1"/>
  <c r="M915" i="1" s="1"/>
  <c r="H914" i="1"/>
  <c r="M914" i="1" s="1"/>
  <c r="H913" i="1"/>
  <c r="M913" i="1" s="1"/>
  <c r="H912" i="1"/>
  <c r="M912" i="1" s="1"/>
  <c r="H911" i="1"/>
  <c r="M911" i="1" s="1"/>
  <c r="H910" i="1"/>
  <c r="M910" i="1" s="1"/>
  <c r="H909" i="1"/>
  <c r="M909" i="1" s="1"/>
  <c r="H908" i="1"/>
  <c r="M908" i="1" s="1"/>
  <c r="H907" i="1"/>
  <c r="M907" i="1" s="1"/>
  <c r="H906" i="1"/>
  <c r="M906" i="1" s="1"/>
  <c r="H905" i="1"/>
  <c r="M905" i="1" s="1"/>
  <c r="H904" i="1"/>
  <c r="M904" i="1" s="1"/>
  <c r="H903" i="1"/>
  <c r="M903" i="1" s="1"/>
  <c r="H902" i="1"/>
  <c r="M902" i="1" s="1"/>
  <c r="H901" i="1"/>
  <c r="M901" i="1" s="1"/>
  <c r="H900" i="1"/>
  <c r="M900" i="1" s="1"/>
  <c r="H899" i="1"/>
  <c r="M899" i="1" s="1"/>
  <c r="H898" i="1"/>
  <c r="M898" i="1" s="1"/>
  <c r="H897" i="1"/>
  <c r="M897" i="1" s="1"/>
  <c r="H896" i="1"/>
  <c r="M896" i="1" s="1"/>
  <c r="H895" i="1"/>
  <c r="M895" i="1" s="1"/>
  <c r="H894" i="1"/>
  <c r="M894" i="1" s="1"/>
  <c r="H893" i="1"/>
  <c r="M893" i="1" s="1"/>
  <c r="H892" i="1"/>
  <c r="M892" i="1" s="1"/>
  <c r="H891" i="1"/>
  <c r="M891" i="1" s="1"/>
  <c r="H890" i="1"/>
  <c r="M890" i="1" s="1"/>
  <c r="H889" i="1"/>
  <c r="M889" i="1" s="1"/>
  <c r="H888" i="1"/>
  <c r="M888" i="1" s="1"/>
  <c r="H887" i="1"/>
  <c r="M887" i="1" s="1"/>
  <c r="H886" i="1"/>
  <c r="M886" i="1" s="1"/>
  <c r="H885" i="1"/>
  <c r="M885" i="1" s="1"/>
  <c r="H884" i="1"/>
  <c r="M884" i="1" s="1"/>
  <c r="H883" i="1"/>
  <c r="M883" i="1" s="1"/>
  <c r="H882" i="1"/>
  <c r="M882" i="1" s="1"/>
  <c r="H881" i="1"/>
  <c r="M881" i="1" s="1"/>
  <c r="H880" i="1"/>
  <c r="M880" i="1" s="1"/>
  <c r="H879" i="1"/>
  <c r="M879" i="1" s="1"/>
  <c r="H878" i="1"/>
  <c r="M878" i="1" s="1"/>
  <c r="H877" i="1"/>
  <c r="M877" i="1" s="1"/>
  <c r="H876" i="1"/>
  <c r="M876" i="1" s="1"/>
  <c r="H875" i="1"/>
  <c r="M875" i="1" s="1"/>
  <c r="H874" i="1"/>
  <c r="M874" i="1" s="1"/>
  <c r="H873" i="1"/>
  <c r="M873" i="1" s="1"/>
  <c r="H872" i="1"/>
  <c r="M872" i="1" s="1"/>
  <c r="H871" i="1"/>
  <c r="M871" i="1" s="1"/>
  <c r="H870" i="1"/>
  <c r="M870" i="1" s="1"/>
  <c r="H869" i="1"/>
  <c r="M869" i="1" s="1"/>
  <c r="H868" i="1"/>
  <c r="M868" i="1" s="1"/>
  <c r="H867" i="1"/>
  <c r="M867" i="1" s="1"/>
  <c r="H866" i="1"/>
  <c r="M866" i="1" s="1"/>
  <c r="H865" i="1"/>
  <c r="M865" i="1" s="1"/>
  <c r="H864" i="1"/>
  <c r="M864" i="1" s="1"/>
  <c r="H863" i="1"/>
  <c r="M863" i="1" s="1"/>
  <c r="H862" i="1"/>
  <c r="M862" i="1" s="1"/>
  <c r="H861" i="1"/>
  <c r="M861" i="1" s="1"/>
  <c r="H860" i="1"/>
  <c r="M860" i="1" s="1"/>
  <c r="H859" i="1"/>
  <c r="M859" i="1" s="1"/>
  <c r="H858" i="1"/>
  <c r="M858" i="1" s="1"/>
  <c r="H857" i="1"/>
  <c r="M857" i="1" s="1"/>
  <c r="H856" i="1"/>
  <c r="M856" i="1" s="1"/>
  <c r="H855" i="1"/>
  <c r="M855" i="1" s="1"/>
  <c r="H854" i="1"/>
  <c r="M854" i="1" s="1"/>
  <c r="H853" i="1"/>
  <c r="M853" i="1" s="1"/>
  <c r="H852" i="1"/>
  <c r="M852" i="1" s="1"/>
  <c r="H851" i="1"/>
  <c r="M851" i="1" s="1"/>
  <c r="H850" i="1"/>
  <c r="M850" i="1" s="1"/>
  <c r="H849" i="1"/>
  <c r="M849" i="1" s="1"/>
  <c r="H848" i="1"/>
  <c r="M848" i="1" s="1"/>
  <c r="H847" i="1"/>
  <c r="M847" i="1" s="1"/>
  <c r="H846" i="1"/>
  <c r="M846" i="1" s="1"/>
  <c r="H845" i="1"/>
  <c r="M845" i="1" s="1"/>
  <c r="H844" i="1"/>
  <c r="M844" i="1" s="1"/>
  <c r="H843" i="1"/>
  <c r="M843" i="1" s="1"/>
  <c r="H842" i="1"/>
  <c r="M842" i="1" s="1"/>
  <c r="H841" i="1"/>
  <c r="M841" i="1" s="1"/>
  <c r="H840" i="1"/>
  <c r="M840" i="1" s="1"/>
  <c r="H839" i="1"/>
  <c r="M839" i="1" s="1"/>
  <c r="H838" i="1"/>
  <c r="M838" i="1" s="1"/>
  <c r="H837" i="1"/>
  <c r="M837" i="1" s="1"/>
  <c r="H836" i="1"/>
  <c r="M836" i="1" s="1"/>
  <c r="H835" i="1"/>
  <c r="M835" i="1" s="1"/>
  <c r="H834" i="1"/>
  <c r="M834" i="1" s="1"/>
  <c r="H833" i="1"/>
  <c r="M833" i="1" s="1"/>
  <c r="H832" i="1"/>
  <c r="M832" i="1" s="1"/>
  <c r="H831" i="1"/>
  <c r="M831" i="1" s="1"/>
  <c r="H830" i="1"/>
  <c r="M830" i="1" s="1"/>
  <c r="H829" i="1"/>
  <c r="M829" i="1" s="1"/>
  <c r="H828" i="1"/>
  <c r="M828" i="1" s="1"/>
  <c r="H827" i="1"/>
  <c r="M827" i="1" s="1"/>
  <c r="H826" i="1"/>
  <c r="M826" i="1" s="1"/>
  <c r="H825" i="1"/>
  <c r="M825" i="1" s="1"/>
  <c r="H824" i="1"/>
  <c r="M824" i="1" s="1"/>
  <c r="H823" i="1"/>
  <c r="M823" i="1" s="1"/>
  <c r="H822" i="1"/>
  <c r="M822" i="1" s="1"/>
  <c r="H821" i="1"/>
  <c r="M821" i="1" s="1"/>
  <c r="H820" i="1"/>
  <c r="M820" i="1" s="1"/>
  <c r="H819" i="1"/>
  <c r="M819" i="1" s="1"/>
  <c r="H818" i="1"/>
  <c r="M818" i="1" s="1"/>
  <c r="H817" i="1"/>
  <c r="M817" i="1" s="1"/>
  <c r="H816" i="1"/>
  <c r="M816" i="1" s="1"/>
  <c r="H815" i="1"/>
  <c r="M815" i="1" s="1"/>
  <c r="H814" i="1"/>
  <c r="M814" i="1" s="1"/>
  <c r="H813" i="1"/>
  <c r="M813" i="1" s="1"/>
  <c r="H812" i="1"/>
  <c r="M812" i="1" s="1"/>
  <c r="H811" i="1"/>
  <c r="M811" i="1" s="1"/>
  <c r="H810" i="1"/>
  <c r="M810" i="1" s="1"/>
  <c r="H809" i="1"/>
  <c r="M809" i="1" s="1"/>
  <c r="H808" i="1"/>
  <c r="M808" i="1" s="1"/>
  <c r="H807" i="1"/>
  <c r="M807" i="1" s="1"/>
  <c r="H806" i="1"/>
  <c r="M806" i="1" s="1"/>
  <c r="H805" i="1"/>
  <c r="M805" i="1" s="1"/>
  <c r="H804" i="1"/>
  <c r="M804" i="1" s="1"/>
  <c r="H803" i="1"/>
  <c r="M803" i="1" s="1"/>
  <c r="H802" i="1"/>
  <c r="M802" i="1" s="1"/>
  <c r="H801" i="1"/>
  <c r="M801" i="1" s="1"/>
  <c r="H800" i="1"/>
  <c r="M800" i="1" s="1"/>
  <c r="H799" i="1"/>
  <c r="M799" i="1" s="1"/>
  <c r="H798" i="1"/>
  <c r="M798" i="1" s="1"/>
  <c r="H797" i="1"/>
  <c r="M797" i="1" s="1"/>
  <c r="H796" i="1"/>
  <c r="M796" i="1" s="1"/>
  <c r="H795" i="1"/>
  <c r="M795" i="1" s="1"/>
  <c r="H794" i="1"/>
  <c r="M794" i="1" s="1"/>
  <c r="H793" i="1"/>
  <c r="M793" i="1" s="1"/>
  <c r="H792" i="1"/>
  <c r="M792" i="1" s="1"/>
  <c r="H791" i="1"/>
  <c r="M791" i="1" s="1"/>
  <c r="H790" i="1"/>
  <c r="M790" i="1" s="1"/>
  <c r="H789" i="1"/>
  <c r="M789" i="1" s="1"/>
  <c r="H788" i="1"/>
  <c r="M788" i="1" s="1"/>
  <c r="H787" i="1"/>
  <c r="M787" i="1" s="1"/>
  <c r="H786" i="1"/>
  <c r="M786" i="1" s="1"/>
  <c r="H785" i="1"/>
  <c r="M785" i="1" s="1"/>
  <c r="H784" i="1"/>
  <c r="M784" i="1" s="1"/>
  <c r="H783" i="1"/>
  <c r="M783" i="1" s="1"/>
  <c r="H782" i="1"/>
  <c r="M782" i="1" s="1"/>
  <c r="H781" i="1"/>
  <c r="M781" i="1" s="1"/>
  <c r="H780" i="1"/>
  <c r="M780" i="1" s="1"/>
  <c r="H779" i="1"/>
  <c r="M779" i="1" s="1"/>
  <c r="H778" i="1"/>
  <c r="M778" i="1" s="1"/>
  <c r="H777" i="1"/>
  <c r="M777" i="1" s="1"/>
  <c r="H776" i="1"/>
  <c r="M776" i="1" s="1"/>
  <c r="H775" i="1"/>
  <c r="M775" i="1" s="1"/>
  <c r="H774" i="1"/>
  <c r="M774" i="1" s="1"/>
  <c r="H773" i="1"/>
  <c r="M773" i="1" s="1"/>
  <c r="H772" i="1"/>
  <c r="M772" i="1" s="1"/>
  <c r="H771" i="1"/>
  <c r="M771" i="1" s="1"/>
  <c r="H770" i="1"/>
  <c r="M770" i="1" s="1"/>
  <c r="H769" i="1"/>
  <c r="M769" i="1" s="1"/>
  <c r="H768" i="1"/>
  <c r="M768" i="1" s="1"/>
  <c r="H767" i="1"/>
  <c r="M767" i="1" s="1"/>
  <c r="H766" i="1"/>
  <c r="M766" i="1" s="1"/>
  <c r="H765" i="1"/>
  <c r="M765" i="1" s="1"/>
  <c r="H764" i="1"/>
  <c r="M764" i="1" s="1"/>
  <c r="H763" i="1"/>
  <c r="M763" i="1" s="1"/>
  <c r="H762" i="1"/>
  <c r="M762" i="1" s="1"/>
  <c r="H761" i="1"/>
  <c r="M761" i="1" s="1"/>
  <c r="H760" i="1"/>
  <c r="M760" i="1" s="1"/>
  <c r="H759" i="1"/>
  <c r="M759" i="1" s="1"/>
  <c r="H758" i="1"/>
  <c r="M758" i="1" s="1"/>
  <c r="H757" i="1"/>
  <c r="M757" i="1" s="1"/>
  <c r="H756" i="1"/>
  <c r="M756" i="1" s="1"/>
  <c r="H755" i="1"/>
  <c r="M755" i="1" s="1"/>
  <c r="H754" i="1"/>
  <c r="M754" i="1" s="1"/>
  <c r="H753" i="1"/>
  <c r="M753" i="1" s="1"/>
  <c r="H752" i="1"/>
  <c r="M752" i="1" s="1"/>
  <c r="H751" i="1"/>
  <c r="M751" i="1" s="1"/>
  <c r="H750" i="1"/>
  <c r="M750" i="1" s="1"/>
  <c r="H749" i="1"/>
  <c r="M749" i="1" s="1"/>
  <c r="H748" i="1"/>
  <c r="M748" i="1" s="1"/>
  <c r="H747" i="1"/>
  <c r="M747" i="1" s="1"/>
  <c r="H746" i="1"/>
  <c r="M746" i="1" s="1"/>
  <c r="H745" i="1"/>
  <c r="M745" i="1" s="1"/>
  <c r="H744" i="1"/>
  <c r="M744" i="1" s="1"/>
  <c r="H743" i="1"/>
  <c r="M743" i="1" s="1"/>
  <c r="H742" i="1"/>
  <c r="M742" i="1" s="1"/>
  <c r="H741" i="1"/>
  <c r="M741" i="1" s="1"/>
  <c r="H740" i="1"/>
  <c r="M740" i="1" s="1"/>
  <c r="H739" i="1"/>
  <c r="M739" i="1" s="1"/>
  <c r="H738" i="1"/>
  <c r="M738" i="1" s="1"/>
  <c r="H737" i="1"/>
  <c r="M737" i="1" s="1"/>
  <c r="H736" i="1"/>
  <c r="M736" i="1" s="1"/>
  <c r="H735" i="1"/>
  <c r="M735" i="1" s="1"/>
  <c r="H734" i="1"/>
  <c r="M734" i="1" s="1"/>
  <c r="H733" i="1"/>
  <c r="M733" i="1" s="1"/>
  <c r="H732" i="1"/>
  <c r="M732" i="1" s="1"/>
  <c r="H731" i="1"/>
  <c r="M731" i="1" s="1"/>
  <c r="H730" i="1"/>
  <c r="M730" i="1" s="1"/>
  <c r="H729" i="1"/>
  <c r="M729" i="1" s="1"/>
  <c r="H728" i="1"/>
  <c r="M728" i="1" s="1"/>
  <c r="H727" i="1"/>
  <c r="M727" i="1" s="1"/>
  <c r="H726" i="1"/>
  <c r="M726" i="1" s="1"/>
  <c r="H725" i="1"/>
  <c r="M725" i="1" s="1"/>
  <c r="H724" i="1"/>
  <c r="M724" i="1" s="1"/>
  <c r="H723" i="1"/>
  <c r="M723" i="1" s="1"/>
  <c r="H722" i="1"/>
  <c r="M722" i="1" s="1"/>
  <c r="H721" i="1"/>
  <c r="M721" i="1" s="1"/>
  <c r="H720" i="1"/>
  <c r="M720" i="1" s="1"/>
  <c r="H719" i="1"/>
  <c r="M719" i="1" s="1"/>
  <c r="H718" i="1"/>
  <c r="M718" i="1" s="1"/>
  <c r="H717" i="1"/>
  <c r="M717" i="1" s="1"/>
  <c r="H716" i="1"/>
  <c r="M716" i="1" s="1"/>
  <c r="H715" i="1"/>
  <c r="M715" i="1" s="1"/>
  <c r="H714" i="1"/>
  <c r="M714" i="1" s="1"/>
  <c r="H713" i="1"/>
  <c r="M713" i="1" s="1"/>
  <c r="H712" i="1"/>
  <c r="M712" i="1" s="1"/>
  <c r="H711" i="1"/>
  <c r="M711" i="1" s="1"/>
  <c r="H710" i="1"/>
  <c r="M710" i="1" s="1"/>
  <c r="H709" i="1"/>
  <c r="M709" i="1" s="1"/>
  <c r="H708" i="1"/>
  <c r="M708" i="1" s="1"/>
  <c r="H707" i="1"/>
  <c r="M707" i="1" s="1"/>
  <c r="H706" i="1"/>
  <c r="M706" i="1" s="1"/>
  <c r="H705" i="1"/>
  <c r="M705" i="1" s="1"/>
  <c r="H704" i="1"/>
  <c r="M704" i="1" s="1"/>
  <c r="H703" i="1"/>
  <c r="M703" i="1" s="1"/>
  <c r="H702" i="1"/>
  <c r="M702" i="1" s="1"/>
  <c r="H701" i="1"/>
  <c r="M701" i="1" s="1"/>
  <c r="H700" i="1"/>
  <c r="M700" i="1" s="1"/>
  <c r="H699" i="1"/>
  <c r="M699" i="1" s="1"/>
  <c r="H698" i="1"/>
  <c r="M698" i="1" s="1"/>
  <c r="H697" i="1"/>
  <c r="M697" i="1" s="1"/>
  <c r="H696" i="1"/>
  <c r="M696" i="1" s="1"/>
  <c r="H695" i="1"/>
  <c r="M695" i="1" s="1"/>
  <c r="H694" i="1"/>
  <c r="M694" i="1" s="1"/>
  <c r="H693" i="1"/>
  <c r="M693" i="1" s="1"/>
  <c r="H692" i="1"/>
  <c r="M692" i="1" s="1"/>
  <c r="H691" i="1"/>
  <c r="M691" i="1" s="1"/>
  <c r="H690" i="1"/>
  <c r="M690" i="1" s="1"/>
  <c r="H689" i="1"/>
  <c r="M689" i="1" s="1"/>
  <c r="H688" i="1"/>
  <c r="M688" i="1" s="1"/>
  <c r="H687" i="1"/>
  <c r="M687" i="1" s="1"/>
  <c r="H686" i="1"/>
  <c r="M686" i="1" s="1"/>
  <c r="H685" i="1"/>
  <c r="M685" i="1" s="1"/>
  <c r="H684" i="1"/>
  <c r="M684" i="1" s="1"/>
  <c r="H683" i="1"/>
  <c r="M683" i="1" s="1"/>
  <c r="H682" i="1"/>
  <c r="M682" i="1" s="1"/>
  <c r="H681" i="1"/>
  <c r="M681" i="1" s="1"/>
  <c r="H680" i="1"/>
  <c r="M680" i="1" s="1"/>
  <c r="H679" i="1"/>
  <c r="M679" i="1" s="1"/>
  <c r="H678" i="1"/>
  <c r="M678" i="1" s="1"/>
  <c r="H677" i="1"/>
  <c r="M677" i="1" s="1"/>
  <c r="H676" i="1"/>
  <c r="M676" i="1" s="1"/>
  <c r="H675" i="1"/>
  <c r="M675" i="1" s="1"/>
  <c r="H674" i="1"/>
  <c r="M674" i="1" s="1"/>
  <c r="H673" i="1"/>
  <c r="M673" i="1" s="1"/>
  <c r="H672" i="1"/>
  <c r="M672" i="1" s="1"/>
  <c r="H671" i="1"/>
  <c r="M671" i="1" s="1"/>
  <c r="H670" i="1"/>
  <c r="M670" i="1" s="1"/>
  <c r="H669" i="1"/>
  <c r="M669" i="1" s="1"/>
  <c r="H668" i="1"/>
  <c r="M668" i="1" s="1"/>
  <c r="H667" i="1"/>
  <c r="M667" i="1" s="1"/>
  <c r="H666" i="1"/>
  <c r="M666" i="1" s="1"/>
  <c r="H665" i="1"/>
  <c r="M665" i="1" s="1"/>
  <c r="H664" i="1"/>
  <c r="M664" i="1" s="1"/>
  <c r="H663" i="1"/>
  <c r="M663" i="1" s="1"/>
  <c r="H662" i="1"/>
  <c r="M662" i="1" s="1"/>
  <c r="H661" i="1"/>
  <c r="M661" i="1" s="1"/>
  <c r="H660" i="1"/>
  <c r="M660" i="1" s="1"/>
  <c r="H659" i="1"/>
  <c r="M659" i="1" s="1"/>
  <c r="H658" i="1"/>
  <c r="M658" i="1" s="1"/>
  <c r="H657" i="1"/>
  <c r="M657" i="1" s="1"/>
  <c r="H656" i="1"/>
  <c r="M656" i="1" s="1"/>
  <c r="H655" i="1"/>
  <c r="M655" i="1" s="1"/>
  <c r="H654" i="1"/>
  <c r="M654" i="1" s="1"/>
  <c r="H653" i="1"/>
  <c r="M653" i="1" s="1"/>
  <c r="H652" i="1"/>
  <c r="M652" i="1" s="1"/>
  <c r="H651" i="1"/>
  <c r="M651" i="1" s="1"/>
  <c r="H650" i="1"/>
  <c r="M650" i="1" s="1"/>
  <c r="H649" i="1"/>
  <c r="M649" i="1" s="1"/>
  <c r="H648" i="1"/>
  <c r="M648" i="1" s="1"/>
  <c r="H647" i="1"/>
  <c r="M647" i="1" s="1"/>
  <c r="H646" i="1"/>
  <c r="M646" i="1" s="1"/>
  <c r="H645" i="1"/>
  <c r="M645" i="1" s="1"/>
  <c r="H644" i="1"/>
  <c r="M644" i="1" s="1"/>
  <c r="H643" i="1"/>
  <c r="M643" i="1" s="1"/>
  <c r="H642" i="1"/>
  <c r="M642" i="1" s="1"/>
  <c r="H641" i="1"/>
  <c r="M641" i="1" s="1"/>
  <c r="H640" i="1"/>
  <c r="M640" i="1" s="1"/>
  <c r="H639" i="1"/>
  <c r="M639" i="1" s="1"/>
  <c r="H638" i="1"/>
  <c r="M638" i="1" s="1"/>
  <c r="H637" i="1"/>
  <c r="M637" i="1" s="1"/>
  <c r="H636" i="1"/>
  <c r="M636" i="1" s="1"/>
  <c r="H635" i="1"/>
  <c r="M635" i="1" s="1"/>
  <c r="H634" i="1"/>
  <c r="M634" i="1" s="1"/>
  <c r="H633" i="1"/>
  <c r="M633" i="1" s="1"/>
  <c r="H632" i="1"/>
  <c r="M632" i="1" s="1"/>
  <c r="H631" i="1"/>
  <c r="M631" i="1" s="1"/>
  <c r="H630" i="1"/>
  <c r="M630" i="1" s="1"/>
  <c r="H629" i="1"/>
  <c r="M629" i="1" s="1"/>
  <c r="H628" i="1"/>
  <c r="M628" i="1" s="1"/>
  <c r="H627" i="1"/>
  <c r="M627" i="1" s="1"/>
  <c r="H626" i="1"/>
  <c r="M626" i="1" s="1"/>
  <c r="H625" i="1"/>
  <c r="M625" i="1" s="1"/>
  <c r="H624" i="1"/>
  <c r="M624" i="1" s="1"/>
  <c r="H623" i="1"/>
  <c r="M623" i="1" s="1"/>
  <c r="H622" i="1"/>
  <c r="M622" i="1" s="1"/>
  <c r="H621" i="1"/>
  <c r="M621" i="1" s="1"/>
  <c r="H620" i="1"/>
  <c r="M620" i="1" s="1"/>
  <c r="H619" i="1"/>
  <c r="M619" i="1" s="1"/>
  <c r="H618" i="1"/>
  <c r="M618" i="1" s="1"/>
  <c r="H617" i="1"/>
  <c r="M617" i="1" s="1"/>
  <c r="H616" i="1"/>
  <c r="M616" i="1" s="1"/>
  <c r="H615" i="1"/>
  <c r="M615" i="1" s="1"/>
  <c r="H614" i="1"/>
  <c r="M614" i="1" s="1"/>
  <c r="H613" i="1"/>
  <c r="M613" i="1" s="1"/>
  <c r="H612" i="1"/>
  <c r="M612" i="1" s="1"/>
  <c r="H611" i="1"/>
  <c r="M611" i="1" s="1"/>
  <c r="H610" i="1"/>
  <c r="M610" i="1" s="1"/>
  <c r="H609" i="1"/>
  <c r="M609" i="1" s="1"/>
  <c r="H608" i="1"/>
  <c r="M608" i="1" s="1"/>
  <c r="H607" i="1"/>
  <c r="M607" i="1" s="1"/>
  <c r="H606" i="1"/>
  <c r="M606" i="1" s="1"/>
  <c r="H605" i="1"/>
  <c r="M605" i="1" s="1"/>
  <c r="H604" i="1"/>
  <c r="M604" i="1" s="1"/>
  <c r="H603" i="1"/>
  <c r="M603" i="1" s="1"/>
  <c r="H602" i="1"/>
  <c r="M602" i="1" s="1"/>
  <c r="H601" i="1"/>
  <c r="M601" i="1" s="1"/>
  <c r="H600" i="1"/>
  <c r="M600" i="1" s="1"/>
  <c r="H599" i="1"/>
  <c r="M599" i="1" s="1"/>
  <c r="H598" i="1"/>
  <c r="M598" i="1" s="1"/>
  <c r="H597" i="1"/>
  <c r="M597" i="1" s="1"/>
  <c r="H596" i="1"/>
  <c r="M596" i="1" s="1"/>
  <c r="H595" i="1"/>
  <c r="M595" i="1" s="1"/>
  <c r="H594" i="1"/>
  <c r="M594" i="1" s="1"/>
  <c r="H593" i="1"/>
  <c r="M593" i="1" s="1"/>
  <c r="H592" i="1"/>
  <c r="M592" i="1" s="1"/>
  <c r="H591" i="1"/>
  <c r="M591" i="1" s="1"/>
  <c r="H590" i="1"/>
  <c r="M590" i="1" s="1"/>
  <c r="H589" i="1"/>
  <c r="M589" i="1" s="1"/>
  <c r="H588" i="1"/>
  <c r="M588" i="1" s="1"/>
  <c r="H587" i="1"/>
  <c r="M587" i="1" s="1"/>
  <c r="H586" i="1"/>
  <c r="M586" i="1" s="1"/>
  <c r="H585" i="1"/>
  <c r="M585" i="1" s="1"/>
  <c r="H584" i="1"/>
  <c r="M584" i="1" s="1"/>
  <c r="H583" i="1"/>
  <c r="M583" i="1" s="1"/>
  <c r="H582" i="1"/>
  <c r="M582" i="1" s="1"/>
  <c r="H581" i="1"/>
  <c r="M581" i="1" s="1"/>
  <c r="H580" i="1"/>
  <c r="M580" i="1" s="1"/>
  <c r="H579" i="1"/>
  <c r="M579" i="1" s="1"/>
  <c r="H578" i="1"/>
  <c r="M578" i="1" s="1"/>
  <c r="H577" i="1"/>
  <c r="M577" i="1" s="1"/>
  <c r="H576" i="1"/>
  <c r="M576" i="1" s="1"/>
  <c r="H575" i="1"/>
  <c r="M575" i="1" s="1"/>
  <c r="H574" i="1"/>
  <c r="M574" i="1" s="1"/>
  <c r="H573" i="1"/>
  <c r="M573" i="1" s="1"/>
  <c r="H572" i="1"/>
  <c r="M572" i="1" s="1"/>
  <c r="H571" i="1"/>
  <c r="M571" i="1" s="1"/>
  <c r="H570" i="1"/>
  <c r="M570" i="1" s="1"/>
  <c r="H569" i="1"/>
  <c r="M569" i="1" s="1"/>
  <c r="H568" i="1"/>
  <c r="M568" i="1" s="1"/>
  <c r="H567" i="1"/>
  <c r="M567" i="1" s="1"/>
  <c r="H566" i="1"/>
  <c r="M566" i="1" s="1"/>
  <c r="H565" i="1"/>
  <c r="M565" i="1" s="1"/>
  <c r="H564" i="1"/>
  <c r="M564" i="1" s="1"/>
  <c r="H563" i="1"/>
  <c r="M563" i="1" s="1"/>
  <c r="H562" i="1"/>
  <c r="M562" i="1" s="1"/>
  <c r="H561" i="1"/>
  <c r="M561" i="1" s="1"/>
  <c r="H560" i="1"/>
  <c r="M560" i="1" s="1"/>
  <c r="H559" i="1"/>
  <c r="M559" i="1" s="1"/>
  <c r="H558" i="1"/>
  <c r="M558" i="1" s="1"/>
  <c r="H557" i="1"/>
  <c r="M557" i="1" s="1"/>
  <c r="H556" i="1"/>
  <c r="M556" i="1" s="1"/>
  <c r="H555" i="1"/>
  <c r="M555" i="1" s="1"/>
  <c r="H554" i="1"/>
  <c r="M554" i="1" s="1"/>
  <c r="H553" i="1"/>
  <c r="M553" i="1" s="1"/>
  <c r="H552" i="1"/>
  <c r="M552" i="1" s="1"/>
  <c r="H551" i="1"/>
  <c r="M551" i="1" s="1"/>
  <c r="H550" i="1"/>
  <c r="M550" i="1" s="1"/>
  <c r="H549" i="1"/>
  <c r="M549" i="1" s="1"/>
  <c r="H548" i="1"/>
  <c r="M548" i="1" s="1"/>
  <c r="H547" i="1"/>
  <c r="M547" i="1" s="1"/>
  <c r="H546" i="1"/>
  <c r="M546" i="1" s="1"/>
  <c r="H545" i="1"/>
  <c r="M545" i="1" s="1"/>
  <c r="H544" i="1"/>
  <c r="M544" i="1" s="1"/>
  <c r="H543" i="1"/>
  <c r="M543" i="1" s="1"/>
  <c r="H542" i="1"/>
  <c r="M542" i="1" s="1"/>
  <c r="H541" i="1"/>
  <c r="M541" i="1" s="1"/>
  <c r="H540" i="1"/>
  <c r="M540" i="1" s="1"/>
  <c r="H539" i="1"/>
  <c r="M539" i="1" s="1"/>
  <c r="H538" i="1"/>
  <c r="M538" i="1" s="1"/>
  <c r="M537" i="1"/>
  <c r="H537" i="1"/>
  <c r="H536" i="1"/>
  <c r="M536" i="1" s="1"/>
  <c r="H535" i="1"/>
  <c r="M535" i="1" s="1"/>
  <c r="H534" i="1"/>
  <c r="M534" i="1" s="1"/>
  <c r="H533" i="1"/>
  <c r="M533" i="1" s="1"/>
  <c r="H532" i="1"/>
  <c r="M532" i="1" s="1"/>
  <c r="H531" i="1"/>
  <c r="M531" i="1" s="1"/>
  <c r="H530" i="1"/>
  <c r="M530" i="1" s="1"/>
  <c r="H529" i="1"/>
  <c r="M529" i="1" s="1"/>
  <c r="H528" i="1"/>
  <c r="M528" i="1" s="1"/>
  <c r="H527" i="1"/>
  <c r="M527" i="1" s="1"/>
  <c r="H526" i="1"/>
  <c r="M526" i="1" s="1"/>
  <c r="H525" i="1"/>
  <c r="M525" i="1" s="1"/>
  <c r="H524" i="1"/>
  <c r="M524" i="1" s="1"/>
  <c r="H523" i="1"/>
  <c r="M523" i="1" s="1"/>
  <c r="H522" i="1"/>
  <c r="M522" i="1" s="1"/>
  <c r="H521" i="1"/>
  <c r="M521" i="1" s="1"/>
  <c r="H520" i="1"/>
  <c r="M520" i="1" s="1"/>
  <c r="M519" i="1"/>
  <c r="H519" i="1"/>
  <c r="H518" i="1"/>
  <c r="M518" i="1" s="1"/>
  <c r="H517" i="1"/>
  <c r="M517" i="1" s="1"/>
  <c r="H516" i="1"/>
  <c r="M516" i="1" s="1"/>
  <c r="H515" i="1"/>
  <c r="M515" i="1" s="1"/>
  <c r="H514" i="1"/>
  <c r="M514" i="1" s="1"/>
  <c r="H513" i="1"/>
  <c r="M513" i="1" s="1"/>
  <c r="H512" i="1"/>
  <c r="M512" i="1" s="1"/>
  <c r="H511" i="1"/>
  <c r="M511" i="1" s="1"/>
  <c r="H510" i="1"/>
  <c r="M510" i="1" s="1"/>
  <c r="H509" i="1"/>
  <c r="M509" i="1" s="1"/>
  <c r="H508" i="1"/>
  <c r="M508" i="1" s="1"/>
  <c r="H507" i="1"/>
  <c r="M507" i="1" s="1"/>
  <c r="H506" i="1"/>
  <c r="M506" i="1" s="1"/>
  <c r="H505" i="1"/>
  <c r="M505" i="1" s="1"/>
  <c r="H504" i="1"/>
  <c r="M504" i="1" s="1"/>
  <c r="H503" i="1"/>
  <c r="M503" i="1" s="1"/>
  <c r="H502" i="1"/>
  <c r="M502" i="1" s="1"/>
  <c r="H501" i="1"/>
  <c r="M501" i="1" s="1"/>
  <c r="H500" i="1"/>
  <c r="M500" i="1" s="1"/>
  <c r="H499" i="1"/>
  <c r="M499" i="1" s="1"/>
  <c r="H498" i="1"/>
  <c r="M498" i="1" s="1"/>
  <c r="H497" i="1"/>
  <c r="M497" i="1" s="1"/>
  <c r="H496" i="1"/>
  <c r="M496" i="1" s="1"/>
  <c r="H495" i="1"/>
  <c r="M495" i="1" s="1"/>
  <c r="H494" i="1"/>
  <c r="M494" i="1" s="1"/>
  <c r="H493" i="1"/>
  <c r="M493" i="1" s="1"/>
  <c r="H492" i="1"/>
  <c r="M492" i="1" s="1"/>
  <c r="H491" i="1"/>
  <c r="M491" i="1" s="1"/>
  <c r="H490" i="1"/>
  <c r="M490" i="1" s="1"/>
  <c r="M489" i="1"/>
  <c r="H489" i="1"/>
  <c r="H488" i="1"/>
  <c r="M488" i="1" s="1"/>
  <c r="M487" i="1"/>
  <c r="H487" i="1"/>
  <c r="H486" i="1"/>
  <c r="M486" i="1" s="1"/>
  <c r="H485" i="1"/>
  <c r="M485" i="1" s="1"/>
  <c r="H484" i="1"/>
  <c r="M484" i="1" s="1"/>
  <c r="H483" i="1"/>
  <c r="M483" i="1" s="1"/>
  <c r="H482" i="1"/>
  <c r="M482" i="1" s="1"/>
  <c r="H481" i="1"/>
  <c r="M481" i="1" s="1"/>
  <c r="H480" i="1"/>
  <c r="M480" i="1" s="1"/>
  <c r="H479" i="1"/>
  <c r="M479" i="1" s="1"/>
  <c r="H478" i="1"/>
  <c r="M478" i="1" s="1"/>
  <c r="H477" i="1"/>
  <c r="M477" i="1" s="1"/>
  <c r="H476" i="1"/>
  <c r="M476" i="1" s="1"/>
  <c r="H475" i="1"/>
  <c r="M475" i="1" s="1"/>
  <c r="H474" i="1"/>
  <c r="M474" i="1" s="1"/>
  <c r="H473" i="1"/>
  <c r="M473" i="1" s="1"/>
  <c r="H472" i="1"/>
  <c r="M472" i="1" s="1"/>
  <c r="H471" i="1"/>
  <c r="M471" i="1" s="1"/>
  <c r="H470" i="1"/>
  <c r="M470" i="1" s="1"/>
  <c r="H469" i="1"/>
  <c r="M469" i="1" s="1"/>
  <c r="H468" i="1"/>
  <c r="M468" i="1" s="1"/>
  <c r="H467" i="1"/>
  <c r="M467" i="1" s="1"/>
  <c r="H466" i="1"/>
  <c r="M466" i="1" s="1"/>
  <c r="H465" i="1"/>
  <c r="M465" i="1" s="1"/>
  <c r="H464" i="1"/>
  <c r="M464" i="1" s="1"/>
  <c r="H463" i="1"/>
  <c r="M463" i="1" s="1"/>
  <c r="H462" i="1"/>
  <c r="M462" i="1" s="1"/>
  <c r="H461" i="1"/>
  <c r="M461" i="1" s="1"/>
  <c r="H460" i="1"/>
  <c r="M460" i="1" s="1"/>
  <c r="H459" i="1"/>
  <c r="M459" i="1" s="1"/>
  <c r="H458" i="1"/>
  <c r="M458" i="1" s="1"/>
  <c r="M457" i="1"/>
  <c r="H457" i="1"/>
  <c r="H456" i="1"/>
  <c r="M456" i="1" s="1"/>
  <c r="H455" i="1"/>
  <c r="M455" i="1" s="1"/>
  <c r="H454" i="1"/>
  <c r="M454" i="1" s="1"/>
  <c r="H453" i="1"/>
  <c r="M453" i="1" s="1"/>
  <c r="H452" i="1"/>
  <c r="M452" i="1" s="1"/>
  <c r="H451" i="1"/>
  <c r="M451" i="1" s="1"/>
  <c r="H450" i="1"/>
  <c r="M450" i="1" s="1"/>
  <c r="H449" i="1"/>
  <c r="M449" i="1" s="1"/>
  <c r="H448" i="1"/>
  <c r="M448" i="1" s="1"/>
  <c r="H447" i="1"/>
  <c r="M447" i="1" s="1"/>
  <c r="H446" i="1"/>
  <c r="M446" i="1" s="1"/>
  <c r="H445" i="1"/>
  <c r="M445" i="1" s="1"/>
  <c r="H444" i="1"/>
  <c r="M444" i="1" s="1"/>
  <c r="H443" i="1"/>
  <c r="M443" i="1" s="1"/>
  <c r="H442" i="1"/>
  <c r="M442" i="1" s="1"/>
  <c r="M441" i="1"/>
  <c r="H441" i="1"/>
  <c r="H440" i="1"/>
  <c r="M440" i="1" s="1"/>
  <c r="H439" i="1"/>
  <c r="M439" i="1" s="1"/>
  <c r="H438" i="1"/>
  <c r="M438" i="1" s="1"/>
  <c r="H437" i="1"/>
  <c r="M437" i="1" s="1"/>
  <c r="H436" i="1"/>
  <c r="M436" i="1" s="1"/>
  <c r="H435" i="1"/>
  <c r="M435" i="1" s="1"/>
  <c r="H434" i="1"/>
  <c r="M434" i="1" s="1"/>
  <c r="H433" i="1"/>
  <c r="M433" i="1" s="1"/>
  <c r="H432" i="1"/>
  <c r="M432" i="1" s="1"/>
  <c r="H431" i="1"/>
  <c r="M431" i="1" s="1"/>
  <c r="H430" i="1"/>
  <c r="M430" i="1" s="1"/>
  <c r="H429" i="1"/>
  <c r="M429" i="1" s="1"/>
  <c r="H428" i="1"/>
  <c r="M428" i="1" s="1"/>
  <c r="H427" i="1"/>
  <c r="M427" i="1" s="1"/>
  <c r="H426" i="1"/>
  <c r="M426" i="1" s="1"/>
  <c r="H425" i="1"/>
  <c r="M425" i="1" s="1"/>
  <c r="H424" i="1"/>
  <c r="M424" i="1" s="1"/>
  <c r="H423" i="1"/>
  <c r="M423" i="1" s="1"/>
  <c r="H422" i="1"/>
  <c r="M422" i="1" s="1"/>
  <c r="H421" i="1"/>
  <c r="M421" i="1" s="1"/>
  <c r="H420" i="1"/>
  <c r="M420" i="1" s="1"/>
  <c r="H419" i="1"/>
  <c r="M419" i="1" s="1"/>
  <c r="H418" i="1"/>
  <c r="M418" i="1" s="1"/>
  <c r="H417" i="1"/>
  <c r="M417" i="1" s="1"/>
  <c r="H416" i="1"/>
  <c r="M416" i="1" s="1"/>
  <c r="H415" i="1"/>
  <c r="M415" i="1" s="1"/>
  <c r="H414" i="1"/>
  <c r="M414" i="1" s="1"/>
  <c r="H413" i="1"/>
  <c r="M413" i="1" s="1"/>
  <c r="H412" i="1"/>
  <c r="M412" i="1" s="1"/>
  <c r="H411" i="1"/>
  <c r="M411" i="1" s="1"/>
  <c r="H410" i="1"/>
  <c r="M410" i="1" s="1"/>
  <c r="M409" i="1"/>
  <c r="H409" i="1"/>
  <c r="H408" i="1"/>
  <c r="M408" i="1" s="1"/>
  <c r="H407" i="1"/>
  <c r="M407" i="1" s="1"/>
  <c r="H406" i="1"/>
  <c r="M406" i="1" s="1"/>
  <c r="H405" i="1"/>
  <c r="M405" i="1" s="1"/>
  <c r="H404" i="1"/>
  <c r="M404" i="1" s="1"/>
  <c r="H403" i="1"/>
  <c r="M403" i="1" s="1"/>
  <c r="H402" i="1"/>
  <c r="M402" i="1" s="1"/>
  <c r="H401" i="1"/>
  <c r="M401" i="1" s="1"/>
  <c r="H400" i="1"/>
  <c r="M400" i="1" s="1"/>
  <c r="H399" i="1"/>
  <c r="M399" i="1" s="1"/>
  <c r="H398" i="1"/>
  <c r="M398" i="1" s="1"/>
  <c r="H397" i="1"/>
  <c r="M397" i="1" s="1"/>
  <c r="H396" i="1"/>
  <c r="M396" i="1" s="1"/>
  <c r="H395" i="1"/>
  <c r="M395" i="1" s="1"/>
  <c r="H394" i="1"/>
  <c r="M394" i="1" s="1"/>
  <c r="M393" i="1"/>
  <c r="H393" i="1"/>
  <c r="H392" i="1"/>
  <c r="M392" i="1" s="1"/>
  <c r="H391" i="1"/>
  <c r="M391" i="1" s="1"/>
  <c r="H390" i="1"/>
  <c r="M390" i="1" s="1"/>
  <c r="H389" i="1"/>
  <c r="M389" i="1" s="1"/>
  <c r="H388" i="1"/>
  <c r="M388" i="1" s="1"/>
  <c r="H387" i="1"/>
  <c r="M387" i="1" s="1"/>
  <c r="H386" i="1"/>
  <c r="M386" i="1" s="1"/>
  <c r="H385" i="1"/>
  <c r="M385" i="1" s="1"/>
  <c r="H384" i="1"/>
  <c r="M384" i="1" s="1"/>
  <c r="H383" i="1"/>
  <c r="M383" i="1" s="1"/>
  <c r="H382" i="1"/>
  <c r="M382" i="1" s="1"/>
  <c r="H381" i="1"/>
  <c r="M381" i="1" s="1"/>
  <c r="H380" i="1"/>
  <c r="M380" i="1" s="1"/>
  <c r="H379" i="1"/>
  <c r="M379" i="1" s="1"/>
  <c r="H378" i="1"/>
  <c r="M378" i="1" s="1"/>
  <c r="H377" i="1"/>
  <c r="M377" i="1" s="1"/>
  <c r="H376" i="1"/>
  <c r="M376" i="1" s="1"/>
  <c r="H375" i="1"/>
  <c r="M375" i="1" s="1"/>
  <c r="H374" i="1"/>
  <c r="M374" i="1" s="1"/>
  <c r="H373" i="1"/>
  <c r="M373" i="1" s="1"/>
  <c r="H372" i="1"/>
  <c r="M372" i="1" s="1"/>
  <c r="H371" i="1"/>
  <c r="M371" i="1" s="1"/>
  <c r="H370" i="1"/>
  <c r="M370" i="1" s="1"/>
  <c r="H369" i="1"/>
  <c r="M369" i="1" s="1"/>
  <c r="H368" i="1"/>
  <c r="M368" i="1" s="1"/>
  <c r="H367" i="1"/>
  <c r="M367" i="1" s="1"/>
  <c r="H366" i="1"/>
  <c r="M366" i="1" s="1"/>
  <c r="H365" i="1"/>
  <c r="M365" i="1" s="1"/>
  <c r="H364" i="1"/>
  <c r="M364" i="1" s="1"/>
  <c r="H363" i="1"/>
  <c r="M363" i="1" s="1"/>
  <c r="H362" i="1"/>
  <c r="M362" i="1" s="1"/>
  <c r="H361" i="1"/>
  <c r="M361" i="1" s="1"/>
  <c r="H360" i="1"/>
  <c r="M360" i="1" s="1"/>
  <c r="H359" i="1"/>
  <c r="M359" i="1" s="1"/>
  <c r="H358" i="1"/>
  <c r="M358" i="1" s="1"/>
  <c r="H357" i="1"/>
  <c r="M357" i="1" s="1"/>
  <c r="H356" i="1"/>
  <c r="M356" i="1" s="1"/>
  <c r="H355" i="1"/>
  <c r="M355" i="1" s="1"/>
  <c r="H354" i="1"/>
  <c r="M354" i="1" s="1"/>
  <c r="H353" i="1"/>
  <c r="M353" i="1" s="1"/>
  <c r="H352" i="1"/>
  <c r="M352" i="1" s="1"/>
  <c r="H351" i="1"/>
  <c r="M351" i="1" s="1"/>
  <c r="H350" i="1"/>
  <c r="M350" i="1" s="1"/>
  <c r="H349" i="1"/>
  <c r="M349" i="1" s="1"/>
  <c r="H348" i="1"/>
  <c r="M348" i="1" s="1"/>
  <c r="H347" i="1"/>
  <c r="M347" i="1" s="1"/>
  <c r="H346" i="1"/>
  <c r="M346" i="1" s="1"/>
  <c r="H345" i="1"/>
  <c r="M345" i="1" s="1"/>
  <c r="H344" i="1"/>
  <c r="M344" i="1" s="1"/>
  <c r="M343" i="1"/>
  <c r="H343" i="1"/>
  <c r="H342" i="1"/>
  <c r="M342" i="1" s="1"/>
  <c r="H341" i="1"/>
  <c r="M341" i="1" s="1"/>
  <c r="H340" i="1"/>
  <c r="M340" i="1" s="1"/>
  <c r="H339" i="1"/>
  <c r="M339" i="1" s="1"/>
  <c r="H338" i="1"/>
  <c r="M338" i="1" s="1"/>
  <c r="H337" i="1"/>
  <c r="M337" i="1" s="1"/>
  <c r="H336" i="1"/>
  <c r="M336" i="1" s="1"/>
  <c r="H335" i="1"/>
  <c r="M335" i="1" s="1"/>
  <c r="H334" i="1"/>
  <c r="M334" i="1" s="1"/>
  <c r="H333" i="1"/>
  <c r="M333" i="1" s="1"/>
  <c r="H332" i="1"/>
  <c r="M332" i="1" s="1"/>
  <c r="H331" i="1"/>
  <c r="M331" i="1" s="1"/>
  <c r="H330" i="1"/>
  <c r="M330" i="1" s="1"/>
  <c r="H329" i="1"/>
  <c r="M329" i="1" s="1"/>
  <c r="H328" i="1"/>
  <c r="M328" i="1" s="1"/>
  <c r="H327" i="1"/>
  <c r="M327" i="1" s="1"/>
  <c r="H326" i="1"/>
  <c r="M326" i="1" s="1"/>
  <c r="H325" i="1"/>
  <c r="M325" i="1" s="1"/>
  <c r="H324" i="1"/>
  <c r="M324" i="1" s="1"/>
  <c r="H323" i="1"/>
  <c r="M323" i="1" s="1"/>
  <c r="H322" i="1"/>
  <c r="M322" i="1" s="1"/>
  <c r="M321" i="1"/>
  <c r="H321" i="1"/>
  <c r="H320" i="1"/>
  <c r="M320" i="1" s="1"/>
  <c r="H319" i="1"/>
  <c r="M319" i="1" s="1"/>
  <c r="H318" i="1"/>
  <c r="M318" i="1" s="1"/>
  <c r="M317" i="1"/>
  <c r="H317" i="1"/>
  <c r="H316" i="1"/>
  <c r="M316" i="1" s="1"/>
  <c r="H315" i="1"/>
  <c r="M315" i="1" s="1"/>
  <c r="H314" i="1"/>
  <c r="M314" i="1" s="1"/>
  <c r="M313" i="1"/>
  <c r="H313" i="1"/>
  <c r="H312" i="1"/>
  <c r="M312" i="1" s="1"/>
  <c r="H311" i="1"/>
  <c r="M311" i="1" s="1"/>
  <c r="H310" i="1"/>
  <c r="M310" i="1" s="1"/>
  <c r="H309" i="1"/>
  <c r="M309" i="1" s="1"/>
  <c r="H308" i="1"/>
  <c r="M308" i="1" s="1"/>
  <c r="H307" i="1"/>
  <c r="M307" i="1" s="1"/>
  <c r="H306" i="1"/>
  <c r="M306" i="1" s="1"/>
  <c r="M305" i="1"/>
  <c r="H305" i="1"/>
  <c r="H304" i="1"/>
  <c r="M304" i="1" s="1"/>
  <c r="H303" i="1"/>
  <c r="M303" i="1" s="1"/>
  <c r="H302" i="1"/>
  <c r="M302" i="1" s="1"/>
  <c r="H301" i="1"/>
  <c r="M301" i="1" s="1"/>
  <c r="H300" i="1"/>
  <c r="M300" i="1" s="1"/>
  <c r="H299" i="1"/>
  <c r="M299" i="1" s="1"/>
  <c r="H298" i="1"/>
  <c r="M298" i="1" s="1"/>
  <c r="H297" i="1"/>
  <c r="M297" i="1" s="1"/>
  <c r="H296" i="1"/>
  <c r="M296" i="1" s="1"/>
  <c r="H295" i="1"/>
  <c r="M295" i="1" s="1"/>
  <c r="H294" i="1"/>
  <c r="M294" i="1" s="1"/>
  <c r="H293" i="1"/>
  <c r="M293" i="1" s="1"/>
  <c r="H292" i="1"/>
  <c r="M292" i="1" s="1"/>
  <c r="H291" i="1"/>
  <c r="M291" i="1" s="1"/>
  <c r="H290" i="1"/>
  <c r="M290" i="1" s="1"/>
  <c r="H289" i="1"/>
  <c r="M289" i="1" s="1"/>
  <c r="H288" i="1"/>
  <c r="M288" i="1" s="1"/>
  <c r="H287" i="1"/>
  <c r="M287" i="1" s="1"/>
  <c r="H286" i="1"/>
  <c r="M286" i="1" s="1"/>
  <c r="M285" i="1"/>
  <c r="H285" i="1"/>
  <c r="H284" i="1"/>
  <c r="M284" i="1" s="1"/>
  <c r="H283" i="1"/>
  <c r="M283" i="1" s="1"/>
  <c r="H282" i="1"/>
  <c r="M282" i="1" s="1"/>
  <c r="H281" i="1"/>
  <c r="M281" i="1" s="1"/>
  <c r="H280" i="1"/>
  <c r="M280" i="1" s="1"/>
  <c r="H279" i="1"/>
  <c r="M279" i="1" s="1"/>
  <c r="H278" i="1"/>
  <c r="M278" i="1" s="1"/>
  <c r="H277" i="1"/>
  <c r="M277" i="1" s="1"/>
  <c r="H276" i="1"/>
  <c r="M276" i="1" s="1"/>
  <c r="H275" i="1"/>
  <c r="M275" i="1" s="1"/>
  <c r="H274" i="1"/>
  <c r="M274" i="1" s="1"/>
  <c r="M273" i="1"/>
  <c r="H273" i="1"/>
  <c r="H272" i="1"/>
  <c r="M272" i="1" s="1"/>
  <c r="H271" i="1"/>
  <c r="M271" i="1" s="1"/>
  <c r="H270" i="1"/>
  <c r="M270" i="1" s="1"/>
  <c r="M269" i="1"/>
  <c r="H269" i="1"/>
  <c r="H268" i="1"/>
  <c r="M268" i="1" s="1"/>
  <c r="H267" i="1"/>
  <c r="M267" i="1" s="1"/>
  <c r="H266" i="1"/>
  <c r="M266" i="1" s="1"/>
  <c r="M265" i="1"/>
  <c r="H265" i="1"/>
  <c r="H264" i="1"/>
  <c r="M264" i="1" s="1"/>
  <c r="H263" i="1"/>
  <c r="M263" i="1" s="1"/>
  <c r="H262" i="1"/>
  <c r="M262" i="1" s="1"/>
  <c r="H261" i="1"/>
  <c r="M261" i="1" s="1"/>
  <c r="H260" i="1"/>
  <c r="M260" i="1" s="1"/>
  <c r="H259" i="1"/>
  <c r="M259" i="1" s="1"/>
  <c r="H258" i="1"/>
  <c r="M258" i="1" s="1"/>
  <c r="M257" i="1"/>
  <c r="H257" i="1"/>
  <c r="H256" i="1"/>
  <c r="M256" i="1" s="1"/>
  <c r="H255" i="1"/>
  <c r="M255" i="1" s="1"/>
  <c r="H254" i="1"/>
  <c r="M254" i="1" s="1"/>
  <c r="H253" i="1"/>
  <c r="M253" i="1" s="1"/>
  <c r="H252" i="1"/>
  <c r="M252" i="1" s="1"/>
  <c r="H251" i="1"/>
  <c r="M251" i="1" s="1"/>
  <c r="H250" i="1"/>
  <c r="M250" i="1" s="1"/>
  <c r="H249" i="1"/>
  <c r="M249" i="1" s="1"/>
  <c r="H248" i="1"/>
  <c r="M248" i="1" s="1"/>
  <c r="H247" i="1"/>
  <c r="M247" i="1" s="1"/>
  <c r="H246" i="1"/>
  <c r="M246" i="1" s="1"/>
  <c r="H245" i="1"/>
  <c r="M245" i="1" s="1"/>
  <c r="H244" i="1"/>
  <c r="M244" i="1" s="1"/>
  <c r="H243" i="1"/>
  <c r="M243" i="1" s="1"/>
  <c r="M242" i="1"/>
  <c r="H242" i="1"/>
  <c r="H241" i="1"/>
  <c r="M241" i="1" s="1"/>
  <c r="M240" i="1"/>
  <c r="H240" i="1"/>
  <c r="H239" i="1"/>
  <c r="M239" i="1" s="1"/>
  <c r="H238" i="1"/>
  <c r="M238" i="1" s="1"/>
  <c r="H237" i="1"/>
  <c r="M237" i="1" s="1"/>
  <c r="M236" i="1"/>
  <c r="H236" i="1"/>
  <c r="H235" i="1"/>
  <c r="M235" i="1" s="1"/>
  <c r="M234" i="1"/>
  <c r="H234" i="1"/>
  <c r="H233" i="1"/>
  <c r="M233" i="1" s="1"/>
  <c r="H232" i="1"/>
  <c r="M232" i="1" s="1"/>
  <c r="H231" i="1"/>
  <c r="M231" i="1" s="1"/>
  <c r="M230" i="1"/>
  <c r="H230" i="1"/>
  <c r="H229" i="1"/>
  <c r="M229" i="1" s="1"/>
  <c r="M228" i="1"/>
  <c r="H228" i="1"/>
  <c r="H227" i="1"/>
  <c r="M227" i="1" s="1"/>
  <c r="H226" i="1"/>
  <c r="M226" i="1" s="1"/>
  <c r="H225" i="1"/>
  <c r="M225" i="1" s="1"/>
  <c r="M224" i="1"/>
  <c r="H224" i="1"/>
  <c r="H223" i="1"/>
  <c r="M223" i="1" s="1"/>
  <c r="M222" i="1"/>
  <c r="H222" i="1"/>
  <c r="H221" i="1"/>
  <c r="M221" i="1" s="1"/>
  <c r="H220" i="1"/>
  <c r="M220" i="1" s="1"/>
  <c r="M219" i="1"/>
  <c r="H218" i="1"/>
  <c r="M218" i="1" s="1"/>
  <c r="H217" i="1"/>
  <c r="M217" i="1" s="1"/>
  <c r="H216" i="1"/>
  <c r="M216" i="1" s="1"/>
  <c r="H215" i="1"/>
  <c r="M215" i="1" s="1"/>
  <c r="H214" i="1"/>
  <c r="M214" i="1" s="1"/>
  <c r="H213" i="1"/>
  <c r="M213" i="1" s="1"/>
  <c r="H212" i="1"/>
  <c r="M212" i="1" s="1"/>
  <c r="H211" i="1"/>
  <c r="M211" i="1" s="1"/>
  <c r="H210" i="1"/>
  <c r="M210" i="1" s="1"/>
  <c r="H209" i="1"/>
  <c r="M209" i="1" s="1"/>
  <c r="H208" i="1"/>
  <c r="M208" i="1" s="1"/>
  <c r="H207" i="1"/>
  <c r="M207" i="1" s="1"/>
  <c r="H206" i="1"/>
  <c r="M206" i="1" s="1"/>
  <c r="H205" i="1"/>
  <c r="M205" i="1" s="1"/>
  <c r="H204" i="1"/>
  <c r="M204" i="1" s="1"/>
  <c r="H203" i="1"/>
  <c r="M203" i="1" s="1"/>
  <c r="H202" i="1"/>
  <c r="M202" i="1" s="1"/>
  <c r="H201" i="1"/>
  <c r="M201" i="1" s="1"/>
  <c r="H200" i="1"/>
  <c r="M200" i="1" s="1"/>
  <c r="H199" i="1"/>
  <c r="M199" i="1" s="1"/>
  <c r="H198" i="1"/>
  <c r="M198" i="1" s="1"/>
  <c r="H197" i="1"/>
  <c r="M197" i="1" s="1"/>
  <c r="H196" i="1"/>
  <c r="M196" i="1" s="1"/>
  <c r="H195" i="1"/>
  <c r="M195" i="1" s="1"/>
  <c r="H194" i="1"/>
  <c r="M194" i="1" s="1"/>
  <c r="H193" i="1"/>
  <c r="M193" i="1" s="1"/>
  <c r="H192" i="1"/>
  <c r="M192" i="1" s="1"/>
  <c r="H191" i="1"/>
  <c r="M191" i="1" s="1"/>
  <c r="H190" i="1"/>
  <c r="M190" i="1" s="1"/>
  <c r="H189" i="1"/>
  <c r="M189" i="1" s="1"/>
  <c r="H188" i="1"/>
  <c r="M188" i="1" s="1"/>
  <c r="H187" i="1"/>
  <c r="M187" i="1" s="1"/>
  <c r="H186" i="1"/>
  <c r="M186" i="1" s="1"/>
  <c r="H185" i="1"/>
  <c r="M185" i="1" s="1"/>
  <c r="H184" i="1"/>
  <c r="M184" i="1" s="1"/>
  <c r="H183" i="1"/>
  <c r="M183" i="1" s="1"/>
  <c r="H182" i="1"/>
  <c r="M182" i="1" s="1"/>
  <c r="H181" i="1"/>
  <c r="M181" i="1" s="1"/>
  <c r="H180" i="1"/>
  <c r="M180" i="1" s="1"/>
  <c r="H179" i="1"/>
  <c r="M179" i="1" s="1"/>
  <c r="H178" i="1"/>
  <c r="M178" i="1" s="1"/>
  <c r="H177" i="1"/>
  <c r="M177" i="1" s="1"/>
  <c r="H176" i="1"/>
  <c r="M176" i="1" s="1"/>
  <c r="H175" i="1"/>
  <c r="M175" i="1" s="1"/>
  <c r="H174" i="1"/>
  <c r="M174" i="1" s="1"/>
  <c r="H173" i="1"/>
  <c r="M173" i="1" s="1"/>
  <c r="H172" i="1"/>
  <c r="M172" i="1" s="1"/>
  <c r="H171" i="1"/>
  <c r="M171" i="1" s="1"/>
  <c r="H170" i="1"/>
  <c r="M170" i="1" s="1"/>
  <c r="H169" i="1"/>
  <c r="M169" i="1" s="1"/>
  <c r="H168" i="1"/>
  <c r="M168" i="1" s="1"/>
  <c r="H167" i="1"/>
  <c r="M167" i="1" s="1"/>
  <c r="H166" i="1"/>
  <c r="M166" i="1" s="1"/>
  <c r="H165" i="1"/>
  <c r="M165" i="1" s="1"/>
  <c r="H164" i="1"/>
  <c r="M164" i="1" s="1"/>
  <c r="H163" i="1"/>
  <c r="M163" i="1" s="1"/>
  <c r="H162" i="1"/>
  <c r="M162" i="1" s="1"/>
  <c r="H161" i="1"/>
  <c r="M161" i="1" s="1"/>
  <c r="H160" i="1"/>
  <c r="M160" i="1" s="1"/>
  <c r="H159" i="1"/>
  <c r="M159" i="1" s="1"/>
  <c r="H158" i="1"/>
  <c r="M158" i="1" s="1"/>
  <c r="H157" i="1"/>
  <c r="M157" i="1" s="1"/>
  <c r="H156" i="1"/>
  <c r="M156" i="1" s="1"/>
  <c r="H155" i="1"/>
  <c r="M155" i="1" s="1"/>
  <c r="H154" i="1"/>
  <c r="M154" i="1" s="1"/>
  <c r="H153" i="1"/>
  <c r="M153" i="1" s="1"/>
  <c r="H152" i="1"/>
  <c r="M152" i="1" s="1"/>
  <c r="H151" i="1"/>
  <c r="M151" i="1" s="1"/>
  <c r="H150" i="1"/>
  <c r="M150" i="1" s="1"/>
  <c r="H149" i="1"/>
  <c r="M149" i="1" s="1"/>
  <c r="H148" i="1"/>
  <c r="M148" i="1" s="1"/>
  <c r="H147" i="1"/>
  <c r="M147" i="1" s="1"/>
  <c r="H146" i="1"/>
  <c r="M146" i="1" s="1"/>
  <c r="H145" i="1"/>
  <c r="M145" i="1" s="1"/>
  <c r="H144" i="1"/>
  <c r="M144" i="1" s="1"/>
  <c r="H143" i="1"/>
  <c r="M143" i="1" s="1"/>
  <c r="H142" i="1"/>
  <c r="M142" i="1" s="1"/>
  <c r="H141" i="1"/>
  <c r="M141" i="1" s="1"/>
  <c r="H140" i="1"/>
  <c r="M140" i="1" s="1"/>
  <c r="H139" i="1"/>
  <c r="M139" i="1" s="1"/>
  <c r="H138" i="1"/>
  <c r="M138" i="1" s="1"/>
  <c r="H137" i="1"/>
  <c r="M137" i="1" s="1"/>
  <c r="H136" i="1"/>
  <c r="M136" i="1" s="1"/>
  <c r="H135" i="1"/>
  <c r="M135" i="1" s="1"/>
  <c r="H134" i="1"/>
  <c r="M134" i="1" s="1"/>
  <c r="H133" i="1"/>
  <c r="M133" i="1" s="1"/>
  <c r="H132" i="1"/>
  <c r="M132" i="1" s="1"/>
  <c r="H131" i="1"/>
  <c r="M131" i="1" s="1"/>
  <c r="H130" i="1"/>
  <c r="M130" i="1" s="1"/>
  <c r="H129" i="1"/>
  <c r="M129" i="1" s="1"/>
  <c r="H128" i="1"/>
  <c r="M128" i="1" s="1"/>
  <c r="H127" i="1"/>
  <c r="M127" i="1" s="1"/>
  <c r="H126" i="1"/>
  <c r="M126" i="1" s="1"/>
  <c r="H125" i="1"/>
  <c r="M125" i="1" s="1"/>
  <c r="H124" i="1"/>
  <c r="M124" i="1" s="1"/>
  <c r="H123" i="1"/>
  <c r="M123" i="1" s="1"/>
  <c r="H122" i="1"/>
  <c r="M122" i="1" s="1"/>
  <c r="H121" i="1"/>
  <c r="M121" i="1" s="1"/>
  <c r="H120" i="1"/>
  <c r="M120" i="1" s="1"/>
  <c r="H119" i="1"/>
  <c r="M119" i="1" s="1"/>
  <c r="H118" i="1"/>
  <c r="M118" i="1" s="1"/>
  <c r="H117" i="1"/>
  <c r="M117" i="1" s="1"/>
  <c r="H116" i="1"/>
  <c r="M116" i="1" s="1"/>
  <c r="H115" i="1"/>
  <c r="M115" i="1" s="1"/>
  <c r="H114" i="1"/>
  <c r="M114" i="1" s="1"/>
  <c r="H113" i="1"/>
  <c r="M113" i="1" s="1"/>
  <c r="H112" i="1"/>
  <c r="M112" i="1" s="1"/>
  <c r="H111" i="1"/>
  <c r="M111" i="1" s="1"/>
  <c r="H110" i="1"/>
  <c r="M110" i="1" s="1"/>
  <c r="H109" i="1"/>
  <c r="M109" i="1" s="1"/>
  <c r="H108" i="1"/>
  <c r="M108" i="1" s="1"/>
  <c r="H107" i="1"/>
  <c r="M107" i="1" s="1"/>
  <c r="H106" i="1"/>
  <c r="M106" i="1" s="1"/>
  <c r="H105" i="1"/>
  <c r="M105" i="1" s="1"/>
  <c r="H104" i="1"/>
  <c r="M104" i="1" s="1"/>
  <c r="H103" i="1"/>
  <c r="M103" i="1" s="1"/>
  <c r="H102" i="1"/>
  <c r="M102" i="1" s="1"/>
  <c r="H101" i="1"/>
  <c r="M101" i="1" s="1"/>
  <c r="H100" i="1"/>
  <c r="M100" i="1" s="1"/>
  <c r="H99" i="1"/>
  <c r="M99" i="1" s="1"/>
  <c r="H98" i="1"/>
  <c r="M98" i="1" s="1"/>
  <c r="H97" i="1"/>
  <c r="M97" i="1" s="1"/>
  <c r="H96" i="1"/>
  <c r="M96" i="1" s="1"/>
  <c r="H95" i="1"/>
  <c r="M95" i="1" s="1"/>
  <c r="H94" i="1"/>
  <c r="M94" i="1" s="1"/>
  <c r="H93" i="1"/>
  <c r="M93" i="1" s="1"/>
  <c r="H92" i="1"/>
  <c r="M92" i="1" s="1"/>
  <c r="H91" i="1"/>
  <c r="M91" i="1" s="1"/>
  <c r="H90" i="1"/>
  <c r="M90" i="1" s="1"/>
  <c r="H89" i="1"/>
  <c r="M89" i="1" s="1"/>
  <c r="H88" i="1"/>
  <c r="M88" i="1" s="1"/>
  <c r="H87" i="1"/>
  <c r="M87" i="1" s="1"/>
  <c r="H86" i="1"/>
  <c r="M86" i="1" s="1"/>
  <c r="H85" i="1"/>
  <c r="M85" i="1" s="1"/>
  <c r="H84" i="1"/>
  <c r="M84" i="1" s="1"/>
  <c r="H83" i="1"/>
  <c r="M83" i="1" s="1"/>
  <c r="H82" i="1"/>
  <c r="M82" i="1" s="1"/>
  <c r="M81" i="1"/>
  <c r="H80" i="1"/>
  <c r="M80" i="1" s="1"/>
  <c r="H79" i="1"/>
  <c r="M79" i="1" s="1"/>
  <c r="H78" i="1"/>
  <c r="M78" i="1" s="1"/>
  <c r="H77" i="1"/>
  <c r="M77" i="1" s="1"/>
  <c r="H76" i="1"/>
  <c r="M76" i="1" s="1"/>
  <c r="H75" i="1"/>
  <c r="M75" i="1" s="1"/>
  <c r="H74" i="1"/>
  <c r="M74" i="1" s="1"/>
  <c r="H73" i="1"/>
  <c r="M73" i="1" s="1"/>
  <c r="H72" i="1"/>
  <c r="M72" i="1" s="1"/>
  <c r="H71" i="1"/>
  <c r="M71" i="1" s="1"/>
  <c r="H70" i="1"/>
  <c r="M70" i="1" s="1"/>
  <c r="H69" i="1"/>
  <c r="M69" i="1" s="1"/>
  <c r="H68" i="1"/>
  <c r="M68" i="1" s="1"/>
  <c r="H67" i="1"/>
  <c r="M67" i="1" s="1"/>
  <c r="H66" i="1"/>
  <c r="M66" i="1" s="1"/>
  <c r="H65" i="1"/>
  <c r="M65" i="1" s="1"/>
  <c r="H64" i="1"/>
  <c r="M64" i="1" s="1"/>
  <c r="H63" i="1"/>
  <c r="M63" i="1" s="1"/>
  <c r="H62" i="1"/>
  <c r="M62" i="1" s="1"/>
  <c r="H61" i="1"/>
  <c r="M61" i="1" s="1"/>
  <c r="H60" i="1"/>
  <c r="M60" i="1" s="1"/>
  <c r="H59" i="1"/>
  <c r="M59" i="1" s="1"/>
  <c r="H58" i="1"/>
  <c r="M58" i="1" s="1"/>
  <c r="H57" i="1"/>
  <c r="M57" i="1" s="1"/>
  <c r="H56" i="1"/>
  <c r="M56" i="1" s="1"/>
  <c r="H55" i="1"/>
  <c r="M55" i="1" s="1"/>
  <c r="H54" i="1"/>
  <c r="M54" i="1" s="1"/>
  <c r="H53" i="1"/>
  <c r="M53" i="1" s="1"/>
  <c r="H52" i="1"/>
  <c r="M52" i="1" s="1"/>
  <c r="H51" i="1"/>
  <c r="M51" i="1" s="1"/>
  <c r="H50" i="1"/>
  <c r="M50" i="1" s="1"/>
  <c r="H49" i="1"/>
  <c r="M49" i="1" s="1"/>
  <c r="H48" i="1"/>
  <c r="M48" i="1" s="1"/>
  <c r="H47" i="1"/>
  <c r="M47" i="1" s="1"/>
  <c r="H46" i="1"/>
  <c r="M46" i="1" s="1"/>
  <c r="H45" i="1"/>
  <c r="M45" i="1" s="1"/>
  <c r="H44" i="1"/>
  <c r="M44" i="1" s="1"/>
  <c r="H43" i="1"/>
  <c r="M43" i="1" s="1"/>
  <c r="H42" i="1"/>
  <c r="M42" i="1" s="1"/>
  <c r="H41" i="1"/>
  <c r="M41" i="1" s="1"/>
  <c r="H40" i="1"/>
  <c r="M40" i="1" s="1"/>
  <c r="H39" i="1"/>
  <c r="M39" i="1" s="1"/>
  <c r="H38" i="1"/>
  <c r="M38" i="1" s="1"/>
  <c r="H37" i="1"/>
  <c r="M37" i="1" s="1"/>
  <c r="H36" i="1"/>
  <c r="M36" i="1" s="1"/>
  <c r="H35" i="1"/>
  <c r="M35" i="1" s="1"/>
  <c r="H34" i="1"/>
  <c r="M34" i="1" s="1"/>
  <c r="H33" i="1"/>
  <c r="M33" i="1" s="1"/>
  <c r="H32" i="1"/>
  <c r="M32" i="1" s="1"/>
  <c r="H31" i="1"/>
  <c r="M31" i="1" s="1"/>
  <c r="H30" i="1"/>
  <c r="M30" i="1" s="1"/>
  <c r="H29" i="1"/>
  <c r="M29" i="1" s="1"/>
  <c r="H28" i="1"/>
  <c r="M28" i="1" s="1"/>
  <c r="H27" i="1"/>
  <c r="M27" i="1" s="1"/>
  <c r="H26" i="1"/>
  <c r="M26" i="1" s="1"/>
  <c r="H25" i="1"/>
  <c r="M25" i="1" s="1"/>
  <c r="H24" i="1"/>
  <c r="M24" i="1" s="1"/>
  <c r="M23" i="1"/>
  <c r="H22" i="1"/>
  <c r="M22" i="1" s="1"/>
  <c r="H21" i="1"/>
  <c r="M21" i="1" s="1"/>
  <c r="H20" i="1"/>
  <c r="M20" i="1" s="1"/>
  <c r="H19" i="1"/>
  <c r="M19" i="1" s="1"/>
  <c r="H18" i="1"/>
  <c r="M18" i="1" s="1"/>
  <c r="H17" i="1"/>
  <c r="M17" i="1" s="1"/>
  <c r="H16" i="1"/>
  <c r="M16" i="1" s="1"/>
  <c r="M15" i="1"/>
  <c r="M14" i="1"/>
  <c r="H13" i="1"/>
  <c r="M13" i="1" s="1"/>
  <c r="H12" i="1"/>
  <c r="M12" i="1" s="1"/>
  <c r="H11" i="1"/>
  <c r="H9" i="1"/>
  <c r="M9" i="1" s="1"/>
  <c r="H7" i="1"/>
  <c r="M7" i="1" s="1"/>
  <c r="H6" i="1"/>
  <c r="M6" i="1" s="1"/>
  <c r="H5" i="1"/>
  <c r="H4" i="1"/>
  <c r="M4" i="1" s="1"/>
  <c r="H989" i="1" l="1"/>
  <c r="H991" i="1" s="1"/>
  <c r="M5" i="1"/>
  <c r="M11" i="1"/>
  <c r="H988" i="6"/>
  <c r="H990" i="6" s="1"/>
  <c r="M51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3" authorId="0" shapeId="0" xr:uid="{00000000-0006-0000-0100-000001000000}">
      <text>
        <r>
          <rPr>
            <b/>
            <sz val="9"/>
            <color indexed="81"/>
            <rFont val="Tahoma"/>
            <family val="2"/>
          </rPr>
          <t>Author:</t>
        </r>
        <r>
          <rPr>
            <sz val="9"/>
            <color indexed="81"/>
            <rFont val="Tahoma"/>
            <family val="2"/>
          </rPr>
          <t xml:space="preserve">
גבוה = 3.
בינוני=2.
נמוך=1.</t>
        </r>
      </text>
    </comment>
    <comment ref="K3" authorId="0" shapeId="0" xr:uid="{00000000-0006-0000-0100-000002000000}">
      <text>
        <r>
          <rPr>
            <b/>
            <sz val="9"/>
            <color indexed="81"/>
            <rFont val="Tahoma"/>
            <family val="2"/>
          </rPr>
          <t>Author:</t>
        </r>
        <r>
          <rPr>
            <sz val="9"/>
            <color indexed="81"/>
            <rFont val="Tahoma"/>
            <family val="2"/>
          </rPr>
          <t xml:space="preserve">
משבית - 1
לא משבית - 0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3" authorId="0" shapeId="0" xr:uid="{00000000-0006-0000-0200-000001000000}">
      <text>
        <r>
          <rPr>
            <b/>
            <sz val="9"/>
            <color indexed="81"/>
            <rFont val="Tahoma"/>
            <family val="2"/>
          </rPr>
          <t>Author:</t>
        </r>
        <r>
          <rPr>
            <sz val="9"/>
            <color indexed="81"/>
            <rFont val="Tahoma"/>
            <family val="2"/>
          </rPr>
          <t xml:space="preserve">
גבוה = 3.
בינוני=2.
נמוך=1.</t>
        </r>
      </text>
    </comment>
    <comment ref="K3" authorId="0" shapeId="0" xr:uid="{00000000-0006-0000-0200-000002000000}">
      <text>
        <r>
          <rPr>
            <b/>
            <sz val="9"/>
            <color indexed="81"/>
            <rFont val="Tahoma"/>
            <family val="2"/>
          </rPr>
          <t>Author:</t>
        </r>
        <r>
          <rPr>
            <sz val="9"/>
            <color indexed="81"/>
            <rFont val="Tahoma"/>
            <family val="2"/>
          </rPr>
          <t xml:space="preserve">
משבית - 1
לא משבית - 0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3" authorId="0" shapeId="0" xr:uid="{00000000-0006-0000-0300-000001000000}">
      <text>
        <r>
          <rPr>
            <b/>
            <sz val="9"/>
            <color indexed="81"/>
            <rFont val="Tahoma"/>
            <family val="2"/>
          </rPr>
          <t>Author:</t>
        </r>
        <r>
          <rPr>
            <sz val="9"/>
            <color indexed="81"/>
            <rFont val="Tahoma"/>
            <family val="2"/>
          </rPr>
          <t xml:space="preserve">
גבוה = 3.
בינוני=2.
נמוך=1.</t>
        </r>
      </text>
    </comment>
    <comment ref="K3" authorId="0" shapeId="0" xr:uid="{00000000-0006-0000-0300-000002000000}">
      <text>
        <r>
          <rPr>
            <b/>
            <sz val="9"/>
            <color indexed="81"/>
            <rFont val="Tahoma"/>
            <family val="2"/>
          </rPr>
          <t>Author:</t>
        </r>
        <r>
          <rPr>
            <sz val="9"/>
            <color indexed="81"/>
            <rFont val="Tahoma"/>
            <family val="2"/>
          </rPr>
          <t xml:space="preserve">
משבית - 1
לא משבית - 0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3" authorId="0" shapeId="0" xr:uid="{00000000-0006-0000-0400-000001000000}">
      <text>
        <r>
          <rPr>
            <b/>
            <sz val="9"/>
            <color indexed="81"/>
            <rFont val="Tahoma"/>
            <family val="2"/>
          </rPr>
          <t>Author:</t>
        </r>
        <r>
          <rPr>
            <sz val="9"/>
            <color indexed="81"/>
            <rFont val="Tahoma"/>
            <family val="2"/>
          </rPr>
          <t xml:space="preserve">
1- גבוה
2- בינוני
3-נמוך
הדירוג ע"פ זמן אספקה  מופעים ומחיר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81" authorId="0" shapeId="0" xr:uid="{00000000-0006-0000-0500-000001000000}">
      <text>
        <r>
          <rPr>
            <b/>
            <sz val="9"/>
            <color indexed="81"/>
            <rFont val="Tahoma"/>
            <family val="2"/>
          </rPr>
          <t>Author:</t>
        </r>
        <r>
          <rPr>
            <sz val="9"/>
            <color indexed="81"/>
            <rFont val="Tahoma"/>
            <family val="2"/>
          </rPr>
          <t xml:space="preserve">
שייך ל
מק"ט הסליל:4527
MSFG-24/42-50/60</t>
        </r>
      </text>
    </comment>
    <comment ref="L207" authorId="0" shapeId="0" xr:uid="{00000000-0006-0000-0500-000002000000}">
      <text>
        <r>
          <rPr>
            <b/>
            <sz val="9"/>
            <color indexed="81"/>
            <rFont val="Tahoma"/>
            <family val="2"/>
          </rPr>
          <t>Author:</t>
        </r>
        <r>
          <rPr>
            <sz val="9"/>
            <color indexed="81"/>
            <rFont val="Tahoma"/>
            <family val="2"/>
          </rPr>
          <t xml:space="preserve">
רכשתי נוסף יש במערכת כבר היום 8 יחידות  </t>
        </r>
      </text>
    </comment>
    <comment ref="C215" authorId="0" shapeId="0" xr:uid="{00000000-0006-0000-0500-000003000000}">
      <text>
        <r>
          <rPr>
            <b/>
            <sz val="9"/>
            <color indexed="81"/>
            <rFont val="Tahoma"/>
            <family val="2"/>
          </rPr>
          <t>Author:</t>
        </r>
        <r>
          <rPr>
            <sz val="9"/>
            <color indexed="81"/>
            <rFont val="Tahoma"/>
            <family val="2"/>
          </rPr>
          <t xml:space="preserve">
צריך לקנות למלאי</t>
        </r>
      </text>
    </comment>
    <comment ref="F270" authorId="0" shapeId="0" xr:uid="{00000000-0006-0000-0500-000004000000}">
      <text>
        <r>
          <rPr>
            <b/>
            <sz val="9"/>
            <color indexed="81"/>
            <rFont val="Tahoma"/>
            <family val="2"/>
          </rPr>
          <t>Author:</t>
        </r>
        <r>
          <rPr>
            <sz val="9"/>
            <color indexed="81"/>
            <rFont val="Tahoma"/>
            <family val="2"/>
          </rPr>
          <t xml:space="preserve">
סעפת שמלה TCP/I  עבור CRUDE FABRY
מתבבסת על שסתומים סדרה VMPA1
מק"ט: 533347</t>
        </r>
      </text>
    </comment>
    <comment ref="F273" authorId="0" shapeId="0" xr:uid="{00000000-0006-0000-0500-000005000000}">
      <text>
        <r>
          <rPr>
            <b/>
            <sz val="9"/>
            <color indexed="81"/>
            <rFont val="Tahoma"/>
            <family val="2"/>
          </rPr>
          <t>Author:</t>
        </r>
        <r>
          <rPr>
            <sz val="9"/>
            <color indexed="81"/>
            <rFont val="Tahoma"/>
            <family val="2"/>
          </rPr>
          <t xml:space="preserve">
ח"ח של סעפת TCP/I  עבור CRUDE FABRY
</t>
        </r>
      </text>
    </comment>
    <comment ref="F274" authorId="0" shapeId="0" xr:uid="{00000000-0006-0000-0500-000006000000}">
      <text>
        <r>
          <rPr>
            <b/>
            <sz val="9"/>
            <color indexed="81"/>
            <rFont val="Tahoma"/>
            <family val="2"/>
          </rPr>
          <t>Author:</t>
        </r>
        <r>
          <rPr>
            <sz val="9"/>
            <color indexed="81"/>
            <rFont val="Tahoma"/>
            <family val="2"/>
          </rPr>
          <t xml:space="preserve">
המוצר הופסק.
ע'' חברת festo
לא ניתן להזמין רק ebay Ali.</t>
        </r>
      </text>
    </comment>
    <comment ref="F275" authorId="0" shapeId="0" xr:uid="{00000000-0006-0000-0500-000007000000}">
      <text>
        <r>
          <rPr>
            <b/>
            <sz val="9"/>
            <color indexed="81"/>
            <rFont val="Tahoma"/>
            <family val="2"/>
          </rPr>
          <t>Author:</t>
        </r>
        <r>
          <rPr>
            <sz val="9"/>
            <color indexed="81"/>
            <rFont val="Tahoma"/>
            <family val="2"/>
          </rPr>
          <t xml:space="preserve">
שייך לשסתום 
מק"ט: 6211
MFH-5-1/4</t>
        </r>
      </text>
    </comment>
    <comment ref="L276" authorId="0" shapeId="0" xr:uid="{00000000-0006-0000-0500-000008000000}">
      <text>
        <r>
          <rPr>
            <b/>
            <sz val="9"/>
            <color indexed="81"/>
            <rFont val="Tahoma"/>
            <family val="2"/>
          </rPr>
          <t>Author:</t>
        </r>
        <r>
          <rPr>
            <sz val="9"/>
            <color indexed="81"/>
            <rFont val="Tahoma"/>
            <family val="2"/>
          </rPr>
          <t xml:space="preserve">
אחת בשימוש אצל כייל
שני מכשירן
</t>
        </r>
      </text>
    </comment>
  </commentList>
</comments>
</file>

<file path=xl/sharedStrings.xml><?xml version="1.0" encoding="utf-8"?>
<sst xmlns="http://schemas.openxmlformats.org/spreadsheetml/2006/main" count="10761" uniqueCount="2069">
  <si>
    <t>מערכת</t>
  </si>
  <si>
    <t>מס' Tag</t>
  </si>
  <si>
    <t>יצרן</t>
  </si>
  <si>
    <t>דגם</t>
  </si>
  <si>
    <t>סה"כ</t>
  </si>
  <si>
    <t>סיכוי לכשל</t>
  </si>
  <si>
    <t>משבית/
לא משבית</t>
  </si>
  <si>
    <t>זמן הספקה
[חודש]</t>
  </si>
  <si>
    <t>עלות 
השבתה ליום</t>
  </si>
  <si>
    <t>האם יש הסכם שירות ?</t>
  </si>
  <si>
    <t>הערה</t>
  </si>
  <si>
    <t>מד זרימה</t>
  </si>
  <si>
    <t>מפסק גובה</t>
  </si>
  <si>
    <t>מד רעידות</t>
  </si>
  <si>
    <t>מפסק לחץ</t>
  </si>
  <si>
    <t>מד לחץ</t>
  </si>
  <si>
    <t>מד עכירות</t>
  </si>
  <si>
    <t>משדר טמפרטורה</t>
  </si>
  <si>
    <t>מפסק גובה נמוך</t>
  </si>
  <si>
    <t>מפסק זרימה</t>
  </si>
  <si>
    <t>מד טמפרטורה</t>
  </si>
  <si>
    <t xml:space="preserve">אנלייזר פחמן אורגני </t>
  </si>
  <si>
    <t>multi chanel</t>
  </si>
  <si>
    <t>צנטרפוגה</t>
  </si>
  <si>
    <t xml:space="preserve">                               רשימת חלקי חילוף מכשור ובקרה</t>
  </si>
  <si>
    <t>FIC 02-9-041</t>
  </si>
  <si>
    <t>LSH 01-9-016</t>
  </si>
  <si>
    <t>NAH/HH01-9-018</t>
  </si>
  <si>
    <t>PAL 02-9-034</t>
  </si>
  <si>
    <t>PI 02-9-019</t>
  </si>
  <si>
    <t>PIAL 02-9-020</t>
  </si>
  <si>
    <t>PIAL 02-9-534</t>
  </si>
  <si>
    <t>PIC 02-9-047</t>
  </si>
  <si>
    <t>QIAH 02-9-042</t>
  </si>
  <si>
    <t>TI 02-9-053</t>
  </si>
  <si>
    <t>TI 02-9-504</t>
  </si>
  <si>
    <t xml:space="preserve">N/A </t>
  </si>
  <si>
    <t>27-LIC-1</t>
  </si>
  <si>
    <t>27-LSL-1</t>
  </si>
  <si>
    <t>27-SIC-1</t>
  </si>
  <si>
    <t>1-FS-1</t>
  </si>
  <si>
    <t>1-TI-1</t>
  </si>
  <si>
    <t>1-TIC-2</t>
  </si>
  <si>
    <t>1-CIC-1&amp;1-TIC-3</t>
  </si>
  <si>
    <t>1-TOC-1</t>
  </si>
  <si>
    <t>1-TIC-4</t>
  </si>
  <si>
    <t>1-TIC-5</t>
  </si>
  <si>
    <t>1-LIC-1</t>
  </si>
  <si>
    <t>1-TCV-1</t>
  </si>
  <si>
    <t>ABB ISRAEL</t>
  </si>
  <si>
    <t>E+H ISRAEL</t>
  </si>
  <si>
    <t xml:space="preserve">GEAיצור עצמי </t>
  </si>
  <si>
    <t>FESTO ISRAEL</t>
  </si>
  <si>
    <t>LABOM</t>
  </si>
  <si>
    <t>מודקון / לאמיקו</t>
  </si>
  <si>
    <t>KAMA</t>
  </si>
  <si>
    <t>milan</t>
  </si>
  <si>
    <t>negele</t>
  </si>
  <si>
    <t>THORNTON</t>
  </si>
  <si>
    <t>MADID/noga</t>
  </si>
  <si>
    <t>siemens</t>
  </si>
  <si>
    <t xml:space="preserve"> ABB - FEH311</t>
  </si>
  <si>
    <t>E+H - FTL50H</t>
  </si>
  <si>
    <t xml:space="preserve">HW - sensor messtechnik pch  </t>
  </si>
  <si>
    <t>FESTO - MODEL:c172</t>
  </si>
  <si>
    <t xml:space="preserve"> LABOM - BH4200</t>
  </si>
  <si>
    <t>LABOM - CV3110</t>
  </si>
  <si>
    <t>OPTEK - CONVERTOR MODEL</t>
  </si>
  <si>
    <t>LABOM GA2610</t>
  </si>
  <si>
    <t>FESTO MODEL:MFH-5-1/4-5</t>
  </si>
  <si>
    <t>PF KFD2-UFC-1.D</t>
  </si>
  <si>
    <t xml:space="preserve">FESTO </t>
  </si>
  <si>
    <t>מצוף</t>
  </si>
  <si>
    <t>E+H - FTL51H</t>
  </si>
  <si>
    <t>FKS-141</t>
  </si>
  <si>
    <t>pt -100</t>
  </si>
  <si>
    <t>58 031 234</t>
  </si>
  <si>
    <t>770 max</t>
  </si>
  <si>
    <t>FL52L</t>
  </si>
  <si>
    <t>GMA 161.9E</t>
  </si>
  <si>
    <t>קיים במלאי
כן/לא</t>
  </si>
  <si>
    <t>תיאור הציוד</t>
  </si>
  <si>
    <t>√</t>
  </si>
  <si>
    <t>מד מפלס</t>
  </si>
  <si>
    <t>מחיר ב₪</t>
  </si>
  <si>
    <t>משבית סניטציה</t>
  </si>
  <si>
    <t>משבית בקרת קרור, מהנסיון אפשר לחיות בלעדיו עם קצת רצון טוב</t>
  </si>
  <si>
    <t>PW פיילוט</t>
  </si>
  <si>
    <t>PW PRODUCTION
2500</t>
  </si>
  <si>
    <t>משדר זרימה</t>
  </si>
  <si>
    <t xml:space="preserve">מפסק לחץ </t>
  </si>
  <si>
    <t>1-1-604-CIT-001</t>
  </si>
  <si>
    <t>1-1-604-CIT-002</t>
  </si>
  <si>
    <t>1-1-604-CIT-004</t>
  </si>
  <si>
    <t>1-1-604-FIT-001</t>
  </si>
  <si>
    <t>1-1-604-FS-001</t>
  </si>
  <si>
    <t>1-1-604-PSH-001</t>
  </si>
  <si>
    <t>1-1-604-PSL-001</t>
  </si>
  <si>
    <t>1-1-604-PSL-002</t>
  </si>
  <si>
    <t>1-1-604-PSL-003</t>
  </si>
  <si>
    <t>1-1-604-PSL-004</t>
  </si>
  <si>
    <t>METTLER TOLEDO</t>
  </si>
  <si>
    <t>NEW FLOW</t>
  </si>
  <si>
    <t>DANFUSS</t>
  </si>
  <si>
    <t>crouzet</t>
  </si>
  <si>
    <t>Liquid Controls 
Sponsler</t>
  </si>
  <si>
    <t>EUTECH
 INSTRUMENT</t>
  </si>
  <si>
    <t>Alpha con500</t>
  </si>
  <si>
    <t>RT-5 PB 220</t>
  </si>
  <si>
    <t>RT-200 PB 220</t>
  </si>
  <si>
    <t>81 513 552</t>
  </si>
  <si>
    <t xml:space="preserve"> ECCS10-0-1S
Transmitter: Alpha Con 500</t>
  </si>
  <si>
    <t xml:space="preserve"> 233E223
Transmitter: 770 Max -775-LA2</t>
  </si>
  <si>
    <t>SP3/4-CS-PHL
-3/4G-6MCIX3A</t>
  </si>
  <si>
    <t>MF-200 1/2"
 NPT F32A5005</t>
  </si>
  <si>
    <t>1-1-604
-CIT/TIT-005</t>
  </si>
  <si>
    <t>PW PRETREAMENT
2500</t>
  </si>
  <si>
    <t>מד רדוקס</t>
  </si>
  <si>
    <t>מד ספיקה</t>
  </si>
  <si>
    <t>1-1-605-CL-001</t>
  </si>
  <si>
    <t>1-1-605-ORP-001</t>
  </si>
  <si>
    <t>1-1-605-LT-001</t>
  </si>
  <si>
    <t>1-1-605-TT-002</t>
  </si>
  <si>
    <t>1-1-605-QIT-001</t>
  </si>
  <si>
    <t>604-CIT-004</t>
  </si>
  <si>
    <t>1-1-605-TT-001</t>
  </si>
  <si>
    <t>1-1-605-PS-001</t>
  </si>
  <si>
    <t>Prominent</t>
  </si>
  <si>
    <t>Sensor: Metler Toledo
Transmitter: EUTECH INSTRUMENT</t>
  </si>
  <si>
    <t>מדיד</t>
  </si>
  <si>
    <t>ELCON</t>
  </si>
  <si>
    <t xml:space="preserve">
Transmitter: E+H </t>
  </si>
  <si>
    <t>ARAD DALIA</t>
  </si>
  <si>
    <t xml:space="preserve">E+H </t>
  </si>
  <si>
    <t xml:space="preserve">Sensor: CLE3-DMT-5ppm
Transmitter: DMT AW 090C10E000 </t>
  </si>
  <si>
    <t>Sensor: Pt4805-DPA-SC-S8
Transmiter: ALPHA pH500</t>
  </si>
  <si>
    <t>FL052L</t>
  </si>
  <si>
    <t>PT-100 TH-39</t>
  </si>
  <si>
    <t>Sensor: PT-100
Transmitter:TMT 121</t>
  </si>
  <si>
    <t>M20 REED-SWITCH</t>
  </si>
  <si>
    <t>PW STORAGE
2500</t>
  </si>
  <si>
    <t>1-1-605-TE-002</t>
  </si>
  <si>
    <t>1-1-606-LT-002</t>
  </si>
  <si>
    <t>1-1-606-TOC-001</t>
  </si>
  <si>
    <t>1-1-606-PIT-007</t>
  </si>
  <si>
    <t>1-1-606-TE/TT-001</t>
  </si>
  <si>
    <t>1-1-606-TE/TT-003</t>
  </si>
  <si>
    <t>1-1-606-TE/TT-004</t>
  </si>
  <si>
    <t>1-1-606-FS-001</t>
  </si>
  <si>
    <t>E+H</t>
  </si>
  <si>
    <t xml:space="preserve"> Mettler Toledo</t>
  </si>
  <si>
    <t xml:space="preserve">Sensor: Elcon
Transmitter: E+H </t>
  </si>
  <si>
    <t>Negele</t>
  </si>
  <si>
    <t>LIQUCAP M FMI52-A1ATJJA1A1A</t>
  </si>
  <si>
    <t>5000TOC</t>
  </si>
  <si>
    <t>PMP46-RE13SBJPGD</t>
  </si>
  <si>
    <t>SENSOR: 243E223
Transmitter: 770 Max -775-LA2</t>
  </si>
  <si>
    <t>Sensor: PT-100 TH-39
Transmitter:TMT 121</t>
  </si>
  <si>
    <t>FKS 141</t>
  </si>
  <si>
    <t>משדר לחץ</t>
  </si>
  <si>
    <t>1-1-606-
CIT/TIT-001</t>
  </si>
  <si>
    <t>inpro 3253i</t>
  </si>
  <si>
    <t>1-1-27-PH-1</t>
  </si>
  <si>
    <t>אלקטרודת PH</t>
  </si>
  <si>
    <t>1-1-31-PH-1</t>
  </si>
  <si>
    <t>HARVST</t>
  </si>
  <si>
    <t>CRUDE</t>
  </si>
  <si>
    <t>MEDIA</t>
  </si>
  <si>
    <t>1-1-8-PH-1</t>
  </si>
  <si>
    <t>inpro 3250</t>
  </si>
  <si>
    <t>אלקטרודת מוליכות</t>
  </si>
  <si>
    <t>1-1-5-CIC-1</t>
  </si>
  <si>
    <t>1-1-141-CIC-1</t>
  </si>
  <si>
    <t>inpro 7100/12/425/4435 pn 52003793</t>
  </si>
  <si>
    <t>כבל מוליכות</t>
  </si>
  <si>
    <t>58 080 205</t>
  </si>
  <si>
    <t>1-1-8-CIC-1</t>
  </si>
  <si>
    <t>58 080 204</t>
  </si>
  <si>
    <t xml:space="preserve"> 58 080 005 cord ‘patch 15.2m 8p-f/10a</t>
  </si>
  <si>
    <t>כבל סמארט מד זרימה</t>
  </si>
  <si>
    <t>1-1-134-FIT-001</t>
  </si>
  <si>
    <t>1-1-134-FIT-003</t>
  </si>
  <si>
    <t>כבל PH</t>
  </si>
  <si>
    <t>CDI - 134</t>
  </si>
  <si>
    <t>ak9/10m  100 001 002 ig</t>
  </si>
  <si>
    <t>ציוד שחסר במלאי עקב החלפות</t>
  </si>
  <si>
    <t>סולונואיד (מאפשר לחץ אוויר בלוח)</t>
  </si>
  <si>
    <t>1-1-605-LSL-003</t>
  </si>
  <si>
    <t>GRUNDFOS</t>
  </si>
  <si>
    <t>מצוף ומשקולת קרמית הכולל שסתום יניקה</t>
  </si>
  <si>
    <t>ממיר פרוטוקולי תקשורת</t>
  </si>
  <si>
    <t>RedLion</t>
  </si>
  <si>
    <t>1-1-76-PLC-46</t>
  </si>
  <si>
    <t>Communication PLC</t>
  </si>
  <si>
    <t>ציוד שחסר במלאי עקב החלפות (נשלחה דרישה)</t>
  </si>
  <si>
    <t>מפסק מפלס נמוך</t>
  </si>
  <si>
    <t>1-1-605-LSL-001</t>
  </si>
  <si>
    <t>1-1-605-LSL-002</t>
  </si>
  <si>
    <t>GES</t>
  </si>
  <si>
    <t>מצוף עמיד בכימיקלים</t>
  </si>
  <si>
    <t>מיכל כלור</t>
  </si>
  <si>
    <t xml:space="preserve">מיכל SBS(יוחלף הדגם לקיבולי לאחר אישור CC) </t>
  </si>
  <si>
    <t>מפסק גובה קיבולי</t>
  </si>
  <si>
    <t>תוצאת חישוב</t>
  </si>
  <si>
    <t>המלצה : 
לרכוש / לא לרכוש</t>
  </si>
  <si>
    <t>CLW</t>
  </si>
  <si>
    <t>1-1-1-LC-1</t>
  </si>
  <si>
    <t>1-1-1-FS-1</t>
  </si>
  <si>
    <t>1-1-1-FS-2</t>
  </si>
  <si>
    <t>1-1-1-FS-3</t>
  </si>
  <si>
    <t>1-1-1-PC-1</t>
  </si>
  <si>
    <t>1-1-1-CLIC-1</t>
  </si>
  <si>
    <t>EGE</t>
  </si>
  <si>
    <t>LIQUICAP M FMI52-A1BTDJA2A1A</t>
  </si>
  <si>
    <t>ST-421-KH-A4</t>
  </si>
  <si>
    <t>30.800G</t>
  </si>
  <si>
    <t>1-1-5-LC-1</t>
  </si>
  <si>
    <t>1-1-5-TC-1</t>
  </si>
  <si>
    <t>1-1-5-LSH-1</t>
  </si>
  <si>
    <t>NaOH</t>
  </si>
  <si>
    <t xml:space="preserve">מפסק גובה </t>
  </si>
  <si>
    <t>Mettler Toledo</t>
  </si>
  <si>
    <t>Desin Instruments</t>
  </si>
  <si>
    <t xml:space="preserve"> MICROPILOT M FMR245-AETEJAA2AA</t>
  </si>
  <si>
    <t>M-400</t>
  </si>
  <si>
    <t>PT-100 CM-40</t>
  </si>
  <si>
    <t>SIGMA 807.1 ERFP</t>
  </si>
  <si>
    <t>ACID</t>
  </si>
  <si>
    <t>1-1-141-LC-1</t>
  </si>
  <si>
    <t>1-1-141-TC-1</t>
  </si>
  <si>
    <t>1-1-141-LSH-1</t>
  </si>
  <si>
    <t xml:space="preserve"> MICROPILOT M 
FMR245-AETEJAA2AA</t>
  </si>
  <si>
    <t>SIGMA 902/  ERFP</t>
  </si>
  <si>
    <t xml:space="preserve">HSW </t>
  </si>
  <si>
    <t>1-1-57-LC-1</t>
  </si>
  <si>
    <t>1-1-57-TC-2</t>
  </si>
  <si>
    <t>1-1-57-PC-1</t>
  </si>
  <si>
    <t>1-1-57-FS-1</t>
  </si>
  <si>
    <t>WFI-PRODUCTION/STORAGE</t>
  </si>
  <si>
    <t>25-LT-001</t>
  </si>
  <si>
    <t>25-PIC-1</t>
  </si>
  <si>
    <t>25-CIT-1</t>
  </si>
  <si>
    <t>25-TT-1</t>
  </si>
  <si>
    <t>25-TT-3</t>
  </si>
  <si>
    <t>Carabar M</t>
  </si>
  <si>
    <t>torenton</t>
  </si>
  <si>
    <t>Control Tec</t>
  </si>
  <si>
    <t>LEVELFLEX M FMP43-AS5TDJB21A2B</t>
  </si>
  <si>
    <t>D800AB0112A</t>
  </si>
  <si>
    <t>TMT 121</t>
  </si>
  <si>
    <t>PT-100</t>
  </si>
  <si>
    <t>DISTILLERY</t>
  </si>
  <si>
    <t>1-1-40-LC-09</t>
  </si>
  <si>
    <t>1-1-40-LS-09</t>
  </si>
  <si>
    <t>1-1-40-PT-01</t>
  </si>
  <si>
    <t>1-1-40-PT-02</t>
  </si>
  <si>
    <t>1-1-40-PT-03</t>
  </si>
  <si>
    <t>1-1-40-TT-02</t>
  </si>
  <si>
    <t>COR</t>
  </si>
  <si>
    <t>Baumer</t>
  </si>
  <si>
    <t>PBMH 25B72RA14481202000</t>
  </si>
  <si>
    <t>WFI DISTRIBUTION</t>
  </si>
  <si>
    <t>1-1-26-FS-1</t>
  </si>
  <si>
    <t>1-1-26-TT-6</t>
  </si>
  <si>
    <t>1-1-26-TCV-2</t>
  </si>
  <si>
    <t>1-1-26-TCV-1</t>
  </si>
  <si>
    <t>1-1-26-TT-3</t>
  </si>
  <si>
    <t>Contro Tech + EH</t>
  </si>
  <si>
    <t>Belimo</t>
  </si>
  <si>
    <t>SN 450/1 A4-GR</t>
  </si>
  <si>
    <t>NR C24A/SR</t>
  </si>
  <si>
    <t>משדר לחץ הפרשי</t>
  </si>
  <si>
    <t>צג לחץ</t>
  </si>
  <si>
    <t>מפסק לחץ הפרשי</t>
  </si>
  <si>
    <t>מד לחץ הפרשי</t>
  </si>
  <si>
    <t>51001-AHU-01</t>
  </si>
  <si>
    <t>1-1-51001-PDT-201</t>
  </si>
  <si>
    <t>1-1-51001-PDI-201</t>
  </si>
  <si>
    <t>1-1-51001-PDT-204</t>
  </si>
  <si>
    <t>1-1-51001-PDI-204</t>
  </si>
  <si>
    <t>1-1-51001-PDT-29</t>
  </si>
  <si>
    <t>1-1-51001-PI-29</t>
  </si>
  <si>
    <t>1-1-51001-PDT-216</t>
  </si>
  <si>
    <t>1-1-51001-PDI-216</t>
  </si>
  <si>
    <t>1-1-51001-PDT-221</t>
  </si>
  <si>
    <t>1-1-51001-PDI-221</t>
  </si>
  <si>
    <t>1-1-51001-TT-201</t>
  </si>
  <si>
    <t>1-1-51001-TT-204</t>
  </si>
  <si>
    <t>1-1-51001-TT-29</t>
  </si>
  <si>
    <t>1-1-51001-TT-216</t>
  </si>
  <si>
    <t>1-1-51001-TT-221</t>
  </si>
  <si>
    <t>1-1-51001-TIC-5</t>
  </si>
  <si>
    <t>1-1-51001-TT-224</t>
  </si>
  <si>
    <t>1-1-51001-TT-01</t>
  </si>
  <si>
    <t>1-1-51001-TTR-1</t>
  </si>
  <si>
    <t>1-1-51001-PDS-01/1</t>
  </si>
  <si>
    <t>1-1-51001-PDS-01/2</t>
  </si>
  <si>
    <t>1-1-51001-PDT-01/1</t>
  </si>
  <si>
    <t>1-1-51001-MTR-01</t>
  </si>
  <si>
    <t>Micatrone</t>
  </si>
  <si>
    <t>MEGATRON</t>
  </si>
  <si>
    <t>ROTRONIC</t>
  </si>
  <si>
    <t>ACI</t>
  </si>
  <si>
    <t>Beck</t>
  </si>
  <si>
    <t>SIEMENSE</t>
  </si>
  <si>
    <t>MF-P</t>
  </si>
  <si>
    <t>MDI-CDC-LCD</t>
  </si>
  <si>
    <t>HF3</t>
  </si>
  <si>
    <t>TT100 8"</t>
  </si>
  <si>
    <t>QBM81-5</t>
  </si>
  <si>
    <t>LP Series</t>
  </si>
  <si>
    <t>DU/RH5-D</t>
  </si>
  <si>
    <t>51001-AHU-02</t>
  </si>
  <si>
    <t>1-1-51001-PDT-214</t>
  </si>
  <si>
    <t>1-1-51001-PDI-214</t>
  </si>
  <si>
    <t>1-1-51001-PDT-215</t>
  </si>
  <si>
    <t>1-1-51001-PDI-215</t>
  </si>
  <si>
    <t>1-1-51001-PDT-217</t>
  </si>
  <si>
    <t>1-1-51001-PDI-217</t>
  </si>
  <si>
    <t>1-1-51001-TT-214</t>
  </si>
  <si>
    <t>1-1-51001-TT-215</t>
  </si>
  <si>
    <t>1-1-51001-TT-217</t>
  </si>
  <si>
    <t>1-1-51001-TT-02/1</t>
  </si>
  <si>
    <t>1-1-51001-TT-02/3</t>
  </si>
  <si>
    <t>1-1-51001-PDS-02/01</t>
  </si>
  <si>
    <t>1-1-51001-PDS-02/02</t>
  </si>
  <si>
    <t>1-1-51001-PDT-02/1</t>
  </si>
  <si>
    <t>Deck</t>
  </si>
  <si>
    <t>TT100-OUTSIDE</t>
  </si>
  <si>
    <t>TT100-4"</t>
  </si>
  <si>
    <t>A-LP-3-10-E</t>
  </si>
  <si>
    <t>51001-AHU-03</t>
  </si>
  <si>
    <t>משדר לחות</t>
  </si>
  <si>
    <t>1-1-51001-PDT-200</t>
  </si>
  <si>
    <t>1-1-51001-PDI-200</t>
  </si>
  <si>
    <t>1-1-51001-TT-200</t>
  </si>
  <si>
    <t>1-1-51001-TIC-200-01</t>
  </si>
  <si>
    <t>1-1-51001-PDT-03/1</t>
  </si>
  <si>
    <t>1-1-51001-PDS-03/1</t>
  </si>
  <si>
    <t>1-1-51001-PDS-03/2</t>
  </si>
  <si>
    <t>1-1-51001-TT-03</t>
  </si>
  <si>
    <t>1-1-51001-TTR-03</t>
  </si>
  <si>
    <t>1-1-51001-MTR-03</t>
  </si>
  <si>
    <t>Millan</t>
  </si>
  <si>
    <t>PRETREATMENT SYSTEM</t>
  </si>
  <si>
    <t>SW SYSTEM</t>
  </si>
  <si>
    <t>RO PRODUCTION</t>
  </si>
  <si>
    <t>CDI</t>
  </si>
  <si>
    <t>1-1-131-CLIC-1</t>
  </si>
  <si>
    <t>1-1-131-TIC-1</t>
  </si>
  <si>
    <t>1-1-131-LIC-1</t>
  </si>
  <si>
    <t>1-1-131-CIT 1</t>
  </si>
  <si>
    <t>1-1-131-PS-1</t>
  </si>
  <si>
    <t>1-1-131-LSL-1</t>
  </si>
  <si>
    <t>1-1-131-QIC-1</t>
  </si>
  <si>
    <t>1-1-131-QIT-1</t>
  </si>
  <si>
    <t>1-1-131-QIC-2</t>
  </si>
  <si>
    <t>1-1-131-QIT-2</t>
  </si>
  <si>
    <t>1-1-131-QIC-3</t>
  </si>
  <si>
    <t>1-1-131-QIT-3</t>
  </si>
  <si>
    <t>1-1-2010-TI-513</t>
  </si>
  <si>
    <t>1-1-132-ORP-1</t>
  </si>
  <si>
    <t>1-1-132-LIC-1</t>
  </si>
  <si>
    <t>1-1-132-TIC-3</t>
  </si>
  <si>
    <t>1-1-132-TIC-4</t>
  </si>
  <si>
    <t>1-1-133-PIC-2</t>
  </si>
  <si>
    <t>1-1-133-PIC-6</t>
  </si>
  <si>
    <t>1-1-133-FIC-1</t>
  </si>
  <si>
    <t>1-1-133-FIC-4</t>
  </si>
  <si>
    <t>1-1-133-CIC-1</t>
  </si>
  <si>
    <t>1-1-133-TIC-1</t>
  </si>
  <si>
    <t>1-1-133-CIC-2</t>
  </si>
  <si>
    <t>1-1-133-TIC-2</t>
  </si>
  <si>
    <t>1-1-133-CIC-5</t>
  </si>
  <si>
    <t>1-1-133-TIC-5</t>
  </si>
  <si>
    <t>1-1-133-PIC-1</t>
  </si>
  <si>
    <t>1-1-133-TS-4</t>
  </si>
  <si>
    <t>1-1-133-TS-5</t>
  </si>
  <si>
    <t>1-1-133-PS-1</t>
  </si>
  <si>
    <t>1-1-133-PSL-1</t>
  </si>
  <si>
    <t>1-1-134-FIC-1</t>
  </si>
  <si>
    <t>1-1-134-FIC-3</t>
  </si>
  <si>
    <t>1-1-134-TIC-1</t>
  </si>
  <si>
    <t>1-1-134-CIC-1</t>
  </si>
  <si>
    <t>1-1-134-TIC-2</t>
  </si>
  <si>
    <t>1-1-134-CIC-2</t>
  </si>
  <si>
    <t>1-1-134-FSL-1</t>
  </si>
  <si>
    <t>1-1-134-FSL-2</t>
  </si>
  <si>
    <t>מד ומשדר טמפ'</t>
  </si>
  <si>
    <t>בקר מד טמפרטורה</t>
  </si>
  <si>
    <t xml:space="preserve">מד ובקר לחץ   </t>
  </si>
  <si>
    <t>מפסק טמפרטורה</t>
  </si>
  <si>
    <t>מפסק לחץ נמוך</t>
  </si>
  <si>
    <t xml:space="preserve"> מד טמפרטורה</t>
  </si>
  <si>
    <t>carlo gavazi</t>
  </si>
  <si>
    <t>ELCON/BD sensors</t>
  </si>
  <si>
    <t>Carlo Gavazzi</t>
  </si>
  <si>
    <t>arad dalia</t>
  </si>
  <si>
    <t>Liquid Controls Sponsler</t>
  </si>
  <si>
    <t>New Flow</t>
  </si>
  <si>
    <t xml:space="preserve">
 EUTECH INSTRUMENT</t>
  </si>
  <si>
    <t>Element : ccs140
transmitter : liquisys m
cell : flowfit cca250</t>
  </si>
  <si>
    <t>Element : cls21-c1e4a
Transmitter : liquisys m clm253-cd8005</t>
  </si>
  <si>
    <t>אפור NF PNP NO/NC קיבולי 30 מ"מ
EC3025PPAPL</t>
  </si>
  <si>
    <t>m40</t>
  </si>
  <si>
    <t>m25</t>
  </si>
  <si>
    <t>Sensor: Pt4805-DPA-SC-S8
Transmiter: ALPHA pH800</t>
  </si>
  <si>
    <t>LEVELFLEX M FMP41C-AATDKB21A2A</t>
  </si>
  <si>
    <t>PT100 TH-34
Transmitter:TMT 121</t>
  </si>
  <si>
    <t>CERABAR M PMC45</t>
  </si>
  <si>
    <t>CB012C01024</t>
  </si>
  <si>
    <t>Flowphant T DTT35-A1C111DB2AAB</t>
  </si>
  <si>
    <t>SENSOR: 233E223
Transmitter: 770 Max</t>
  </si>
  <si>
    <t>SENSOR: PT1000
Transmitter: 770 Max</t>
  </si>
  <si>
    <t>Thrmophant T TTR35-A2A111DB1AAB</t>
  </si>
  <si>
    <t>Ceraphant T PTP35-A2A13P1DB4</t>
  </si>
  <si>
    <t>SP3/4-CS-PHL-3/4G-6MCIX3A</t>
  </si>
  <si>
    <t>MF200 0.75"</t>
  </si>
  <si>
    <t>טעות, לתקן בהזדמנות</t>
  </si>
  <si>
    <t>ניתן לישם פתרון ידני</t>
  </si>
  <si>
    <t>פוגע באיכות הסביבה ולכן סומן כמשבית</t>
  </si>
  <si>
    <t>770MAX</t>
  </si>
  <si>
    <t>אנלייזר קשיות</t>
  </si>
  <si>
    <t>1-1-57-HIC-1</t>
  </si>
  <si>
    <t>AW101/.1.2.1.1</t>
  </si>
  <si>
    <t>HARVEST</t>
  </si>
  <si>
    <t>AHU-1 PILOT</t>
  </si>
  <si>
    <t>MEDIA PILOT</t>
  </si>
  <si>
    <t>FILTER PRESS PILOT</t>
  </si>
  <si>
    <t>QC LAB</t>
  </si>
  <si>
    <t>GAS  phase cell bank</t>
  </si>
  <si>
    <t>AHU-WH</t>
  </si>
  <si>
    <t>WH-B2 DEVICE MONITORING</t>
  </si>
  <si>
    <t>AHU-38</t>
  </si>
  <si>
    <t>AHU-39</t>
  </si>
  <si>
    <t>AHU-40</t>
  </si>
  <si>
    <t>AHU-N02</t>
  </si>
  <si>
    <t>AHU-N01</t>
  </si>
  <si>
    <t>Air Compressor</t>
  </si>
  <si>
    <t>CHILLER</t>
  </si>
  <si>
    <t xml:space="preserve">R&amp;D </t>
  </si>
  <si>
    <t>WH-B4 DEVICE MONITORING</t>
  </si>
  <si>
    <t>WH-B4 AHU-1</t>
  </si>
  <si>
    <t>WH-B4 AHU-2</t>
  </si>
  <si>
    <t>WH-B4 AHU-3</t>
  </si>
  <si>
    <t>WH-B4 AHU-4</t>
  </si>
  <si>
    <t>DS ייצור</t>
  </si>
  <si>
    <t>COLUMN 1</t>
  </si>
  <si>
    <t>COLUMN 2/3</t>
  </si>
  <si>
    <t>COLUMN 4/5</t>
  </si>
  <si>
    <t>1-2-3 -TI-465</t>
  </si>
  <si>
    <t>1-2- 3-TI-453</t>
  </si>
  <si>
    <t>1-2- 3-SI-1</t>
  </si>
  <si>
    <t>1-2- 3-PDI-142</t>
  </si>
  <si>
    <t>1-2- 3-PDI-143</t>
  </si>
  <si>
    <t>1-2- 3-PDI-141</t>
  </si>
  <si>
    <t>1-2- 3-PDI-148</t>
  </si>
  <si>
    <t>1-2- 3-PDI-146</t>
  </si>
  <si>
    <t>1-2- 3-PDI-145</t>
  </si>
  <si>
    <t>1-2-3-PDI-135</t>
  </si>
  <si>
    <t>1-2- 3-PDI-133</t>
  </si>
  <si>
    <t>1-2- 3-PDI-132</t>
  </si>
  <si>
    <t>1-2-3-PDI-132</t>
  </si>
  <si>
    <t xml:space="preserve"> 1-2-3-PDI-140</t>
  </si>
  <si>
    <t>1-2-3-PDI-140</t>
  </si>
  <si>
    <t>1-2-3-TIC-140</t>
  </si>
  <si>
    <t>1-2-2-TI-1</t>
  </si>
  <si>
    <t>אינקודר</t>
  </si>
  <si>
    <t>צג לחץ הפרשי</t>
  </si>
  <si>
    <t>מגטרון</t>
  </si>
  <si>
    <t>Autonics</t>
  </si>
  <si>
    <t>WIKA</t>
  </si>
  <si>
    <t>E50S8-500-2-T-24</t>
  </si>
  <si>
    <t>ACI/LCD 4-20mA</t>
  </si>
  <si>
    <t>Higroflex HF320-DB1XXXX</t>
  </si>
  <si>
    <t>PT-100 
T19.10.1P0-3</t>
  </si>
  <si>
    <t>InPro 7108/1.5" TC-VP
Cable: 58-080-205
Controller: M-400</t>
  </si>
  <si>
    <t>ZEMIC</t>
  </si>
  <si>
    <t>PH-2100e</t>
  </si>
  <si>
    <t>BM8H-C3-2.09-6B-6-AI (X3)</t>
  </si>
  <si>
    <t>XCK-M IEC/EN 60947-5-1</t>
  </si>
  <si>
    <t>1-2- 3-PDI-139</t>
  </si>
  <si>
    <t xml:space="preserve"> 1-2-3-PDI-139</t>
  </si>
  <si>
    <t>1-2-3-RHIC-139</t>
  </si>
  <si>
    <t>1-2-3-TIC-139</t>
  </si>
  <si>
    <t>1-2-3-PDI-138</t>
  </si>
  <si>
    <t xml:space="preserve"> 1-2-3-PDI-138</t>
  </si>
  <si>
    <t xml:space="preserve"> 1-2-3-RER-1</t>
  </si>
  <si>
    <t xml:space="preserve"> 1-2-3-TI-1</t>
  </si>
  <si>
    <t>1-2-3-PDI-136</t>
  </si>
  <si>
    <t>1-2-3-RHIC-136</t>
  </si>
  <si>
    <t>1-2-3-TIC-136</t>
  </si>
  <si>
    <t xml:space="preserve"> 1-2-3-PDI-134</t>
  </si>
  <si>
    <t>1-2-3-TIC-134</t>
  </si>
  <si>
    <t>1-2-3-PDIC-21</t>
  </si>
  <si>
    <t xml:space="preserve"> 1-2-3-PDIC-21</t>
  </si>
  <si>
    <t>Telemechanic</t>
  </si>
  <si>
    <t>1-2-2-CI-1</t>
  </si>
  <si>
    <t>1-2-2-WC-1</t>
  </si>
  <si>
    <t>1-2-2-PHI-1</t>
  </si>
  <si>
    <t>1-2-2-W-1</t>
  </si>
  <si>
    <t>LOAD CELL</t>
  </si>
  <si>
    <t>1-2-35-LMS-1</t>
  </si>
  <si>
    <t>1-2-35-PS-1</t>
  </si>
  <si>
    <t>1-2-35-PIC-1</t>
  </si>
  <si>
    <t>FOX</t>
  </si>
  <si>
    <t>מפסק גבול</t>
  </si>
  <si>
    <t>1-2-2010-TI-475</t>
  </si>
  <si>
    <t>1-2-2010-TI-476</t>
  </si>
  <si>
    <t>1-2-2010-TI-477</t>
  </si>
  <si>
    <t>1-2-2010-TI-471</t>
  </si>
  <si>
    <t>1-2-2010-TI-439</t>
  </si>
  <si>
    <t>1-2-2010-TI-438</t>
  </si>
  <si>
    <t>1-2-2010-TI-436</t>
  </si>
  <si>
    <t>1-2-2010-TI-437</t>
  </si>
  <si>
    <t>1-2-2010-TI-429</t>
  </si>
  <si>
    <t>1-2-2010-TI-430</t>
  </si>
  <si>
    <t>1-2-2010-TI-431</t>
  </si>
  <si>
    <t>1-2-2010-TI-432</t>
  </si>
  <si>
    <t>1-2-2010-TI-433</t>
  </si>
  <si>
    <t>1-2-2010-TI-434</t>
  </si>
  <si>
    <t>1-2-2010-TI-435</t>
  </si>
  <si>
    <t>1-2-2010-TI-467</t>
  </si>
  <si>
    <t>1-2-2010-TI-468</t>
  </si>
  <si>
    <t>1-2-2010-TI-469</t>
  </si>
  <si>
    <t>1-2-2010-TI-470</t>
  </si>
  <si>
    <t>1-2-2010-TI-398</t>
  </si>
  <si>
    <t>1-2-2010-SH-5</t>
  </si>
  <si>
    <t>1-2-2010-TI-108</t>
  </si>
  <si>
    <t>1-2-2010-TI-109</t>
  </si>
  <si>
    <t>1-2-2010-TI-315</t>
  </si>
  <si>
    <t>1-2-2010-TI-316</t>
  </si>
  <si>
    <t>1-2-2010-TI-349</t>
  </si>
  <si>
    <t>1-2-2010-TI-348</t>
  </si>
  <si>
    <t>1-2-2010-TI-347</t>
  </si>
  <si>
    <t>1-2-2010-TI-346</t>
  </si>
  <si>
    <t>1-2-2010-W-130</t>
  </si>
  <si>
    <t>1-2-2010-W-129</t>
  </si>
  <si>
    <t>1-2-2010-W-128</t>
  </si>
  <si>
    <t>1-2-2010-W-10</t>
  </si>
  <si>
    <t>1-2-2010-CO2-PI-1034</t>
  </si>
  <si>
    <t>1-2-2010-PI-134</t>
  </si>
  <si>
    <t>1-2-2010-RHI-9</t>
  </si>
  <si>
    <t>1-2-2010-TI-508</t>
  </si>
  <si>
    <t>1-2-2010-TI-402</t>
  </si>
  <si>
    <t>1-2-2010-TI-4</t>
  </si>
  <si>
    <t>1-2-2010-TI-2</t>
  </si>
  <si>
    <t>1-2-2010-TI-11</t>
  </si>
  <si>
    <t>1-2-2010-TI-356</t>
  </si>
  <si>
    <t>1-2-2010-TI-355</t>
  </si>
  <si>
    <t>1-2-2010-TI-5</t>
  </si>
  <si>
    <t>1-2-2010-TI-?</t>
  </si>
  <si>
    <t>1-2-2010-TI-10</t>
  </si>
  <si>
    <t>1-2-2010-TI-9</t>
  </si>
  <si>
    <t>1-2-2010-TI-15</t>
  </si>
  <si>
    <t>1-2-2010-TI-106</t>
  </si>
  <si>
    <t>1-2-2010-TI-107</t>
  </si>
  <si>
    <t>1-2-2010-TI-16</t>
  </si>
  <si>
    <t>1-2-2010-TI-341</t>
  </si>
  <si>
    <t>1-2-2010-TI-7</t>
  </si>
  <si>
    <t>1-2-2010-TI-12</t>
  </si>
  <si>
    <t>1-2-2010-TI-404</t>
  </si>
  <si>
    <t>1-2-2010-TI-403</t>
  </si>
  <si>
    <t>1-2-2010-TI-13</t>
  </si>
  <si>
    <t>1-2-2010-TI-8</t>
  </si>
  <si>
    <t>1-2-2010-W-131</t>
  </si>
  <si>
    <t>1-2-2010-OM-2</t>
  </si>
  <si>
    <t>1-2-51021-PIC-1</t>
  </si>
  <si>
    <t>1-2-51021-TI-1</t>
  </si>
  <si>
    <t>1-2-51021-TIC-1</t>
  </si>
  <si>
    <t>1-2-51021-HIC-1</t>
  </si>
  <si>
    <t>1-2-51021-DA-1</t>
  </si>
  <si>
    <t>1-2-51021-DA-2</t>
  </si>
  <si>
    <t>1-2-51021-TCV-1</t>
  </si>
  <si>
    <t>1-2-51021-PSH-1</t>
  </si>
  <si>
    <t>1-2-51021-PSH-2</t>
  </si>
  <si>
    <t>1-2-51021-PSH-3</t>
  </si>
  <si>
    <t>1-2-51021-FI-1</t>
  </si>
  <si>
    <t>1-2-2010-HIC-2</t>
  </si>
  <si>
    <t>1-2-2010-TIC-2</t>
  </si>
  <si>
    <t>1-2-2010-PI-4</t>
  </si>
  <si>
    <t>1-2-2010-HI-1</t>
  </si>
  <si>
    <t>1-2-2010-TI-3</t>
  </si>
  <si>
    <t>מד לחות משולב טמפ'</t>
  </si>
  <si>
    <t>מאזני שקל</t>
  </si>
  <si>
    <t>Mindman</t>
  </si>
  <si>
    <t>BW</t>
  </si>
  <si>
    <t>Drager</t>
  </si>
  <si>
    <t>Coment</t>
  </si>
  <si>
    <t>SIEMENS</t>
  </si>
  <si>
    <t>Beck.</t>
  </si>
  <si>
    <t>HF332-ST1XDXXX</t>
  </si>
  <si>
    <t>מירב 5000</t>
  </si>
  <si>
    <t>מירב 4000</t>
  </si>
  <si>
    <t>MP-10P-03-F3</t>
  </si>
  <si>
    <t>polytron 7000</t>
  </si>
  <si>
    <t>LPseries</t>
  </si>
  <si>
    <t>TT-100-D-12"-PB</t>
  </si>
  <si>
    <t>T3113 4-20ma</t>
  </si>
  <si>
    <t>NF24A</t>
  </si>
  <si>
    <t>CF24S</t>
  </si>
  <si>
    <t>Acvatix SKD 60</t>
  </si>
  <si>
    <t>RH+T</t>
  </si>
  <si>
    <t>MF-PD</t>
  </si>
  <si>
    <t>הערות</t>
  </si>
  <si>
    <t>transmitter : liquisys m CCM253-EK8005 
FLOWFIT-W CCA250</t>
  </si>
  <si>
    <t xml:space="preserve"> </t>
  </si>
  <si>
    <t>pilot monitoring</t>
  </si>
  <si>
    <t>גשש קירבה</t>
  </si>
  <si>
    <t>ראש שקילה</t>
  </si>
  <si>
    <t>בקר מד לחץ</t>
  </si>
  <si>
    <t>1-2-2010-TI-392</t>
  </si>
  <si>
    <t>1-2-2010-TI-379</t>
  </si>
  <si>
    <t>1-2-2010-TI-425</t>
  </si>
  <si>
    <t>1-2-2010-TI-426</t>
  </si>
  <si>
    <t>1-2-2010-TI-427</t>
  </si>
  <si>
    <t>1-2-2010-TI-116</t>
  </si>
  <si>
    <t>1-2-2010-TI-115</t>
  </si>
  <si>
    <t>1-2-2010-TI-119</t>
  </si>
  <si>
    <t>1-2-2010-TI-117</t>
  </si>
  <si>
    <t>1-2-2010-TI-118</t>
  </si>
  <si>
    <t>1-2-2010-TI-120</t>
  </si>
  <si>
    <t>1-2-2010-TI-121</t>
  </si>
  <si>
    <t>1-2-2010-TI-122</t>
  </si>
  <si>
    <t>1-2-2010-TI-105</t>
  </si>
  <si>
    <t>1-2-2010-TI-518</t>
  </si>
  <si>
    <t>1-2-2010-TI-484</t>
  </si>
  <si>
    <t>1-2-2010-TI-485</t>
  </si>
  <si>
    <t>1-2-2010-TI-486</t>
  </si>
  <si>
    <t>1-2-2010-TI-487</t>
  </si>
  <si>
    <t>1-2-2010-TI-488</t>
  </si>
  <si>
    <t>1-2-2010-TI-489</t>
  </si>
  <si>
    <t>1-2-2010-TI-490</t>
  </si>
  <si>
    <t>1-2-2010-TI-491</t>
  </si>
  <si>
    <t>1-2-2010-TI-492</t>
  </si>
  <si>
    <t>1-2-2010-TI-493</t>
  </si>
  <si>
    <t>1-2-2010-TI-494</t>
  </si>
  <si>
    <t>1-2-2010-PXS-10</t>
  </si>
  <si>
    <t>1-2-2010-PXS-11</t>
  </si>
  <si>
    <t>1-2-2010-PXS-9</t>
  </si>
  <si>
    <t>1-2-2010-TI-534</t>
  </si>
  <si>
    <t>1-2-2010-TI-535</t>
  </si>
  <si>
    <t>1-2-2010-W-139</t>
  </si>
  <si>
    <t>1-1-38-DPS-1</t>
  </si>
  <si>
    <t>1-1-38-DPS-2</t>
  </si>
  <si>
    <t>1-1-38-DPS-3</t>
  </si>
  <si>
    <t>1-1-38-TC-1</t>
  </si>
  <si>
    <t>1-1-38-TCV-1</t>
  </si>
  <si>
    <t>1-1-38-TCV-2</t>
  </si>
  <si>
    <t>1-1-38-HC-1</t>
  </si>
  <si>
    <t>1-1-38-PC-1</t>
  </si>
  <si>
    <t>1-1-38-FS-1</t>
  </si>
  <si>
    <t>1-1-39-TIC-2</t>
  </si>
  <si>
    <t>1-1-39-HC-2</t>
  </si>
  <si>
    <t>1-1-39-TIC-4</t>
  </si>
  <si>
    <t>1-1-39-TIC-3</t>
  </si>
  <si>
    <t>1-1-39-TIC-5</t>
  </si>
  <si>
    <t>1-1-39-TIC-1</t>
  </si>
  <si>
    <t>1-1-39-PIC-1</t>
  </si>
  <si>
    <t>1-1-39-PIC-2</t>
  </si>
  <si>
    <t>1-1-39-PIC-3</t>
  </si>
  <si>
    <t>1-1-39-PIC-4</t>
  </si>
  <si>
    <t>1-1-39-PIC-5</t>
  </si>
  <si>
    <t>1-1-39-TCV-1</t>
  </si>
  <si>
    <t>1-1-39-TCV-2</t>
  </si>
  <si>
    <t>1-1-39-FS-1</t>
  </si>
  <si>
    <t>1-1-39-FS-2</t>
  </si>
  <si>
    <t>1-1-40-TIC-1</t>
  </si>
  <si>
    <t>1-1-40-TIC-5</t>
  </si>
  <si>
    <t>1-1-40-TIC-6</t>
  </si>
  <si>
    <t>1-1-40-TIC-2</t>
  </si>
  <si>
    <t>1-1-40-HIC-2</t>
  </si>
  <si>
    <t>1-1-40-TIC-7</t>
  </si>
  <si>
    <t>1-1-40-TIC-3</t>
  </si>
  <si>
    <t>1-1-40-HC-3</t>
  </si>
  <si>
    <t>1-1-40-TIC-4</t>
  </si>
  <si>
    <t>1-1-40-HC-4</t>
  </si>
  <si>
    <t>1-1-40-TIC-10</t>
  </si>
  <si>
    <t>1-1-40-TIC-8</t>
  </si>
  <si>
    <t>1-1-40-HC-8</t>
  </si>
  <si>
    <t>1-1-40-PIC-1</t>
  </si>
  <si>
    <t>1-1-40-PIC-2</t>
  </si>
  <si>
    <t>1-1-40-PIC-3</t>
  </si>
  <si>
    <t>1-1-40-PIC-4</t>
  </si>
  <si>
    <t>1-1-40-PIC-5</t>
  </si>
  <si>
    <t>1-1-40-PIC-6</t>
  </si>
  <si>
    <t>1-1-40-PIC-8</t>
  </si>
  <si>
    <t>1-1-40-PIC-7</t>
  </si>
  <si>
    <t>1-1-40-PIC-9</t>
  </si>
  <si>
    <t>1-1-40-PIC-10</t>
  </si>
  <si>
    <t>1-1-40-TCV-1</t>
  </si>
  <si>
    <t>1-1-40-TCV-2</t>
  </si>
  <si>
    <t>1-1-40-TCV-3</t>
  </si>
  <si>
    <t>1-1-40-TCV-4</t>
  </si>
  <si>
    <t>1-1-40-FS-1</t>
  </si>
  <si>
    <t>1-1-40-FS-2</t>
  </si>
  <si>
    <t>1-1-40-FS-3</t>
  </si>
  <si>
    <t>1-1-40-FS-4</t>
  </si>
  <si>
    <t>1-1-51005-PET-N01-02</t>
  </si>
  <si>
    <t>1-1-51005-PET-N01-03</t>
  </si>
  <si>
    <t>1-1-51005-PET-N02-02</t>
  </si>
  <si>
    <t>1-1-51005-PET-N02-01</t>
  </si>
  <si>
    <t>1-1-51005-PT-N02-236-01</t>
  </si>
  <si>
    <t>1-1-51005-PT-N01-202-01</t>
  </si>
  <si>
    <t>1-1-51005-PT-N01-203-01</t>
  </si>
  <si>
    <t>1-1-51005-PT-N01-205-01</t>
  </si>
  <si>
    <t>1-1-51005-PT-N02-109-01</t>
  </si>
  <si>
    <t>1-1-51005-PT-N02-237-01</t>
  </si>
  <si>
    <t>1-1-51005-PT-N02-208-01</t>
  </si>
  <si>
    <t>1-1-51005-PT-N02-230-01</t>
  </si>
  <si>
    <t>1-1-51005-PT-N02-150-01</t>
  </si>
  <si>
    <t>1-1-51005-PT-N02-149-01</t>
  </si>
  <si>
    <t>1-1-51005-DPTE-N01-01</t>
  </si>
  <si>
    <t>1-1-51005-DPTE-N02-01</t>
  </si>
  <si>
    <t>1-1-51005-MVD-N02-01</t>
  </si>
  <si>
    <t>1-1-51005-MVD-N02-02</t>
  </si>
  <si>
    <t>1-1-51005-TT-N02-149</t>
  </si>
  <si>
    <t>1-1-51005-TT-N02-150</t>
  </si>
  <si>
    <t>1-1-51005-TT-N02-230</t>
  </si>
  <si>
    <t>1-1-51005-TT-N02-208-01</t>
  </si>
  <si>
    <t>1-1-51005-TT-N02-104</t>
  </si>
  <si>
    <t>1-1-51005-TT-N02-109</t>
  </si>
  <si>
    <t>1-1-51005-TT-N02-103</t>
  </si>
  <si>
    <t>1-1-51005-TT-N02-211</t>
  </si>
  <si>
    <t>1-1-51005-TE-N02-01</t>
  </si>
  <si>
    <t>1-1-51005-TT-N01-202</t>
  </si>
  <si>
    <t>1-1-51005-TT-N01-205</t>
  </si>
  <si>
    <t>1-1-51005-TT-N01-203</t>
  </si>
  <si>
    <t>1-1-51005-TE-N01-01</t>
  </si>
  <si>
    <t>1-1-51005-CV-N01-04</t>
  </si>
  <si>
    <t>1-1-51005-CV-N02-04</t>
  </si>
  <si>
    <t>1-1-51005-MVD-N01-01</t>
  </si>
  <si>
    <t>1-1-51005-MVD-N01-02</t>
  </si>
  <si>
    <t>1-1-51005-MVD-N01-203-01</t>
  </si>
  <si>
    <t>1-1-51005-MVD-N01-205-01</t>
  </si>
  <si>
    <t>1-1-51005-MVD-N02-149-01</t>
  </si>
  <si>
    <t>1-1-51005-MVD-N02-150-02</t>
  </si>
  <si>
    <t>1-1-51005-MVD-N02-230-01</t>
  </si>
  <si>
    <t>1-1-51005-MVD-N02-231-01</t>
  </si>
  <si>
    <t>1-1-51005-MVD-N02-208-01</t>
  </si>
  <si>
    <t>1-1-51005-MVD-N02-104-01</t>
  </si>
  <si>
    <t>1-1-51005-MVD-N02-109-01</t>
  </si>
  <si>
    <t>1-1-51005-MVD-N02-236-01</t>
  </si>
  <si>
    <t>1-1-51005-RHT-N01-01</t>
  </si>
  <si>
    <t>1-1-51005-DPS-N01-01</t>
  </si>
  <si>
    <t>1-1-51005-DPS-N01-02</t>
  </si>
  <si>
    <t>1-1-51005-DPS-N02-001</t>
  </si>
  <si>
    <t>1-1-51005-DPS-N02-002</t>
  </si>
  <si>
    <t>1-1-51005-PET-N01-01</t>
  </si>
  <si>
    <t>קונטרוטק</t>
  </si>
  <si>
    <t>SICK</t>
  </si>
  <si>
    <t>שקל</t>
  </si>
  <si>
    <t>Dwyer</t>
  </si>
  <si>
    <t>COMET</t>
  </si>
  <si>
    <t>BELIMO</t>
  </si>
  <si>
    <t>FRIGOR</t>
  </si>
  <si>
    <t>IME12-04BPSZC0S</t>
  </si>
  <si>
    <t>T32.3S</t>
  </si>
  <si>
    <t>ADPS-03</t>
  </si>
  <si>
    <t>HF4</t>
  </si>
  <si>
    <t>NR-24A-SR</t>
  </si>
  <si>
    <t>ADPS-01</t>
  </si>
  <si>
    <t>HF332SB1XDX</t>
  </si>
  <si>
    <t>930.80</t>
  </si>
  <si>
    <t>NR-24-SR</t>
  </si>
  <si>
    <t>T0213</t>
  </si>
  <si>
    <t>0155 02A</t>
  </si>
  <si>
    <t>LF24</t>
  </si>
  <si>
    <t>A/RH2</t>
  </si>
  <si>
    <t>CATIC - TT321</t>
  </si>
  <si>
    <t>TT-100-8"</t>
  </si>
  <si>
    <t>ACVITEX SQX62</t>
  </si>
  <si>
    <t>GMA 161.1E</t>
  </si>
  <si>
    <t>נגד טמפרטורה</t>
  </si>
  <si>
    <t>רגש קירבה</t>
  </si>
  <si>
    <t>מד מהירות</t>
  </si>
  <si>
    <t>1-1-41001-TCV-1</t>
  </si>
  <si>
    <t>1-1-41001-PSHL-01</t>
  </si>
  <si>
    <t>1-1-41001-TT-01</t>
  </si>
  <si>
    <t>1-1-41001-TT-2</t>
  </si>
  <si>
    <t>1-1-41001-TT-3</t>
  </si>
  <si>
    <t>1-1-41001-TT-4</t>
  </si>
  <si>
    <t>1-1-41001-TT-5</t>
  </si>
  <si>
    <t>41001-DPT-2</t>
  </si>
  <si>
    <t>41001-DPT-1</t>
  </si>
  <si>
    <t>1-1-910-FT-1</t>
  </si>
  <si>
    <t>1-1-910-FT-2</t>
  </si>
  <si>
    <t>1-1-910-TT-1</t>
  </si>
  <si>
    <t>1-1-910-TT-2</t>
  </si>
  <si>
    <t>1-1-910-TT-3</t>
  </si>
  <si>
    <t>1-1-910-TT-4</t>
  </si>
  <si>
    <t>1-1-910-TT-5</t>
  </si>
  <si>
    <t>1-1-910-TT-6</t>
  </si>
  <si>
    <t>1-1-910-FC-1</t>
  </si>
  <si>
    <t>1-1-910-FC-2</t>
  </si>
  <si>
    <t>1-1-99-TI-3</t>
  </si>
  <si>
    <t>1-1-99-TI-4</t>
  </si>
  <si>
    <t>1-1-99-FS-2</t>
  </si>
  <si>
    <t>1-2-2010-PXS-8</t>
  </si>
  <si>
    <t>1-2-2010-SIC-3</t>
  </si>
  <si>
    <t>PXS-?
יקבל תג חדש במסגרת שינוי</t>
  </si>
  <si>
    <t>1-2-2010-EN-2
יקבל תג חדש במסגרת שינוי</t>
  </si>
  <si>
    <t xml:space="preserve">1-2-2010-PXS-6
</t>
  </si>
  <si>
    <t>1-2-2010-SIC-1</t>
  </si>
  <si>
    <t>1-2-243-TI-001</t>
  </si>
  <si>
    <t>1-2-243-TI-002</t>
  </si>
  <si>
    <t>1-2-TA-33</t>
  </si>
  <si>
    <t>1-2-TA-34</t>
  </si>
  <si>
    <t>1-2-TA-35</t>
  </si>
  <si>
    <t>1-2-TA-06</t>
  </si>
  <si>
    <t>FR-21</t>
  </si>
  <si>
    <t>FR-22</t>
  </si>
  <si>
    <t>FR-27</t>
  </si>
  <si>
    <t>FR-54</t>
  </si>
  <si>
    <t>W-130</t>
  </si>
  <si>
    <t>FR-19</t>
  </si>
  <si>
    <t>IC22</t>
  </si>
  <si>
    <t>IC-13</t>
  </si>
  <si>
    <t>CO2-PS</t>
  </si>
  <si>
    <t>RE-51</t>
  </si>
  <si>
    <t>RE-61</t>
  </si>
  <si>
    <t>FR-34</t>
  </si>
  <si>
    <t>FR-8</t>
  </si>
  <si>
    <t>FR-9</t>
  </si>
  <si>
    <t>FR-7</t>
  </si>
  <si>
    <t>RE-49</t>
  </si>
  <si>
    <t>FR-10</t>
  </si>
  <si>
    <t>FR-11</t>
  </si>
  <si>
    <t>FR-14</t>
  </si>
  <si>
    <t>FR-12</t>
  </si>
  <si>
    <t>RE-25</t>
  </si>
  <si>
    <t>RE-12</t>
  </si>
  <si>
    <t>FR-15</t>
  </si>
  <si>
    <t>FR-38</t>
  </si>
  <si>
    <t>RE-13</t>
  </si>
  <si>
    <t>RE-14</t>
  </si>
  <si>
    <t>RE-15</t>
  </si>
  <si>
    <t>FR-17</t>
  </si>
  <si>
    <t>FR-18</t>
  </si>
  <si>
    <t>FR-56</t>
  </si>
  <si>
    <t>FR-24</t>
  </si>
  <si>
    <t>FR-46</t>
  </si>
  <si>
    <t>RE-8</t>
  </si>
  <si>
    <t>RE-9</t>
  </si>
  <si>
    <t>RE-20</t>
  </si>
  <si>
    <t>FR-16</t>
  </si>
  <si>
    <t>FR-20</t>
  </si>
  <si>
    <t>TI-555 ( RE-55 )</t>
  </si>
  <si>
    <t>TI-556 ( RE-56 )</t>
  </si>
  <si>
    <t>1-4-TI-29</t>
  </si>
  <si>
    <t>1-4-RHI-3</t>
  </si>
  <si>
    <t>1-4-TI-28</t>
  </si>
  <si>
    <t>1-4-RHI-4</t>
  </si>
  <si>
    <t>1-4-TI-27</t>
  </si>
  <si>
    <t>1-4-RHI-1</t>
  </si>
  <si>
    <t>1-4-TI-32</t>
  </si>
  <si>
    <t>1-4-RHI-5</t>
  </si>
  <si>
    <t>1-4-TI-31</t>
  </si>
  <si>
    <t>1-4-RHI-2</t>
  </si>
  <si>
    <t>1-4-TI-380</t>
  </si>
  <si>
    <t>1-4-TI-381</t>
  </si>
  <si>
    <t>1-4-RHI-14</t>
  </si>
  <si>
    <t>1-4-TI-37</t>
  </si>
  <si>
    <t>1-4-TI-30</t>
  </si>
  <si>
    <t>1-4-RHI-6</t>
  </si>
  <si>
    <t>1-4-TI-36</t>
  </si>
  <si>
    <t>1-4-RHI-7</t>
  </si>
  <si>
    <t>1-4-TI-514</t>
  </si>
  <si>
    <t>1-4-LSL-13</t>
  </si>
  <si>
    <t>1-4-LSL-14</t>
  </si>
  <si>
    <t>1-4-LSL-22</t>
  </si>
  <si>
    <t>1-4-LSL-23</t>
  </si>
  <si>
    <t>1-4-TI-478</t>
  </si>
  <si>
    <t>1-4- TI-479</t>
  </si>
  <si>
    <t>1-4-TI-515</t>
  </si>
  <si>
    <t>1-4- TI-516</t>
  </si>
  <si>
    <t>1-4-1-TI-24</t>
  </si>
  <si>
    <t>1-4-1-TIC-1</t>
  </si>
  <si>
    <t>1-4-1-PDIC-3</t>
  </si>
  <si>
    <t>1-4-1-PDSL-1</t>
  </si>
  <si>
    <t>1-4-1-PDSH-1</t>
  </si>
  <si>
    <t>1-4-1-PDSH-2</t>
  </si>
  <si>
    <t>1-4-1-TCV-1</t>
  </si>
  <si>
    <t>1-4-1-TI-20</t>
  </si>
  <si>
    <t>1-4-1-TI-21</t>
  </si>
  <si>
    <t>1-4-1-TI-16</t>
  </si>
  <si>
    <t>1-4-1-TI-26</t>
  </si>
  <si>
    <t>1-4-1-TI-3</t>
  </si>
  <si>
    <t>1-4-1-PDIC-6</t>
  </si>
  <si>
    <t>1-4-1-PDSL-2</t>
  </si>
  <si>
    <t>1-4-1-PDSH-5</t>
  </si>
  <si>
    <t>1-4-1-PDSH-4</t>
  </si>
  <si>
    <t>1-4-1-TCV-2</t>
  </si>
  <si>
    <t>1-4-1-TI-40</t>
  </si>
  <si>
    <t>1-4-1-AHU-3-TI-25</t>
  </si>
  <si>
    <t>1-4-1-AHU-3-TIC-5</t>
  </si>
  <si>
    <t>1-4-1-AHU-3-PDIC-9</t>
  </si>
  <si>
    <t>1-4-1-PDSL-3</t>
  </si>
  <si>
    <t>1-4-1-PDSH-7</t>
  </si>
  <si>
    <t>1-4-1-PDSH-8</t>
  </si>
  <si>
    <t>1-4-1-TCV-3</t>
  </si>
  <si>
    <t>1-4-1-TI-41</t>
  </si>
  <si>
    <t>1-4-4-TI-35</t>
  </si>
  <si>
    <t>1-4-4-PDIC-1</t>
  </si>
  <si>
    <t>1-4-4-PIC-3</t>
  </si>
  <si>
    <t>1-4-4-PDIC-5</t>
  </si>
  <si>
    <t>1-4-4-TIC-13</t>
  </si>
  <si>
    <t>1-4-4-PDSL-4</t>
  </si>
  <si>
    <t>1-4-4-PDSH-7</t>
  </si>
  <si>
    <t>1-4-4-PDSH-8</t>
  </si>
  <si>
    <t>1-4-4-TCV-4</t>
  </si>
  <si>
    <t>1-4-4-TI-33</t>
  </si>
  <si>
    <t>1-1- 2010-LSL-18</t>
  </si>
  <si>
    <t>1-1- 2010-LSL-19</t>
  </si>
  <si>
    <t>1-1-2010-EN-1</t>
  </si>
  <si>
    <t>1-1-2010-PXS-1</t>
  </si>
  <si>
    <t>1-1-81-TI-1</t>
  </si>
  <si>
    <t>1-1-81-PI-1</t>
  </si>
  <si>
    <t>1-1-56-WC-1</t>
  </si>
  <si>
    <t>1-1-56-CIC-1</t>
  </si>
  <si>
    <t>1-1-56-TC-1</t>
  </si>
  <si>
    <t>1-1-56-TC-2</t>
  </si>
  <si>
    <t>1-1-56-PC-1</t>
  </si>
  <si>
    <t>1-1-56-PC-2</t>
  </si>
  <si>
    <t>1-1-56-TCV-1</t>
  </si>
  <si>
    <t>1-1-8-WC-1</t>
  </si>
  <si>
    <t>1-1-8-TC-1</t>
  </si>
  <si>
    <t>1-1-8-TC-3</t>
  </si>
  <si>
    <t>1-1-8-PC-1</t>
  </si>
  <si>
    <t>1-1-28-WC-1</t>
  </si>
  <si>
    <t>1-1-28-WC-2</t>
  </si>
  <si>
    <t>1-1-28-TC-2</t>
  </si>
  <si>
    <t>1-1-28-CIC-2</t>
  </si>
  <si>
    <t>1-1-28-PH-2</t>
  </si>
  <si>
    <t>1-1-28-PC-2</t>
  </si>
  <si>
    <t>1-1-28-TCV-1</t>
  </si>
  <si>
    <t>1-1-28-TCV-2</t>
  </si>
  <si>
    <t>1-1-28-PC-1</t>
  </si>
  <si>
    <t>1-1-28-TC-1</t>
  </si>
  <si>
    <t>1-1-30-TC-1</t>
  </si>
  <si>
    <t>1-1-30-CIC-1</t>
  </si>
  <si>
    <t>1-1-30-PH-1</t>
  </si>
  <si>
    <t>1-1-30-WC-1</t>
  </si>
  <si>
    <t>1-1-31-WC-2</t>
  </si>
  <si>
    <t>1-1-31-WC-1</t>
  </si>
  <si>
    <t>1-1-27-WC-1</t>
  </si>
  <si>
    <t>1-1-27-PC-1</t>
  </si>
  <si>
    <t>1-1-27-TC-1</t>
  </si>
  <si>
    <t>1-1-27-CIC-1</t>
  </si>
  <si>
    <t>1-1-27-TCV-1</t>
  </si>
  <si>
    <t>1-1-27-TI-3</t>
  </si>
  <si>
    <t>1-1-27-TC-4</t>
  </si>
  <si>
    <t>1-1-27-LIC-1</t>
  </si>
  <si>
    <t>1-1-27-LSL-1</t>
  </si>
  <si>
    <t>1-1-27-SIC-1</t>
  </si>
  <si>
    <t>1-1-144-TV-WT-01</t>
  </si>
  <si>
    <t>1-1-144-TV-WC-06</t>
  </si>
  <si>
    <t>1-1-144-TV-WT-02</t>
  </si>
  <si>
    <t>1-1-144-TV-WT-03</t>
  </si>
  <si>
    <t>1-1-144-TV-WT-05</t>
  </si>
  <si>
    <t>1-1-144-TV-WT-04</t>
  </si>
  <si>
    <t>1-1-144-TV-TT-1</t>
  </si>
  <si>
    <t>1-1-144-TV-TT-2</t>
  </si>
  <si>
    <t>1-1-144-TV-TT-3</t>
  </si>
  <si>
    <t>1-1-144-TV-TT-4</t>
  </si>
  <si>
    <t>1-1-144-TV-TT-5</t>
  </si>
  <si>
    <t>1-1-144-144-TT-6</t>
  </si>
  <si>
    <t>1-1-144-TV-PHT/I-1</t>
  </si>
  <si>
    <t>1-1-144-TV-PHT/I-3</t>
  </si>
  <si>
    <t>1-1-144-TV-PHT/I-4</t>
  </si>
  <si>
    <t>1-1-144-TV-PHT/I-6</t>
  </si>
  <si>
    <t>1-1-144-TV-CONDT/I-1</t>
  </si>
  <si>
    <t>1-1-144-TV-CONDT/I-4</t>
  </si>
  <si>
    <t>1-1-144-TV-CONDT/I-3</t>
  </si>
  <si>
    <t>1-1-144-TV-CONDT/I-6</t>
  </si>
  <si>
    <t>1-1-144-PT-1</t>
  </si>
  <si>
    <t>1-1-144-PT-2</t>
  </si>
  <si>
    <t>1-1-3-WC-1</t>
  </si>
  <si>
    <t>1-1-3-WC-2</t>
  </si>
  <si>
    <t>1-1-3-TC-1</t>
  </si>
  <si>
    <t>1-1-3-PH-1</t>
  </si>
  <si>
    <t>1-1-3-CIC-1</t>
  </si>
  <si>
    <t>1-1-3-PC-1</t>
  </si>
  <si>
    <t>1-1-3-TC-2</t>
  </si>
  <si>
    <t>1-1-3-PH-2</t>
  </si>
  <si>
    <t>1-1-3-CIC-2</t>
  </si>
  <si>
    <t>1-1-3-TCV-1</t>
  </si>
  <si>
    <t>1-1-4-WC-1</t>
  </si>
  <si>
    <t>1-1-4-WC-2</t>
  </si>
  <si>
    <t>1-1-4-TC-1</t>
  </si>
  <si>
    <t>1-1-4-CIC-1</t>
  </si>
  <si>
    <t>1-1-4-PH-1</t>
  </si>
  <si>
    <t>1-1-4-PC-1</t>
  </si>
  <si>
    <t>1-1-4-TC-2</t>
  </si>
  <si>
    <t>SMC</t>
  </si>
  <si>
    <t>ISE 30</t>
  </si>
  <si>
    <t>Mescon</t>
  </si>
  <si>
    <t>PT100 TH</t>
  </si>
  <si>
    <t>Rotronic</t>
  </si>
  <si>
    <t>HygroFlex</t>
  </si>
  <si>
    <t>QAE 2120-010</t>
  </si>
  <si>
    <t>PT100</t>
  </si>
  <si>
    <t>FLOW-X3</t>
  </si>
  <si>
    <t>F3.00.H</t>
  </si>
  <si>
    <t>MADO-FLS-AO</t>
  </si>
  <si>
    <t>TT-100-I-4"-PB-NW</t>
  </si>
  <si>
    <t>FengShen Refringeration</t>
  </si>
  <si>
    <t>FSF50P-1</t>
  </si>
  <si>
    <t>johnson control</t>
  </si>
  <si>
    <t>עלה</t>
  </si>
  <si>
    <t>PR18-5DP</t>
  </si>
  <si>
    <t>E50S8-500-3-T-24</t>
  </si>
  <si>
    <t xml:space="preserve">PR18-5DP
</t>
  </si>
  <si>
    <t>Custom Biogenic system</t>
  </si>
  <si>
    <t>LA-2B</t>
  </si>
  <si>
    <t>PT-101</t>
  </si>
  <si>
    <t>Hygroflex</t>
  </si>
  <si>
    <t>Controtec.</t>
  </si>
  <si>
    <t>Micatron</t>
  </si>
  <si>
    <t>Micaflex MF-P</t>
  </si>
  <si>
    <t>NVG-24-MFT</t>
  </si>
  <si>
    <t>custom biogenic systems</t>
  </si>
  <si>
    <t>AUTONICS</t>
  </si>
  <si>
    <t>new flow</t>
  </si>
  <si>
    <t>AY-QS A 4 120mm c0-100c</t>
  </si>
  <si>
    <t>wika</t>
  </si>
  <si>
    <t>233.50.063</t>
  </si>
  <si>
    <t>REVERE</t>
  </si>
  <si>
    <t xml:space="preserve">RLC </t>
  </si>
  <si>
    <t>Inpro 7108 1.5"TC 5200800 
M400</t>
  </si>
  <si>
    <t>CERABAR M PMP46-RE17P1JPDGD</t>
  </si>
  <si>
    <t xml:space="preserve">NR-24A-SR </t>
  </si>
  <si>
    <t>TEDEA</t>
  </si>
  <si>
    <t>Inpro 3253/120/PT100
pH2100</t>
  </si>
  <si>
    <t>Inpro 7108 1.5"TC 5200800 
cond 7100e</t>
  </si>
  <si>
    <t>Inpro 3253I/SV/120
M400</t>
  </si>
  <si>
    <t>CERABAR M PMP46-RE13SVJPDGD</t>
  </si>
  <si>
    <t>NR-24A-RS</t>
  </si>
  <si>
    <t>מצוף רציף</t>
  </si>
  <si>
    <t>LIQUIPHANT M FL50</t>
  </si>
  <si>
    <t>p+f</t>
  </si>
  <si>
    <t>KFD2-UFC-EX1.D</t>
  </si>
  <si>
    <t>T32.1S.01S-Z</t>
  </si>
  <si>
    <t>Inpro 3253/120/PT100
pH2100e</t>
  </si>
  <si>
    <t>BM11-C3-50KG-3B-SC</t>
  </si>
  <si>
    <t>M400</t>
  </si>
  <si>
    <t>סעפת 20 ברז (מפעיל)ים</t>
  </si>
  <si>
    <t>ברז (מפעיל) בקרה מים קרים תלת דרכי</t>
  </si>
  <si>
    <t>ברז (מפעיל) בקרה</t>
  </si>
  <si>
    <t>מיכל שטיפת ברז (מפעיל)י
 דגימה בייצור</t>
  </si>
  <si>
    <t>רגש קירבה גיבוי לאינדיקציה לסיבוב</t>
  </si>
  <si>
    <t>ברז בקרה (מפעיל)</t>
  </si>
  <si>
    <t>1-2-3-TCV-1</t>
  </si>
  <si>
    <t>SIMENS</t>
  </si>
  <si>
    <t>לא לרכוש</t>
  </si>
  <si>
    <t>1-1-25-TOC-1</t>
  </si>
  <si>
    <t xml:space="preserve">אלקטרודת מוליכות </t>
  </si>
  <si>
    <t>מד כלור</t>
  </si>
  <si>
    <t>משדר תדר למהירות</t>
  </si>
  <si>
    <t>משדר מוליכות</t>
  </si>
  <si>
    <t>E+H-משדר
סנסור-מגטרון</t>
  </si>
  <si>
    <t>TMT122-משדר
PT100-סנסור</t>
  </si>
  <si>
    <t>משדר PH</t>
  </si>
  <si>
    <t>משדר חמצן</t>
  </si>
  <si>
    <t xml:space="preserve">משדר לחץ הפרשי </t>
  </si>
  <si>
    <t>משדר נק' הטל</t>
  </si>
  <si>
    <t xml:space="preserve">משדר לחות </t>
  </si>
  <si>
    <t>משדר נקודת טל</t>
  </si>
  <si>
    <t>משדר תדר</t>
  </si>
  <si>
    <t>משדר+PT-100</t>
  </si>
  <si>
    <t xml:space="preserve">משדר לחץ   </t>
  </si>
  <si>
    <t>Controtec</t>
  </si>
  <si>
    <t>כמות נדרשת למלאי</t>
  </si>
  <si>
    <t>SENSOR: 233E223
Transmitter: 770 Max -775-LA2</t>
  </si>
  <si>
    <t xml:space="preserve">ברז (מפעיל) בקרה </t>
  </si>
  <si>
    <t>Comet</t>
  </si>
  <si>
    <t>כמות מאותו דגם</t>
  </si>
  <si>
    <t xml:space="preserve">סולונואיד </t>
  </si>
  <si>
    <t>N/A</t>
  </si>
  <si>
    <t>WEIMULLER</t>
  </si>
  <si>
    <t>MRS24Vdc</t>
  </si>
  <si>
    <t>ממסר 24Vdc</t>
  </si>
  <si>
    <t>smc</t>
  </si>
  <si>
    <t>3/2 sq1a31n</t>
  </si>
  <si>
    <t xml:space="preserve">סעפת אוויר </t>
  </si>
  <si>
    <t>OMRON</t>
  </si>
  <si>
    <t>G2R-1-SNI</t>
  </si>
  <si>
    <t>משדר+PT-100 ס"מ ראש ת</t>
  </si>
  <si>
    <t>PT-100 ס"מ 3</t>
  </si>
  <si>
    <t>PT-100 ס"מ 4</t>
  </si>
  <si>
    <t>PT-100 ס"מ 5</t>
  </si>
  <si>
    <t>PT-100 ס"מ 6</t>
  </si>
  <si>
    <t>PT-100 ס"מ 7</t>
  </si>
  <si>
    <t>PT-100 ס"מ 8</t>
  </si>
  <si>
    <t>PT-100 ס"מ 9</t>
  </si>
  <si>
    <t>PT-100 ס"מ 10</t>
  </si>
  <si>
    <t>PT-100 ס"מ 11</t>
  </si>
  <si>
    <t>PT-100 ס"מ 12</t>
  </si>
  <si>
    <t>PT-100 ס"מ 13</t>
  </si>
  <si>
    <t>PT-100 ס"מ 14</t>
  </si>
  <si>
    <t>PT-100 ס"מ 15</t>
  </si>
  <si>
    <t>PT-100 ס"מ 16</t>
  </si>
  <si>
    <t xml:space="preserve">נמצא במחסן אחזקה גג </t>
  </si>
  <si>
    <t>MICATRONE</t>
  </si>
  <si>
    <t>MF-P 0-1000PA</t>
  </si>
  <si>
    <t>מתמר טמפרטורה</t>
  </si>
  <si>
    <t xml:space="preserve">                               רשימת חלקי חילוף מכשור ובקרה במלאי</t>
  </si>
  <si>
    <t>מתמר PH</t>
  </si>
  <si>
    <t>מזקקת</t>
  </si>
  <si>
    <t>SAX61.03</t>
  </si>
  <si>
    <t>ACVITEX SKD60</t>
  </si>
  <si>
    <t>מפעיל לברז בקרה</t>
  </si>
  <si>
    <t>מד מסה</t>
  </si>
  <si>
    <t>MICRO MOSHION</t>
  </si>
  <si>
    <t xml:space="preserve">הוזמן עבור הפיילוט (פרויקט בוטל)נמצא במחסן אחזקה גג </t>
  </si>
  <si>
    <t>H100S138NQBZEZZZZ+1700R12ABZEZZZ</t>
  </si>
  <si>
    <t>TOC</t>
  </si>
  <si>
    <t xml:space="preserve">Inpro 7108 1.5"TC 5200800 
</t>
  </si>
  <si>
    <t xml:space="preserve">233E223
</t>
  </si>
  <si>
    <t>TMT121</t>
  </si>
  <si>
    <t>מתמר לחץ הפרשי</t>
  </si>
  <si>
    <t>מתמר לחץ</t>
  </si>
  <si>
    <t>מתמר זרימה</t>
  </si>
  <si>
    <t xml:space="preserve">מפעיל לברז בקרה </t>
  </si>
  <si>
    <t xml:space="preserve"> 3/212 סולונואידים כפולים</t>
  </si>
  <si>
    <t>LR24A-SR</t>
  </si>
  <si>
    <t>LF24-SR</t>
  </si>
  <si>
    <t>דמפר אש</t>
  </si>
  <si>
    <t>מתמר מוליכות</t>
  </si>
  <si>
    <t>מפסק מפלס</t>
  </si>
  <si>
    <t>מד לחות משולב</t>
  </si>
  <si>
    <t>עדיפות ע"פ ציון משוקלל</t>
  </si>
  <si>
    <t>אלקטרודת רדוקס</t>
  </si>
  <si>
    <t>ציון משוקלל (זמן אספקה * מופעים * מחיר)</t>
  </si>
  <si>
    <t>maindman</t>
  </si>
  <si>
    <t>1.5" חיבור אחורי 1/8 0-4באר</t>
  </si>
  <si>
    <t>1.5" חיבור אחורי 1/8 0-10באר</t>
  </si>
  <si>
    <t>1.5" חיבור אחורי 1/8 - 0.. ..1-באר</t>
  </si>
  <si>
    <t>1.5tri-clamp 0-6bar</t>
  </si>
  <si>
    <t>1.5tri-clamp 0-10bar</t>
  </si>
  <si>
    <r>
      <t>0-100</t>
    </r>
    <r>
      <rPr>
        <sz val="11"/>
        <color theme="1"/>
        <rFont val="Calibri"/>
        <family val="2"/>
      </rPr>
      <t>°c</t>
    </r>
    <r>
      <rPr>
        <sz val="11"/>
        <color theme="1"/>
        <rFont val="Calibri"/>
        <family val="2"/>
        <scheme val="minor"/>
      </rPr>
      <t xml:space="preserve">  1/2" npt</t>
    </r>
  </si>
  <si>
    <t>[תשתיות כללי]</t>
  </si>
  <si>
    <t>[יצור]</t>
  </si>
  <si>
    <t>[תשתיות -5000]</t>
  </si>
  <si>
    <t>[QC+יצור+פיילוט]</t>
  </si>
  <si>
    <t>[תשתיות -2500]</t>
  </si>
  <si>
    <t>[תשתיות+יצור+פילוט] מספר מופעים במפעל</t>
  </si>
  <si>
    <t>[CIP - יצור]</t>
  </si>
  <si>
    <t>[פיילוט]</t>
  </si>
  <si>
    <t>[מחסן]</t>
  </si>
  <si>
    <t>[PW פיילוט]</t>
  </si>
  <si>
    <t xml:space="preserve"> זמן אספקה (בחודשים)</t>
  </si>
  <si>
    <t>CERABAR M PMP46-RE13SBJPDGD</t>
  </si>
  <si>
    <t>מנורת UV TOC</t>
  </si>
  <si>
    <t>ספק כח מנורת UV</t>
  </si>
  <si>
    <t>Inpro7100/12/425/4435</t>
  </si>
  <si>
    <t>סליל דגימה</t>
  </si>
  <si>
    <t xml:space="preserve">[ייצור]קרוד,קציר , קולונות 2/3, קולונות 4/5, [תשתיות -5000] 133-PIC-1,2,6
מדי הלחץ משמשים להגנה על משאבות, מפסיקים את פעולת המשאבה. המשמעות היא שבמקרה של כשל תופסק העבודה בכל אחת מהמערכות הנ"ל
</t>
  </si>
  <si>
    <t>[ייצור] עצירת צינטרפוגה. המשמעות היא שבמקרה של כשל תופסק העבודה בצנטריפוגה</t>
  </si>
  <si>
    <t xml:space="preserve">[תשתיות -CIP] CLW HSWלא תתאפשר עבודה עם ומול המיכלים 1-1-1-LC-1 1-1-57-LC-1. המשמעות היא שלא ניתן יהיה להכין HSW או תמיסת NaOH לטובת CIP ביצור ולכן לא ניתן יהיה לבצע CIP
</t>
  </si>
  <si>
    <t>WFI-PRODUCTION/STORAGE לא תתאפשר עבודה עם ומול מיכל 25-LT-001. המשמעות היא שהמערכת שמייצרת ומספקת WFI לא תוכל להמשיך לעבוד</t>
  </si>
  <si>
    <t>[תשתיות -5000] SW SYSTEM  1-1-132-LIC-1 לא תתאפשר עבודה עם ומול
 מיכל זה. המשמעות היא שמערכת PW 5000 לא תוכל לעבוד</t>
  </si>
  <si>
    <t>[תשתיות -CIP] לא תתפשר עבודה עם ומול מיכלי NaOH 141 ו 5 (מיכל NaOH מרוכז -מיכל NaOH המכיל תמיסה מדוללת). המשמעות היא שלא ניתן יהיה להכין תמיסת NaOH לטובת CIP ביצור ולכן לא ניתן יהיה לבצע CIP</t>
  </si>
  <si>
    <t xml:space="preserve">נשלחה הזמנה ל e+h </t>
  </si>
  <si>
    <t xml:space="preserve">                               רשימת חלקי חילוף מכשור לרכישה </t>
  </si>
  <si>
    <t xml:space="preserve"> הערכת מחיר ב₪</t>
  </si>
  <si>
    <t xml:space="preserve">[תשתיות -5000]FESTO 529027 C172 (SDE5 D10-FP-Q6E-P-K   </t>
  </si>
  <si>
    <t>[תשתיות -אוויר דחוס]  QAE2120.010
Including protection pocket with threaded nipple G ½ A
100 mm
PN 10
LG-Ni 1000
IP42 (IP54) 2)</t>
  </si>
  <si>
    <t>https://www.downloads.siemens.com/download-center/Download.aspx?pos=download&amp;fct=getasset&amp;id1=10861</t>
  </si>
  <si>
    <t>[פיילוט] - בוכנה הידראולית של ה-FP</t>
  </si>
  <si>
    <t>InPro 3250/120/PT100</t>
  </si>
  <si>
    <t>InPro 3253i/SG/120</t>
  </si>
  <si>
    <t>InPro 3250i/SG/120</t>
  </si>
  <si>
    <t xml:space="preserve">[תשתיות כללי]            הדגם הוחלף  לSV24A-SR-TPC    , להזמין בצירוף מכתב שאין שינוי פונקציונאלי מהדגם הקודם </t>
  </si>
  <si>
    <t xml:space="preserve"> מצוף המורכב מ-3 מתגים [WFI] המצוף יוזמן ממנורז</t>
  </si>
  <si>
    <t>טבלת עזר</t>
  </si>
  <si>
    <t>מ</t>
  </si>
  <si>
    <t>עד</t>
  </si>
  <si>
    <t>מס יחידות למלאי</t>
  </si>
  <si>
    <t>האם לחשב כמות מינימום?</t>
  </si>
  <si>
    <t>מכפלת השיקולים</t>
  </si>
  <si>
    <t>מספר יחידות למלאי מחושב</t>
  </si>
  <si>
    <t>מספר יחידות למלאי לאחר דיון</t>
  </si>
  <si>
    <t xml:space="preserve">למרות כמות היחידות הרבה המותקנות, הכרטיס בעל אמינות גבוהה מאוד ולמרות זאת כנראה תהיה הפסקת יצור בקרוב ולכן ממליץ להשאר עם שתי היחידות </t>
  </si>
  <si>
    <t>ללא פעילות נוספת</t>
  </si>
  <si>
    <t>לאחר נסיון של כשל במחבר, יש 2 יחידות במלאי</t>
  </si>
  <si>
    <t>המשמעות של שתי יחידות היא שגם לאחר תקלה תישאר במלאי יחידה אחת לגיבוי, יש כרגע 3 יחידות, להשתמש באחת מהן בהזדמנות הראשונה (1500 ₪)</t>
  </si>
  <si>
    <t>למרות כמות היחידות הרבה המותקנות, המשדר בעל אמינות גבוהה מאוד לכן ממליץ להשאר עם שתי היחידות. קיימות במלאי 4 יחידות ולכן ממליץ בשתי הנותרות בהזדמנות הקרובה (1200 ₪)</t>
  </si>
  <si>
    <t xml:space="preserve">לרכוש יחידה נוספת למלאי (1000 ₪ ) </t>
  </si>
  <si>
    <t xml:space="preserve">לרכוש יחידה נוספת למלאי (1500 ₪ ) </t>
  </si>
  <si>
    <t>המכשיר אמין, יש כרגע 2 יחידות, להשתמש באחת מהן בהזדמנות הראשונה (4000 ₪)</t>
  </si>
  <si>
    <t xml:space="preserve">סה"כ לרכישה 2,500 ₪ </t>
  </si>
  <si>
    <t xml:space="preserve">סה"כ ל"זיכוי" 9,400 ₪ </t>
  </si>
  <si>
    <r>
      <t xml:space="preserve"> </t>
    </r>
    <r>
      <rPr>
        <sz val="11"/>
        <color theme="1"/>
        <rFont val="Calibri"/>
        <family val="2"/>
        <scheme val="minor"/>
      </rPr>
      <t>[תשתיות כללי]דגם SMC ISE40-01-62L תחום:-0.100-1.000MPA</t>
    </r>
  </si>
  <si>
    <r>
      <t xml:space="preserve">  [יצור] לחכות לתוצאות הבדיקה של בן צור עם האלקטרוניקה שלקח -</t>
    </r>
    <r>
      <rPr>
        <sz val="11"/>
        <color rgb="FFFFFF00"/>
        <rFont val="Calibri"/>
        <family val="2"/>
        <scheme val="minor"/>
      </rPr>
      <t xml:space="preserve">קבלנו בחזרה! </t>
    </r>
    <r>
      <rPr>
        <sz val="11"/>
        <color rgb="FFFF0000"/>
        <rFont val="Calibri"/>
        <family val="2"/>
        <scheme val="minor"/>
      </rPr>
      <t xml:space="preserve">בתאריך 28/3/2016 קבלנו חדש שלם </t>
    </r>
    <r>
      <rPr>
        <b/>
        <sz val="16"/>
        <color rgb="FFFF0000"/>
        <rFont val="Calibri"/>
        <family val="2"/>
        <scheme val="minor"/>
      </rPr>
      <t>PROFIBUS</t>
    </r>
  </si>
  <si>
    <t xml:space="preserve">צנטריפוגה  </t>
  </si>
  <si>
    <t>Sponsler</t>
  </si>
  <si>
    <t>פרויקט  TOC</t>
  </si>
  <si>
    <t>מיקום פריט</t>
  </si>
  <si>
    <t>כיולים</t>
  </si>
  <si>
    <t>CCA250-A0</t>
  </si>
  <si>
    <t>מחסן בקרה</t>
  </si>
  <si>
    <t>מפסק מפלס צנטרפוגה היצור</t>
  </si>
  <si>
    <t>באחריות צוות כיול</t>
  </si>
  <si>
    <t>RED LION</t>
  </si>
  <si>
    <t>CSMSTRLE</t>
  </si>
  <si>
    <t>Liquicap M FMI52</t>
  </si>
  <si>
    <t>משדר מפלס קיבולי</t>
  </si>
  <si>
    <t>Flowphant T DTT35</t>
  </si>
  <si>
    <t>R3040-16B3</t>
  </si>
  <si>
    <t>NR24A-MF</t>
  </si>
  <si>
    <t>SV24A-SR-TPC</t>
  </si>
  <si>
    <t>NR24A-SR</t>
  </si>
  <si>
    <t>GMA161.9E</t>
  </si>
  <si>
    <t>ברז ברזל תלת דרכי</t>
  </si>
  <si>
    <t>רק גוף</t>
  </si>
  <si>
    <t>LV24A-SZ-TPC</t>
  </si>
  <si>
    <t xml:space="preserve">צריך להזמין עבור PW PILOT יש דגם SV24A-SR-TPC זהה רק יותר חזק 1500N </t>
  </si>
  <si>
    <t>Labom</t>
  </si>
  <si>
    <t>GA2610</t>
  </si>
  <si>
    <t>PW PILOT 1500N כוח</t>
  </si>
  <si>
    <t>Cabel VP6-ST/HT     (3-meter)   52300108</t>
  </si>
  <si>
    <t>EUTECH
 INSTRUMENT
Thermo SCIENTIFIC</t>
  </si>
  <si>
    <r>
      <t xml:space="preserve">Alpha COND 500 2-wire Conductivity Transmitter
</t>
    </r>
    <r>
      <rPr>
        <b/>
        <sz val="11"/>
        <color theme="1"/>
        <rFont val="Calibri"/>
        <family val="2"/>
        <scheme val="minor"/>
      </rPr>
      <t>TSCONCTP0500</t>
    </r>
  </si>
  <si>
    <t>בית זרימה לאלקטרודת כלור</t>
  </si>
  <si>
    <t>מלאי מינימום</t>
  </si>
  <si>
    <t>דף טכני/מידע טכני</t>
  </si>
  <si>
    <t>TTR35-A2A121DB1BAB</t>
  </si>
  <si>
    <t>FMI52-A1ATJJA1A1A</t>
  </si>
  <si>
    <t>דגם/שם</t>
  </si>
  <si>
    <t>PMP55-F9J6/0</t>
  </si>
  <si>
    <t>PWP55-6N14/0</t>
  </si>
  <si>
    <t>PMP55-KJ29/0</t>
  </si>
  <si>
    <t>משדר לחץ הידרוסטטי</t>
  </si>
  <si>
    <t>FLOWFIT-W CCA250</t>
  </si>
  <si>
    <t>Liquisys M CCM253</t>
  </si>
  <si>
    <t>CCM253-EK0005</t>
  </si>
  <si>
    <t>Liquisys M CLM253</t>
  </si>
  <si>
    <t>מתמר מוליכות Conductivity</t>
  </si>
  <si>
    <t>מתמר כלור Chlorine</t>
  </si>
  <si>
    <t xml:space="preserve"> E+H </t>
  </si>
  <si>
    <t>iTemp-A31BB</t>
  </si>
  <si>
    <t>אינסטרומטריקס</t>
  </si>
  <si>
    <t>leereng.com</t>
  </si>
  <si>
    <t>מד ספיקה טורביני</t>
  </si>
  <si>
    <t>United</t>
  </si>
  <si>
    <t>P10437</t>
  </si>
  <si>
    <t>Flow sensor ST 4211 KH-A4</t>
  </si>
  <si>
    <t>מגבר-מתמר לפס DIN</t>
  </si>
  <si>
    <t>Flow amplifier</t>
  </si>
  <si>
    <t>P10530</t>
  </si>
  <si>
    <t>אין</t>
  </si>
  <si>
    <t>בקר זרימה ללא מגבר ומתמר 1/2הברגה</t>
  </si>
  <si>
    <t>Flow controller</t>
  </si>
  <si>
    <t>SN 450/1-A4-GR</t>
  </si>
  <si>
    <t>יש ישן תקין ,מפורק ע'' סלבה ואלון מחדר מים 2500 להחליף לחדש?</t>
  </si>
  <si>
    <t>GEA</t>
  </si>
  <si>
    <t>מתמר טמפרטורה מגע Clamp לצנרת</t>
  </si>
  <si>
    <t>9990-0235-751 number from GEA</t>
  </si>
  <si>
    <t>טכנו מד</t>
  </si>
  <si>
    <t>S-10</t>
  </si>
  <si>
    <t>מתמר לחץ הברגה 1/4"</t>
  </si>
  <si>
    <t>S-11</t>
  </si>
  <si>
    <t>מתמר לחץ סוג Flush</t>
  </si>
  <si>
    <t>מד לחץ נייד</t>
  </si>
  <si>
    <t>UPT-20</t>
  </si>
  <si>
    <t>T32.3S.ONI-Z</t>
  </si>
  <si>
    <t>מתמר טמפרטורה לפס DIN</t>
  </si>
  <si>
    <t>מתמר טמפרטורה טבליה</t>
  </si>
  <si>
    <t>T32.1S.OIS-Z</t>
  </si>
  <si>
    <t>אלקון</t>
  </si>
  <si>
    <t>מד לחץ נייד BAROLI</t>
  </si>
  <si>
    <t>BD SENSORS</t>
  </si>
  <si>
    <t>BAROLI 02</t>
  </si>
  <si>
    <r>
      <t>MOE-1000-0-</t>
    </r>
    <r>
      <rPr>
        <sz val="11"/>
        <color rgb="FFFF0000"/>
        <rFont val="Calibri"/>
        <family val="2"/>
        <scheme val="minor"/>
      </rPr>
      <t>B2</t>
    </r>
    <r>
      <rPr>
        <sz val="11"/>
        <color theme="1"/>
        <rFont val="Calibri"/>
        <family val="2"/>
        <scheme val="minor"/>
      </rPr>
      <t>-0K0-N40-1-1-1-1-000</t>
    </r>
  </si>
  <si>
    <t>accracy 0.125%</t>
  </si>
  <si>
    <t>accracy 0.25%</t>
  </si>
  <si>
    <r>
      <t>MOE-1000-0-</t>
    </r>
    <r>
      <rPr>
        <sz val="11"/>
        <color rgb="FFFF0000"/>
        <rFont val="Calibri"/>
        <family val="2"/>
        <scheme val="minor"/>
      </rPr>
      <t>B5</t>
    </r>
    <r>
      <rPr>
        <sz val="11"/>
        <color theme="1"/>
        <rFont val="Calibri"/>
        <family val="2"/>
        <scheme val="minor"/>
      </rPr>
      <t>-0K0-N40-1-1-1-1-000</t>
    </r>
  </si>
  <si>
    <t>מד טמפרטורה נייד</t>
  </si>
  <si>
    <t>TFR5-A906.0000.0000</t>
  </si>
  <si>
    <t>TFR5</t>
  </si>
  <si>
    <t>מודקון</t>
  </si>
  <si>
    <t>שמר</t>
  </si>
  <si>
    <t>Danfoss</t>
  </si>
  <si>
    <t>RT200</t>
  </si>
  <si>
    <t>מפסק לחץ 0.2-6  bar</t>
  </si>
  <si>
    <t>017-523766</t>
  </si>
  <si>
    <t>Contel</t>
  </si>
  <si>
    <t>QBE64-DP4</t>
  </si>
  <si>
    <t>משדר הפרש לחצים   0-4 bar 0-10 V</t>
  </si>
  <si>
    <t>מתמר טמפרטורה תעלה</t>
  </si>
  <si>
    <t>QAE2120.010</t>
  </si>
  <si>
    <t>Rotal</t>
  </si>
  <si>
    <t>LKB-01</t>
  </si>
  <si>
    <t xml:space="preserve"> CHINA</t>
  </si>
  <si>
    <t>מפסק זרימה  1" עלה</t>
  </si>
  <si>
    <t xml:space="preserve">דגם סיני פשוט עבור מי צ'ילר </t>
  </si>
  <si>
    <t>110001448353/001</t>
  </si>
  <si>
    <t>Anderson-Negele</t>
  </si>
  <si>
    <t>Manoraz</t>
  </si>
  <si>
    <t>Nuova Fima</t>
  </si>
  <si>
    <t>SP3AC-AAE7ATOSQ1</t>
  </si>
  <si>
    <t>SP3AC-AAE7ATO</t>
  </si>
  <si>
    <t>הוזמן עבור קובי PILOT . אבל קובי לא לקח CC210/17</t>
  </si>
  <si>
    <t>הוזמן עבור קובי PILOT . אבל קובי לא לקח CC210/18</t>
  </si>
  <si>
    <t>שעון לחץ צינור בורדון   0-6 Bar</t>
  </si>
  <si>
    <t>Pressure gauges</t>
  </si>
  <si>
    <t>Huba Control</t>
  </si>
  <si>
    <t>ד.סער</t>
  </si>
  <si>
    <t>מפסק לחץ הפשרי 150-1000mbar</t>
  </si>
  <si>
    <t>Differential pressure switch</t>
  </si>
  <si>
    <t>עבור צ'ילרים מחסן 4</t>
  </si>
  <si>
    <t>לא ידעה</t>
  </si>
  <si>
    <t>tecsis</t>
  </si>
  <si>
    <t>P2033B075001</t>
  </si>
  <si>
    <t>שעון לחץ צינור בורדון BSP " 0-10bar      1/4</t>
  </si>
  <si>
    <t>https://www.ontrium.com/en/usa/brands/huba-control/630-940027</t>
  </si>
  <si>
    <t>P3269B045001</t>
  </si>
  <si>
    <t>משדר לחץ       5…. 1  -Bar</t>
  </si>
  <si>
    <t>https://www.tecsis.com/fileadmin/Content/tecsis/2_Files/2_Pressure/B_Electrical_Pressure_Measurement/2_Special_Applications/de726.pdf</t>
  </si>
  <si>
    <t>P3269</t>
  </si>
  <si>
    <t>רגש מוליכות/טמפ</t>
  </si>
  <si>
    <t xml:space="preserve"> EC-CS10-0-1S</t>
  </si>
  <si>
    <t>עבור 604-CIT-001 604-CIT-002</t>
  </si>
  <si>
    <t xml:space="preserve">Thermo scientific/EUROCH </t>
  </si>
  <si>
    <t xml:space="preserve"> רגש מוליכות/טמפ</t>
  </si>
  <si>
    <t>עבור 604-CIT-001 604-CIT-002 להזמין</t>
  </si>
  <si>
    <t>Thermo SCIENTIFIC EUROTECH</t>
  </si>
  <si>
    <t>אל חמה</t>
  </si>
  <si>
    <t>PBMH25B72RA14481202000</t>
  </si>
  <si>
    <t>https://www.baumer.com/us/en/product-overview/process-sensors/pressure-measurement/with-flush-membrane/with-flush-clamping-connection/pbmh/p/35472#technicaldataid</t>
  </si>
  <si>
    <t>משדר לחץ למדידה רציפה</t>
  </si>
  <si>
    <t>Bravo</t>
  </si>
  <si>
    <t>MHF15-21NG1HSM</t>
  </si>
  <si>
    <t>רגש קרבה אופטי</t>
  </si>
  <si>
    <t>סיק ישראל</t>
  </si>
  <si>
    <t>https://www.sick.com/ag/en/fluid-sensors/level-sensors/mhf15/mhf15-21ng1hsm/p/p209844</t>
  </si>
  <si>
    <t>עבור חדר שרטים</t>
  </si>
  <si>
    <t>JUMO</t>
  </si>
  <si>
    <t>מנוזר</t>
  </si>
  <si>
    <t>Tri clamp -200-300mbar</t>
  </si>
  <si>
    <t>https://www.jumo.de/products/pressure/pressure-transmitter/404366/jumo-dtrans-p30-%E2%80%93-pressure-transmitter-404366.html</t>
  </si>
  <si>
    <t>Tri clamp  0-4Bar</t>
  </si>
  <si>
    <t>A&amp;B</t>
  </si>
  <si>
    <t>MICROLOGIX 1500</t>
  </si>
  <si>
    <t>Pressure Transmitter dTRANS p30</t>
  </si>
  <si>
    <t>Pressure Transmitter dTRANS p31</t>
  </si>
  <si>
    <t>1764-28BXB</t>
  </si>
  <si>
    <t>https://www.nhp.com.au/files/editor_upload/File/Product-Tech-Data-Sheets/176428BXB.pdf</t>
  </si>
  <si>
    <t>GALOZ</t>
  </si>
  <si>
    <t>file:///C:/Users/slavap/Downloads/Logic%20controller%20-%20Modicon%20M258_TCSESU053FN0.pdf</t>
  </si>
  <si>
    <t>TCSESU053FN0</t>
  </si>
  <si>
    <t>Ethernet TCP/IP switch</t>
  </si>
  <si>
    <t>מ.מ.א</t>
  </si>
  <si>
    <t>schneider-electric</t>
  </si>
  <si>
    <t>MicroLogix™ 1500 Processor</t>
  </si>
  <si>
    <t>מעבד</t>
  </si>
  <si>
    <t>http://www.plccenter.cn/Rockwell/docs01/wcd0000c/wcd00cef.pdf</t>
  </si>
  <si>
    <t>1769-OF2</t>
  </si>
  <si>
    <t xml:space="preserve"> Analog current and voltage output</t>
  </si>
  <si>
    <t>https://literature.rockwellautomation.com/idc/groups/literature/documents/um/1764-um001_-en-p.pdf</t>
  </si>
  <si>
    <t>https://literature.rockwellautomation.com/idc/groups/literature/documents/in/1769-in072_-en-p.pdf</t>
  </si>
  <si>
    <t>1769-IQ32</t>
  </si>
  <si>
    <t xml:space="preserve"> Sink/Source Input</t>
  </si>
  <si>
    <t>1769-IQ16</t>
  </si>
  <si>
    <t>כרטיס דיגיטלי כניסות</t>
  </si>
  <si>
    <t xml:space="preserve">כרטיס דיגיטלי יציאות </t>
  </si>
  <si>
    <t>1769-OB16</t>
  </si>
  <si>
    <t>https://literature.rockwellautomation.com/idc/groups/literature/documents/td/1769-td006_-en-p.pdf</t>
  </si>
  <si>
    <t xml:space="preserve"> source output</t>
  </si>
  <si>
    <t>MOXA</t>
  </si>
  <si>
    <t>MGate EIP3170</t>
  </si>
  <si>
    <t>https://ipc2u.com/catalog/mgateeip3170?gclid=EAIaIQobChMIlMOV7pfS4gIVipXtCh0wuwp-EAAYASAAEgLFXfD_BwE</t>
  </si>
  <si>
    <t>מתאם תקשורת RS-232/422 DF1 to Ethernet/IP</t>
  </si>
  <si>
    <t>EDCO</t>
  </si>
  <si>
    <t>1734-IB8</t>
  </si>
  <si>
    <t>https://literature.rockwellautomation.com/idc/groups/literature/documents/in/1734-in051_-en-e.pdf</t>
  </si>
  <si>
    <t>1769-ECR</t>
  </si>
  <si>
    <t>1769-IF16C</t>
  </si>
  <si>
    <t>1769-OF4</t>
  </si>
  <si>
    <t>1769-OF8C</t>
  </si>
  <si>
    <t>1769-OB8</t>
  </si>
  <si>
    <t>1769-IF4</t>
  </si>
  <si>
    <t>1769-IF8</t>
  </si>
  <si>
    <t>1734-AENT</t>
  </si>
  <si>
    <t>ser C</t>
  </si>
  <si>
    <t>1734-IE4C</t>
  </si>
  <si>
    <t>1734-IE2V</t>
  </si>
  <si>
    <t>1734-OB8E</t>
  </si>
  <si>
    <t>1734-IE2C</t>
  </si>
  <si>
    <t>1734-OE2C</t>
  </si>
  <si>
    <t>1734-OB8</t>
  </si>
  <si>
    <t>1734-OE4C</t>
  </si>
  <si>
    <t>1769-PA4</t>
  </si>
  <si>
    <t>V280-18-B20B</t>
  </si>
  <si>
    <t>V230-13-B20B</t>
  </si>
  <si>
    <t>V1210-T20BJ</t>
  </si>
  <si>
    <t>V120-22-RA22</t>
  </si>
  <si>
    <t>1769-LS32E/B  CompactLogix</t>
  </si>
  <si>
    <t>https://literature.rockwellautomation.com/idc/groups/literature/documents/um/1769-um011_-en-p.pdf</t>
  </si>
  <si>
    <t>EX-A1</t>
  </si>
  <si>
    <t>IO-TO16</t>
  </si>
  <si>
    <t>IO-DI8-RO4</t>
  </si>
  <si>
    <t>IO-DI16</t>
  </si>
  <si>
    <t>IO-AI4-AO2</t>
  </si>
  <si>
    <t>IO-PT400</t>
  </si>
  <si>
    <t>IO-AO6X</t>
  </si>
  <si>
    <t xml:space="preserve">כרטיס אנלוגי יציאות </t>
  </si>
  <si>
    <t>unitronics</t>
  </si>
  <si>
    <t>EX-RC1</t>
  </si>
  <si>
    <t>IO-LC1</t>
  </si>
  <si>
    <t>IO-LC3</t>
  </si>
  <si>
    <t>V200-19-ET2</t>
  </si>
  <si>
    <t>כרטיס תקשורת</t>
  </si>
  <si>
    <t>V200-18-E3XB</t>
  </si>
  <si>
    <t>כרטיס SNAP</t>
  </si>
  <si>
    <t>V200-18-E4XB</t>
  </si>
  <si>
    <t>V200-18-E1B</t>
  </si>
  <si>
    <t>V120-22-T1</t>
  </si>
  <si>
    <t>https://unitronicsplc.com/wp-content/uploads/2015/12/V120-22-T1-541012508.pdf</t>
  </si>
  <si>
    <t>V120-22-R1</t>
  </si>
  <si>
    <t>V120-22-R6C</t>
  </si>
  <si>
    <t>https://unitronicsplc.com/wp-content/uploads/2015/12/V120-22-R6C-541012003.pdf</t>
  </si>
  <si>
    <t>V120-22-T2C</t>
  </si>
  <si>
    <t>https://unitronicsplc.com/wp-content/uploads/2015/12/V12022T2C_DSPV120T2C_1007.pdf</t>
  </si>
  <si>
    <t>https://unitronicsplc.com/wp-content/uploads/2015/12/V120-22-RA22-541013107.pdf</t>
  </si>
  <si>
    <t>IO-ATC8</t>
  </si>
  <si>
    <t>להזמין למלאי חסר (יש לאחר תיקון אבל לא נבדק)</t>
  </si>
  <si>
    <t>Schneider-electric</t>
  </si>
  <si>
    <t>VW3A8306TF03</t>
  </si>
  <si>
    <t>מפצל Modbus network</t>
  </si>
  <si>
    <t>https://www.schneider-electric.com/en/product/VW3A8306TF03/modbus-%E2%80%9Ct%E2%80%9D-tap-off---1-x-rj45-male-and-2-x-rj45-female---cable-0.3-m/</t>
  </si>
  <si>
    <t>Mettler-Toledo Thornton</t>
  </si>
  <si>
    <t>https://www.mt.com/dam/MTPRO/PDF/BA/BA_THO_770MAX_Transmitter_EN_OM84372J.pdf</t>
  </si>
  <si>
    <t>Alerton</t>
  </si>
  <si>
    <t>Ascent Control Module</t>
  </si>
  <si>
    <t>https://alerton.com/en-US/products/BACnet/ACM/Documents/ACM%20Data%20Sheet_072517.pdf</t>
  </si>
  <si>
    <t>ALERTON 1743</t>
  </si>
  <si>
    <t>ALERTON VLC-1188</t>
  </si>
  <si>
    <t>ALERTON VLC-1600</t>
  </si>
  <si>
    <t>https://alerton.com/CatalogDocuments/LTBT-VLC-1188.pdf</t>
  </si>
  <si>
    <t>Programmable logic controlle 16 inputs</t>
  </si>
  <si>
    <t>https://alerton.com/CatalogDocuments/LTBT-VLC-1600.pdf</t>
  </si>
  <si>
    <t>בקר ALERTON</t>
  </si>
  <si>
    <t>Radion</t>
  </si>
  <si>
    <t>6ES7331-1KF02-0AB0</t>
  </si>
  <si>
    <t>https://mall.industry.siemens.com/mall/en/WW/Catalog/Product/6ES7331-1KF02-0AB0</t>
  </si>
  <si>
    <t>Analog input SM 331, Isolated 8 AI</t>
  </si>
  <si>
    <t>6ES7323-1BL00-0AA0</t>
  </si>
  <si>
    <t>Digital module SM 323, isolated, 16 DI and 16 DO</t>
  </si>
  <si>
    <t>Analog output SM 332, isolated, 4 AO, U/I</t>
  </si>
  <si>
    <t>6ES7332-5HD01-0AB0</t>
  </si>
  <si>
    <t xml:space="preserve">כרטיס אנלוגי 8AI  </t>
  </si>
  <si>
    <t>ספק כוח SIEMENS</t>
  </si>
  <si>
    <t>6ES7307-1EA01-0AA0</t>
  </si>
  <si>
    <t>https://mall.industry.siemens.com/mall/en/WW/Catalog/Product/6ES7307-1EA01-0AA0</t>
  </si>
  <si>
    <t>https://mall.industry.siemens.com/mall/en/WW/Catalog/Product/6ES7332-5HD01-0AB0</t>
  </si>
  <si>
    <t>6ES7314-6EH04-0AB0</t>
  </si>
  <si>
    <t>https://mall.industry.siemens.com/mall/en/WW/Catalog/Product/6ES7314-6EH04-0AB0</t>
  </si>
  <si>
    <t>SIMATIC S7-300, CPU 314C-2PN/DP Compact CPU with 192 KB work memory, 24 DI/16 DO, 4 AI, 2 AO, 1 Pt100, 4 high-speed counters</t>
  </si>
  <si>
    <t>בקר SIEMENS</t>
  </si>
  <si>
    <t>6AV6642-0BA01-1AX1</t>
  </si>
  <si>
    <t>https://support.industry.siemens.com/cs/products/6av6642-0ba01-1ax1/tp177b-6-pn-dp-color?pid=402682&amp;mlfb=6AV6642-0BA01-1AX1&amp;mfn=ps&amp;lc=en-WW</t>
  </si>
  <si>
    <t>בקר פנל SIEMENS Axima צ'ילרים</t>
  </si>
  <si>
    <t>TP177B PN/DP-6 CSTH</t>
  </si>
  <si>
    <t>ממיר RS-232 to RS-485</t>
  </si>
  <si>
    <t>ICP CON</t>
  </si>
  <si>
    <t>I-7520 RS-232 To RS-485 Converter</t>
  </si>
  <si>
    <t>https://www.otdl.com/7520.PDF</t>
  </si>
  <si>
    <t>I-7520 CR</t>
  </si>
  <si>
    <t>Ethernet switches 8-port</t>
  </si>
  <si>
    <t>https://www.moxa.com/en/products/industrial-network-infrastructure/ethernet-switches/layer-2-managed-switches/eds-508a-series</t>
  </si>
  <si>
    <t xml:space="preserve">ADZ NAGANO </t>
  </si>
  <si>
    <t>SML 10.0</t>
  </si>
  <si>
    <t>https://www.adz.de/pressure-transmitter-sml.html</t>
  </si>
  <si>
    <t>PEPPERL+FUCHS</t>
  </si>
  <si>
    <t>NJ5-18GK-N-150</t>
  </si>
  <si>
    <t>גשש אינדוקטיבי</t>
  </si>
  <si>
    <t>http://files.pepperl-fuchs.com/selector_files/navi/productInfo/edb/106447_eng.pdf</t>
  </si>
  <si>
    <t> VP Patch Cables 7.6 meter</t>
  </si>
  <si>
    <t> VP Patch Cables 15 meter</t>
  </si>
  <si>
    <t>כבל  אלקטרודה מוליכות</t>
  </si>
  <si>
    <t>https://www.mt.com/dam/MTPRO/PDF/BA/BA_Housing_InFit76Xe_EN_52403547_July2012.pdf</t>
  </si>
  <si>
    <t> VP Patch Cables 3 meter</t>
  </si>
  <si>
    <t>NCB2-12GM35-NO</t>
  </si>
  <si>
    <t>https://files.pepperl-fuchs.com/webcat/navi/productInfo/edb/181097_eng.pdf?v=20181212000158</t>
  </si>
  <si>
    <t>IME12-02B-N-ZWO</t>
  </si>
  <si>
    <t>https://www.sick.com/ag/en/proximity-sensors/inductive-proximity-sensors/imn/im12-02b-n-zw0/p/p232148</t>
  </si>
  <si>
    <t>עבור מחסן 2G-113    1-2-2010-RE-58 רגש דלת שמאל</t>
  </si>
  <si>
    <t>http://milan-il.com/upload_pics/File/180ATR111.pdf</t>
  </si>
  <si>
    <t>בקר טמפרטורה-טרמו סויצי</t>
  </si>
  <si>
    <t>ATR 111</t>
  </si>
  <si>
    <t>ATR11-AD</t>
  </si>
  <si>
    <t>Pixsys</t>
  </si>
  <si>
    <t>Elcon</t>
  </si>
  <si>
    <t>עבור 5000</t>
  </si>
  <si>
    <t>Dionyx</t>
  </si>
  <si>
    <t>FV-2L-G5/8 PE/V,E/C U2  Dosing Pump Repair Parts</t>
  </si>
  <si>
    <t>מק"ט יצרן/מספר הזמנה/Item
Order code and Part number</t>
  </si>
  <si>
    <t>Mettler Toledo's Thornton</t>
  </si>
  <si>
    <r>
      <t>CONDUCTIVITY SENSOR, 0.1C SS, 1.5" TRI-CLAMP, W/CERT, THORNTON</t>
    </r>
    <r>
      <rPr>
        <b/>
        <sz val="11"/>
        <color theme="1"/>
        <rFont val="Calibri"/>
        <family val="2"/>
        <scheme val="minor"/>
      </rPr>
      <t xml:space="preserve"> 58031014</t>
    </r>
  </si>
  <si>
    <t>CLM253-CD8005</t>
  </si>
  <si>
    <t>CLS21-C1E4A</t>
  </si>
  <si>
    <t>https://www.endress.com/en/search?filter.text=P7085005G00&amp;products.page=1&amp;products.fromBeginning=true</t>
  </si>
  <si>
    <t>בקרה</t>
  </si>
  <si>
    <t>מתמר לחץ עם צג לחץ אויר מדחסים גג וחדר 202</t>
  </si>
  <si>
    <t>ISE30A-01-F</t>
  </si>
  <si>
    <t>https://www.smcpneumatics.com/pdfs/ISE30.pdf</t>
  </si>
  <si>
    <r>
      <t xml:space="preserve">תחום:                       MPA  1.0  </t>
    </r>
    <r>
      <rPr>
        <sz val="11"/>
        <color theme="1"/>
        <rFont val="Arial"/>
        <family val="2"/>
      </rPr>
      <t>÷</t>
    </r>
    <r>
      <rPr>
        <sz val="11"/>
        <color theme="1"/>
        <rFont val="Calibri"/>
        <family val="2"/>
        <scheme val="minor"/>
      </rPr>
      <t xml:space="preserve"> 0.1   -</t>
    </r>
  </si>
  <si>
    <t xml:space="preserve">מפסק לחץ עם צג </t>
  </si>
  <si>
    <t xml:space="preserve">ISE40A-01-R </t>
  </si>
  <si>
    <t>https://www.smc.eu/smc/Net/EMC_DDBB/ce_documentation/data/attachments/IMM_xISE40A_TFM112GB-A.pdf</t>
  </si>
  <si>
    <t>3/2 SQ1A31N</t>
  </si>
  <si>
    <t>MP20P-03-F3</t>
  </si>
  <si>
    <t>https://www.mindman.com.tw/proimages/pdf/E_MP20.pdf</t>
  </si>
  <si>
    <t>הרשימה הזו מייצגת את כל המכשור שהיה מותקן בפרוטליקס בשנת 2015 ושימשה כרשימת הציוד לצורך החלטה על תוכנית רכישה של מלאי ח"ח מכשור.
הרשימה אינה עדכנית ולא ניתן להסתמך עליה (עמית 04/02/21)</t>
  </si>
  <si>
    <t xml:space="preserve">                             
הרשימה הזו מייצגת את כל המכשור שהיה מותקן בפרוטליקס בשנת 2015 ושימשה כמערכת שיקולים להחלטה על תוכנית רכישה של מלאי ח"ח מכשור.
הרשימה אינה עדכנית ולא ניתן להסתמך עליה (עמית 04/02/21)</t>
  </si>
  <si>
    <t>הרשימה הזו מייצגת את כל המכשור שהיה מותקן בפרוטליקס בשנת 2015 ושימשה כמערכת שיקולים להחלטה על מלאי מינימום ח"ח מכשור.
הרשימה אינה עדכנית ולא ניתן להסתמך עליה (עמית 04/02/21)</t>
  </si>
  <si>
    <t>https://www.elcon.co.il/product/baroli-series/</t>
  </si>
  <si>
    <t xml:space="preserve"> MICHELL DEW POINT</t>
  </si>
  <si>
    <t>Controtech</t>
  </si>
  <si>
    <t>https://controtec-ltd.com/%D7%9C%D7%97%D7%95%D7%AA</t>
  </si>
  <si>
    <t>MICHELL INSTRUMENTS</t>
  </si>
  <si>
    <t>EA2-TX-100</t>
  </si>
  <si>
    <t>אויר דחוס</t>
  </si>
  <si>
    <t>burket</t>
  </si>
  <si>
    <t>Technomad</t>
  </si>
  <si>
    <t>תיאור באנגלית</t>
  </si>
  <si>
    <t>תיאור פריט</t>
  </si>
  <si>
    <t>#</t>
  </si>
  <si>
    <t xml:space="preserve">כמות במלאי </t>
  </si>
  <si>
    <r>
      <t xml:space="preserve">   
 Alpha pH500 2-wire pH/ORP Transmitter
</t>
    </r>
    <r>
      <rPr>
        <b/>
        <sz val="11"/>
        <color theme="1"/>
        <rFont val="Calibri"/>
        <family val="2"/>
        <scheme val="minor"/>
      </rPr>
      <t>TSPHCTP0500</t>
    </r>
  </si>
  <si>
    <t>https://literature.rockwellautomation.com/idc/groups/literature/documents/in/1769-in015_-en-p.pdf</t>
  </si>
  <si>
    <t>https://literature.rockwellautomation.com/idc/groups/literature/documents/um/1769-um018_-en-p.pdf</t>
  </si>
  <si>
    <t>סוגר הרחבות בקר אלן ברדלי</t>
  </si>
  <si>
    <t>כרטיס 16 ערוצים כניסות זרם אנאלוגי</t>
  </si>
  <si>
    <t xml:space="preserve">כרטיס 4 ערוצים כניסות ויציאות </t>
  </si>
  <si>
    <t>https://literature.rockwellautomation.com/idc/groups/literature/documents/um/1769-um020_-en-p.pdf</t>
  </si>
  <si>
    <t>https://www-unitronicsplc-com.webpkgcache.com/doc/-/s/www.unitronicsplc.com/wp-content/uploads/2017/08/V230-280-290_03-16-Update.pdf</t>
  </si>
  <si>
    <t>PLC</t>
  </si>
  <si>
    <t xml:space="preserve">בקר מתוכנת </t>
  </si>
  <si>
    <t>לא בשימוש במפעל, קיים במלאי</t>
  </si>
  <si>
    <t>V570-57-T20B/J</t>
  </si>
  <si>
    <t>ספק 1</t>
  </si>
  <si>
    <t>ספק 2</t>
  </si>
  <si>
    <t>NA</t>
  </si>
  <si>
    <t>כרטיס הרחבה</t>
  </si>
  <si>
    <t>Expanstion unit</t>
  </si>
  <si>
    <t>להשלים למלאי מינימום</t>
  </si>
  <si>
    <t>IO card</t>
  </si>
  <si>
    <t xml:space="preserve">כרטיס  LOAD CELL </t>
  </si>
  <si>
    <t>כרטיס  LOAD CELL</t>
  </si>
  <si>
    <t>IO-DI8-TO8</t>
  </si>
  <si>
    <t>IO-RO8</t>
  </si>
  <si>
    <t xml:space="preserve">כרטיס תקשורת Unican  </t>
  </si>
  <si>
    <t>Unican adaptor</t>
  </si>
  <si>
    <t>LC card</t>
  </si>
  <si>
    <t>LAN adaptor</t>
  </si>
  <si>
    <t>SNAP IO card</t>
  </si>
  <si>
    <t>משומש - 1</t>
  </si>
  <si>
    <t>V200-18-E</t>
  </si>
  <si>
    <t>IO-RO16</t>
  </si>
  <si>
    <t>כרטיס IO</t>
  </si>
  <si>
    <t>IO-AI8</t>
  </si>
  <si>
    <t>EX-A2X</t>
  </si>
  <si>
    <t>https://www-unitronicsplc-com.webpkgcache.com/doc/-/s/www.unitronicsplc.com/wp-content/uploads/2015/12/V570-57-T20B-J_TECH-SPEC_06-12.pdf</t>
  </si>
  <si>
    <t>https://www.unitronicsplc.com/wp-content/uploads/2015/12/V1210-T20BJ_INSTALL-GUIDE_03-141.pdf</t>
  </si>
  <si>
    <t>https://unitronicsplc.com/wp-content/uploads/2015/12/V120-22-R1-541012106.pdf</t>
  </si>
  <si>
    <t>https://www.i4automation.co.uk/unitronicspdf/EX-A1%2012-24VDC.pdf</t>
  </si>
  <si>
    <t>https://www.i4automation.co.uk/unitronicspdf/EX-A2X_SPEC_12-09.pdf</t>
  </si>
  <si>
    <t>https://www.unitronicsplc.com/Documents/Vision/EXP/UG_IO-TO16.pdf</t>
  </si>
  <si>
    <t>https://www.unitronicsplc.com/Documents/Vision/EXP/UG_IO-DI8-RO4_DI8-RO4-L.pdf</t>
  </si>
  <si>
    <t>https://www.unitronicsplc.com/Documents/Vision/EXP/UG_IO-DI16_DI16-L.pdf</t>
  </si>
  <si>
    <t>https://www.unitronicsplc.com/Documents/Vision/EXP/UG_IO-RO8_RO8L.pdf</t>
  </si>
  <si>
    <t>https://www.unitronicsplc.com/Documents/Vision/EXP/UG_IO-AI4-AO2.pdf</t>
  </si>
  <si>
    <t>https://www.i4automation.co.uk/unitronicspdf/IO-DI8-TO8-L_SPEC_1-08.pdf</t>
  </si>
  <si>
    <t>https://www.pl-systems.fr/wa_files/io-pt400-4k.pdf</t>
  </si>
  <si>
    <t>https://doc.r-s-group.com/4010096-SM.pdf</t>
  </si>
  <si>
    <t>https://www.unitronicsplc.com/Documents/Vision/EXP/UG_IO-AI8.pdf</t>
  </si>
  <si>
    <t>https://www.i4automation.co.uk/unitronicspdf/IO-ATC8.pdf</t>
  </si>
  <si>
    <t>https://www.i4automation.co.uk/unitronicspdf/EX-RC1_SPEC_05-08.pdf</t>
  </si>
  <si>
    <t>https://www.i4automation.co.uk/unitronicspdf/IO-LC1%20IO-LC3.pdf</t>
  </si>
  <si>
    <t>https://www.unitronicsplc.com/Documents/Vision/Com/UG_V200-19-xxxx.pdf</t>
  </si>
  <si>
    <t>https://www.unitronicsplc.com/wp-content/uploads/2015/12/V200-18-E3XB.pdf</t>
  </si>
  <si>
    <t>https://www.i4automation.co.uk/unitronicspdf/V200-18-E4XB.pdf</t>
  </si>
  <si>
    <t>https://www.unitronicsplc.com/wp-content/uploads/2015/12/V200-18-E1.pdf</t>
  </si>
  <si>
    <t>https://www.unitronicsplc.com/Documents/Vision/EXP/UG_IO-RO16_RO16-L.pdf</t>
  </si>
  <si>
    <t>445 OLD</t>
  </si>
  <si>
    <t>CON</t>
  </si>
  <si>
    <t>מכשור או ציוד?
MGCON or MGINS</t>
  </si>
  <si>
    <t>CPU</t>
  </si>
  <si>
    <t>MMA</t>
  </si>
  <si>
    <t>CONTEL</t>
  </si>
  <si>
    <t xml:space="preserve">Ethernet Adaptor </t>
  </si>
  <si>
    <t xml:space="preserve">כרטיס תקשורת  </t>
  </si>
  <si>
    <t>POINT I/O 8 Point Digital Input Module</t>
  </si>
  <si>
    <t>End Cap</t>
  </si>
  <si>
    <t>Right End Cap</t>
  </si>
  <si>
    <t>16 Point A/I Current Module</t>
  </si>
  <si>
    <t>https://www.rockwellautomation.com/en-us/products/details.1769-OF8C.html</t>
  </si>
  <si>
    <t>8 Point 24VDC D/O Module</t>
  </si>
  <si>
    <t>https://www.rockwellautomation.com/en-us/products/details.1769-OB8.html</t>
  </si>
  <si>
    <t>https://www.rockwellautomation.com/en-us/products/details.1769-IF4.html</t>
  </si>
  <si>
    <t>https://www.rockwellautomation.com/en-us/products/details.1769-IF8.html</t>
  </si>
  <si>
    <t>https://www.rockwellautomation.com/en-us/products/details.1734-IE2V.html</t>
  </si>
  <si>
    <t>https://www.rockwellautomation.com/en-us/products/details.1734-OB8E.html</t>
  </si>
  <si>
    <t>https://www.rockwellautomation.com/en-us/products/details.1734-IE2C.html</t>
  </si>
  <si>
    <t>https://www.rockwellautomation.com/en-us/products/details.1734-OE2C.html</t>
  </si>
  <si>
    <t>https://www.rockwellautomation.com/en-us/products/details.1734-OB8.html</t>
  </si>
  <si>
    <t>https://www.rockwellautomation.com/en-us/products/details.1734-OE4C.html</t>
  </si>
  <si>
    <t>https://www.rockwellautomation.com/en-gb/products/details.1734-IE4C.html</t>
  </si>
  <si>
    <t>4 Point Analog Input Module</t>
  </si>
  <si>
    <t>2 Point Analog Input Module</t>
  </si>
  <si>
    <t>8 Point Digital Output Module</t>
  </si>
  <si>
    <t>8 Point Analog Input Module</t>
  </si>
  <si>
    <t>2 Point Analog Output Module</t>
  </si>
  <si>
    <t>4 Point Analog Output Module</t>
  </si>
  <si>
    <t>Power Supply</t>
  </si>
  <si>
    <t>ספק כוח</t>
  </si>
  <si>
    <t>https://www.rockwellautomation.com/en-us/products/details.1769-PA4.html</t>
  </si>
  <si>
    <t>1734-OE2V</t>
  </si>
  <si>
    <t>https://www.rockwellautomation.com/en-us/products/details.1734-OE2V.html</t>
  </si>
  <si>
    <t>https://www.rockwellautomation.com/en-us/products/details.1734-AENT.html</t>
  </si>
  <si>
    <t>https://www.rockwellautomation.com/en-us/products/details.1769-OB32.html</t>
  </si>
  <si>
    <t>1769-IR6</t>
  </si>
  <si>
    <t xml:space="preserve"> 6 Point  RTD Module</t>
  </si>
  <si>
    <t>CompactLogix L32E</t>
  </si>
  <si>
    <t>בקר</t>
  </si>
  <si>
    <t>32 Point 24VDC D/O Module</t>
  </si>
  <si>
    <t>4 Point A/I C and V Module</t>
  </si>
  <si>
    <t>8 Point A/O Current Module</t>
  </si>
  <si>
    <t>4 Point A/O C and V Module</t>
  </si>
  <si>
    <t>כרטיס כניסות RTD</t>
  </si>
  <si>
    <t>כרטיס 8 ערוצים כניסות זרם אנאלוגי</t>
  </si>
  <si>
    <t>כרטיס אנלוגי</t>
  </si>
  <si>
    <t>כרטיס 32 ערוצים יצאות דיגיטליות</t>
  </si>
  <si>
    <t>כרטיס 2 ערוצים יצאות אנלוגי</t>
  </si>
  <si>
    <t>1769-L32E</t>
  </si>
  <si>
    <t>https://www.rockwellautomation.com/en-us/products/details.1769-IR6.html</t>
  </si>
  <si>
    <t>https://www.rockwellautomation.com/en-us/products/details.1769-L32E.html</t>
  </si>
  <si>
    <t>1769-L33E</t>
  </si>
  <si>
    <t>https://www.rockwellautomation.com/en-us/products/details.1769-L33ER.html</t>
  </si>
  <si>
    <t>CompactLogix L33E</t>
  </si>
  <si>
    <t>PanelView</t>
  </si>
  <si>
    <t>פנל הפעלה</t>
  </si>
  <si>
    <t>2711P-RDT10C</t>
  </si>
  <si>
    <t>https://www.rockwellautomation.com/en-us/products/details.2711P-RDT10C.html</t>
  </si>
  <si>
    <t>PanelView Plus Display Module</t>
  </si>
  <si>
    <t>Programmable logic controller</t>
  </si>
  <si>
    <t>VLC-1600</t>
  </si>
  <si>
    <t>VLC-1188</t>
  </si>
  <si>
    <t>6ES7 332-5HD01-0AB0</t>
  </si>
  <si>
    <t>6ES7 323-1BL00-0AA0</t>
  </si>
  <si>
    <t>6ES7 331-1KF02-0AB0</t>
  </si>
  <si>
    <t>Analog output module</t>
  </si>
  <si>
    <t>Digital input/output</t>
  </si>
  <si>
    <t>Analog input module</t>
  </si>
  <si>
    <t>plc module</t>
  </si>
  <si>
    <t>TP177B PN/DP</t>
  </si>
  <si>
    <t>Simatic HMI</t>
  </si>
  <si>
    <t>Central Processing Unit</t>
  </si>
  <si>
    <t xml:space="preserve">Simatic S7-300 </t>
  </si>
  <si>
    <t>6ES7 314-6BH04-0AB0</t>
  </si>
  <si>
    <t>INS</t>
  </si>
  <si>
    <t>Valve Actuator</t>
  </si>
  <si>
    <t>Rotary-type actuator</t>
  </si>
  <si>
    <t>מפעיל ברז סיבובי</t>
  </si>
  <si>
    <t xml:space="preserve">מודול יציאות אנאלוגיות </t>
  </si>
  <si>
    <t>מודול כניסות/יציאות דיגטליות</t>
  </si>
  <si>
    <t>מודול כניסות אנאלוגיות</t>
  </si>
  <si>
    <t>מסך מגע</t>
  </si>
  <si>
    <t>בקר סימנס 300 ראשי</t>
  </si>
  <si>
    <t>Diff. Pressure Sensor</t>
  </si>
  <si>
    <t>Immersion Temp. Sensor</t>
  </si>
  <si>
    <t>https://www.sipatec.rs/files/uploads/SAX.pdf</t>
  </si>
  <si>
    <t>https://dienelectric.com/pdf/Siemens-QBE64-DP4-Datasheet.pdf</t>
  </si>
  <si>
    <t>https://files.kempstoncontrols.com/files/9636052e8a9e9c79113b52d6232bfb73/GMA161.9E.pdf</t>
  </si>
  <si>
    <t>https://docs.rs-online.com/4d43/0900766b8131a219.pdf</t>
  </si>
  <si>
    <t>https://www.elit.ee/docs/Automation/Siemens%20PLCs/6ES73231BL000AA0.pdf</t>
  </si>
  <si>
    <t>https://docs.rs-online.com/e311/0900766b8131a205.pdf</t>
  </si>
  <si>
    <t>https://adegis.com/media/asset/2994d077cc61cc49def56517688146967759f31e0efa29238b8a739538296436.pdf</t>
  </si>
  <si>
    <t>https://mall.industry.siemens.com/mall/en/ww/Catalog/Product/6ES7314-6BH04-0AB0</t>
  </si>
  <si>
    <t xml:space="preserve">כרטיס 8 ערוצים יציאות </t>
  </si>
  <si>
    <t>כרטיס 4 ערוצים כניסות אנלוגיות</t>
  </si>
  <si>
    <t xml:space="preserve">ספק כוח </t>
  </si>
  <si>
    <t>כרטיס 4 ערוצים ציאות אנלוגיות</t>
  </si>
  <si>
    <t>כרטיס 8 ערוצים יצאות דיגיטליות</t>
  </si>
  <si>
    <t>כרטיס 2 ערוצים כניסות זרם אנאלוגי</t>
  </si>
  <si>
    <t>כרטיס 8 ערוצים כניסות דיגיטליות</t>
  </si>
  <si>
    <t>כרטיס 2 ערוצים כניסות  אנאלוגי</t>
  </si>
  <si>
    <t>כרטיס 4 ערוצים כניסות  אנאלוגי</t>
  </si>
  <si>
    <t xml:space="preserve">כרטיס 4 ערוצים יציאות </t>
  </si>
  <si>
    <t xml:space="preserve"> 1764-LRP</t>
  </si>
  <si>
    <t>סוללה גיבוי</t>
  </si>
  <si>
    <t xml:space="preserve">Battery
</t>
  </si>
  <si>
    <t>https://hit.sbt.siemens.com/RWD/app.aspx?RC=BE&amp;lang=en&amp;MODULE=Catalog&amp;ACTION=ShowProduct&amp;KEY=BPZ%3aQAE2120.010</t>
  </si>
  <si>
    <t>419$</t>
  </si>
  <si>
    <t>190$</t>
  </si>
  <si>
    <t>390$</t>
  </si>
  <si>
    <t>227$</t>
  </si>
  <si>
    <t>342$</t>
  </si>
  <si>
    <t>249$</t>
  </si>
  <si>
    <t>185$</t>
  </si>
  <si>
    <t>115$</t>
  </si>
  <si>
    <t>56$</t>
  </si>
  <si>
    <t>1395$</t>
  </si>
  <si>
    <t>710$</t>
  </si>
  <si>
    <t>1610$</t>
  </si>
  <si>
    <t>687$</t>
  </si>
  <si>
    <t>428$$</t>
  </si>
  <si>
    <t>475$</t>
  </si>
  <si>
    <t>319$</t>
  </si>
  <si>
    <t>330$</t>
  </si>
  <si>
    <t>177$</t>
  </si>
  <si>
    <t>430$</t>
  </si>
  <si>
    <t>130$</t>
  </si>
  <si>
    <t>320$</t>
  </si>
  <si>
    <t>725$</t>
  </si>
  <si>
    <t>369$</t>
  </si>
  <si>
    <t>270$</t>
  </si>
  <si>
    <t>1150$</t>
  </si>
  <si>
    <t>3540$</t>
  </si>
  <si>
    <t>3200$</t>
  </si>
  <si>
    <t>275$</t>
  </si>
  <si>
    <t>258₪</t>
  </si>
  <si>
    <t xml:space="preserve">  Battery 1769-BA</t>
  </si>
  <si>
    <t xml:space="preserve"> 1769-BA</t>
  </si>
  <si>
    <t>https://www.rockwellautomation.com/en-tr/products/details.1769-BA.html</t>
  </si>
  <si>
    <t>POWER SUPPLY Simatic S7</t>
  </si>
  <si>
    <t>P/N: 60-5420-11</t>
  </si>
  <si>
    <t>P/N: 60-5420-10</t>
  </si>
  <si>
    <t>Pressure Transmitter</t>
  </si>
  <si>
    <t>P/N: 60-5426-11</t>
  </si>
  <si>
    <t>הערכת מחיר ב₪</t>
  </si>
  <si>
    <t>MF-PD 100PA</t>
  </si>
  <si>
    <t>MF-P 100PA</t>
  </si>
  <si>
    <t>MF-P 500PA</t>
  </si>
  <si>
    <t>MF-P 50PA</t>
  </si>
  <si>
    <t>P/N: 60-5420-14</t>
  </si>
  <si>
    <t>https://controtec-ltd.com/%D7%A8%D7%92%D7%A9-%D7%9C%D7%97%D7%A5-%D7%90%D7%95%D7%95%D7%99%D7%A8-%D7%94%D7%A4%D7%A8%D7%A9%D7%99-%D7%AA%D7%A2%D7%A9%D7%99%D7%99%D7%AA%D7%99-%D7%93%D7%99%D7%92%D7%99%D7%98%D7%9C%D7%99</t>
  </si>
  <si>
    <t>controtec</t>
  </si>
  <si>
    <t>MF-P 1000PA</t>
  </si>
  <si>
    <t>P/N: 60-5426-15</t>
  </si>
  <si>
    <t>MF-P 30PA</t>
  </si>
  <si>
    <t>כרטיס כניסות /יצאיות דיגיטליות</t>
  </si>
  <si>
    <t>Digital module DI/DO</t>
  </si>
  <si>
    <t>https://mall.industry.siemens.com/mall/en/ww/catalog/product/6es7323-1bl00-0aa0</t>
  </si>
  <si>
    <t>Touch Panel</t>
  </si>
  <si>
    <t>KIMESSA AG</t>
  </si>
  <si>
    <t>MONOline 404</t>
  </si>
  <si>
    <t>https://kimessa.com/product-overview/monoline/</t>
  </si>
  <si>
    <t>אוריונטק הנדסה בע"מ</t>
  </si>
  <si>
    <t>Oxygen detector gas concentration</t>
  </si>
  <si>
    <t>גלאי חמצן O2</t>
  </si>
  <si>
    <t xml:space="preserve">משדר מפלס RADAR </t>
  </si>
  <si>
    <t>Level, Radar</t>
  </si>
  <si>
    <t>MICROPILOT M</t>
  </si>
  <si>
    <t>FMR245-ABKDKAA2A</t>
  </si>
  <si>
    <t>https://www.afs.endress.com/en/search?filter.text=F4013A0106A&amp;ii-country=il</t>
  </si>
  <si>
    <t>FMP41C-AATDKB21A2A</t>
  </si>
  <si>
    <t>https://www.afs.endress.com/en/search?filter.text=CB02D50104E&amp;ii-country=il</t>
  </si>
  <si>
    <t>LEVELFLEX M</t>
  </si>
  <si>
    <t>Level, Guided Radar</t>
  </si>
  <si>
    <t xml:space="preserve">משדר מפלס כבל RADAR </t>
  </si>
  <si>
    <t>Liquiphant M FTL50H</t>
  </si>
  <si>
    <t>FTL50H-ATT2ADAG6B</t>
  </si>
  <si>
    <t>Level switch</t>
  </si>
  <si>
    <t>https://www.afs.endress.com/en/search?filter.text=FTL50H-ATT2ADAG6B&amp;ii-country=il</t>
  </si>
  <si>
    <t>https://www.afs.endress.com/en/search?filter.text=FMI52-A1ATJJA1A1A&amp;ii-country=il</t>
  </si>
  <si>
    <t>https://www.afs.endress.com/en/search?filter.text=P50409041C0&amp;ii-country=il</t>
  </si>
  <si>
    <t>Temperature, Transmitter</t>
  </si>
  <si>
    <t>Condumax CLS21</t>
  </si>
  <si>
    <t>https://www.afs.endress.com/en/search?filter.text=CLS21-C1E4A&amp;ii-country=il</t>
  </si>
  <si>
    <t>Conductive conductivity sensor</t>
  </si>
  <si>
    <t xml:space="preserve">אלקטרודה מוליכות </t>
  </si>
  <si>
    <t>https://www.endress.com/en/field-instruments-overview/liquid-analysis-product-overview/free-chlorine-digital-sensor-ccs51d?t.tabId=product-overview</t>
  </si>
  <si>
    <t>Memosens CCS51D</t>
  </si>
  <si>
    <t>Free chlorine sensor</t>
  </si>
  <si>
    <t>אלקטרודה כלור חופשי</t>
  </si>
  <si>
    <t>https://www.afs.endress.com/en/field-instruments-overview/liquid-analysis-product-overview/compact-transmitter-pH-conductivity-oxygen-orp-cm82?t.tabId=product-overview</t>
  </si>
  <si>
    <t>Liquiline Compact CM82</t>
  </si>
  <si>
    <t>1-channel transmitter</t>
  </si>
  <si>
    <t>משדר חד ערוצי</t>
  </si>
  <si>
    <t>Flowfit</t>
  </si>
  <si>
    <t>https://www.afs.endress.com/en/search?filter.text=CCA250-A0</t>
  </si>
  <si>
    <t>https://www.afs.endress.com/en/field-instruments-overview/liquid-analysis-product-overview/Disinfection-assembly-cca151?t.tabId=product-overview</t>
  </si>
  <si>
    <t>Flowfit CCA151</t>
  </si>
  <si>
    <t xml:space="preserve"> CCA151</t>
  </si>
  <si>
    <t>https://www.afs.endress.com/en/search?filter.text=SA028105G00</t>
  </si>
  <si>
    <t>Liquiline CM442</t>
  </si>
  <si>
    <t>CM442-2D56/0</t>
  </si>
  <si>
    <t>Analysis, Multiparameter</t>
  </si>
  <si>
    <t>משדר דו ערוצי</t>
  </si>
  <si>
    <t>Ceraphant PTP33B</t>
  </si>
  <si>
    <t>Pressure switch and 4...20 mA analog</t>
  </si>
  <si>
    <t>https://www.afs.endress.com/en/field-instruments-overview/pressure/Absolute-gauge-Ceraphant-PTP33B?t.tabId=product-specification</t>
  </si>
  <si>
    <t>https://www.afs.endress.com/en/search?filter.text=V1095805LC0</t>
  </si>
  <si>
    <t>CLS82E-1592/0</t>
  </si>
  <si>
    <t>Analysis, Conductivity</t>
  </si>
  <si>
    <t>Memosens CLS82E</t>
  </si>
  <si>
    <t>https://www.afs.endress.com/en/search?filter.text=CPS11E-1082%2F0</t>
  </si>
  <si>
    <t>Memosens CPS11E</t>
  </si>
  <si>
    <t>אלקטרודה pH</t>
  </si>
  <si>
    <t>Memosens 2.0 pH electrode</t>
  </si>
  <si>
    <t>אלקטרודה מוליכות חיבור1.5" Tri Clamp</t>
  </si>
  <si>
    <t>אלקטרודה מוליכות חיבור 2 " Tri Clamp</t>
  </si>
  <si>
    <t>CLS82D-1KA9/0</t>
  </si>
  <si>
    <t>Memosens CLS82D</t>
  </si>
  <si>
    <t>https://www.afs.endress.com/en/search?filter.text=CLS82D-1KA9%2F0&amp;t.tabId=product-overview</t>
  </si>
  <si>
    <t>Indumax CLS54D</t>
  </si>
  <si>
    <t>https://www.afs.endress.com/en/search?filter.text=W10A6C05LI1</t>
  </si>
  <si>
    <t>משדר רב פרמטרים</t>
  </si>
  <si>
    <t>Liquiline M CM42</t>
  </si>
  <si>
    <t>CM442-LAA000EAEA00</t>
  </si>
  <si>
    <t>https://www.afs.endress.com/en/search?filter.text=W102DB05G00</t>
  </si>
  <si>
    <t>אלקטרודה מוליכות בייגלה</t>
  </si>
  <si>
    <t>אלקטרודה מוליכות בייגלה חיבור 2 " Tri Clamp</t>
  </si>
  <si>
    <t>Indumax CLS50</t>
  </si>
  <si>
    <t>CLS50-A1A2</t>
  </si>
  <si>
    <t>https://www.afs.endress.com/en/search?filter.text=W1020605LI0</t>
  </si>
  <si>
    <t>Memosens data cable for all sensors</t>
  </si>
  <si>
    <t>Memosens CYK10</t>
  </si>
  <si>
    <t>CYK10-A031</t>
  </si>
  <si>
    <t xml:space="preserve"> כבל 3 מטר לחיישני  Memosens  </t>
  </si>
  <si>
    <t xml:space="preserve"> כבל 10 מטר לחיישני  Memosens  </t>
  </si>
  <si>
    <t>CYK10-A101</t>
  </si>
  <si>
    <t>https://www.afs.endress.com/en/search?filter.text=CYK10-A031</t>
  </si>
  <si>
    <t>https://www.afs.endress.com/en/search?filter.text=CYK10-A101</t>
  </si>
  <si>
    <t>CYK11-AA10AA</t>
  </si>
  <si>
    <t xml:space="preserve"> כבל 10 מטר מעריךחיישני Memosens ללא קונקטור </t>
  </si>
  <si>
    <t>Digital extension cable</t>
  </si>
  <si>
    <t>CYK11</t>
  </si>
  <si>
    <t>https://www.afs.endress.com/en/field-instruments-overview/liquid-analysis-product-overview/digital-extension-cable-cyk11?t.tabId=product-configure&amp;orderCode=CYK11-_</t>
  </si>
  <si>
    <t>Flow, Thermal</t>
  </si>
  <si>
    <t>DTT35-A1A111DB2ACF</t>
  </si>
  <si>
    <t>https://www.afs.endress.com/en/search?filter.text=W2001F0435D&amp;t.tabId=product-configure</t>
  </si>
  <si>
    <t>אלקטרודה מוליכות</t>
  </si>
  <si>
    <t>CLS82E-AAPG30</t>
  </si>
  <si>
    <t>https://www.afs.endress.com/en/search?filter.text=CLS82E-AApG30</t>
  </si>
  <si>
    <t>Level, Capacitive</t>
  </si>
  <si>
    <t>מתמר מפלס אינדוקטיבי כבל באורך 1900 מ"מ</t>
  </si>
  <si>
    <t>FMI52-A1BTDJA2A1A</t>
  </si>
  <si>
    <t xml:space="preserve">אלקטרודה מוליכות  חיבור 1.5 " Tri Clamp </t>
  </si>
  <si>
    <t>https://www.afs.endress.com/en/search?filter.text=w2002a010f1</t>
  </si>
  <si>
    <t>CLS82E-34E0/0</t>
  </si>
  <si>
    <t>https://www.afs.endress.com/en/search?filter.text=CLS82E-34E0%2F0&amp;t.tabId=product-configure</t>
  </si>
  <si>
    <t>Pressure, Switch</t>
  </si>
  <si>
    <t>https://www.afs.endress.com/en/search?filter.text=s3006f0116e</t>
  </si>
  <si>
    <t>PTP33B-CAV9/0</t>
  </si>
  <si>
    <t>ROOF 2</t>
  </si>
  <si>
    <t>https://www.afs.endress.com/en/search?filter.text=+E6000404298</t>
  </si>
  <si>
    <t>Thermophant T TTR35</t>
  </si>
  <si>
    <t>Temperature, Resistor RTD</t>
  </si>
  <si>
    <t xml:space="preserve"> מפסק טמפרטורה 35מ"ממ</t>
  </si>
  <si>
    <t>https://www.endress.com/en/search?filter.text=CCM253-EK0005</t>
  </si>
  <si>
    <t>Pressure, Process</t>
  </si>
  <si>
    <t>PMP46-RE13SBJPDGD</t>
  </si>
  <si>
    <t>https://www.afs.endress.com/en/search?filter.text=C8008401024</t>
  </si>
  <si>
    <t>Cerabar M PMP55</t>
  </si>
  <si>
    <t>https://www.afs.endress.com/en/search?filter.text=JC02BB0112A</t>
  </si>
  <si>
    <t>Cerabar M PMP46</t>
  </si>
  <si>
    <t>https://www.afs.endress.com/en/search?filter.text=E800830112A</t>
  </si>
  <si>
    <t>https://www.afs.endress.com/en/search?filter.text=E5015E0112A</t>
  </si>
  <si>
    <t>Deltapilot S FMB70</t>
  </si>
  <si>
    <t>https://www.afs.endress.com/en/search?filter.text=H10114010AE</t>
  </si>
  <si>
    <t>Pressure, Hydrostatic</t>
  </si>
  <si>
    <t>FMB70-ABR1F32TDCAA</t>
  </si>
  <si>
    <t>One-channel transmitter</t>
  </si>
  <si>
    <t>מפסק זרימה תרמי30 מ"מ</t>
  </si>
  <si>
    <t xml:space="preserve">משדר טמפרטורה 50מ"מ חיבור Triclamp </t>
  </si>
  <si>
    <t>https://www.afs.endress.com/en/search?filter.text=E6000404298</t>
  </si>
  <si>
    <t>Absolute and
gauge pressure
Ceraphant PTP33B</t>
  </si>
  <si>
    <t xml:space="preserve">CPS11E-AA7BAA2 </t>
  </si>
  <si>
    <t>מחסן בקרה צוות כיילים</t>
  </si>
  <si>
    <t>Ethernet/IP Communication Gateway</t>
  </si>
  <si>
    <t>CAMPION</t>
  </si>
  <si>
    <t>EDS-516A</t>
  </si>
  <si>
    <t>16-port managed Ethernet switches</t>
  </si>
  <si>
    <t>Analyzer/Transmitter</t>
  </si>
  <si>
    <t>Analyzer/Transmitter   Multiparameter</t>
  </si>
  <si>
    <t xml:space="preserve">מתמר, משדר  רב ערוצי </t>
  </si>
  <si>
    <t>THORNTON 770MAX</t>
  </si>
  <si>
    <t xml:space="preserve">סנסור מוליכות עם SMART SENSOR </t>
  </si>
  <si>
    <t>https://www.mt.com/int/en/home/products/Process-Analytics/conductivity-resistivity-analyzers/conductivity-sensor/cond-sensor-1-5tri-0-1c-ss-ism.html</t>
  </si>
  <si>
    <t>2-Electrode Conductivity Sensor</t>
  </si>
  <si>
    <t>https://www.mt.com/mt_ext_files/Editorial/Generic/5/OM-THOR-5000TOC-Service_Man_Editorial-Generic_11_Editorial-Generic_1172086993742_files/Manual_5000TOC_Service_OM84449C_1007.pdf</t>
  </si>
  <si>
    <t>ספק כוח של מנורת UV</t>
  </si>
  <si>
    <t>UV Lamp Power Supply (58 091 518)</t>
  </si>
  <si>
    <t>5000TOC UV Lamp Power Supply</t>
  </si>
  <si>
    <t>כבל יעודי של  770MAX and Smart Sensor</t>
  </si>
  <si>
    <t>Smart Sensor and Patch Cord Dimensions</t>
  </si>
  <si>
    <t>Smart Sensor and Patch Cord Dimensions 58080005</t>
  </si>
  <si>
    <t>https://www.servapure.com/Thornton-30300481-Panel-Mounting-Kit-for-12-DIN_p_9670.html</t>
  </si>
  <si>
    <t>Panel Mounting Kit for 1/2 DIN</t>
  </si>
  <si>
    <t>מתאם פנל של M300/400</t>
  </si>
  <si>
    <t>Thornton 30300481</t>
  </si>
  <si>
    <t>https://www.mt.com/int/en/home/products/Process-Analytics/transmitter/transmitter-M300/m300-water-transmitter-2-channel-1-2-din.html</t>
  </si>
  <si>
    <t>Transmitter M300 Water 2-CH ½DIN</t>
  </si>
  <si>
    <t>מתמר עם 2ערוצים M300 WATER</t>
  </si>
  <si>
    <t xml:space="preserve">Transmitter M300 Water 2-CH </t>
  </si>
  <si>
    <t>https://www.mt.com/mt_ext_files/Editorial/Generic/0/BA_Transmitter_M400_Multiparameter_Editorial-Generic_1207308161309_files/BA_Transmitter_M400_Multiparameter_e_52121378_Nov08.pdf</t>
  </si>
  <si>
    <t>Transmitter M400 Type 1,1 Chanel pH,Cond</t>
  </si>
  <si>
    <t xml:space="preserve">Transmitter M400  1-CH </t>
  </si>
  <si>
    <t>מתמר עם 2ערוצים M400 WATER</t>
  </si>
  <si>
    <t xml:space="preserve">משומש פורק לא שמיש </t>
  </si>
  <si>
    <t>https://www.servapure.com/Thornton-58-080-204-UniCond-Conductivity-Resistivity-Sensor-Cable-25-Ft-Long-VP-Sensors_p_9762.html</t>
  </si>
  <si>
    <t>Thornton 58 080 204, UniCond Conductivity</t>
  </si>
  <si>
    <t xml:space="preserve">כבל אלקטרודה מוליכות </t>
  </si>
  <si>
    <t>Cable to connect the InPRO ISM</t>
  </si>
  <si>
    <t>כבל אלקטרודה pH inPRO ISM</t>
  </si>
  <si>
    <t>AK9/10m </t>
  </si>
  <si>
    <t>כבל אלקטרודה pH,O2</t>
  </si>
  <si>
    <t>Cable VP for PH &amp; Oxygen</t>
  </si>
  <si>
    <t>https://www.servapure.com/Thornton-52-300-109-Patch-Cable-M300-VP-for-PH-Oxygen-16-Foot_p_9644.html</t>
  </si>
  <si>
    <t>https://www.servapure.com/Thornton-59902230-AK9-Cable-for-pH-ORP-33-Foot_p_9664.html</t>
  </si>
  <si>
    <t>https://www.servapure.com/Thornton-52-300-110-Patch-Cable-M300-VP-for-PH-and-Oxygen-33-Ft_p_9640.html</t>
  </si>
  <si>
    <t>VP6-ST/10m</t>
  </si>
  <si>
    <t>VP6-ST/5m</t>
  </si>
  <si>
    <t>SLEEVE PROTECTOR INFIT761</t>
  </si>
  <si>
    <t>METTLER TOLEDO 52401518 SLEEVE PROTECTOR INFIT761-NPT 678</t>
  </si>
  <si>
    <t>https://www.radwell.co.uk/Buy/METTLER%20TOLEDO/METTLER%20TOLEDO/52300108?redirect=true</t>
  </si>
  <si>
    <t xml:space="preserve">כיסוי מגן שרוולי כולל גומיות 5,7מ"מ לאלקטרודה </t>
  </si>
  <si>
    <t xml:space="preserve">כבל אלקטרודה pH,O2 </t>
  </si>
  <si>
    <t>https://www.redlion.net/product/csmstrle-protocol-converter</t>
  </si>
  <si>
    <t>CSMSTRLE - PROTOCOL CONVERTER</t>
  </si>
  <si>
    <t>CSMSTRL  בקר- ממיר פרוטוקול</t>
  </si>
  <si>
    <t>https://www.redlion.net/search/node/da10d%20language%3Aen%2Cund</t>
  </si>
  <si>
    <t>DA10DA</t>
  </si>
  <si>
    <t>Protocol Converter and Data Acquisition System</t>
  </si>
  <si>
    <t>בקר-ממיר פרוטוקול ומערכת רכישת נתונים DA10D</t>
  </si>
  <si>
    <t>DA10D</t>
  </si>
  <si>
    <t>Conductivity / Resistivity Sensor Cable,  VP Sensors</t>
  </si>
  <si>
    <t>https://www.servapure.com/Thornton-58-080-205-UniCond-Conductivity-Resistivity-Sensor-Cable-50-Ft-Long-VP-Sensors_p_9763.html</t>
  </si>
  <si>
    <t>https://www.festo.com/gb/en/a/6211/?q=6211%7E%3AfestoSortOrderScored</t>
  </si>
  <si>
    <t>festo israel</t>
  </si>
  <si>
    <t>FESTO</t>
  </si>
  <si>
    <t>MFH-5-1/4</t>
  </si>
  <si>
    <t>Solenoid valve</t>
  </si>
  <si>
    <t>Sub-base</t>
  </si>
  <si>
    <t>VMPA1-FB-AP-4-1</t>
  </si>
  <si>
    <t>https://www.festo.com/gb/en/a/533352/?q=533352%7E%3AfestoSortOrderScored</t>
  </si>
  <si>
    <t>תת-בסיס של סעפת TCP/IP</t>
  </si>
  <si>
    <t>https://www.festo.com/gb/en/a/529027/?q=529027%7E%3AfestoSortOrderScored</t>
  </si>
  <si>
    <t>Pressure sensor</t>
  </si>
  <si>
    <t>SDE5-D10-FP-Q6E-P-K</t>
  </si>
  <si>
    <t>מפסק לחץ (צינטריפוגה)</t>
  </si>
  <si>
    <t>https://www.festo.com/gb/en/a/533360/?q=533360%7E%3AfestoSortOrderScored</t>
  </si>
  <si>
    <t>VMPA1-FB-EMS-8</t>
  </si>
  <si>
    <t>Electronics module</t>
  </si>
  <si>
    <t>מודול אלקטרוניקה של סעפת TCP/IP</t>
  </si>
  <si>
    <t>https://www.festo.com/gb/en/a/195746/?q=195746%7E%3AfestoSortOrderScored</t>
  </si>
  <si>
    <t>CPX-GE-EV-S</t>
  </si>
  <si>
    <t>Interlinking block</t>
  </si>
  <si>
    <t xml:space="preserve"> בלוק מקשר של סעפת TCP/IP</t>
  </si>
  <si>
    <t>https://www.festo.com/gb/en/a/543815/?q=543815%7E%3AfestoSortOrderScored</t>
  </si>
  <si>
    <t>CPX-16DE</t>
  </si>
  <si>
    <t>כרטיס כניסות של סעפת TCP/IP</t>
  </si>
  <si>
    <t>https://www.festo.com/il/en/search/?tab=SUPPORT_PORTAL&amp;text=3S7PMQMNDZW&amp;documentTypeGroup=USER_DOCUMENTATION&amp;documentTypes=</t>
  </si>
  <si>
    <t>3S7PMQMNDZW</t>
  </si>
  <si>
    <t>Valve manifold from CRUDE FABRY</t>
  </si>
  <si>
    <t>https://www.festo.com/gb/en/a/18527/?q=18527%7E%3AfestoSortOrderScored</t>
  </si>
  <si>
    <t>NTSD-WD-9</t>
  </si>
  <si>
    <t>Plug socket</t>
  </si>
  <si>
    <t xml:space="preserve"> תקע חשמל של סעפת TCP/IP</t>
  </si>
  <si>
    <t>VUVG-B10-T32C-AZT-F-1T1L</t>
  </si>
  <si>
    <t>https://www.festo.com/gb/en/a/573410/?q=573410%7E%3AfestoSortOrderScored</t>
  </si>
  <si>
    <t>שסתום סולנואיד סעפת צנטריפוגה יצור</t>
  </si>
  <si>
    <t>https://www.festo.com/il/en/a/533347/?q=533347%7E%3AfestoSortOrderScored</t>
  </si>
  <si>
    <t>VMPA1-M1H-K-PI</t>
  </si>
  <si>
    <t>סעפת עם ביסי שלמה TCP/I  עבור CRUDE FABRY</t>
  </si>
  <si>
    <t>שסתום סולנואיד סעפת TCP/I  עבור CRUDE FABRY</t>
  </si>
  <si>
    <t>https://www.festo.com/il/en/a/526996/?q=526996%7E%3AfestoSortOrderScored</t>
  </si>
  <si>
    <t>CPASC1-M1H-K-P-2,5</t>
  </si>
  <si>
    <t>שסתום סולנואיד סעפת</t>
  </si>
  <si>
    <t>https://www.festo.com/il/en/a/4527/?q=4527%7E%3AfestoSortOrderScored</t>
  </si>
  <si>
    <t>MSFG-24/42-50/60</t>
  </si>
  <si>
    <t>Solenoid coil</t>
  </si>
  <si>
    <t>סליל סולנואיד כולל</t>
  </si>
  <si>
    <t>https://www.cometsystem.com/products/temperature-and-humidity-duct-probe-with-0-10v-output/reg-t0213</t>
  </si>
  <si>
    <t>מתמר טמפרטורה ולחות בצורה צינור 150מ"מ</t>
  </si>
  <si>
    <t>Temperature and humidity duct probe 150mm</t>
  </si>
  <si>
    <t>https://www.cometsystem.com/products/reg-sp003</t>
  </si>
  <si>
    <t>SP003</t>
  </si>
  <si>
    <t>כבל לכוונון משדרי COMET דרך יציאת USB</t>
  </si>
  <si>
    <t>Cable for COMET transmitter adjustment via USB port</t>
  </si>
  <si>
    <t>https://www.cometsystem.com/products/sensors/reg-t3110</t>
  </si>
  <si>
    <t xml:space="preserve">
T3110</t>
  </si>
  <si>
    <t>electric industries itd</t>
  </si>
  <si>
    <t>T3110</t>
  </si>
  <si>
    <t>Temperature and humidity outdoor, indoor probe</t>
  </si>
  <si>
    <t xml:space="preserve">משדר טמפרטורה ולחות חיצונית </t>
  </si>
  <si>
    <t>Interior temperature transmitter</t>
  </si>
  <si>
    <t>T0118</t>
  </si>
  <si>
    <t>https://www.cometsystem.com/products/interior-temperature-transmitter-with-4-20ma-output/reg-t0118</t>
  </si>
  <si>
    <t>Interior temperature, humidity transmitter</t>
  </si>
  <si>
    <t>T3118</t>
  </si>
  <si>
    <t>https://www.cometsystem.com/products/sensors/reg-t3118</t>
  </si>
  <si>
    <t>מחסן בקרה כיולים</t>
  </si>
  <si>
    <t>https://www.processsensing.com/en-us/products/hygroflex5-hf5-high-precision-transmitter.htm</t>
  </si>
  <si>
    <t>HF532-DB1XD1XX</t>
  </si>
  <si>
    <t>Madid</t>
  </si>
  <si>
    <t>Conrotec</t>
  </si>
  <si>
    <t>Measures relative humidity, temperature and dew point</t>
  </si>
  <si>
    <t>משדר מודד לחות יחסית, טמפרטורה ונקודת טל תעלה.</t>
  </si>
  <si>
    <t>https://www.processsensing.com/en-us/products/hygroflex5-hf5-high-precision-transmitter.htm#</t>
  </si>
  <si>
    <t>HF532-WB1XD1XX</t>
  </si>
  <si>
    <t>HF5 Wall version</t>
  </si>
  <si>
    <t>HF5 Duct version</t>
  </si>
  <si>
    <t>משדר מודד לחות יחסית, טמפרטורה ונקודת טל קיר.</t>
  </si>
  <si>
    <t>https://www.processsensing.com/en-us/products/temperature-transmitter-rotronic-tf5.htm</t>
  </si>
  <si>
    <t>TF532-WT1XD1</t>
  </si>
  <si>
    <t>TF5 Wall version</t>
  </si>
  <si>
    <t>Measures temperature</t>
  </si>
  <si>
    <t>משדר מודד טמפרטורה  קיר.</t>
  </si>
  <si>
    <t>https://www.processsensing.com/en-us/products/humidity-probes-hc2a-s-sh-hh.htm</t>
  </si>
  <si>
    <t>HC2A-S</t>
  </si>
  <si>
    <t>סנסר לחות  טמפרטורה ונקודת טל של HF5</t>
  </si>
  <si>
    <t>Humidity probe from HF5</t>
  </si>
  <si>
    <t>HF332-SB1XD1XX</t>
  </si>
  <si>
    <t>https://www.processsensing.com/en-us/products/hygroflex3-hf3-hvac-transmitter-humidity-temperature-measurement.htm</t>
  </si>
  <si>
    <t>משדר לחות טמפרטורה דקורטיבי  לחדר</t>
  </si>
  <si>
    <t>Décor temperature humidity tramsmitter for the room</t>
  </si>
  <si>
    <t xml:space="preserve"> HygroClip 2HC2A-S</t>
  </si>
  <si>
    <t>HygroClip 2 HC2-IE302</t>
  </si>
  <si>
    <t>סנסר לחות  טמפרטורה ונקודת טל של מתמר HF5  (HC2-IE302)הברגה לתהליך</t>
  </si>
  <si>
    <t>Temperature humidity and dew point sensor of the HF5 transducer (HC2-IE302) screwing for the process</t>
  </si>
  <si>
    <t>https://www.processsensing.com/en-us/products/atex-humidity-probes.htm#</t>
  </si>
  <si>
    <t>Temperature and humidity transmitter</t>
  </si>
  <si>
    <t>מנורז</t>
  </si>
  <si>
    <t>https://www.testo.com/en/testo-6621/p/0555-6621</t>
  </si>
  <si>
    <t>Order no. 0555 6621</t>
  </si>
  <si>
    <t>משדר טמפרטורה ולחות פנימי דיקורטיבי לקיר</t>
  </si>
  <si>
    <t xml:space="preserve">מדיד </t>
  </si>
  <si>
    <t>setra</t>
  </si>
  <si>
    <t>Low Differential Pressure Transducer</t>
  </si>
  <si>
    <t>testo-6621</t>
  </si>
  <si>
    <t>testo6621</t>
  </si>
  <si>
    <t>מתמר לחץ דיפרנציאלי נמוך 0-500Pa</t>
  </si>
  <si>
    <t>מתמר לחץ דיפרנציאלי נמוך 0-745Pa</t>
  </si>
  <si>
    <t>https://www.setra.com/products/pressure/model-265-low-differential-pressure-transducer</t>
  </si>
  <si>
    <t>https://www.frigor.co.il/%D7%A8%D7%92%D7%A9_%D7%98%D7%9E%D7%A4%D7%A8%D7%98%D7%95%D7%A8%D7%94_%D7%97%D7%95%D7%A5</t>
  </si>
  <si>
    <t>משדר טמפרטורה 0-50</t>
  </si>
  <si>
    <t>TT321</t>
  </si>
  <si>
    <t>CATIC /TEREN</t>
  </si>
  <si>
    <t>Temperature Sensor/Transmitter</t>
  </si>
  <si>
    <t>TEREN TT321</t>
  </si>
  <si>
    <t>frigor</t>
  </si>
  <si>
    <t>TBD</t>
  </si>
  <si>
    <t>TSI</t>
  </si>
  <si>
    <t>כרמל מעבדות בע"מ</t>
  </si>
  <si>
    <t>חיישן מהירות</t>
  </si>
  <si>
    <t>VELOCITY SENSOR</t>
  </si>
  <si>
    <t>נקלט</t>
  </si>
  <si>
    <t>לא נקלט</t>
  </si>
  <si>
    <t>for Axima Chiller נקלט</t>
  </si>
  <si>
    <t>בקר  שאסי</t>
  </si>
  <si>
    <t xml:space="preserve">נקלט, אחד חדש ואחד משומש  </t>
  </si>
  <si>
    <t>נקלט, אחד חדש ואחד משומש  (לבדוק האם קיים פריט אחד או שניים)</t>
  </si>
  <si>
    <t xml:space="preserve">נקלט, אחד חדש ושניים משומש  </t>
  </si>
  <si>
    <t>נקלט, לא בשימוש במפעל, קיים במלאי</t>
  </si>
  <si>
    <t>נקלט, להשלים למלאי מינימום</t>
  </si>
  <si>
    <t>נקלט, סלבה צריך לבדוק מה מהם תקין</t>
  </si>
  <si>
    <t xml:space="preserve">נקלט, שניים משומש  </t>
  </si>
  <si>
    <t xml:space="preserve">נקלט, אחד משומש  </t>
  </si>
  <si>
    <t xml:space="preserve">נקלט, שניים חדש ושניים משומש  </t>
  </si>
  <si>
    <t xml:space="preserve">נקלט, אחד חדש אחד משומש  </t>
  </si>
  <si>
    <t>נקלט, לא נמצא בשימוש במפעל</t>
  </si>
  <si>
    <r>
      <t>סט שלם בנוי ע'' יצרן FESTO  לפי QR code</t>
    </r>
    <r>
      <rPr>
        <b/>
        <sz val="11"/>
        <rFont val="Calibri"/>
        <family val="2"/>
        <scheme val="minor"/>
      </rPr>
      <t xml:space="preserve"> 3S7PMQMNDZW</t>
    </r>
    <r>
      <rPr>
        <sz val="11"/>
        <color theme="1"/>
        <rFont val="Calibri"/>
        <family val="2"/>
        <scheme val="minor"/>
      </rPr>
      <t xml:space="preserve"> </t>
    </r>
  </si>
  <si>
    <t xml:space="preserve"> 
http://www.catic-i.com/en  יצרן יש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</si>
</sst>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Red]0.0"/>
  </numFmts>
  <fonts count="47">
    <font>
      <sz val="11"/>
      <color theme="1"/>
      <name val="Calibri"/>
      <family val="2"/>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b/>
      <sz val="14"/>
      <color theme="1"/>
      <name val="Arial"/>
      <family val="2"/>
    </font>
    <font>
      <b/>
      <u/>
      <sz val="12"/>
      <color theme="1"/>
      <name val="Arial"/>
      <family val="2"/>
    </font>
    <font>
      <b/>
      <sz val="10"/>
      <color theme="1"/>
      <name val="Calibri"/>
      <family val="2"/>
      <scheme val="minor"/>
    </font>
    <font>
      <sz val="11"/>
      <color rgb="FF000000"/>
      <name val="Calibri"/>
      <family val="2"/>
      <scheme val="minor"/>
    </font>
    <font>
      <sz val="11"/>
      <color indexed="8"/>
      <name val="Calibri"/>
      <family val="2"/>
      <scheme val="minor"/>
    </font>
    <font>
      <sz val="11"/>
      <color theme="1" tint="4.9989318521683403E-2"/>
      <name val="Calibri"/>
      <family val="2"/>
      <scheme val="minor"/>
    </font>
    <font>
      <sz val="11"/>
      <name val="Calibri"/>
      <family val="2"/>
      <scheme val="minor"/>
    </font>
    <font>
      <sz val="10"/>
      <name val="Arial"/>
      <family val="2"/>
    </font>
    <font>
      <sz val="10"/>
      <color theme="1"/>
      <name val="Calibri"/>
      <family val="2"/>
      <scheme val="minor"/>
    </font>
    <font>
      <sz val="11"/>
      <color theme="1"/>
      <name val="Calibri"/>
      <family val="2"/>
      <charset val="177"/>
      <scheme val="minor"/>
    </font>
    <font>
      <sz val="11"/>
      <color theme="0"/>
      <name val="Calibri"/>
      <family val="2"/>
      <charset val="177"/>
      <scheme val="minor"/>
    </font>
    <font>
      <sz val="10"/>
      <name val="MS Sans Serif"/>
      <family val="2"/>
      <charset val="177"/>
    </font>
    <font>
      <sz val="10"/>
      <name val="MS Sans Serif"/>
      <family val="2"/>
      <charset val="177"/>
    </font>
    <font>
      <u/>
      <sz val="11.5"/>
      <color theme="10"/>
      <name val="MS Sans Serif"/>
      <family val="2"/>
      <charset val="177"/>
    </font>
    <font>
      <sz val="11"/>
      <color theme="1"/>
      <name val="Calibri"/>
      <family val="2"/>
    </font>
    <font>
      <sz val="11"/>
      <color rgb="FFFF0000"/>
      <name val="Calibri"/>
      <family val="2"/>
      <scheme val="minor"/>
    </font>
    <font>
      <sz val="11"/>
      <color rgb="FFFFFF00"/>
      <name val="Calibri"/>
      <family val="2"/>
      <scheme val="minor"/>
    </font>
    <font>
      <b/>
      <sz val="16"/>
      <color rgb="FFFF0000"/>
      <name val="Calibri"/>
      <family val="2"/>
      <scheme val="minor"/>
    </font>
    <font>
      <sz val="11"/>
      <color rgb="FF272727"/>
      <name val="Calibri"/>
      <family val="2"/>
      <scheme val="minor"/>
    </font>
    <font>
      <u/>
      <sz val="11"/>
      <color theme="10"/>
      <name val="Calibri"/>
      <family val="2"/>
      <scheme val="minor"/>
    </font>
    <font>
      <b/>
      <sz val="11"/>
      <name val="Calibri"/>
      <family val="2"/>
      <scheme val="minor"/>
    </font>
    <font>
      <sz val="9"/>
      <color rgb="FF000000"/>
      <name val="Calibri"/>
      <family val="2"/>
      <scheme val="minor"/>
    </font>
    <font>
      <sz val="15"/>
      <color rgb="FF212121"/>
      <name val="Calibri"/>
      <family val="2"/>
      <scheme val="minor"/>
    </font>
    <font>
      <sz val="11"/>
      <color theme="1"/>
      <name val="Arial"/>
      <family val="2"/>
    </font>
    <font>
      <sz val="11"/>
      <color rgb="FF2D2D2D"/>
      <name val="Calibri"/>
      <family val="2"/>
      <scheme val="minor"/>
    </font>
    <font>
      <sz val="11"/>
      <color rgb="FF080808"/>
      <name val="Calibri"/>
      <family val="2"/>
      <scheme val="minor"/>
    </font>
    <font>
      <sz val="11"/>
      <color rgb="FF333333"/>
      <name val="Calibri"/>
      <family val="2"/>
      <scheme val="minor"/>
    </font>
    <font>
      <b/>
      <u/>
      <sz val="11"/>
      <color theme="1"/>
      <name val="Calibri"/>
      <family val="2"/>
      <scheme val="minor"/>
    </font>
    <font>
      <sz val="11"/>
      <color rgb="FF333333"/>
      <name val="Eh-sans-light"/>
    </font>
    <font>
      <sz val="11"/>
      <color rgb="FF333333"/>
      <name val="E+H_Serif-Regular"/>
    </font>
    <font>
      <sz val="11"/>
      <color rgb="FF333333"/>
      <name val="E+H_Sans-Light"/>
    </font>
    <font>
      <sz val="11"/>
      <color rgb="FF2B2B2B"/>
      <name val="Calibri"/>
      <family val="2"/>
      <scheme val="minor"/>
    </font>
    <font>
      <sz val="11"/>
      <color rgb="FF191919"/>
      <name val="Calibri"/>
      <family val="2"/>
      <scheme val="minor"/>
    </font>
    <font>
      <sz val="11"/>
      <color rgb="FF000000"/>
      <name val="Segoe UI"/>
      <family val="2"/>
    </font>
    <font>
      <sz val="11"/>
      <color rgb="FF333333"/>
      <name val="Trebuchet MS"/>
      <family val="2"/>
    </font>
    <font>
      <sz val="11"/>
      <color rgb="FF071D2D"/>
      <name val="Calibri"/>
      <family val="2"/>
      <scheme val="minor"/>
    </font>
    <font>
      <b/>
      <u/>
      <sz val="11"/>
      <name val="Calibri"/>
      <family val="2"/>
      <scheme val="minor"/>
    </font>
    <font>
      <sz val="11"/>
      <color rgb="FF38342E"/>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0"/>
        <bgColor indexed="64"/>
      </patternFill>
    </fill>
    <fill>
      <patternFill patternType="solid">
        <fgColor rgb="FF00B0F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CCFF"/>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89">
    <xf numFmtId="0" fontId="0" fillId="0" borderId="0"/>
    <xf numFmtId="0" fontId="5" fillId="0" borderId="0"/>
    <xf numFmtId="0" fontId="5" fillId="0" borderId="0"/>
    <xf numFmtId="0" fontId="18" fillId="0" borderId="0"/>
    <xf numFmtId="0" fontId="5" fillId="0" borderId="0"/>
    <xf numFmtId="0" fontId="5" fillId="0" borderId="0"/>
    <xf numFmtId="0" fontId="18" fillId="0" borderId="0"/>
    <xf numFmtId="0" fontId="5" fillId="0" borderId="0"/>
    <xf numFmtId="0" fontId="5" fillId="0" borderId="0"/>
    <xf numFmtId="0" fontId="18" fillId="0" borderId="0"/>
    <xf numFmtId="0" fontId="5" fillId="0" borderId="0"/>
    <xf numFmtId="0" fontId="5" fillId="0" borderId="0"/>
    <xf numFmtId="0" fontId="16" fillId="0" borderId="0"/>
    <xf numFmtId="0" fontId="1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 fillId="0" borderId="0"/>
    <xf numFmtId="49" fontId="19" fillId="5" borderId="4">
      <alignment horizontal="left" vertical="center"/>
    </xf>
    <xf numFmtId="0" fontId="5" fillId="0" borderId="0"/>
    <xf numFmtId="0" fontId="1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6" fillId="0" borderId="0"/>
    <xf numFmtId="0" fontId="20" fillId="0" borderId="0"/>
    <xf numFmtId="0" fontId="16" fillId="0" borderId="0"/>
    <xf numFmtId="0" fontId="21" fillId="0" borderId="0"/>
    <xf numFmtId="0" fontId="5" fillId="0" borderId="0"/>
    <xf numFmtId="0" fontId="21" fillId="0" borderId="0"/>
    <xf numFmtId="0" fontId="5" fillId="0" borderId="0"/>
    <xf numFmtId="0" fontId="22" fillId="0" borderId="0" applyNumberFormat="0" applyFill="0" applyBorder="0" applyAlignment="0" applyProtection="0">
      <alignment vertical="top"/>
      <protection locked="0"/>
    </xf>
    <xf numFmtId="0" fontId="21" fillId="0" borderId="0"/>
    <xf numFmtId="0" fontId="21"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1" fillId="0" borderId="0"/>
    <xf numFmtId="0" fontId="16" fillId="0" borderId="0"/>
    <xf numFmtId="0" fontId="1" fillId="0" borderId="0"/>
    <xf numFmtId="0" fontId="1"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28" fillId="0" borderId="0" applyNumberFormat="0" applyFill="0" applyBorder="0" applyAlignment="0" applyProtection="0"/>
  </cellStyleXfs>
  <cellXfs count="514">
    <xf numFmtId="0" fontId="0" fillId="0" borderId="0" xfId="0"/>
    <xf numFmtId="0" fontId="0" fillId="0" borderId="4" xfId="0" applyBorder="1"/>
    <xf numFmtId="49" fontId="6" fillId="3" borderId="6" xfId="0" applyNumberFormat="1" applyFont="1" applyFill="1" applyBorder="1"/>
    <xf numFmtId="0" fontId="6" fillId="3" borderId="6" xfId="0" applyFont="1" applyFill="1" applyBorder="1"/>
    <xf numFmtId="0" fontId="9" fillId="3" borderId="6" xfId="0" applyFont="1" applyFill="1" applyBorder="1"/>
    <xf numFmtId="0" fontId="6" fillId="3" borderId="6" xfId="0" applyFont="1" applyFill="1" applyBorder="1" applyAlignment="1">
      <alignment readingOrder="1"/>
    </xf>
    <xf numFmtId="0" fontId="6" fillId="3" borderId="6" xfId="0" applyFont="1" applyFill="1" applyBorder="1" applyAlignment="1">
      <alignment horizontal="center" vertical="center"/>
    </xf>
    <xf numFmtId="0" fontId="6" fillId="3" borderId="6" xfId="0" applyFont="1" applyFill="1" applyBorder="1" applyAlignment="1">
      <alignment horizontal="center"/>
    </xf>
    <xf numFmtId="0" fontId="6" fillId="3" borderId="7" xfId="0" applyFont="1" applyFill="1" applyBorder="1"/>
    <xf numFmtId="0" fontId="0" fillId="0" borderId="0" xfId="0" applyAlignment="1">
      <alignment horizontal="center"/>
    </xf>
    <xf numFmtId="0" fontId="0" fillId="0" borderId="4" xfId="0" applyBorder="1" applyAlignment="1">
      <alignment wrapText="1"/>
    </xf>
    <xf numFmtId="0" fontId="0" fillId="0" borderId="0" xfId="0" applyAlignment="1"/>
    <xf numFmtId="0" fontId="0" fillId="0" borderId="0" xfId="0" applyFill="1"/>
    <xf numFmtId="0" fontId="0" fillId="0" borderId="4" xfId="0" applyFont="1" applyBorder="1" applyAlignment="1">
      <alignment horizontal="right"/>
    </xf>
    <xf numFmtId="0" fontId="0" fillId="0" borderId="4" xfId="0" applyFont="1" applyBorder="1" applyAlignment="1">
      <alignment horizontal="right" readingOrder="2"/>
    </xf>
    <xf numFmtId="0" fontId="0" fillId="0" borderId="4" xfId="0" applyFont="1" applyBorder="1" applyAlignment="1">
      <alignment horizontal="right" wrapText="1" readingOrder="2"/>
    </xf>
    <xf numFmtId="0" fontId="0" fillId="0" borderId="4" xfId="0" applyFont="1" applyFill="1" applyBorder="1" applyAlignment="1">
      <alignment horizontal="right" vertical="center" readingOrder="2"/>
    </xf>
    <xf numFmtId="0" fontId="0" fillId="0" borderId="4" xfId="0" applyFont="1" applyFill="1" applyBorder="1" applyAlignment="1">
      <alignment horizontal="right" readingOrder="2"/>
    </xf>
    <xf numFmtId="0" fontId="0" fillId="0" borderId="0" xfId="0" applyAlignment="1">
      <alignment wrapText="1"/>
    </xf>
    <xf numFmtId="49" fontId="6" fillId="3" borderId="5" xfId="0" applyNumberFormat="1" applyFont="1" applyFill="1" applyBorder="1" applyAlignment="1">
      <alignment wrapText="1"/>
    </xf>
    <xf numFmtId="0" fontId="0" fillId="0" borderId="0" xfId="0" applyAlignment="1">
      <alignment horizontal="right" wrapText="1"/>
    </xf>
    <xf numFmtId="0" fontId="6" fillId="3" borderId="6" xfId="0" applyFont="1" applyFill="1" applyBorder="1" applyAlignment="1"/>
    <xf numFmtId="0" fontId="11" fillId="2" borderId="1"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1" xfId="0" applyFont="1" applyFill="1" applyBorder="1" applyAlignment="1">
      <alignment horizontal="center" vertical="center"/>
    </xf>
    <xf numFmtId="0" fontId="11" fillId="2" borderId="8" xfId="0" applyFont="1" applyFill="1" applyBorder="1" applyAlignment="1">
      <alignment vertical="center" wrapText="1"/>
    </xf>
    <xf numFmtId="0" fontId="11" fillId="2" borderId="3" xfId="0" applyFont="1" applyFill="1" applyBorder="1" applyAlignment="1">
      <alignment vertical="center" wrapText="1"/>
    </xf>
    <xf numFmtId="0" fontId="0" fillId="4" borderId="4" xfId="0" applyFont="1" applyFill="1" applyBorder="1" applyAlignment="1">
      <alignment horizontal="right" readingOrder="2"/>
    </xf>
    <xf numFmtId="0" fontId="0" fillId="4" borderId="4" xfId="0" applyFont="1" applyFill="1" applyBorder="1" applyAlignment="1">
      <alignment horizontal="right" vertical="center" readingOrder="2"/>
    </xf>
    <xf numFmtId="0" fontId="0" fillId="4" borderId="3" xfId="0" applyFont="1" applyFill="1" applyBorder="1" applyAlignment="1">
      <alignment horizontal="right" vertical="center" wrapText="1" readingOrder="2"/>
    </xf>
    <xf numFmtId="49" fontId="0" fillId="4" borderId="4" xfId="0" applyNumberFormat="1" applyFont="1" applyFill="1" applyBorder="1" applyAlignment="1">
      <alignment horizontal="right" vertical="center" wrapText="1" readingOrder="2"/>
    </xf>
    <xf numFmtId="0" fontId="0" fillId="4" borderId="3" xfId="0" applyFont="1" applyFill="1" applyBorder="1" applyAlignment="1">
      <alignment horizontal="right" vertical="center" wrapText="1"/>
    </xf>
    <xf numFmtId="0" fontId="0" fillId="4" borderId="0" xfId="0" applyFill="1"/>
    <xf numFmtId="0" fontId="0" fillId="4" borderId="4" xfId="0" applyFont="1" applyFill="1" applyBorder="1" applyAlignment="1">
      <alignment horizontal="right" wrapText="1" readingOrder="2"/>
    </xf>
    <xf numFmtId="0" fontId="0" fillId="4" borderId="4" xfId="0" applyFont="1" applyFill="1" applyBorder="1" applyAlignment="1">
      <alignment horizontal="right"/>
    </xf>
    <xf numFmtId="0" fontId="0" fillId="4" borderId="4" xfId="0" applyFont="1" applyFill="1" applyBorder="1" applyAlignment="1">
      <alignment wrapText="1" readingOrder="2"/>
    </xf>
    <xf numFmtId="3" fontId="0" fillId="4" borderId="4" xfId="0" applyNumberFormat="1" applyFont="1" applyFill="1" applyBorder="1" applyAlignment="1">
      <alignment horizontal="right" readingOrder="2"/>
    </xf>
    <xf numFmtId="0" fontId="0" fillId="4" borderId="4" xfId="0" applyFont="1" applyFill="1" applyBorder="1" applyAlignment="1">
      <alignment horizontal="right" vertical="center" wrapText="1" readingOrder="2"/>
    </xf>
    <xf numFmtId="0" fontId="0" fillId="4" borderId="4" xfId="0" applyFont="1" applyFill="1" applyBorder="1" applyAlignment="1">
      <alignment horizontal="right" vertical="center" wrapText="1"/>
    </xf>
    <xf numFmtId="0" fontId="0" fillId="4" borderId="4" xfId="0" applyFill="1" applyBorder="1" applyAlignment="1">
      <alignment horizontal="right" wrapText="1" readingOrder="2"/>
    </xf>
    <xf numFmtId="0" fontId="0" fillId="4" borderId="4" xfId="0" applyFill="1" applyBorder="1" applyAlignment="1">
      <alignment horizontal="right"/>
    </xf>
    <xf numFmtId="0" fontId="0" fillId="4" borderId="4" xfId="0" applyFill="1" applyBorder="1" applyAlignment="1">
      <alignment horizontal="right" readingOrder="2"/>
    </xf>
    <xf numFmtId="0" fontId="0" fillId="4" borderId="4" xfId="0" applyFont="1" applyFill="1" applyBorder="1" applyAlignment="1">
      <alignment horizontal="right" vertical="top" wrapText="1" readingOrder="2"/>
    </xf>
    <xf numFmtId="0" fontId="12" fillId="4" borderId="4" xfId="0" applyFont="1" applyFill="1" applyBorder="1" applyAlignment="1">
      <alignment horizontal="right" vertical="center"/>
    </xf>
    <xf numFmtId="0" fontId="12" fillId="4" borderId="4" xfId="0" applyFont="1" applyFill="1" applyBorder="1" applyAlignment="1">
      <alignment horizontal="right" vertical="center" wrapText="1"/>
    </xf>
    <xf numFmtId="0" fontId="0" fillId="4" borderId="4" xfId="1" applyFont="1" applyFill="1" applyBorder="1" applyAlignment="1">
      <alignment horizontal="right" vertical="center" wrapText="1" readingOrder="2"/>
    </xf>
    <xf numFmtId="0" fontId="0" fillId="4" borderId="4" xfId="0" applyFill="1" applyBorder="1" applyAlignment="1">
      <alignment horizontal="right" vertical="center" readingOrder="2"/>
    </xf>
    <xf numFmtId="0" fontId="0" fillId="4" borderId="4" xfId="0" applyFill="1" applyBorder="1" applyAlignment="1">
      <alignment horizontal="right" vertical="center" wrapText="1" readingOrder="2"/>
    </xf>
    <xf numFmtId="0" fontId="0" fillId="4" borderId="4" xfId="0" applyFont="1" applyFill="1" applyBorder="1" applyAlignment="1">
      <alignment horizontal="right" vertical="top" readingOrder="2"/>
    </xf>
    <xf numFmtId="49" fontId="0" fillId="4" borderId="4" xfId="0" applyNumberFormat="1" applyFont="1" applyFill="1" applyBorder="1" applyAlignment="1">
      <alignment horizontal="right" vertical="top" wrapText="1" readingOrder="2"/>
    </xf>
    <xf numFmtId="0" fontId="0" fillId="4" borderId="4" xfId="0" applyFont="1" applyFill="1" applyBorder="1" applyAlignment="1">
      <alignment horizontal="right" vertical="top"/>
    </xf>
    <xf numFmtId="0" fontId="0" fillId="4" borderId="0" xfId="0" applyFill="1" applyAlignment="1">
      <alignment vertical="top"/>
    </xf>
    <xf numFmtId="0" fontId="0" fillId="4" borderId="3" xfId="0" applyFont="1" applyFill="1" applyBorder="1" applyAlignment="1">
      <alignment horizontal="right" vertical="center" readingOrder="2"/>
    </xf>
    <xf numFmtId="0" fontId="0" fillId="4" borderId="4" xfId="0" applyFill="1" applyBorder="1" applyAlignment="1">
      <alignment horizontal="right" vertical="center" wrapText="1"/>
    </xf>
    <xf numFmtId="0" fontId="0" fillId="4" borderId="4" xfId="0" applyFont="1" applyFill="1" applyBorder="1" applyAlignment="1">
      <alignment horizontal="right" vertical="center"/>
    </xf>
    <xf numFmtId="0" fontId="13" fillId="4" borderId="4" xfId="1" applyFont="1" applyFill="1" applyBorder="1" applyAlignment="1">
      <alignment horizontal="right" vertical="center" wrapText="1" readingOrder="2"/>
    </xf>
    <xf numFmtId="0" fontId="0" fillId="4" borderId="4" xfId="1" applyFont="1" applyFill="1" applyBorder="1" applyAlignment="1">
      <alignment horizontal="right" vertical="center"/>
    </xf>
    <xf numFmtId="0" fontId="14" fillId="4" borderId="4" xfId="1" applyFont="1" applyFill="1" applyBorder="1" applyAlignment="1">
      <alignment horizontal="right" vertical="center" wrapText="1"/>
    </xf>
    <xf numFmtId="11" fontId="0" fillId="4" borderId="4" xfId="0" applyNumberFormat="1" applyFont="1" applyFill="1" applyBorder="1" applyAlignment="1">
      <alignment horizontal="right" vertical="center" wrapText="1" readingOrder="2"/>
    </xf>
    <xf numFmtId="0" fontId="0" fillId="4" borderId="9" xfId="0" applyFont="1" applyFill="1" applyBorder="1" applyAlignment="1">
      <alignment horizontal="right" vertical="center" readingOrder="2"/>
    </xf>
    <xf numFmtId="0" fontId="15" fillId="4" borderId="4" xfId="1" applyFont="1" applyFill="1" applyBorder="1" applyAlignment="1">
      <alignment horizontal="right" vertical="center"/>
    </xf>
    <xf numFmtId="0" fontId="0" fillId="4" borderId="4" xfId="0" applyFill="1" applyBorder="1" applyAlignment="1">
      <alignment wrapText="1"/>
    </xf>
    <xf numFmtId="0" fontId="0" fillId="4" borderId="4" xfId="0" applyFill="1" applyBorder="1" applyAlignment="1">
      <alignment horizontal="right" readingOrder="1"/>
    </xf>
    <xf numFmtId="0" fontId="0" fillId="4" borderId="4" xfId="0" applyFill="1" applyBorder="1"/>
    <xf numFmtId="0" fontId="17" fillId="4" borderId="4" xfId="0" applyFont="1" applyFill="1" applyBorder="1" applyAlignment="1">
      <alignment horizontal="right" readingOrder="2"/>
    </xf>
    <xf numFmtId="0" fontId="15" fillId="4" borderId="4" xfId="0" applyFont="1" applyFill="1" applyBorder="1" applyAlignment="1">
      <alignment horizontal="right" vertical="center" wrapText="1" readingOrder="2"/>
    </xf>
    <xf numFmtId="0" fontId="15" fillId="4" borderId="4" xfId="0" applyFont="1" applyFill="1" applyBorder="1" applyAlignment="1">
      <alignment horizontal="right" wrapText="1" readingOrder="2"/>
    </xf>
    <xf numFmtId="0" fontId="0" fillId="4" borderId="4" xfId="0" applyFont="1" applyFill="1" applyBorder="1" applyAlignment="1">
      <alignment horizontal="right" wrapText="1" readingOrder="1"/>
    </xf>
    <xf numFmtId="0" fontId="0" fillId="4" borderId="4" xfId="0" applyFont="1" applyFill="1" applyBorder="1" applyAlignment="1">
      <alignment horizontal="center" readingOrder="2"/>
    </xf>
    <xf numFmtId="0" fontId="0" fillId="4" borderId="4" xfId="0" applyFont="1" applyFill="1" applyBorder="1" applyAlignment="1">
      <alignment horizontal="center" vertical="center" readingOrder="2"/>
    </xf>
    <xf numFmtId="0" fontId="0" fillId="4" borderId="4" xfId="0" applyFont="1" applyFill="1" applyBorder="1" applyAlignment="1">
      <alignment horizontal="center" vertical="top" readingOrder="2"/>
    </xf>
    <xf numFmtId="0" fontId="6" fillId="4" borderId="4" xfId="0" applyFont="1" applyFill="1" applyBorder="1" applyAlignment="1">
      <alignment horizontal="center" vertical="center" readingOrder="2"/>
    </xf>
    <xf numFmtId="0" fontId="0" fillId="0" borderId="4" xfId="0" applyFont="1" applyFill="1" applyBorder="1" applyAlignment="1">
      <alignment horizontal="center" vertical="center" readingOrder="2"/>
    </xf>
    <xf numFmtId="0" fontId="0" fillId="4" borderId="4" xfId="0" applyFill="1" applyBorder="1" applyAlignment="1">
      <alignment horizontal="right" vertical="top" readingOrder="2"/>
    </xf>
    <xf numFmtId="0" fontId="0" fillId="4" borderId="4" xfId="0" applyFont="1" applyFill="1" applyBorder="1" applyAlignment="1">
      <alignment horizontal="center" vertical="center" wrapText="1" readingOrder="2"/>
    </xf>
    <xf numFmtId="0" fontId="0" fillId="0" borderId="0" xfId="0" applyAlignment="1">
      <alignment horizontal="center" vertical="center" wrapText="1"/>
    </xf>
    <xf numFmtId="0" fontId="10" fillId="3" borderId="6" xfId="0" applyFont="1" applyFill="1" applyBorder="1" applyAlignment="1">
      <alignment horizontal="center" vertical="center" wrapText="1"/>
    </xf>
    <xf numFmtId="0" fontId="0" fillId="0" borderId="0" xfId="0" applyAlignment="1">
      <alignment horizontal="center" vertical="center" wrapText="1" readingOrder="1"/>
    </xf>
    <xf numFmtId="0" fontId="10" fillId="3" borderId="6" xfId="0" applyFont="1" applyFill="1" applyBorder="1" applyAlignment="1">
      <alignment horizontal="right" vertical="center" wrapText="1"/>
    </xf>
    <xf numFmtId="0" fontId="0" fillId="4" borderId="0" xfId="0" applyFont="1" applyFill="1" applyBorder="1" applyAlignment="1">
      <alignment horizontal="right" vertical="center" readingOrder="2"/>
    </xf>
    <xf numFmtId="0" fontId="11" fillId="2" borderId="4" xfId="0" applyFont="1" applyFill="1" applyBorder="1" applyAlignment="1">
      <alignment vertical="center" wrapText="1"/>
    </xf>
    <xf numFmtId="0" fontId="0" fillId="4" borderId="1" xfId="0" applyFont="1" applyFill="1" applyBorder="1" applyAlignment="1">
      <alignment horizontal="right" wrapText="1" readingOrder="2"/>
    </xf>
    <xf numFmtId="0" fontId="0" fillId="4" borderId="3" xfId="0" applyFont="1" applyFill="1" applyBorder="1" applyAlignment="1">
      <alignment horizontal="right" wrapText="1" readingOrder="2"/>
    </xf>
    <xf numFmtId="49" fontId="0" fillId="4" borderId="3" xfId="0" applyNumberFormat="1" applyFont="1" applyFill="1" applyBorder="1" applyAlignment="1">
      <alignment horizontal="right" vertical="center" wrapText="1" readingOrder="2"/>
    </xf>
    <xf numFmtId="0" fontId="11" fillId="2" borderId="4" xfId="0" applyFont="1" applyFill="1" applyBorder="1" applyAlignment="1">
      <alignment horizontal="center" vertical="center"/>
    </xf>
    <xf numFmtId="0" fontId="0" fillId="4" borderId="1" xfId="0" applyFont="1" applyFill="1" applyBorder="1" applyAlignment="1">
      <alignment horizontal="right" readingOrder="2"/>
    </xf>
    <xf numFmtId="0" fontId="0" fillId="4" borderId="10" xfId="0" applyFont="1" applyFill="1" applyBorder="1" applyAlignment="1">
      <alignment horizontal="right" readingOrder="2"/>
    </xf>
    <xf numFmtId="0" fontId="0" fillId="4" borderId="3" xfId="0" applyFont="1" applyFill="1" applyBorder="1" applyAlignment="1">
      <alignment horizontal="right"/>
    </xf>
    <xf numFmtId="0" fontId="0" fillId="4" borderId="1" xfId="0" applyFont="1" applyFill="1" applyBorder="1" applyAlignment="1">
      <alignment horizontal="right"/>
    </xf>
    <xf numFmtId="0" fontId="0" fillId="4" borderId="3" xfId="0" applyFont="1" applyFill="1" applyBorder="1" applyAlignment="1">
      <alignment horizontal="right" readingOrder="2"/>
    </xf>
    <xf numFmtId="0" fontId="0" fillId="4" borderId="2" xfId="0" applyFont="1" applyFill="1" applyBorder="1" applyAlignment="1">
      <alignment horizontal="right" readingOrder="2"/>
    </xf>
    <xf numFmtId="0" fontId="11" fillId="2" borderId="4" xfId="0" applyFont="1" applyFill="1" applyBorder="1" applyAlignment="1">
      <alignment horizontal="center" vertical="center" wrapText="1"/>
    </xf>
    <xf numFmtId="0" fontId="0" fillId="4" borderId="4" xfId="0" applyFill="1" applyBorder="1" applyAlignment="1">
      <alignment horizontal="right" wrapText="1"/>
    </xf>
    <xf numFmtId="0" fontId="0" fillId="4" borderId="0" xfId="0" applyFont="1" applyFill="1" applyBorder="1" applyAlignment="1">
      <alignment horizontal="right" wrapText="1" readingOrder="2"/>
    </xf>
    <xf numFmtId="0" fontId="0" fillId="4" borderId="3" xfId="0" applyFont="1" applyFill="1" applyBorder="1" applyAlignment="1">
      <alignment horizontal="center" vertical="center" readingOrder="2"/>
    </xf>
    <xf numFmtId="0" fontId="0" fillId="0" borderId="0" xfId="0" applyBorder="1"/>
    <xf numFmtId="0" fontId="0" fillId="0" borderId="4" xfId="0" applyFont="1" applyFill="1" applyBorder="1" applyAlignment="1">
      <alignment horizontal="right" wrapText="1" readingOrder="2"/>
    </xf>
    <xf numFmtId="0" fontId="0" fillId="0" borderId="4" xfId="0" applyFont="1" applyFill="1" applyBorder="1" applyAlignment="1">
      <alignment wrapText="1" readingOrder="2"/>
    </xf>
    <xf numFmtId="0" fontId="0" fillId="0" borderId="4" xfId="0" applyFont="1" applyFill="1" applyBorder="1" applyAlignment="1">
      <alignment horizontal="right" vertical="center" wrapText="1" readingOrder="2"/>
    </xf>
    <xf numFmtId="0" fontId="0" fillId="0" borderId="4" xfId="0" applyFont="1" applyFill="1" applyBorder="1" applyAlignment="1">
      <alignment horizontal="right"/>
    </xf>
    <xf numFmtId="0" fontId="0" fillId="0" borderId="4" xfId="0" applyFont="1" applyFill="1" applyBorder="1" applyAlignment="1">
      <alignment horizontal="right" vertical="center" wrapText="1"/>
    </xf>
    <xf numFmtId="0" fontId="0" fillId="0" borderId="4" xfId="0" applyFont="1" applyFill="1" applyBorder="1" applyAlignment="1">
      <alignment horizontal="right" vertical="center"/>
    </xf>
    <xf numFmtId="0" fontId="0" fillId="0" borderId="0" xfId="0" applyAlignment="1">
      <alignment horizontal="right"/>
    </xf>
    <xf numFmtId="0" fontId="0" fillId="0" borderId="4" xfId="0" applyFill="1" applyBorder="1" applyAlignment="1">
      <alignment horizontal="right"/>
    </xf>
    <xf numFmtId="0" fontId="9" fillId="3" borderId="6" xfId="0" applyFont="1" applyFill="1" applyBorder="1" applyAlignment="1">
      <alignment horizontal="right"/>
    </xf>
    <xf numFmtId="0" fontId="0" fillId="0" borderId="4" xfId="0" applyBorder="1" applyAlignment="1">
      <alignment horizontal="center"/>
    </xf>
    <xf numFmtId="0" fontId="11" fillId="2" borderId="3" xfId="0" applyFont="1" applyFill="1" applyBorder="1" applyAlignment="1">
      <alignment horizontal="right" vertical="center"/>
    </xf>
    <xf numFmtId="0" fontId="0" fillId="0" borderId="0" xfId="0" applyAlignment="1">
      <alignment horizontal="right" vertical="top"/>
    </xf>
    <xf numFmtId="0" fontId="0" fillId="0" borderId="0" xfId="0" applyAlignment="1">
      <alignment vertical="top"/>
    </xf>
    <xf numFmtId="164" fontId="0" fillId="0" borderId="0" xfId="0" applyNumberFormat="1"/>
    <xf numFmtId="164" fontId="6" fillId="3" borderId="6" xfId="0" applyNumberFormat="1" applyFont="1" applyFill="1" applyBorder="1"/>
    <xf numFmtId="164" fontId="0" fillId="0" borderId="4" xfId="0" applyNumberFormat="1" applyFont="1" applyFill="1" applyBorder="1" applyAlignment="1">
      <alignment horizontal="right" readingOrder="2"/>
    </xf>
    <xf numFmtId="0" fontId="0" fillId="0" borderId="0" xfId="0" applyAlignment="1">
      <alignment horizontal="right" vertical="center" wrapText="1"/>
    </xf>
    <xf numFmtId="0" fontId="0" fillId="0" borderId="4" xfId="0" applyBorder="1" applyAlignment="1">
      <alignment horizontal="right" vertical="top" wrapText="1"/>
    </xf>
    <xf numFmtId="0" fontId="0" fillId="0" borderId="0" xfId="0" applyAlignment="1">
      <alignment horizontal="right" vertical="center" wrapText="1" readingOrder="1"/>
    </xf>
    <xf numFmtId="0" fontId="11" fillId="2" borderId="3" xfId="0" applyFont="1" applyFill="1" applyBorder="1" applyAlignment="1">
      <alignment horizontal="right" vertical="center" wrapText="1"/>
    </xf>
    <xf numFmtId="0" fontId="0" fillId="0" borderId="4" xfId="0" applyFont="1" applyFill="1" applyBorder="1" applyAlignment="1">
      <alignment horizontal="center" vertical="center" wrapText="1" readingOrder="2"/>
    </xf>
    <xf numFmtId="0" fontId="0" fillId="0" borderId="0" xfId="0" applyBorder="1" applyAlignment="1"/>
    <xf numFmtId="0" fontId="11" fillId="2" borderId="3" xfId="0" applyFont="1" applyFill="1" applyBorder="1" applyAlignment="1">
      <alignment vertical="center"/>
    </xf>
    <xf numFmtId="0" fontId="0" fillId="0" borderId="4" xfId="0" applyFont="1" applyFill="1" applyBorder="1" applyAlignment="1">
      <alignment vertical="center" readingOrder="2"/>
    </xf>
    <xf numFmtId="0" fontId="0" fillId="0" borderId="4" xfId="0" applyFont="1" applyBorder="1" applyAlignment="1">
      <alignment wrapText="1" readingOrder="2"/>
    </xf>
    <xf numFmtId="0" fontId="0" fillId="0" borderId="4" xfId="0" applyFont="1" applyFill="1" applyBorder="1" applyAlignment="1">
      <alignment horizontal="right" vertical="top"/>
    </xf>
    <xf numFmtId="0" fontId="0" fillId="0" borderId="4" xfId="0" applyFont="1" applyFill="1" applyBorder="1" applyAlignment="1">
      <alignment horizontal="right" vertical="top" wrapText="1" readingOrder="2"/>
    </xf>
    <xf numFmtId="0" fontId="0" fillId="0" borderId="4" xfId="0" applyFont="1" applyFill="1" applyBorder="1" applyAlignment="1">
      <alignment horizontal="right" vertical="top" readingOrder="2"/>
    </xf>
    <xf numFmtId="0" fontId="0" fillId="0" borderId="0" xfId="0" applyFill="1" applyAlignment="1">
      <alignment vertical="top"/>
    </xf>
    <xf numFmtId="0" fontId="0" fillId="0" borderId="0" xfId="0" applyFill="1" applyAlignment="1">
      <alignment horizontal="right" vertical="top"/>
    </xf>
    <xf numFmtId="0" fontId="0" fillId="0" borderId="0" xfId="0" applyFont="1" applyFill="1" applyBorder="1" applyAlignment="1">
      <alignment horizontal="right"/>
    </xf>
    <xf numFmtId="0" fontId="0" fillId="0" borderId="9" xfId="0" applyFont="1" applyFill="1" applyBorder="1" applyAlignment="1">
      <alignment horizontal="right" vertical="center" readingOrder="2"/>
    </xf>
    <xf numFmtId="0" fontId="0" fillId="0" borderId="1" xfId="0" applyFont="1" applyFill="1" applyBorder="1" applyAlignment="1">
      <alignment horizontal="right"/>
    </xf>
    <xf numFmtId="0" fontId="0" fillId="0" borderId="1" xfId="0" applyFont="1" applyFill="1" applyBorder="1" applyAlignment="1">
      <alignment horizontal="right" wrapText="1" readingOrder="2"/>
    </xf>
    <xf numFmtId="0" fontId="0" fillId="0" borderId="3" xfId="0" applyFont="1" applyFill="1" applyBorder="1" applyAlignment="1">
      <alignment vertical="center" readingOrder="2"/>
    </xf>
    <xf numFmtId="0" fontId="0" fillId="0" borderId="3" xfId="0" applyFont="1" applyFill="1" applyBorder="1" applyAlignment="1">
      <alignment wrapText="1" readingOrder="2"/>
    </xf>
    <xf numFmtId="0" fontId="0" fillId="0" borderId="3" xfId="0" applyFont="1" applyFill="1" applyBorder="1" applyAlignment="1">
      <alignment horizontal="right"/>
    </xf>
    <xf numFmtId="0" fontId="0" fillId="0" borderId="3" xfId="0" applyFont="1" applyFill="1" applyBorder="1" applyAlignment="1">
      <alignment horizontal="right" wrapText="1" readingOrder="2"/>
    </xf>
    <xf numFmtId="0" fontId="0" fillId="0" borderId="0" xfId="0" applyFill="1" applyAlignment="1">
      <alignment vertical="center"/>
    </xf>
    <xf numFmtId="0" fontId="0" fillId="0" borderId="3" xfId="0" applyFont="1" applyFill="1" applyBorder="1" applyAlignment="1">
      <alignment horizontal="right" vertical="center" readingOrder="2"/>
    </xf>
    <xf numFmtId="0" fontId="0" fillId="0" borderId="3" xfId="0" applyFont="1" applyFill="1" applyBorder="1" applyAlignment="1">
      <alignment horizontal="right" readingOrder="2"/>
    </xf>
    <xf numFmtId="164" fontId="0" fillId="0" borderId="3" xfId="0" applyNumberFormat="1" applyFont="1" applyFill="1" applyBorder="1" applyAlignment="1">
      <alignment horizontal="right" readingOrder="2"/>
    </xf>
    <xf numFmtId="0" fontId="0" fillId="0" borderId="0" xfId="0" applyFont="1" applyFill="1" applyBorder="1" applyAlignment="1">
      <alignment wrapText="1" readingOrder="2"/>
    </xf>
    <xf numFmtId="0" fontId="0" fillId="0" borderId="0" xfId="0" applyFont="1" applyFill="1" applyBorder="1" applyAlignment="1">
      <alignment horizontal="right" wrapText="1" readingOrder="2"/>
    </xf>
    <xf numFmtId="0" fontId="0" fillId="0" borderId="0" xfId="0" applyFont="1" applyFill="1" applyBorder="1" applyAlignment="1">
      <alignment vertical="center" readingOrder="2"/>
    </xf>
    <xf numFmtId="0" fontId="0" fillId="0" borderId="0" xfId="0" applyFont="1" applyFill="1" applyBorder="1" applyAlignment="1">
      <alignment horizontal="right" vertical="center" readingOrder="2"/>
    </xf>
    <xf numFmtId="0" fontId="0" fillId="0" borderId="0" xfId="0" applyFont="1" applyFill="1" applyBorder="1" applyAlignment="1">
      <alignment horizontal="right" readingOrder="2"/>
    </xf>
    <xf numFmtId="164" fontId="0" fillId="0" borderId="0" xfId="0" applyNumberFormat="1" applyFont="1" applyFill="1" applyBorder="1" applyAlignment="1">
      <alignment horizontal="right" readingOrder="2"/>
    </xf>
    <xf numFmtId="0" fontId="0" fillId="0" borderId="0" xfId="0" applyFill="1" applyBorder="1"/>
    <xf numFmtId="0" fontId="11" fillId="7" borderId="0" xfId="0" applyFont="1" applyFill="1" applyBorder="1" applyAlignment="1">
      <alignment horizontal="center" vertical="center" wrapText="1"/>
    </xf>
    <xf numFmtId="0" fontId="0" fillId="7" borderId="0" xfId="0" applyFont="1" applyFill="1" applyBorder="1" applyAlignment="1">
      <alignment horizontal="center" vertical="center" readingOrder="2"/>
    </xf>
    <xf numFmtId="49" fontId="0" fillId="0" borderId="4" xfId="0" applyNumberFormat="1" applyFont="1" applyFill="1" applyBorder="1" applyAlignment="1">
      <alignment horizontal="right" vertical="center" wrapText="1" readingOrder="2"/>
    </xf>
    <xf numFmtId="3" fontId="0" fillId="0" borderId="4" xfId="0" applyNumberFormat="1" applyFont="1" applyFill="1" applyBorder="1" applyAlignment="1">
      <alignment horizontal="right" readingOrder="2"/>
    </xf>
    <xf numFmtId="0" fontId="0" fillId="0" borderId="4" xfId="1" applyFont="1" applyFill="1" applyBorder="1" applyAlignment="1">
      <alignment horizontal="right" vertical="center"/>
    </xf>
    <xf numFmtId="0" fontId="17" fillId="0" borderId="4" xfId="0" applyFont="1" applyFill="1" applyBorder="1" applyAlignment="1">
      <alignment horizontal="right" readingOrder="2"/>
    </xf>
    <xf numFmtId="0" fontId="0" fillId="0" borderId="4" xfId="0" applyFill="1" applyBorder="1" applyAlignment="1">
      <alignment horizontal="right" wrapText="1" readingOrder="2"/>
    </xf>
    <xf numFmtId="0" fontId="12" fillId="0" borderId="4" xfId="0" applyFont="1" applyFill="1" applyBorder="1" applyAlignment="1">
      <alignment horizontal="right" vertical="center"/>
    </xf>
    <xf numFmtId="0" fontId="0" fillId="0" borderId="4" xfId="1" applyFont="1" applyFill="1" applyBorder="1" applyAlignment="1">
      <alignment horizontal="right" vertical="center" wrapText="1" readingOrder="2"/>
    </xf>
    <xf numFmtId="0" fontId="0" fillId="0" borderId="4" xfId="0" applyFill="1" applyBorder="1" applyAlignment="1">
      <alignment wrapText="1"/>
    </xf>
    <xf numFmtId="0" fontId="0" fillId="0" borderId="4" xfId="0" applyFont="1" applyFill="1" applyBorder="1" applyAlignment="1">
      <alignment horizontal="right" wrapText="1" readingOrder="1"/>
    </xf>
    <xf numFmtId="0" fontId="0" fillId="0" borderId="4" xfId="0" applyFill="1" applyBorder="1" applyAlignment="1">
      <alignment horizontal="right" vertical="top" readingOrder="2"/>
    </xf>
    <xf numFmtId="0" fontId="0" fillId="0" borderId="4" xfId="0" applyFill="1" applyBorder="1" applyAlignment="1">
      <alignment horizontal="right" readingOrder="2"/>
    </xf>
    <xf numFmtId="0" fontId="0" fillId="0" borderId="1" xfId="0" applyFont="1" applyFill="1" applyBorder="1" applyAlignment="1">
      <alignment horizontal="right" readingOrder="2"/>
    </xf>
    <xf numFmtId="0" fontId="0" fillId="0" borderId="10" xfId="0" applyFont="1" applyFill="1" applyBorder="1" applyAlignment="1">
      <alignment horizontal="right" readingOrder="2"/>
    </xf>
    <xf numFmtId="0" fontId="0" fillId="0" borderId="2" xfId="0" applyFont="1" applyFill="1" applyBorder="1" applyAlignment="1">
      <alignment horizontal="right" readingOrder="2"/>
    </xf>
    <xf numFmtId="0" fontId="0" fillId="0" borderId="4" xfId="0" applyFill="1" applyBorder="1" applyAlignment="1">
      <alignment horizontal="right" wrapText="1"/>
    </xf>
    <xf numFmtId="0" fontId="15" fillId="0" borderId="4" xfId="0" applyFont="1" applyFill="1" applyBorder="1" applyAlignment="1">
      <alignment horizontal="right" wrapText="1" readingOrder="2"/>
    </xf>
    <xf numFmtId="0" fontId="12" fillId="0" borderId="4" xfId="0" applyFont="1" applyFill="1" applyBorder="1" applyAlignment="1">
      <alignment horizontal="right" vertical="center" wrapText="1"/>
    </xf>
    <xf numFmtId="0" fontId="14" fillId="0" borderId="4" xfId="1" applyFont="1" applyFill="1" applyBorder="1" applyAlignment="1">
      <alignment horizontal="right" vertical="center" wrapText="1"/>
    </xf>
    <xf numFmtId="11" fontId="0" fillId="0" borderId="4" xfId="0" applyNumberFormat="1" applyFont="1" applyFill="1" applyBorder="1" applyAlignment="1">
      <alignment horizontal="right" vertical="center" wrapText="1" readingOrder="2"/>
    </xf>
    <xf numFmtId="0" fontId="0" fillId="0" borderId="4" xfId="0" applyFill="1" applyBorder="1"/>
    <xf numFmtId="0" fontId="13" fillId="0" borderId="4" xfId="1" applyFont="1" applyFill="1" applyBorder="1" applyAlignment="1">
      <alignment horizontal="right" vertical="center" wrapText="1" readingOrder="2"/>
    </xf>
    <xf numFmtId="0" fontId="15" fillId="0" borderId="4" xfId="1" applyFont="1" applyFill="1" applyBorder="1" applyAlignment="1">
      <alignment horizontal="right" vertical="center"/>
    </xf>
    <xf numFmtId="0" fontId="0" fillId="0" borderId="4" xfId="0" applyFont="1" applyFill="1" applyBorder="1" applyAlignment="1">
      <alignment horizontal="center" readingOrder="2"/>
    </xf>
    <xf numFmtId="0" fontId="0" fillId="0" borderId="4" xfId="0" applyFill="1" applyBorder="1" applyAlignment="1">
      <alignment horizontal="center"/>
    </xf>
    <xf numFmtId="0" fontId="15" fillId="0" borderId="4" xfId="0" applyFont="1" applyFill="1" applyBorder="1" applyAlignment="1">
      <alignment horizontal="right" vertical="center" wrapText="1" readingOrder="2"/>
    </xf>
    <xf numFmtId="0" fontId="0" fillId="0" borderId="4" xfId="0" applyFill="1" applyBorder="1" applyAlignment="1">
      <alignment horizontal="right" vertical="center" wrapText="1"/>
    </xf>
    <xf numFmtId="49" fontId="0" fillId="0" borderId="4" xfId="0" applyNumberFormat="1" applyFont="1" applyFill="1" applyBorder="1" applyAlignment="1">
      <alignment horizontal="right" vertical="top" wrapText="1" readingOrder="2"/>
    </xf>
    <xf numFmtId="0" fontId="0" fillId="0" borderId="4" xfId="0" applyFill="1" applyBorder="1" applyAlignment="1">
      <alignment horizontal="right" vertical="center" wrapText="1" readingOrder="2"/>
    </xf>
    <xf numFmtId="0" fontId="0" fillId="0" borderId="4" xfId="0" applyFill="1" applyBorder="1" applyAlignment="1">
      <alignment horizontal="center" vertical="center"/>
    </xf>
    <xf numFmtId="0" fontId="0" fillId="0" borderId="4" xfId="0" applyBorder="1" applyAlignment="1">
      <alignment horizontal="center" vertical="center" wrapText="1"/>
    </xf>
    <xf numFmtId="0" fontId="0" fillId="0" borderId="4" xfId="0" applyBorder="1" applyAlignment="1"/>
    <xf numFmtId="0" fontId="0" fillId="0" borderId="4" xfId="0" applyBorder="1" applyAlignment="1">
      <alignment horizontal="right" wrapText="1"/>
    </xf>
    <xf numFmtId="0" fontId="0" fillId="0" borderId="4" xfId="0" applyBorder="1" applyAlignment="1">
      <alignment horizontal="center" vertical="center" wrapText="1" readingOrder="1"/>
    </xf>
    <xf numFmtId="0" fontId="0" fillId="6" borderId="4" xfId="0" applyFont="1" applyFill="1" applyBorder="1" applyAlignment="1" applyProtection="1">
      <alignment horizontal="right" wrapText="1" readingOrder="2"/>
    </xf>
    <xf numFmtId="0" fontId="0" fillId="0" borderId="4" xfId="0" applyFont="1" applyFill="1" applyBorder="1" applyAlignment="1" applyProtection="1">
      <alignment horizontal="right" vertical="center" readingOrder="2"/>
      <protection locked="0"/>
    </xf>
    <xf numFmtId="0" fontId="0" fillId="0" borderId="4" xfId="0" applyFont="1" applyFill="1" applyBorder="1" applyAlignment="1" applyProtection="1">
      <alignment horizontal="center" vertical="center" readingOrder="2"/>
      <protection locked="0"/>
    </xf>
    <xf numFmtId="0" fontId="0" fillId="0" borderId="4" xfId="0" applyFont="1" applyFill="1" applyBorder="1" applyAlignment="1" applyProtection="1">
      <alignment horizontal="right" readingOrder="2"/>
      <protection locked="0"/>
    </xf>
    <xf numFmtId="0" fontId="6" fillId="0" borderId="4" xfId="0" applyFont="1" applyFill="1" applyBorder="1" applyAlignment="1" applyProtection="1">
      <alignment horizontal="center" vertical="center" readingOrder="2"/>
      <protection locked="0"/>
    </xf>
    <xf numFmtId="0" fontId="0" fillId="0" borderId="4" xfId="0" applyFill="1" applyBorder="1" applyAlignment="1" applyProtection="1">
      <alignment horizontal="right" vertical="center" readingOrder="2"/>
      <protection locked="0"/>
    </xf>
    <xf numFmtId="0" fontId="0" fillId="0" borderId="4" xfId="0" applyFont="1" applyFill="1" applyBorder="1" applyAlignment="1" applyProtection="1">
      <alignment horizontal="center" readingOrder="2"/>
      <protection locked="0"/>
    </xf>
    <xf numFmtId="0" fontId="0" fillId="0" borderId="4" xfId="0" applyFont="1" applyFill="1" applyBorder="1" applyAlignment="1" applyProtection="1">
      <alignment horizontal="right" vertical="top" readingOrder="2"/>
      <protection locked="0"/>
    </xf>
    <xf numFmtId="0" fontId="0" fillId="0" borderId="4" xfId="0" applyFont="1" applyFill="1" applyBorder="1" applyAlignment="1" applyProtection="1">
      <alignment horizontal="center" vertical="top" readingOrder="2"/>
      <protection locked="0"/>
    </xf>
    <xf numFmtId="0" fontId="0" fillId="0" borderId="4" xfId="0" applyFill="1" applyBorder="1" applyAlignment="1" applyProtection="1">
      <alignment horizontal="right" vertical="top" readingOrder="2"/>
      <protection locked="0"/>
    </xf>
    <xf numFmtId="0" fontId="0" fillId="0" borderId="4" xfId="0" applyFill="1" applyBorder="1" applyAlignment="1" applyProtection="1">
      <alignment horizontal="right" readingOrder="2"/>
      <protection locked="0"/>
    </xf>
    <xf numFmtId="0" fontId="0" fillId="0" borderId="4" xfId="0" applyFont="1" applyFill="1" applyBorder="1" applyAlignment="1" applyProtection="1">
      <alignment horizontal="right" wrapText="1" readingOrder="2"/>
      <protection locked="0"/>
    </xf>
    <xf numFmtId="0" fontId="0" fillId="0" borderId="4" xfId="0" applyFont="1" applyFill="1" applyBorder="1" applyAlignment="1" applyProtection="1">
      <alignment horizontal="right" vertical="top" wrapText="1" readingOrder="2"/>
      <protection locked="0"/>
    </xf>
    <xf numFmtId="0" fontId="0" fillId="0" borderId="4" xfId="0" applyFont="1" applyBorder="1" applyAlignment="1" applyProtection="1">
      <alignment horizontal="right" readingOrder="2"/>
      <protection locked="0"/>
    </xf>
    <xf numFmtId="0" fontId="0" fillId="4" borderId="4" xfId="0" applyFill="1" applyBorder="1" applyProtection="1">
      <protection locked="0"/>
    </xf>
    <xf numFmtId="0" fontId="0" fillId="0" borderId="4" xfId="0" applyBorder="1" applyProtection="1">
      <protection locked="0"/>
    </xf>
    <xf numFmtId="0" fontId="0" fillId="0" borderId="4" xfId="0" applyBorder="1" applyAlignment="1" applyProtection="1">
      <alignment horizontal="center"/>
      <protection locked="0"/>
    </xf>
    <xf numFmtId="0" fontId="0" fillId="0" borderId="4" xfId="0" applyFill="1" applyBorder="1" applyProtection="1">
      <protection locked="0"/>
    </xf>
    <xf numFmtId="0" fontId="0" fillId="4" borderId="4" xfId="0" applyFont="1" applyFill="1" applyBorder="1" applyAlignment="1" applyProtection="1">
      <alignment horizontal="right" vertical="center" readingOrder="2"/>
      <protection locked="0"/>
    </xf>
    <xf numFmtId="164" fontId="0" fillId="0" borderId="4" xfId="0" applyNumberFormat="1" applyFont="1" applyFill="1" applyBorder="1" applyAlignment="1">
      <alignment horizontal="right"/>
    </xf>
    <xf numFmtId="165" fontId="0" fillId="0" borderId="4" xfId="0" applyNumberFormat="1" applyFont="1" applyFill="1" applyBorder="1" applyAlignment="1">
      <alignment horizontal="right"/>
    </xf>
    <xf numFmtId="0" fontId="0" fillId="0" borderId="4" xfId="0" applyFont="1" applyFill="1" applyBorder="1" applyAlignment="1">
      <alignment horizontal="right" wrapText="1"/>
    </xf>
    <xf numFmtId="164" fontId="0" fillId="0" borderId="4" xfId="0" applyNumberFormat="1" applyFont="1" applyFill="1" applyBorder="1" applyAlignment="1">
      <alignment horizontal="right" vertical="center"/>
    </xf>
    <xf numFmtId="165" fontId="0" fillId="0" borderId="4" xfId="0" applyNumberFormat="1" applyFont="1" applyFill="1" applyBorder="1" applyAlignment="1">
      <alignment horizontal="right" vertical="center"/>
    </xf>
    <xf numFmtId="164" fontId="0" fillId="0" borderId="4" xfId="0" applyNumberFormat="1" applyFont="1" applyFill="1" applyBorder="1" applyAlignment="1">
      <alignment horizontal="right" vertical="top"/>
    </xf>
    <xf numFmtId="165" fontId="0" fillId="0" borderId="4" xfId="0" applyNumberFormat="1" applyFont="1" applyFill="1" applyBorder="1" applyAlignment="1">
      <alignment horizontal="right" vertical="top"/>
    </xf>
    <xf numFmtId="0" fontId="0" fillId="7" borderId="4" xfId="0" applyFont="1" applyFill="1" applyBorder="1" applyAlignment="1">
      <alignment horizontal="right"/>
    </xf>
    <xf numFmtId="0" fontId="0" fillId="7" borderId="4" xfId="0" applyFont="1" applyFill="1" applyBorder="1" applyAlignment="1">
      <alignment horizontal="right" wrapText="1"/>
    </xf>
    <xf numFmtId="0" fontId="0" fillId="8" borderId="4" xfId="0" applyFont="1" applyFill="1" applyBorder="1" applyAlignment="1">
      <alignment horizontal="right" vertical="top"/>
    </xf>
    <xf numFmtId="164" fontId="0" fillId="8" borderId="4" xfId="0" applyNumberFormat="1" applyFont="1" applyFill="1" applyBorder="1" applyAlignment="1">
      <alignment horizontal="right" vertical="top"/>
    </xf>
    <xf numFmtId="165" fontId="0" fillId="8" borderId="4" xfId="0" applyNumberFormat="1" applyFont="1" applyFill="1" applyBorder="1" applyAlignment="1">
      <alignment horizontal="right"/>
    </xf>
    <xf numFmtId="0" fontId="0" fillId="8" borderId="4" xfId="0" applyFont="1" applyFill="1" applyBorder="1" applyAlignment="1">
      <alignment horizontal="right"/>
    </xf>
    <xf numFmtId="0" fontId="0" fillId="8" borderId="4" xfId="0" applyFont="1" applyFill="1" applyBorder="1" applyAlignment="1">
      <alignment horizontal="right" wrapText="1"/>
    </xf>
    <xf numFmtId="0" fontId="0" fillId="8" borderId="4" xfId="0" applyFont="1" applyFill="1" applyBorder="1" applyAlignment="1">
      <alignment horizontal="right" vertical="center"/>
    </xf>
    <xf numFmtId="164" fontId="0" fillId="8" borderId="4" xfId="0" applyNumberFormat="1" applyFont="1" applyFill="1" applyBorder="1" applyAlignment="1">
      <alignment horizontal="right"/>
    </xf>
    <xf numFmtId="0" fontId="0" fillId="8" borderId="4" xfId="0" applyFont="1" applyFill="1" applyBorder="1" applyAlignment="1">
      <alignment horizontal="right" vertical="center" wrapText="1"/>
    </xf>
    <xf numFmtId="0" fontId="0" fillId="8" borderId="4" xfId="0" applyFont="1" applyFill="1" applyBorder="1" applyAlignment="1">
      <alignment horizontal="right" vertical="top" wrapText="1"/>
    </xf>
    <xf numFmtId="165" fontId="0" fillId="8" borderId="4" xfId="0" applyNumberFormat="1" applyFont="1" applyFill="1" applyBorder="1" applyAlignment="1">
      <alignment horizontal="right" vertical="top"/>
    </xf>
    <xf numFmtId="0" fontId="0" fillId="0" borderId="4" xfId="0" applyFont="1" applyFill="1" applyBorder="1" applyAlignment="1">
      <alignment horizontal="right" vertical="top" wrapText="1"/>
    </xf>
    <xf numFmtId="0" fontId="0" fillId="9" borderId="4" xfId="0" applyFont="1" applyFill="1" applyBorder="1" applyAlignment="1">
      <alignment horizontal="right" vertical="top" wrapText="1"/>
    </xf>
    <xf numFmtId="0" fontId="0" fillId="9" borderId="4" xfId="0" applyFont="1" applyFill="1" applyBorder="1" applyAlignment="1">
      <alignment horizontal="right" vertical="top"/>
    </xf>
    <xf numFmtId="164" fontId="0" fillId="9" borderId="4" xfId="0" applyNumberFormat="1" applyFont="1" applyFill="1" applyBorder="1" applyAlignment="1">
      <alignment horizontal="right" vertical="top"/>
    </xf>
    <xf numFmtId="165" fontId="0" fillId="9" borderId="4" xfId="0" applyNumberFormat="1" applyFont="1" applyFill="1" applyBorder="1" applyAlignment="1">
      <alignment horizontal="right" vertical="top"/>
    </xf>
    <xf numFmtId="0" fontId="15" fillId="9" borderId="4" xfId="0" applyFont="1" applyFill="1" applyBorder="1" applyAlignment="1">
      <alignment horizontal="right" vertical="top"/>
    </xf>
    <xf numFmtId="0" fontId="0" fillId="9" borderId="4" xfId="0" applyFont="1" applyFill="1" applyBorder="1" applyAlignment="1">
      <alignment horizontal="right"/>
    </xf>
    <xf numFmtId="0" fontId="0" fillId="9" borderId="4" xfId="0" applyFill="1" applyBorder="1" applyAlignment="1">
      <alignment horizontal="right"/>
    </xf>
    <xf numFmtId="0" fontId="0" fillId="9" borderId="4" xfId="0" applyFont="1" applyFill="1" applyBorder="1" applyAlignment="1">
      <alignment horizontal="right" wrapText="1"/>
    </xf>
    <xf numFmtId="0" fontId="0" fillId="9" borderId="4" xfId="0" applyFont="1" applyFill="1" applyBorder="1" applyAlignment="1">
      <alignment horizontal="right" vertical="center"/>
    </xf>
    <xf numFmtId="164" fontId="0" fillId="9" borderId="4" xfId="0" applyNumberFormat="1" applyFont="1" applyFill="1" applyBorder="1" applyAlignment="1">
      <alignment horizontal="right"/>
    </xf>
    <xf numFmtId="165" fontId="0" fillId="9" borderId="4" xfId="0" applyNumberFormat="1" applyFont="1" applyFill="1" applyBorder="1" applyAlignment="1">
      <alignment horizontal="right"/>
    </xf>
    <xf numFmtId="0" fontId="0" fillId="9" borderId="4" xfId="0" applyFont="1" applyFill="1" applyBorder="1" applyAlignment="1">
      <alignment horizontal="right" vertical="center" wrapText="1"/>
    </xf>
    <xf numFmtId="49" fontId="0" fillId="4" borderId="3" xfId="0" applyNumberFormat="1" applyFont="1" applyFill="1" applyBorder="1" applyAlignment="1">
      <alignment vertical="center" wrapText="1" readingOrder="2"/>
    </xf>
    <xf numFmtId="0" fontId="11" fillId="2" borderId="1" xfId="0" applyFont="1" applyFill="1" applyBorder="1" applyAlignment="1">
      <alignment vertical="center" readingOrder="2"/>
    </xf>
    <xf numFmtId="0" fontId="0" fillId="6" borderId="4" xfId="0" applyFont="1" applyFill="1" applyBorder="1" applyAlignment="1" applyProtection="1">
      <alignment wrapText="1" readingOrder="2"/>
    </xf>
    <xf numFmtId="0" fontId="0" fillId="0" borderId="0" xfId="0" applyAlignment="1">
      <alignment readingOrder="2"/>
    </xf>
    <xf numFmtId="0" fontId="0" fillId="0" borderId="0" xfId="0" applyAlignment="1">
      <alignment vertical="top" wrapText="1"/>
    </xf>
    <xf numFmtId="0" fontId="0" fillId="0" borderId="0" xfId="0" applyAlignment="1">
      <alignment vertical="top" readingOrder="2"/>
    </xf>
    <xf numFmtId="0" fontId="11" fillId="2" borderId="1" xfId="0" applyFont="1" applyFill="1" applyBorder="1" applyAlignment="1">
      <alignment vertical="top" readingOrder="2"/>
    </xf>
    <xf numFmtId="0" fontId="11" fillId="2" borderId="1" xfId="0" applyFont="1" applyFill="1" applyBorder="1" applyAlignment="1">
      <alignment vertical="top"/>
    </xf>
    <xf numFmtId="49" fontId="0" fillId="4" borderId="3" xfId="0" applyNumberFormat="1" applyFont="1" applyFill="1" applyBorder="1" applyAlignment="1">
      <alignment vertical="top" wrapText="1" readingOrder="2"/>
    </xf>
    <xf numFmtId="0" fontId="0" fillId="6" borderId="4" xfId="0" applyFont="1" applyFill="1" applyBorder="1" applyAlignment="1" applyProtection="1">
      <alignment horizontal="right" vertical="top" wrapText="1" readingOrder="2"/>
    </xf>
    <xf numFmtId="0" fontId="0" fillId="6" borderId="4" xfId="0" applyFont="1" applyFill="1" applyBorder="1" applyAlignment="1" applyProtection="1">
      <alignment vertical="top" wrapText="1" readingOrder="2"/>
    </xf>
    <xf numFmtId="0" fontId="0" fillId="0" borderId="4" xfId="0" applyBorder="1" applyAlignment="1">
      <alignment vertical="top"/>
    </xf>
    <xf numFmtId="0" fontId="0" fillId="0" borderId="4" xfId="0" applyBorder="1" applyAlignment="1">
      <alignment vertical="top" wrapText="1"/>
    </xf>
    <xf numFmtId="0" fontId="0" fillId="0" borderId="4" xfId="0" applyBorder="1" applyAlignment="1">
      <alignment vertical="top" readingOrder="2"/>
    </xf>
    <xf numFmtId="0" fontId="0" fillId="0" borderId="4" xfId="0" applyFill="1" applyBorder="1" applyAlignment="1">
      <alignment vertical="top"/>
    </xf>
    <xf numFmtId="0" fontId="0" fillId="0" borderId="0" xfId="0" applyAlignment="1">
      <alignment horizontal="right" vertical="top" wrapText="1"/>
    </xf>
    <xf numFmtId="0" fontId="11" fillId="2" borderId="8" xfId="0" applyFont="1" applyFill="1" applyBorder="1" applyAlignment="1">
      <alignment horizontal="right" vertical="top" wrapText="1"/>
    </xf>
    <xf numFmtId="0" fontId="11" fillId="2" borderId="1" xfId="0" applyFont="1" applyFill="1" applyBorder="1" applyAlignment="1">
      <alignment vertical="top" wrapText="1"/>
    </xf>
    <xf numFmtId="0" fontId="0" fillId="4" borderId="3" xfId="0" applyFont="1" applyFill="1" applyBorder="1" applyAlignment="1">
      <alignment vertical="top" wrapText="1" readingOrder="2"/>
    </xf>
    <xf numFmtId="0" fontId="0" fillId="4" borderId="3" xfId="0" applyFont="1" applyFill="1" applyBorder="1" applyAlignment="1">
      <alignment vertical="top" readingOrder="2"/>
    </xf>
    <xf numFmtId="0" fontId="0" fillId="4" borderId="3" xfId="0" applyFont="1" applyFill="1" applyBorder="1" applyAlignment="1">
      <alignment vertical="top" wrapText="1"/>
    </xf>
    <xf numFmtId="0" fontId="0" fillId="0" borderId="4" xfId="0" applyFont="1" applyFill="1" applyBorder="1" applyAlignment="1" applyProtection="1">
      <alignment vertical="top" readingOrder="2"/>
      <protection locked="0"/>
    </xf>
    <xf numFmtId="0" fontId="6" fillId="0" borderId="4" xfId="0" applyFont="1" applyFill="1" applyBorder="1" applyAlignment="1" applyProtection="1">
      <alignment vertical="top" readingOrder="2"/>
      <protection locked="0"/>
    </xf>
    <xf numFmtId="0" fontId="0" fillId="0" borderId="4" xfId="0" applyFill="1" applyBorder="1" applyAlignment="1" applyProtection="1">
      <alignment vertical="top" readingOrder="2"/>
      <protection locked="0"/>
    </xf>
    <xf numFmtId="0" fontId="0" fillId="0" borderId="4" xfId="0" applyFont="1" applyFill="1" applyBorder="1" applyAlignment="1" applyProtection="1">
      <alignment vertical="top" wrapText="1" readingOrder="2"/>
      <protection locked="0"/>
    </xf>
    <xf numFmtId="164" fontId="0" fillId="9" borderId="4" xfId="0" applyNumberFormat="1" applyFont="1" applyFill="1" applyBorder="1" applyAlignment="1">
      <alignment horizontal="right" vertical="center"/>
    </xf>
    <xf numFmtId="0" fontId="0" fillId="9" borderId="4" xfId="0" applyFont="1" applyFill="1" applyBorder="1" applyAlignment="1">
      <alignment horizontal="right" readingOrder="2"/>
    </xf>
    <xf numFmtId="165" fontId="0" fillId="9" borderId="4" xfId="0" applyNumberFormat="1" applyFont="1" applyFill="1" applyBorder="1" applyAlignment="1">
      <alignment horizontal="right" vertical="center"/>
    </xf>
    <xf numFmtId="0" fontId="0" fillId="0" borderId="4" xfId="0" applyFill="1" applyBorder="1" applyAlignment="1">
      <alignment horizontal="right" vertical="top"/>
    </xf>
    <xf numFmtId="0" fontId="0" fillId="9" borderId="4" xfId="0" applyFont="1" applyFill="1" applyBorder="1" applyAlignment="1">
      <alignment horizontal="right" vertical="center" readingOrder="2"/>
    </xf>
    <xf numFmtId="0" fontId="0" fillId="9" borderId="4" xfId="0" applyFont="1" applyFill="1" applyBorder="1" applyAlignment="1">
      <alignment horizontal="right" wrapText="1" readingOrder="2"/>
    </xf>
    <xf numFmtId="0" fontId="0" fillId="0" borderId="1" xfId="0" applyFill="1" applyBorder="1" applyAlignment="1">
      <alignment horizontal="right" vertical="top"/>
    </xf>
    <xf numFmtId="14" fontId="0" fillId="0" borderId="4" xfId="0" applyNumberFormat="1" applyFont="1" applyFill="1" applyBorder="1" applyAlignment="1">
      <alignment horizontal="right" vertical="top" readingOrder="2"/>
    </xf>
    <xf numFmtId="0" fontId="0" fillId="0" borderId="1" xfId="0" applyFont="1" applyFill="1" applyBorder="1" applyAlignment="1">
      <alignment horizontal="right" vertical="top" wrapText="1" readingOrder="2"/>
    </xf>
    <xf numFmtId="0" fontId="0" fillId="0" borderId="1" xfId="0" applyFill="1" applyBorder="1" applyAlignment="1">
      <alignment horizontal="right" vertical="top" readingOrder="2"/>
    </xf>
    <xf numFmtId="0" fontId="6" fillId="0" borderId="4" xfId="0" applyFont="1" applyFill="1" applyBorder="1" applyAlignment="1">
      <alignment horizontal="right" vertical="top"/>
    </xf>
    <xf numFmtId="0" fontId="0" fillId="0" borderId="4" xfId="0" applyNumberFormat="1" applyFill="1" applyBorder="1" applyAlignment="1">
      <alignment horizontal="right" vertical="top"/>
    </xf>
    <xf numFmtId="0" fontId="28" fillId="0" borderId="0" xfId="88" applyFill="1" applyAlignment="1">
      <alignment horizontal="right" vertical="top"/>
    </xf>
    <xf numFmtId="0" fontId="0" fillId="0" borderId="3" xfId="0" applyFill="1" applyBorder="1" applyAlignment="1">
      <alignment horizontal="right" vertical="top"/>
    </xf>
    <xf numFmtId="0" fontId="0" fillId="0" borderId="4" xfId="0" applyFont="1" applyFill="1" applyBorder="1" applyAlignment="1">
      <alignment horizontal="left" vertical="top" wrapText="1" readingOrder="2"/>
    </xf>
    <xf numFmtId="0" fontId="0" fillId="0" borderId="4" xfId="0" applyFont="1" applyFill="1" applyBorder="1" applyAlignment="1">
      <alignment horizontal="left" vertical="top" readingOrder="2"/>
    </xf>
    <xf numFmtId="0" fontId="0" fillId="0" borderId="4" xfId="0" applyFill="1" applyBorder="1" applyAlignment="1">
      <alignment horizontal="left" vertical="top" wrapText="1" readingOrder="2"/>
    </xf>
    <xf numFmtId="0" fontId="0" fillId="0" borderId="4" xfId="0" applyFill="1" applyBorder="1" applyAlignment="1">
      <alignment horizontal="left" vertical="top"/>
    </xf>
    <xf numFmtId="0" fontId="0" fillId="0" borderId="0" xfId="0" applyFill="1" applyAlignment="1">
      <alignment horizontal="left" vertical="top"/>
    </xf>
    <xf numFmtId="0" fontId="0" fillId="0" borderId="1" xfId="0" applyFill="1" applyBorder="1" applyAlignment="1">
      <alignment horizontal="left" vertical="top"/>
    </xf>
    <xf numFmtId="0" fontId="0" fillId="0" borderId="3" xfId="0" applyFill="1" applyBorder="1" applyAlignment="1">
      <alignment horizontal="left" vertical="top"/>
    </xf>
    <xf numFmtId="0" fontId="0" fillId="0" borderId="0" xfId="0" applyBorder="1" applyAlignment="1">
      <alignment horizontal="right" vertical="top"/>
    </xf>
    <xf numFmtId="0" fontId="0" fillId="0" borderId="9" xfId="0" applyFont="1" applyFill="1" applyBorder="1" applyAlignment="1">
      <alignment horizontal="right" vertical="top" wrapText="1" readingOrder="2"/>
    </xf>
    <xf numFmtId="0" fontId="0" fillId="0" borderId="9" xfId="0" applyFont="1" applyFill="1" applyBorder="1" applyAlignment="1">
      <alignment horizontal="right" vertical="top" readingOrder="2"/>
    </xf>
    <xf numFmtId="0" fontId="0" fillId="0" borderId="9" xfId="0" applyFill="1" applyBorder="1" applyAlignment="1">
      <alignment horizontal="right" vertical="top" wrapText="1" readingOrder="2"/>
    </xf>
    <xf numFmtId="0" fontId="0" fillId="0" borderId="9" xfId="0" applyFill="1" applyBorder="1" applyAlignment="1">
      <alignment horizontal="right" vertical="top"/>
    </xf>
    <xf numFmtId="0" fontId="0" fillId="0" borderId="13" xfId="0" applyFill="1" applyBorder="1" applyAlignment="1">
      <alignment horizontal="right" vertical="top"/>
    </xf>
    <xf numFmtId="0" fontId="0" fillId="0" borderId="14" xfId="0" applyFill="1" applyBorder="1" applyAlignment="1">
      <alignment horizontal="right" vertical="top"/>
    </xf>
    <xf numFmtId="0" fontId="28" fillId="0" borderId="4" xfId="88" applyFill="1" applyBorder="1" applyAlignment="1">
      <alignment horizontal="right" vertical="top"/>
    </xf>
    <xf numFmtId="0" fontId="28" fillId="0" borderId="1" xfId="88" applyFill="1" applyBorder="1" applyAlignment="1">
      <alignment horizontal="right" vertical="top"/>
    </xf>
    <xf numFmtId="0" fontId="28" fillId="0" borderId="3" xfId="88" applyFill="1" applyBorder="1" applyAlignment="1">
      <alignment horizontal="right" vertical="top"/>
    </xf>
    <xf numFmtId="3" fontId="0" fillId="0" borderId="4" xfId="0" applyNumberFormat="1" applyFont="1" applyFill="1" applyBorder="1" applyAlignment="1">
      <alignment horizontal="right" vertical="top" readingOrder="2"/>
    </xf>
    <xf numFmtId="0" fontId="0" fillId="0" borderId="9" xfId="1" applyFont="1" applyFill="1" applyBorder="1" applyAlignment="1">
      <alignment horizontal="right" vertical="top" wrapText="1" readingOrder="2"/>
    </xf>
    <xf numFmtId="0" fontId="0" fillId="0" borderId="4" xfId="1" applyFont="1" applyFill="1" applyBorder="1" applyAlignment="1">
      <alignment horizontal="left" vertical="top" wrapText="1" readingOrder="2"/>
    </xf>
    <xf numFmtId="0" fontId="0" fillId="0" borderId="4" xfId="1" applyFont="1" applyFill="1" applyBorder="1" applyAlignment="1">
      <alignment horizontal="right" vertical="top" wrapText="1" readingOrder="2"/>
    </xf>
    <xf numFmtId="0" fontId="0" fillId="0" borderId="13" xfId="0" applyFont="1" applyFill="1" applyBorder="1" applyAlignment="1">
      <alignment horizontal="right" vertical="top" wrapText="1" readingOrder="2"/>
    </xf>
    <xf numFmtId="0" fontId="0" fillId="0" borderId="1" xfId="0" applyFont="1" applyFill="1" applyBorder="1" applyAlignment="1">
      <alignment horizontal="left" vertical="top" wrapText="1" readingOrder="2"/>
    </xf>
    <xf numFmtId="0" fontId="0" fillId="0" borderId="4" xfId="0" applyFill="1" applyBorder="1" applyAlignment="1">
      <alignment horizontal="right" vertical="top" wrapText="1" readingOrder="2"/>
    </xf>
    <xf numFmtId="14" fontId="0" fillId="0" borderId="4" xfId="0" applyNumberFormat="1" applyFill="1" applyBorder="1" applyAlignment="1">
      <alignment horizontal="right" vertical="top" readingOrder="2"/>
    </xf>
    <xf numFmtId="0" fontId="0" fillId="0" borderId="9" xfId="0" applyFill="1" applyBorder="1" applyAlignment="1">
      <alignment horizontal="right" vertical="top" readingOrder="2"/>
    </xf>
    <xf numFmtId="0" fontId="0" fillId="0" borderId="4" xfId="0" applyFill="1" applyBorder="1" applyAlignment="1">
      <alignment horizontal="left" vertical="top" readingOrder="2"/>
    </xf>
    <xf numFmtId="14" fontId="28" fillId="0" borderId="4" xfId="88" applyNumberFormat="1" applyFill="1" applyBorder="1" applyAlignment="1">
      <alignment horizontal="right" vertical="top" readingOrder="2"/>
    </xf>
    <xf numFmtId="14" fontId="0" fillId="0" borderId="4" xfId="0" applyNumberFormat="1" applyFill="1" applyBorder="1" applyAlignment="1">
      <alignment horizontal="right" vertical="top"/>
    </xf>
    <xf numFmtId="14" fontId="28" fillId="0" borderId="4" xfId="88" applyNumberFormat="1" applyFill="1" applyBorder="1" applyAlignment="1">
      <alignment horizontal="right" vertical="top"/>
    </xf>
    <xf numFmtId="0" fontId="31" fillId="0" borderId="0" xfId="0" applyFont="1" applyFill="1" applyAlignment="1">
      <alignment horizontal="right" vertical="top" wrapText="1"/>
    </xf>
    <xf numFmtId="0" fontId="0" fillId="0" borderId="0" xfId="0" applyFill="1" applyBorder="1" applyAlignment="1">
      <alignment horizontal="right" vertical="top"/>
    </xf>
    <xf numFmtId="0" fontId="0" fillId="0" borderId="0" xfId="0" applyFont="1" applyFill="1" applyBorder="1" applyAlignment="1">
      <alignment horizontal="right" vertical="top" wrapText="1" readingOrder="2"/>
    </xf>
    <xf numFmtId="0" fontId="6" fillId="4" borderId="4" xfId="0" applyFont="1" applyFill="1" applyBorder="1" applyAlignment="1">
      <alignment horizontal="right" vertical="top"/>
    </xf>
    <xf numFmtId="0" fontId="0" fillId="0" borderId="4" xfId="0" applyBorder="1" applyAlignment="1">
      <alignment horizontal="right" vertical="top"/>
    </xf>
    <xf numFmtId="0" fontId="0" fillId="0" borderId="9" xfId="0" applyFill="1" applyBorder="1" applyAlignment="1">
      <alignment horizontal="center" vertical="top"/>
    </xf>
    <xf numFmtId="0" fontId="0" fillId="0" borderId="14" xfId="0" applyFill="1" applyBorder="1" applyAlignment="1">
      <alignment horizontal="center" vertical="top"/>
    </xf>
    <xf numFmtId="0" fontId="0" fillId="0" borderId="3" xfId="0" applyFill="1" applyBorder="1" applyAlignment="1">
      <alignment horizontal="center" vertical="top"/>
    </xf>
    <xf numFmtId="0" fontId="0" fillId="0" borderId="4" xfId="0" applyFill="1" applyBorder="1" applyAlignment="1">
      <alignment horizontal="center" vertical="top"/>
    </xf>
    <xf numFmtId="0" fontId="0" fillId="0" borderId="0" xfId="0" applyAlignment="1">
      <alignment horizontal="center" vertical="top"/>
    </xf>
    <xf numFmtId="0" fontId="0" fillId="0" borderId="0" xfId="0" applyBorder="1" applyAlignment="1">
      <alignment horizontal="center" vertical="top"/>
    </xf>
    <xf numFmtId="0" fontId="0" fillId="4" borderId="4" xfId="0" applyFill="1" applyBorder="1" applyAlignment="1">
      <alignment horizontal="right" vertical="top"/>
    </xf>
    <xf numFmtId="0" fontId="0" fillId="0" borderId="0" xfId="0" applyFont="1" applyAlignment="1">
      <alignment horizontal="right" vertical="top"/>
    </xf>
    <xf numFmtId="0" fontId="0" fillId="0" borderId="4" xfId="0" applyFont="1" applyFill="1" applyBorder="1" applyAlignment="1">
      <alignment horizontal="center" vertical="top" wrapText="1" readingOrder="2"/>
    </xf>
    <xf numFmtId="0" fontId="0" fillId="0" borderId="4" xfId="0" applyFill="1" applyBorder="1" applyAlignment="1">
      <alignment horizontal="center" vertical="top" readingOrder="2"/>
    </xf>
    <xf numFmtId="0" fontId="0" fillId="0" borderId="1" xfId="0" applyFill="1" applyBorder="1" applyAlignment="1">
      <alignment horizontal="center" vertical="top"/>
    </xf>
    <xf numFmtId="0" fontId="0" fillId="0" borderId="0" xfId="0" applyFill="1" applyBorder="1" applyAlignment="1">
      <alignment horizontal="center" vertical="top"/>
    </xf>
    <xf numFmtId="0" fontId="0" fillId="0" borderId="4" xfId="0" applyFont="1" applyFill="1" applyBorder="1" applyAlignment="1">
      <alignment horizontal="center" vertical="top" readingOrder="2"/>
    </xf>
    <xf numFmtId="0" fontId="0" fillId="0" borderId="9" xfId="0" applyFont="1" applyFill="1" applyBorder="1" applyAlignment="1">
      <alignment horizontal="center" vertical="top" wrapText="1" readingOrder="2"/>
    </xf>
    <xf numFmtId="0" fontId="0" fillId="0" borderId="3" xfId="0" applyFill="1" applyBorder="1" applyAlignment="1">
      <alignment horizontal="right" vertical="top" wrapText="1" readingOrder="2"/>
    </xf>
    <xf numFmtId="0" fontId="0" fillId="0" borderId="4" xfId="0" applyFont="1" applyBorder="1" applyAlignment="1">
      <alignment horizontal="center" vertical="top"/>
    </xf>
    <xf numFmtId="0" fontId="0" fillId="0" borderId="4" xfId="0" applyFont="1" applyBorder="1" applyAlignment="1">
      <alignment horizontal="center" vertical="center"/>
    </xf>
    <xf numFmtId="0" fontId="0" fillId="0" borderId="4" xfId="0" applyFont="1" applyBorder="1" applyAlignment="1">
      <alignment horizontal="center" vertical="center" readingOrder="2"/>
    </xf>
    <xf numFmtId="0" fontId="0" fillId="0" borderId="0" xfId="0" applyFont="1" applyAlignment="1">
      <alignment horizontal="center" vertical="top"/>
    </xf>
    <xf numFmtId="0" fontId="0" fillId="0" borderId="0" xfId="0" applyFont="1" applyFill="1" applyAlignment="1">
      <alignment horizontal="right" vertical="top"/>
    </xf>
    <xf numFmtId="0" fontId="0" fillId="0" borderId="0" xfId="0" applyFont="1" applyBorder="1" applyAlignment="1">
      <alignment horizontal="center" vertical="top"/>
    </xf>
    <xf numFmtId="0" fontId="0" fillId="2" borderId="4" xfId="0" applyFont="1" applyFill="1" applyBorder="1" applyAlignment="1">
      <alignment horizontal="right" vertical="top"/>
    </xf>
    <xf numFmtId="0" fontId="0" fillId="2" borderId="9" xfId="0" applyFont="1" applyFill="1" applyBorder="1" applyAlignment="1">
      <alignment horizontal="center" vertical="center"/>
    </xf>
    <xf numFmtId="0" fontId="0" fillId="2" borderId="4" xfId="0" applyFont="1" applyFill="1" applyBorder="1" applyAlignment="1">
      <alignment horizontal="center" vertical="top" wrapText="1" readingOrder="2"/>
    </xf>
    <xf numFmtId="0" fontId="0" fillId="2" borderId="4" xfId="0" applyFont="1" applyFill="1" applyBorder="1" applyAlignment="1">
      <alignment horizontal="center" vertical="top" readingOrder="2"/>
    </xf>
    <xf numFmtId="0" fontId="0" fillId="2" borderId="4" xfId="0" applyFont="1" applyFill="1" applyBorder="1" applyAlignment="1">
      <alignment horizontal="right" vertical="top" readingOrder="2"/>
    </xf>
    <xf numFmtId="0" fontId="0" fillId="2" borderId="9" xfId="1" applyFont="1" applyFill="1" applyBorder="1" applyAlignment="1">
      <alignment horizontal="center" vertical="top" wrapText="1" readingOrder="2"/>
    </xf>
    <xf numFmtId="0" fontId="0" fillId="2" borderId="4" xfId="1" applyFont="1" applyFill="1" applyBorder="1" applyAlignment="1">
      <alignment horizontal="center" vertical="top" wrapText="1" readingOrder="2"/>
    </xf>
    <xf numFmtId="0" fontId="0" fillId="2" borderId="9" xfId="0" applyFont="1" applyFill="1" applyBorder="1" applyAlignment="1">
      <alignment horizontal="center" vertical="top" wrapText="1" readingOrder="2"/>
    </xf>
    <xf numFmtId="0" fontId="0" fillId="0" borderId="0" xfId="0" applyFont="1" applyFill="1" applyBorder="1" applyAlignment="1">
      <alignment horizontal="right" vertical="top"/>
    </xf>
    <xf numFmtId="0" fontId="0" fillId="0" borderId="0" xfId="0" applyFont="1" applyFill="1" applyBorder="1" applyAlignment="1">
      <alignment horizontal="center" vertical="top"/>
    </xf>
    <xf numFmtId="0" fontId="0" fillId="0" borderId="0" xfId="0" applyFont="1" applyFill="1" applyAlignment="1">
      <alignment horizontal="center" vertical="top"/>
    </xf>
    <xf numFmtId="0" fontId="28" fillId="0" borderId="4" xfId="88" applyBorder="1" applyAlignment="1">
      <alignment horizontal="center" vertical="center" wrapText="1"/>
    </xf>
    <xf numFmtId="0" fontId="0" fillId="10" borderId="4" xfId="0" applyFill="1" applyBorder="1" applyAlignment="1">
      <alignment horizontal="right" vertical="top"/>
    </xf>
    <xf numFmtId="0" fontId="0" fillId="10" borderId="9" xfId="0" applyFont="1" applyFill="1" applyBorder="1" applyAlignment="1">
      <alignment horizontal="right" vertical="top" wrapText="1" readingOrder="2"/>
    </xf>
    <xf numFmtId="0" fontId="0" fillId="10" borderId="4" xfId="0" applyFont="1" applyFill="1" applyBorder="1" applyAlignment="1">
      <alignment horizontal="center" vertical="top" wrapText="1" readingOrder="2"/>
    </xf>
    <xf numFmtId="0" fontId="0" fillId="10" borderId="4" xfId="0" applyFont="1" applyFill="1" applyBorder="1" applyAlignment="1">
      <alignment horizontal="right" vertical="top" readingOrder="2"/>
    </xf>
    <xf numFmtId="0" fontId="0" fillId="10" borderId="9" xfId="1" applyFont="1" applyFill="1" applyBorder="1" applyAlignment="1">
      <alignment horizontal="right" vertical="top" wrapText="1" readingOrder="2"/>
    </xf>
    <xf numFmtId="0" fontId="0" fillId="10" borderId="4" xfId="1" applyFont="1" applyFill="1" applyBorder="1" applyAlignment="1">
      <alignment horizontal="center" vertical="top" wrapText="1" readingOrder="2"/>
    </xf>
    <xf numFmtId="0" fontId="0" fillId="10" borderId="9" xfId="0" applyFill="1" applyBorder="1" applyAlignment="1">
      <alignment horizontal="right" vertical="top" wrapText="1" readingOrder="2"/>
    </xf>
    <xf numFmtId="0" fontId="0" fillId="10" borderId="4" xfId="0" applyFill="1" applyBorder="1" applyAlignment="1">
      <alignment horizontal="center" vertical="top" wrapText="1" readingOrder="2"/>
    </xf>
    <xf numFmtId="14" fontId="0" fillId="10" borderId="4" xfId="0" applyNumberFormat="1" applyFont="1" applyFill="1" applyBorder="1" applyAlignment="1">
      <alignment horizontal="right" vertical="top" readingOrder="2"/>
    </xf>
    <xf numFmtId="0" fontId="0" fillId="10" borderId="4" xfId="0" applyFont="1" applyFill="1" applyBorder="1" applyAlignment="1">
      <alignment horizontal="center" vertical="top" readingOrder="2"/>
    </xf>
    <xf numFmtId="0" fontId="0" fillId="10" borderId="4" xfId="0" applyFill="1" applyBorder="1" applyAlignment="1">
      <alignment horizontal="center" vertical="top" readingOrder="2"/>
    </xf>
    <xf numFmtId="0" fontId="0" fillId="10" borderId="4" xfId="0" applyFill="1" applyBorder="1" applyAlignment="1">
      <alignment horizontal="center" vertical="top"/>
    </xf>
    <xf numFmtId="2" fontId="0" fillId="10" borderId="4" xfId="0" applyNumberFormat="1" applyFont="1" applyFill="1" applyBorder="1" applyAlignment="1">
      <alignment horizontal="center" vertical="top" wrapText="1" readingOrder="2"/>
    </xf>
    <xf numFmtId="0" fontId="15" fillId="0" borderId="4" xfId="88" applyFont="1" applyFill="1" applyBorder="1" applyAlignment="1">
      <alignment horizontal="center" vertical="top"/>
    </xf>
    <xf numFmtId="0" fontId="0" fillId="10" borderId="9" xfId="0" applyFont="1" applyFill="1" applyBorder="1" applyAlignment="1">
      <alignment horizontal="center" vertical="top" wrapText="1" readingOrder="2"/>
    </xf>
    <xf numFmtId="0" fontId="0" fillId="10" borderId="9" xfId="1" applyFont="1" applyFill="1" applyBorder="1" applyAlignment="1">
      <alignment horizontal="center" vertical="top" wrapText="1" readingOrder="2"/>
    </xf>
    <xf numFmtId="0" fontId="0" fillId="10" borderId="9" xfId="0" applyFill="1" applyBorder="1" applyAlignment="1">
      <alignment horizontal="center" vertical="top" wrapText="1" readingOrder="2"/>
    </xf>
    <xf numFmtId="0" fontId="42" fillId="0" borderId="0" xfId="0" applyFont="1" applyAlignment="1">
      <alignment horizontal="left" vertical="center" wrapText="1" indent="1"/>
    </xf>
    <xf numFmtId="0" fontId="42" fillId="0" borderId="4" xfId="0" applyFont="1" applyBorder="1" applyAlignment="1">
      <alignment horizontal="center" vertical="center" wrapText="1"/>
    </xf>
    <xf numFmtId="0" fontId="28" fillId="0" borderId="4" xfId="88" applyFill="1" applyBorder="1" applyAlignment="1">
      <alignment horizontal="right" vertical="top" readingOrder="2"/>
    </xf>
    <xf numFmtId="0" fontId="0" fillId="0" borderId="4" xfId="0" applyFill="1" applyBorder="1" applyAlignment="1">
      <alignment horizontal="right" vertical="center" readingOrder="2"/>
    </xf>
    <xf numFmtId="0" fontId="0" fillId="0" borderId="4" xfId="0" applyFont="1" applyBorder="1" applyAlignment="1">
      <alignment horizontal="right" vertical="center"/>
    </xf>
    <xf numFmtId="0" fontId="0" fillId="0" borderId="0" xfId="0" applyFont="1" applyAlignment="1">
      <alignment horizontal="right" vertical="center"/>
    </xf>
    <xf numFmtId="0" fontId="6" fillId="7" borderId="0" xfId="0" applyFont="1" applyFill="1" applyBorder="1" applyAlignment="1">
      <alignment horizontal="right" vertical="center"/>
    </xf>
    <xf numFmtId="0" fontId="6" fillId="2" borderId="1" xfId="0" applyFont="1" applyFill="1" applyBorder="1" applyAlignment="1">
      <alignment horizontal="right" vertical="center" wrapText="1" readingOrder="2"/>
    </xf>
    <xf numFmtId="0" fontId="0" fillId="11" borderId="4" xfId="0" applyFont="1" applyFill="1" applyBorder="1" applyAlignment="1">
      <alignment horizontal="right" vertical="center"/>
    </xf>
    <xf numFmtId="0" fontId="0" fillId="11" borderId="4" xfId="0" applyFill="1" applyBorder="1" applyAlignment="1">
      <alignment horizontal="right" vertical="top" readingOrder="2"/>
    </xf>
    <xf numFmtId="0" fontId="0" fillId="0" borderId="9" xfId="0" applyFill="1" applyBorder="1" applyAlignment="1">
      <alignment horizontal="center" vertical="top" wrapText="1" readingOrder="2"/>
    </xf>
    <xf numFmtId="0" fontId="27" fillId="0" borderId="0" xfId="0" applyFont="1" applyFill="1" applyAlignment="1">
      <alignment horizontal="center" vertical="top"/>
    </xf>
    <xf numFmtId="0" fontId="0" fillId="0" borderId="1" xfId="0" applyFont="1" applyFill="1" applyBorder="1" applyAlignment="1">
      <alignment horizontal="center" vertical="top" readingOrder="2"/>
    </xf>
    <xf numFmtId="0" fontId="0" fillId="0" borderId="0" xfId="0" applyFill="1" applyAlignment="1">
      <alignment horizontal="center" vertical="top"/>
    </xf>
    <xf numFmtId="0" fontId="0" fillId="0" borderId="3" xfId="0" applyFont="1" applyFill="1" applyBorder="1" applyAlignment="1">
      <alignment horizontal="center" vertical="top" readingOrder="2"/>
    </xf>
    <xf numFmtId="0" fontId="0" fillId="0" borderId="13" xfId="0" applyFont="1" applyFill="1" applyBorder="1" applyAlignment="1">
      <alignment horizontal="center" vertical="top" wrapText="1" readingOrder="2"/>
    </xf>
    <xf numFmtId="0" fontId="0" fillId="0" borderId="9" xfId="0" applyFont="1" applyFill="1" applyBorder="1" applyAlignment="1">
      <alignment horizontal="center" vertical="top" readingOrder="2"/>
    </xf>
    <xf numFmtId="0" fontId="0" fillId="0" borderId="9" xfId="1" applyFont="1" applyFill="1" applyBorder="1" applyAlignment="1">
      <alignment horizontal="center" vertical="top" wrapText="1" readingOrder="2"/>
    </xf>
    <xf numFmtId="0" fontId="0" fillId="0" borderId="9" xfId="0" applyFill="1" applyBorder="1" applyAlignment="1">
      <alignment horizontal="center" vertical="top" readingOrder="2"/>
    </xf>
    <xf numFmtId="0" fontId="0" fillId="0" borderId="13" xfId="0" applyFill="1" applyBorder="1" applyAlignment="1">
      <alignment horizontal="center" vertical="top"/>
    </xf>
    <xf numFmtId="0" fontId="0" fillId="0" borderId="3" xfId="0" applyFont="1" applyFill="1" applyBorder="1" applyAlignment="1">
      <alignment horizontal="center" vertical="top" wrapText="1" readingOrder="2"/>
    </xf>
    <xf numFmtId="0" fontId="0" fillId="0" borderId="4" xfId="0" applyFill="1" applyBorder="1" applyAlignment="1">
      <alignment horizontal="center" vertical="top" wrapText="1" readingOrder="2"/>
    </xf>
    <xf numFmtId="49" fontId="0" fillId="0" borderId="4" xfId="0" applyNumberFormat="1" applyFill="1" applyBorder="1" applyAlignment="1">
      <alignment horizontal="center" vertical="top" readingOrder="2"/>
    </xf>
    <xf numFmtId="0" fontId="0" fillId="0" borderId="4" xfId="0" quotePrefix="1" applyFill="1" applyBorder="1" applyAlignment="1">
      <alignment horizontal="center" vertical="top"/>
    </xf>
    <xf numFmtId="0" fontId="30" fillId="0" borderId="0" xfId="0" applyFont="1" applyFill="1" applyAlignment="1">
      <alignment horizontal="center" vertical="top"/>
    </xf>
    <xf numFmtId="0" fontId="0" fillId="9" borderId="4" xfId="0" applyFont="1" applyFill="1" applyBorder="1" applyAlignment="1">
      <alignment horizontal="right" vertical="top" readingOrder="2"/>
    </xf>
    <xf numFmtId="0" fontId="0" fillId="9" borderId="0" xfId="0" applyFill="1" applyBorder="1" applyAlignment="1">
      <alignment horizontal="right" vertical="top"/>
    </xf>
    <xf numFmtId="0" fontId="0" fillId="9" borderId="4" xfId="0" applyFill="1" applyBorder="1" applyAlignment="1">
      <alignment horizontal="right" vertical="top"/>
    </xf>
    <xf numFmtId="0" fontId="0" fillId="9" borderId="14" xfId="0" applyFill="1" applyBorder="1" applyAlignment="1">
      <alignment horizontal="right" vertical="top"/>
    </xf>
    <xf numFmtId="0" fontId="0" fillId="9" borderId="3" xfId="0" applyFill="1" applyBorder="1" applyAlignment="1">
      <alignment horizontal="right" vertical="top"/>
    </xf>
    <xf numFmtId="0" fontId="0" fillId="9" borderId="2" xfId="0" applyFill="1" applyBorder="1" applyAlignment="1">
      <alignment horizontal="right" vertical="top"/>
    </xf>
    <xf numFmtId="0" fontId="28" fillId="9" borderId="3" xfId="88" applyFill="1" applyBorder="1" applyAlignment="1">
      <alignment horizontal="right" vertical="top"/>
    </xf>
    <xf numFmtId="0" fontId="0" fillId="9" borderId="9" xfId="0" applyFill="1" applyBorder="1" applyAlignment="1">
      <alignment horizontal="right" vertical="top"/>
    </xf>
    <xf numFmtId="0" fontId="0" fillId="9" borderId="1" xfId="0" applyFill="1" applyBorder="1" applyAlignment="1">
      <alignment horizontal="right" vertical="top"/>
    </xf>
    <xf numFmtId="0" fontId="28" fillId="9" borderId="4" xfId="88" applyFill="1" applyBorder="1" applyAlignment="1">
      <alignment horizontal="right" vertical="top"/>
    </xf>
    <xf numFmtId="0" fontId="0" fillId="9" borderId="3" xfId="0" applyFill="1" applyBorder="1" applyAlignment="1">
      <alignment horizontal="right" vertical="top" readingOrder="2"/>
    </xf>
    <xf numFmtId="0" fontId="0" fillId="9" borderId="4" xfId="0" applyFill="1" applyBorder="1" applyAlignment="1">
      <alignment horizontal="right" vertical="top" readingOrder="2"/>
    </xf>
    <xf numFmtId="0" fontId="28" fillId="9" borderId="11" xfId="88" applyFill="1" applyBorder="1" applyAlignment="1">
      <alignment horizontal="right" vertical="top" wrapText="1"/>
    </xf>
    <xf numFmtId="0" fontId="6" fillId="9" borderId="4" xfId="0" applyFont="1" applyFill="1" applyBorder="1" applyAlignment="1">
      <alignment horizontal="right" vertical="top"/>
    </xf>
    <xf numFmtId="0" fontId="28" fillId="9" borderId="1" xfId="88" applyFill="1" applyBorder="1" applyAlignment="1">
      <alignment horizontal="right" vertical="top" wrapText="1"/>
    </xf>
    <xf numFmtId="0" fontId="28" fillId="9" borderId="4" xfId="88" applyFill="1" applyBorder="1" applyAlignment="1">
      <alignment horizontal="right" vertical="top" wrapText="1"/>
    </xf>
    <xf numFmtId="0" fontId="0" fillId="9" borderId="4" xfId="0" applyFill="1" applyBorder="1" applyAlignment="1">
      <alignment horizontal="right" vertical="top" wrapText="1"/>
    </xf>
    <xf numFmtId="0" fontId="6" fillId="3" borderId="9" xfId="0" applyFont="1" applyFill="1" applyBorder="1" applyAlignment="1">
      <alignment horizontal="right" readingOrder="2"/>
    </xf>
    <xf numFmtId="0" fontId="6" fillId="3" borderId="12" xfId="0" applyFont="1" applyFill="1" applyBorder="1" applyAlignment="1">
      <alignment horizontal="right" vertical="center"/>
    </xf>
    <xf numFmtId="0" fontId="0" fillId="9" borderId="1" xfId="0" applyFill="1" applyBorder="1" applyAlignment="1">
      <alignment horizontal="right" vertical="top" readingOrder="2"/>
    </xf>
    <xf numFmtId="0" fontId="0" fillId="9" borderId="4" xfId="0" applyFill="1" applyBorder="1" applyAlignment="1">
      <alignment horizontal="right" vertical="center"/>
    </xf>
    <xf numFmtId="0" fontId="0" fillId="9" borderId="2" xfId="0" applyFill="1" applyBorder="1" applyAlignment="1">
      <alignment horizontal="right" vertical="top" readingOrder="2"/>
    </xf>
    <xf numFmtId="0" fontId="0" fillId="9" borderId="1" xfId="0" applyFill="1" applyBorder="1" applyAlignment="1">
      <alignment horizontal="right" vertical="center"/>
    </xf>
    <xf numFmtId="0" fontId="0" fillId="0" borderId="0" xfId="0" applyFont="1" applyAlignment="1">
      <alignment horizontal="right" vertical="center" wrapText="1"/>
    </xf>
    <xf numFmtId="0" fontId="6" fillId="3" borderId="12" xfId="0" applyFont="1" applyFill="1" applyBorder="1" applyAlignment="1">
      <alignment horizontal="right" vertical="center" wrapText="1"/>
    </xf>
    <xf numFmtId="0" fontId="6" fillId="7" borderId="0" xfId="0" applyFont="1" applyFill="1" applyBorder="1" applyAlignment="1">
      <alignment horizontal="right" vertical="center" wrapText="1"/>
    </xf>
    <xf numFmtId="0" fontId="28" fillId="9" borderId="3" xfId="88" applyFill="1" applyBorder="1" applyAlignment="1">
      <alignment horizontal="right" vertical="top" wrapText="1"/>
    </xf>
    <xf numFmtId="0" fontId="0" fillId="0" borderId="4" xfId="0" applyFont="1" applyBorder="1" applyAlignment="1">
      <alignment horizontal="right" vertical="center" wrapText="1"/>
    </xf>
    <xf numFmtId="0" fontId="15" fillId="0" borderId="0" xfId="0" applyFont="1" applyAlignment="1">
      <alignment horizontal="right" vertical="center"/>
    </xf>
    <xf numFmtId="0" fontId="0" fillId="0" borderId="0" xfId="0" applyFont="1" applyAlignment="1">
      <alignment horizontal="right" vertical="center" readingOrder="2"/>
    </xf>
    <xf numFmtId="49" fontId="6" fillId="3" borderId="11" xfId="0" applyNumberFormat="1" applyFont="1" applyFill="1" applyBorder="1" applyAlignment="1">
      <alignment horizontal="right" vertical="top" wrapText="1"/>
    </xf>
    <xf numFmtId="49" fontId="6" fillId="3" borderId="12" xfId="0" applyNumberFormat="1" applyFont="1" applyFill="1" applyBorder="1" applyAlignment="1">
      <alignment horizontal="right" vertical="center" wrapText="1"/>
    </xf>
    <xf numFmtId="0" fontId="6" fillId="3" borderId="4" xfId="0" applyFont="1" applyFill="1" applyBorder="1" applyAlignment="1">
      <alignment horizontal="right" vertical="center"/>
    </xf>
    <xf numFmtId="0" fontId="29" fillId="3" borderId="12" xfId="0" applyFont="1" applyFill="1" applyBorder="1" applyAlignment="1">
      <alignment horizontal="right" vertical="center"/>
    </xf>
    <xf numFmtId="0" fontId="6" fillId="3" borderId="12" xfId="0" applyFont="1" applyFill="1" applyBorder="1" applyAlignment="1">
      <alignment horizontal="right" vertical="center" readingOrder="2"/>
    </xf>
    <xf numFmtId="49" fontId="6" fillId="7" borderId="0" xfId="0" applyNumberFormat="1" applyFont="1" applyFill="1" applyBorder="1" applyAlignment="1">
      <alignment horizontal="right" vertical="center" wrapText="1"/>
    </xf>
    <xf numFmtId="0" fontId="36" fillId="7" borderId="4" xfId="0" applyFont="1" applyFill="1" applyBorder="1" applyAlignment="1">
      <alignment horizontal="right" vertical="center" wrapText="1"/>
    </xf>
    <xf numFmtId="0" fontId="45" fillId="7" borderId="0" xfId="0" applyFont="1" applyFill="1" applyBorder="1" applyAlignment="1">
      <alignment horizontal="right" vertical="center" wrapText="1"/>
    </xf>
    <xf numFmtId="0" fontId="6" fillId="7" borderId="0" xfId="0" applyFont="1" applyFill="1" applyBorder="1" applyAlignment="1">
      <alignment horizontal="right" vertical="center" readingOrder="2"/>
    </xf>
    <xf numFmtId="0" fontId="6" fillId="2" borderId="4" xfId="0" applyFont="1" applyFill="1" applyBorder="1" applyAlignment="1">
      <alignment horizontal="right" vertical="top" wrapText="1" readingOrder="2"/>
    </xf>
    <xf numFmtId="0" fontId="6" fillId="2" borderId="4" xfId="0" applyFont="1" applyFill="1" applyBorder="1" applyAlignment="1">
      <alignment horizontal="right" vertical="center" wrapText="1" readingOrder="2"/>
    </xf>
    <xf numFmtId="0" fontId="6" fillId="2" borderId="10" xfId="0" applyFont="1" applyFill="1" applyBorder="1" applyAlignment="1">
      <alignment horizontal="right" vertical="center" wrapText="1" readingOrder="2"/>
    </xf>
    <xf numFmtId="0" fontId="6" fillId="2" borderId="13" xfId="0" applyFont="1" applyFill="1" applyBorder="1" applyAlignment="1">
      <alignment horizontal="right" vertical="center" wrapText="1" readingOrder="2"/>
    </xf>
    <xf numFmtId="0" fontId="6" fillId="2" borderId="1" xfId="0" applyFont="1" applyFill="1" applyBorder="1" applyAlignment="1">
      <alignment horizontal="right" vertical="center" readingOrder="2"/>
    </xf>
    <xf numFmtId="0" fontId="29" fillId="2" borderId="1" xfId="0" applyFont="1" applyFill="1" applyBorder="1" applyAlignment="1">
      <alignment horizontal="right" vertical="center" wrapText="1" readingOrder="2"/>
    </xf>
    <xf numFmtId="0" fontId="0" fillId="9" borderId="13" xfId="0" applyFill="1" applyBorder="1" applyAlignment="1">
      <alignment horizontal="right" vertical="center"/>
    </xf>
    <xf numFmtId="0" fontId="0" fillId="9" borderId="1" xfId="0" applyFont="1" applyFill="1" applyBorder="1" applyAlignment="1">
      <alignment horizontal="right" vertical="top" wrapText="1" readingOrder="2"/>
    </xf>
    <xf numFmtId="0" fontId="0" fillId="9" borderId="10" xfId="0" applyFill="1" applyBorder="1" applyAlignment="1">
      <alignment horizontal="right" vertical="center"/>
    </xf>
    <xf numFmtId="0" fontId="0" fillId="9" borderId="13" xfId="0" applyFill="1" applyBorder="1" applyAlignment="1">
      <alignment horizontal="right" vertical="top" readingOrder="2"/>
    </xf>
    <xf numFmtId="0" fontId="0" fillId="9" borderId="9" xfId="0" applyFill="1" applyBorder="1" applyAlignment="1">
      <alignment horizontal="right" vertical="center"/>
    </xf>
    <xf numFmtId="0" fontId="0" fillId="9" borderId="4" xfId="0" applyFill="1" applyBorder="1" applyAlignment="1">
      <alignment horizontal="right" vertical="center" readingOrder="2"/>
    </xf>
    <xf numFmtId="0" fontId="15" fillId="0" borderId="0" xfId="0" applyFont="1" applyFill="1" applyAlignment="1">
      <alignment horizontal="right" vertical="center" wrapText="1"/>
    </xf>
    <xf numFmtId="0" fontId="0" fillId="9" borderId="11" xfId="0" applyFill="1" applyBorder="1" applyAlignment="1">
      <alignment horizontal="right" vertical="center"/>
    </xf>
    <xf numFmtId="0" fontId="0" fillId="9" borderId="9" xfId="0" applyFont="1" applyFill="1" applyBorder="1" applyAlignment="1">
      <alignment horizontal="right" vertical="center"/>
    </xf>
    <xf numFmtId="0" fontId="34" fillId="9" borderId="0" xfId="0" applyFont="1" applyFill="1" applyAlignment="1">
      <alignment horizontal="right" vertical="center" wrapText="1"/>
    </xf>
    <xf numFmtId="0" fontId="17" fillId="9" borderId="4" xfId="0" applyFont="1" applyFill="1" applyBorder="1" applyAlignment="1">
      <alignment horizontal="right" vertical="center"/>
    </xf>
    <xf numFmtId="0" fontId="33" fillId="9" borderId="4" xfId="0" applyFont="1" applyFill="1" applyBorder="1" applyAlignment="1">
      <alignment horizontal="right" vertical="center" wrapText="1"/>
    </xf>
    <xf numFmtId="0" fontId="0" fillId="9" borderId="14" xfId="0" applyFill="1" applyBorder="1" applyAlignment="1">
      <alignment horizontal="right" vertical="center"/>
    </xf>
    <xf numFmtId="0" fontId="0" fillId="9" borderId="2" xfId="0" applyFont="1" applyFill="1" applyBorder="1" applyAlignment="1">
      <alignment horizontal="right" vertical="top" wrapText="1" readingOrder="2"/>
    </xf>
    <xf numFmtId="0" fontId="0" fillId="9" borderId="3" xfId="0" applyFill="1" applyBorder="1" applyAlignment="1">
      <alignment horizontal="right" vertical="center"/>
    </xf>
    <xf numFmtId="0" fontId="0" fillId="9" borderId="3" xfId="0" applyFont="1" applyFill="1" applyBorder="1" applyAlignment="1">
      <alignment horizontal="right" vertical="top" readingOrder="2"/>
    </xf>
    <xf numFmtId="0" fontId="33" fillId="9" borderId="1" xfId="0" applyFont="1" applyFill="1" applyBorder="1" applyAlignment="1">
      <alignment horizontal="right" vertical="center" wrapText="1"/>
    </xf>
    <xf numFmtId="0" fontId="0" fillId="9" borderId="1" xfId="0" applyFill="1" applyBorder="1" applyAlignment="1">
      <alignment horizontal="right" vertical="center" readingOrder="2"/>
    </xf>
    <xf numFmtId="0" fontId="0" fillId="0" borderId="4" xfId="0" applyFill="1" applyBorder="1" applyAlignment="1">
      <alignment horizontal="right" vertical="center"/>
    </xf>
    <xf numFmtId="0" fontId="0" fillId="0" borderId="13" xfId="0" applyFont="1" applyFill="1" applyBorder="1" applyAlignment="1">
      <alignment horizontal="right" vertical="top" readingOrder="2"/>
    </xf>
    <xf numFmtId="0" fontId="0" fillId="0" borderId="4" xfId="0" applyFont="1" applyBorder="1" applyAlignment="1">
      <alignment horizontal="right" vertical="top"/>
    </xf>
    <xf numFmtId="0" fontId="0" fillId="0" borderId="11" xfId="0" applyFont="1" applyBorder="1" applyAlignment="1">
      <alignment horizontal="right" vertical="center"/>
    </xf>
    <xf numFmtId="0" fontId="0" fillId="0" borderId="9" xfId="0" applyFont="1" applyBorder="1" applyAlignment="1">
      <alignment horizontal="right" vertical="center"/>
    </xf>
    <xf numFmtId="0" fontId="15" fillId="0" borderId="4" xfId="0" applyFont="1" applyBorder="1" applyAlignment="1">
      <alignment horizontal="right" vertical="center"/>
    </xf>
    <xf numFmtId="0" fontId="0" fillId="0" borderId="4" xfId="0" applyFont="1" applyBorder="1" applyAlignment="1">
      <alignment horizontal="right" vertical="center" readingOrder="2"/>
    </xf>
    <xf numFmtId="0" fontId="6" fillId="2" borderId="0" xfId="0" applyFont="1" applyFill="1" applyAlignment="1">
      <alignment horizontal="center" vertical="center" wrapText="1"/>
    </xf>
    <xf numFmtId="0" fontId="9" fillId="2" borderId="5" xfId="0" applyFont="1" applyFill="1" applyBorder="1" applyAlignment="1">
      <alignment horizontal="center" vertical="top" wrapText="1"/>
    </xf>
    <xf numFmtId="0" fontId="9" fillId="2" borderId="6" xfId="0" applyFont="1" applyFill="1" applyBorder="1" applyAlignment="1">
      <alignment horizontal="center" vertical="top"/>
    </xf>
    <xf numFmtId="0" fontId="9" fillId="2" borderId="7" xfId="0" applyFont="1" applyFill="1" applyBorder="1" applyAlignment="1">
      <alignment horizontal="center" vertical="top"/>
    </xf>
    <xf numFmtId="0" fontId="0" fillId="0" borderId="11" xfId="0" applyBorder="1" applyAlignment="1">
      <alignment vertical="top"/>
    </xf>
    <xf numFmtId="0" fontId="0" fillId="0" borderId="12" xfId="0" applyBorder="1" applyAlignment="1">
      <alignment vertical="top"/>
    </xf>
    <xf numFmtId="0" fontId="0" fillId="0" borderId="9" xfId="0" applyBorder="1" applyAlignment="1">
      <alignment vertical="top"/>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0" fillId="9" borderId="9" xfId="0" applyFont="1" applyFill="1" applyBorder="1" applyAlignment="1">
      <alignment horizontal="right" vertical="top" wrapText="1" readingOrder="2"/>
    </xf>
    <xf numFmtId="0" fontId="0" fillId="9" borderId="4" xfId="0" applyFont="1" applyFill="1" applyBorder="1" applyAlignment="1">
      <alignment horizontal="right" vertical="center" wrapText="1" readingOrder="2"/>
    </xf>
    <xf numFmtId="14" fontId="28" fillId="9" borderId="4" xfId="88" applyNumberFormat="1" applyFont="1" applyFill="1" applyBorder="1" applyAlignment="1">
      <alignment horizontal="right" vertical="center" readingOrder="2"/>
    </xf>
    <xf numFmtId="0" fontId="0" fillId="9" borderId="4" xfId="0" applyFont="1" applyFill="1" applyBorder="1" applyAlignment="1">
      <alignment horizontal="right" vertical="top" wrapText="1" readingOrder="2"/>
    </xf>
    <xf numFmtId="0" fontId="28" fillId="9" borderId="4" xfId="88" applyFill="1" applyBorder="1" applyAlignment="1">
      <alignment horizontal="right" vertical="top" readingOrder="2"/>
    </xf>
    <xf numFmtId="0" fontId="15" fillId="0" borderId="0" xfId="0" applyFont="1" applyAlignment="1">
      <alignment horizontal="right" vertical="center" wrapText="1"/>
    </xf>
    <xf numFmtId="0" fontId="0" fillId="9" borderId="9" xfId="0" applyFont="1" applyFill="1" applyBorder="1" applyAlignment="1">
      <alignment horizontal="right" vertical="center" wrapText="1" readingOrder="2"/>
    </xf>
    <xf numFmtId="0" fontId="44" fillId="0" borderId="0" xfId="0" applyFont="1" applyAlignment="1">
      <alignment horizontal="right" vertical="center" wrapText="1"/>
    </xf>
    <xf numFmtId="0" fontId="15" fillId="0" borderId="4" xfId="0" applyFont="1" applyBorder="1" applyAlignment="1">
      <alignment horizontal="right"/>
    </xf>
    <xf numFmtId="0" fontId="0" fillId="0" borderId="3" xfId="0" applyFill="1" applyBorder="1" applyAlignment="1">
      <alignment horizontal="right" vertical="top" readingOrder="2"/>
    </xf>
    <xf numFmtId="0" fontId="35" fillId="9" borderId="0" xfId="0" applyFont="1" applyFill="1" applyAlignment="1">
      <alignment horizontal="right" vertical="center" wrapText="1"/>
    </xf>
    <xf numFmtId="0" fontId="0" fillId="9" borderId="0" xfId="0" applyFont="1" applyFill="1" applyBorder="1" applyAlignment="1">
      <alignment horizontal="right" vertical="center" wrapText="1" readingOrder="2"/>
    </xf>
    <xf numFmtId="0" fontId="28" fillId="9" borderId="0" xfId="88" applyFont="1" applyFill="1" applyBorder="1" applyAlignment="1">
      <alignment horizontal="right" vertical="center" readingOrder="2"/>
    </xf>
    <xf numFmtId="0" fontId="35" fillId="0" borderId="0" xfId="0" applyFont="1" applyAlignment="1">
      <alignment horizontal="right"/>
    </xf>
    <xf numFmtId="0" fontId="40" fillId="0" borderId="0" xfId="0" applyFont="1" applyAlignment="1">
      <alignment horizontal="right" vertical="center" wrapText="1"/>
    </xf>
    <xf numFmtId="0" fontId="15" fillId="0" borderId="4" xfId="0" applyFont="1" applyFill="1" applyBorder="1" applyAlignment="1">
      <alignment horizontal="right" vertical="top" wrapText="1" readingOrder="2"/>
    </xf>
    <xf numFmtId="0" fontId="41" fillId="0" borderId="0" xfId="0" applyFont="1" applyAlignment="1">
      <alignment horizontal="right"/>
    </xf>
    <xf numFmtId="0" fontId="0" fillId="9" borderId="9" xfId="0" applyFont="1" applyFill="1" applyBorder="1" applyAlignment="1">
      <alignment horizontal="right" vertical="top"/>
    </xf>
    <xf numFmtId="0" fontId="39" fillId="9" borderId="0" xfId="0" applyFont="1" applyFill="1" applyAlignment="1">
      <alignment horizontal="right" vertical="center"/>
    </xf>
    <xf numFmtId="0" fontId="15" fillId="9" borderId="4" xfId="0" applyFont="1" applyFill="1" applyBorder="1" applyAlignment="1">
      <alignment horizontal="right" vertical="center"/>
    </xf>
    <xf numFmtId="14" fontId="28" fillId="9" borderId="4" xfId="88" applyNumberFormat="1" applyFont="1" applyFill="1" applyBorder="1" applyAlignment="1">
      <alignment horizontal="right" vertical="center"/>
    </xf>
    <xf numFmtId="0" fontId="28" fillId="9" borderId="4" xfId="88" applyFont="1" applyFill="1" applyBorder="1" applyAlignment="1">
      <alignment horizontal="right" vertical="center"/>
    </xf>
    <xf numFmtId="2" fontId="0" fillId="9" borderId="4" xfId="0" applyNumberFormat="1" applyFont="1" applyFill="1" applyBorder="1" applyAlignment="1">
      <alignment horizontal="right" vertical="center" wrapText="1"/>
    </xf>
    <xf numFmtId="0" fontId="35" fillId="9" borderId="4" xfId="0" applyFont="1" applyFill="1" applyBorder="1" applyAlignment="1">
      <alignment horizontal="right" vertical="center"/>
    </xf>
    <xf numFmtId="0" fontId="0" fillId="10" borderId="4" xfId="0" applyFill="1" applyBorder="1" applyAlignment="1">
      <alignment horizontal="right" vertical="top" readingOrder="2"/>
    </xf>
    <xf numFmtId="0" fontId="37" fillId="9" borderId="4" xfId="0" applyFont="1" applyFill="1" applyBorder="1" applyAlignment="1">
      <alignment horizontal="right" vertical="center"/>
    </xf>
    <xf numFmtId="0" fontId="0" fillId="9" borderId="2" xfId="0" applyFont="1" applyFill="1" applyBorder="1" applyAlignment="1">
      <alignment horizontal="right" vertical="center"/>
    </xf>
    <xf numFmtId="0" fontId="37" fillId="9" borderId="0" xfId="0" applyFont="1" applyFill="1" applyAlignment="1">
      <alignment horizontal="right" vertical="center"/>
    </xf>
    <xf numFmtId="0" fontId="39" fillId="9" borderId="4" xfId="0" applyFont="1" applyFill="1" applyBorder="1" applyAlignment="1">
      <alignment horizontal="right" vertical="center"/>
    </xf>
    <xf numFmtId="0" fontId="0" fillId="9" borderId="13" xfId="0" applyFill="1" applyBorder="1" applyAlignment="1">
      <alignment horizontal="right" vertical="center" readingOrder="2"/>
    </xf>
    <xf numFmtId="0" fontId="28" fillId="9" borderId="1" xfId="88" applyFill="1" applyBorder="1" applyAlignment="1">
      <alignment horizontal="right" vertical="top"/>
    </xf>
    <xf numFmtId="14" fontId="28" fillId="9" borderId="4" xfId="88" applyNumberFormat="1" applyFill="1" applyBorder="1" applyAlignment="1">
      <alignment horizontal="right" vertical="top" readingOrder="2"/>
    </xf>
    <xf numFmtId="0" fontId="0" fillId="0" borderId="0" xfId="0" applyAlignment="1">
      <alignment horizontal="right" vertical="center"/>
    </xf>
    <xf numFmtId="0" fontId="0" fillId="0" borderId="0" xfId="0" applyAlignment="1">
      <alignment horizontal="right" vertical="center" readingOrder="2"/>
    </xf>
    <xf numFmtId="0" fontId="28" fillId="0" borderId="0" xfId="88" applyAlignment="1">
      <alignment horizontal="right" vertical="top" wrapText="1"/>
    </xf>
    <xf numFmtId="0" fontId="28" fillId="9" borderId="4" xfId="88" applyFont="1" applyFill="1" applyBorder="1" applyAlignment="1">
      <alignment horizontal="right" vertical="center" wrapText="1"/>
    </xf>
    <xf numFmtId="0" fontId="35" fillId="9" borderId="4" xfId="0" applyFont="1" applyFill="1" applyBorder="1" applyAlignment="1">
      <alignment horizontal="right" vertical="center" wrapText="1"/>
    </xf>
    <xf numFmtId="0" fontId="38" fillId="9" borderId="4" xfId="0" applyFont="1" applyFill="1" applyBorder="1" applyAlignment="1">
      <alignment horizontal="right" vertical="center" wrapText="1"/>
    </xf>
    <xf numFmtId="0" fontId="28" fillId="0" borderId="4" xfId="88" applyBorder="1" applyAlignment="1">
      <alignment horizontal="right" vertical="center" wrapText="1"/>
    </xf>
    <xf numFmtId="0" fontId="41" fillId="0" borderId="4" xfId="0" applyFont="1" applyBorder="1" applyAlignment="1">
      <alignment horizontal="right"/>
    </xf>
    <xf numFmtId="0" fontId="35" fillId="0" borderId="4" xfId="0" applyFont="1" applyBorder="1" applyAlignment="1">
      <alignment horizontal="right" vertical="center" wrapText="1"/>
    </xf>
    <xf numFmtId="0" fontId="43" fillId="0" borderId="0" xfId="0" applyFont="1" applyAlignment="1">
      <alignment horizontal="right"/>
    </xf>
    <xf numFmtId="0" fontId="35" fillId="0" borderId="0" xfId="0" applyFont="1" applyAlignment="1">
      <alignment horizontal="right" vertical="center" wrapText="1"/>
    </xf>
    <xf numFmtId="0" fontId="43" fillId="0" borderId="4" xfId="0" applyFont="1" applyBorder="1" applyAlignment="1">
      <alignment horizontal="right"/>
    </xf>
    <xf numFmtId="0" fontId="0" fillId="11" borderId="4" xfId="0" applyFont="1" applyFill="1" applyBorder="1" applyAlignment="1">
      <alignment horizontal="right" vertical="top"/>
    </xf>
    <xf numFmtId="0" fontId="0" fillId="11" borderId="9" xfId="0" applyFill="1" applyBorder="1" applyAlignment="1">
      <alignment horizontal="right" vertical="top" readingOrder="2"/>
    </xf>
    <xf numFmtId="0" fontId="43" fillId="11" borderId="0" xfId="0" applyFont="1" applyFill="1" applyAlignment="1">
      <alignment horizontal="right"/>
    </xf>
    <xf numFmtId="0" fontId="0" fillId="11" borderId="4" xfId="0" applyFont="1" applyFill="1" applyBorder="1" applyAlignment="1">
      <alignment horizontal="right" vertical="center" readingOrder="2"/>
    </xf>
    <xf numFmtId="0" fontId="28" fillId="11" borderId="4" xfId="88" applyFill="1" applyBorder="1" applyAlignment="1">
      <alignment horizontal="right" vertical="center" wrapText="1"/>
    </xf>
    <xf numFmtId="0" fontId="0" fillId="0" borderId="1" xfId="0" applyFont="1" applyBorder="1" applyAlignment="1">
      <alignment horizontal="right" vertical="center"/>
    </xf>
    <xf numFmtId="0" fontId="15" fillId="0" borderId="4" xfId="0" applyFont="1" applyBorder="1" applyAlignment="1">
      <alignment horizontal="right" vertical="center" wrapText="1"/>
    </xf>
    <xf numFmtId="0" fontId="44" fillId="0" borderId="4" xfId="0" applyFont="1" applyBorder="1" applyAlignment="1">
      <alignment horizontal="right" vertical="center" wrapText="1"/>
    </xf>
    <xf numFmtId="0" fontId="15" fillId="0" borderId="0" xfId="0" applyFont="1" applyAlignment="1">
      <alignment horizontal="right"/>
    </xf>
    <xf numFmtId="0" fontId="46" fillId="0" borderId="0" xfId="0" applyFont="1" applyAlignment="1">
      <alignment horizontal="right" vertical="center" wrapText="1"/>
    </xf>
  </cellXfs>
  <cellStyles count="89">
    <cellStyle name="Hyperlink" xfId="88" builtinId="8"/>
    <cellStyle name="Hyperlink 2" xfId="50" xr:uid="{00000000-0005-0000-0000-000000000000}"/>
    <cellStyle name="mismach" xfId="23" xr:uid="{00000000-0005-0000-0000-000001000000}"/>
    <cellStyle name="Normal" xfId="0" builtinId="0"/>
    <cellStyle name="Normal 10" xfId="47" xr:uid="{00000000-0005-0000-0000-000003000000}"/>
    <cellStyle name="Normal 11" xfId="3" xr:uid="{00000000-0005-0000-0000-000004000000}"/>
    <cellStyle name="Normal 11 2" xfId="67" xr:uid="{00000000-0005-0000-0000-000005000000}"/>
    <cellStyle name="Normal 12" xfId="6" xr:uid="{00000000-0005-0000-0000-000006000000}"/>
    <cellStyle name="Normal 12 2" xfId="54" xr:uid="{00000000-0005-0000-0000-000007000000}"/>
    <cellStyle name="Normal 12 2 2" xfId="76" xr:uid="{00000000-0005-0000-0000-000008000000}"/>
    <cellStyle name="Normal 12 3" xfId="58" xr:uid="{00000000-0005-0000-0000-000009000000}"/>
    <cellStyle name="Normal 12 3 2" xfId="80" xr:uid="{00000000-0005-0000-0000-00000A000000}"/>
    <cellStyle name="Normal 12 4" xfId="62" xr:uid="{00000000-0005-0000-0000-00000B000000}"/>
    <cellStyle name="Normal 12 4 2" xfId="84" xr:uid="{00000000-0005-0000-0000-00000C000000}"/>
    <cellStyle name="Normal 12 5" xfId="68" xr:uid="{00000000-0005-0000-0000-00000D000000}"/>
    <cellStyle name="Normal 13" xfId="53" xr:uid="{00000000-0005-0000-0000-00000E000000}"/>
    <cellStyle name="Normal 13 2" xfId="75" xr:uid="{00000000-0005-0000-0000-00000F000000}"/>
    <cellStyle name="Normal 14" xfId="57" xr:uid="{00000000-0005-0000-0000-000010000000}"/>
    <cellStyle name="Normal 14 2" xfId="79" xr:uid="{00000000-0005-0000-0000-000011000000}"/>
    <cellStyle name="Normal 15" xfId="61" xr:uid="{00000000-0005-0000-0000-000012000000}"/>
    <cellStyle name="Normal 15 2" xfId="83" xr:uid="{00000000-0005-0000-0000-000013000000}"/>
    <cellStyle name="Normal 2" xfId="5" xr:uid="{00000000-0005-0000-0000-000014000000}"/>
    <cellStyle name="Normal 2 2" xfId="7" xr:uid="{00000000-0005-0000-0000-000015000000}"/>
    <cellStyle name="Normal 2 2 2" xfId="18" xr:uid="{00000000-0005-0000-0000-000016000000}"/>
    <cellStyle name="Normal 2 2 2 2" xfId="39" xr:uid="{00000000-0005-0000-0000-000017000000}"/>
    <cellStyle name="Normal 2 2 3" xfId="30" xr:uid="{00000000-0005-0000-0000-000018000000}"/>
    <cellStyle name="Normal 2 3" xfId="9" xr:uid="{00000000-0005-0000-0000-000019000000}"/>
    <cellStyle name="Normal 2 3 2" xfId="55" xr:uid="{00000000-0005-0000-0000-00001A000000}"/>
    <cellStyle name="Normal 2 3 2 2" xfId="77" xr:uid="{00000000-0005-0000-0000-00001B000000}"/>
    <cellStyle name="Normal 2 3 3" xfId="59" xr:uid="{00000000-0005-0000-0000-00001C000000}"/>
    <cellStyle name="Normal 2 3 3 2" xfId="81" xr:uid="{00000000-0005-0000-0000-00001D000000}"/>
    <cellStyle name="Normal 2 3 4" xfId="63" xr:uid="{00000000-0005-0000-0000-00001E000000}"/>
    <cellStyle name="Normal 2 3 4 2" xfId="85" xr:uid="{00000000-0005-0000-0000-00001F000000}"/>
    <cellStyle name="Normal 2 3 5" xfId="69" xr:uid="{00000000-0005-0000-0000-000020000000}"/>
    <cellStyle name="Normal 2 4" xfId="13" xr:uid="{00000000-0005-0000-0000-000021000000}"/>
    <cellStyle name="Normal 2 5" xfId="15" xr:uid="{00000000-0005-0000-0000-000022000000}"/>
    <cellStyle name="Normal 2 5 2" xfId="36" xr:uid="{00000000-0005-0000-0000-000023000000}"/>
    <cellStyle name="Normal 2 6" xfId="27" xr:uid="{00000000-0005-0000-0000-000024000000}"/>
    <cellStyle name="Normal 2 7" xfId="48" xr:uid="{00000000-0005-0000-0000-000025000000}"/>
    <cellStyle name="Normal 2 7 2" xfId="72" xr:uid="{00000000-0005-0000-0000-000026000000}"/>
    <cellStyle name="Normal 3" xfId="4" xr:uid="{00000000-0005-0000-0000-000027000000}"/>
    <cellStyle name="Normal 3 2" xfId="2" xr:uid="{00000000-0005-0000-0000-000028000000}"/>
    <cellStyle name="Normal 3 2 2" xfId="8" xr:uid="{00000000-0005-0000-0000-000029000000}"/>
    <cellStyle name="Normal 3 2 2 2" xfId="19" xr:uid="{00000000-0005-0000-0000-00002A000000}"/>
    <cellStyle name="Normal 3 2 2 2 2" xfId="40" xr:uid="{00000000-0005-0000-0000-00002B000000}"/>
    <cellStyle name="Normal 3 2 2 3" xfId="31" xr:uid="{00000000-0005-0000-0000-00002C000000}"/>
    <cellStyle name="Normal 3 2 3" xfId="16" xr:uid="{00000000-0005-0000-0000-00002D000000}"/>
    <cellStyle name="Normal 3 2 3 2" xfId="37" xr:uid="{00000000-0005-0000-0000-00002E000000}"/>
    <cellStyle name="Normal 3 2 4" xfId="28" xr:uid="{00000000-0005-0000-0000-00002F000000}"/>
    <cellStyle name="Normal 3 3" xfId="1" xr:uid="{00000000-0005-0000-0000-000030000000}"/>
    <cellStyle name="Normal 3 3 2" xfId="17" xr:uid="{00000000-0005-0000-0000-000031000000}"/>
    <cellStyle name="Normal 3 3 2 2" xfId="38" xr:uid="{00000000-0005-0000-0000-000032000000}"/>
    <cellStyle name="Normal 3 3 3" xfId="29" xr:uid="{00000000-0005-0000-0000-000033000000}"/>
    <cellStyle name="Normal 3 4" xfId="11" xr:uid="{00000000-0005-0000-0000-000034000000}"/>
    <cellStyle name="Normal 3 4 2" xfId="21" xr:uid="{00000000-0005-0000-0000-000035000000}"/>
    <cellStyle name="Normal 3 4 2 2" xfId="42" xr:uid="{00000000-0005-0000-0000-000036000000}"/>
    <cellStyle name="Normal 3 4 3" xfId="33" xr:uid="{00000000-0005-0000-0000-000037000000}"/>
    <cellStyle name="Normal 3 5" xfId="14" xr:uid="{00000000-0005-0000-0000-000038000000}"/>
    <cellStyle name="Normal 3 5 2" xfId="35" xr:uid="{00000000-0005-0000-0000-000039000000}"/>
    <cellStyle name="Normal 3 6" xfId="26" xr:uid="{00000000-0005-0000-0000-00003A000000}"/>
    <cellStyle name="Normal 3 7" xfId="45" xr:uid="{00000000-0005-0000-0000-00003B000000}"/>
    <cellStyle name="Normal 4" xfId="10" xr:uid="{00000000-0005-0000-0000-00003C000000}"/>
    <cellStyle name="Normal 4 2" xfId="20" xr:uid="{00000000-0005-0000-0000-00003D000000}"/>
    <cellStyle name="Normal 4 2 2" xfId="41" xr:uid="{00000000-0005-0000-0000-00003E000000}"/>
    <cellStyle name="Normal 4 3" xfId="32" xr:uid="{00000000-0005-0000-0000-00003F000000}"/>
    <cellStyle name="Normal 4 4" xfId="51" xr:uid="{00000000-0005-0000-0000-000040000000}"/>
    <cellStyle name="Normal 4 4 2" xfId="73" xr:uid="{00000000-0005-0000-0000-000041000000}"/>
    <cellStyle name="Normal 4 5" xfId="66" xr:uid="{00000000-0005-0000-0000-000042000000}"/>
    <cellStyle name="Normal 5" xfId="12" xr:uid="{00000000-0005-0000-0000-000043000000}"/>
    <cellStyle name="Normal 5 2" xfId="22" xr:uid="{00000000-0005-0000-0000-000044000000}"/>
    <cellStyle name="Normal 5 2 2" xfId="43" xr:uid="{00000000-0005-0000-0000-000045000000}"/>
    <cellStyle name="Normal 5 3" xfId="34" xr:uid="{00000000-0005-0000-0000-000046000000}"/>
    <cellStyle name="Normal 5 4" xfId="52" xr:uid="{00000000-0005-0000-0000-000047000000}"/>
    <cellStyle name="Normal 5 4 2" xfId="74" xr:uid="{00000000-0005-0000-0000-000048000000}"/>
    <cellStyle name="Normal 6" xfId="25" xr:uid="{00000000-0005-0000-0000-000049000000}"/>
    <cellStyle name="Normal 6 2" xfId="49" xr:uid="{00000000-0005-0000-0000-00004A000000}"/>
    <cellStyle name="Normal 6 3" xfId="56" xr:uid="{00000000-0005-0000-0000-00004B000000}"/>
    <cellStyle name="Normal 6 3 2" xfId="78" xr:uid="{00000000-0005-0000-0000-00004C000000}"/>
    <cellStyle name="Normal 6 4" xfId="60" xr:uid="{00000000-0005-0000-0000-00004D000000}"/>
    <cellStyle name="Normal 6 4 2" xfId="82" xr:uid="{00000000-0005-0000-0000-00004E000000}"/>
    <cellStyle name="Normal 6 5" xfId="64" xr:uid="{00000000-0005-0000-0000-00004F000000}"/>
    <cellStyle name="Normal 6 5 2" xfId="86" xr:uid="{00000000-0005-0000-0000-000050000000}"/>
    <cellStyle name="Normal 6 6" xfId="70" xr:uid="{00000000-0005-0000-0000-000051000000}"/>
    <cellStyle name="Normal 7" xfId="24" xr:uid="{00000000-0005-0000-0000-000052000000}"/>
    <cellStyle name="Normal 8" xfId="44" xr:uid="{00000000-0005-0000-0000-000053000000}"/>
    <cellStyle name="Normal 8 2" xfId="65" xr:uid="{00000000-0005-0000-0000-000054000000}"/>
    <cellStyle name="Normal 8 2 2" xfId="87" xr:uid="{00000000-0005-0000-0000-000055000000}"/>
    <cellStyle name="Normal 9" xfId="46" xr:uid="{00000000-0005-0000-0000-000056000000}"/>
    <cellStyle name="Normal 9 2" xfId="71" xr:uid="{00000000-0005-0000-0000-000057000000}"/>
  </cellStyles>
  <dxfs count="0"/>
  <tableStyles count="0" defaultTableStyle="TableStyleMedium9"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'חח מכשור - מלאי מינימום 2015'!$W$5:$W$34</c:f>
              <c:numCache>
                <c:formatCode>General</c:formatCode>
                <c:ptCount val="30"/>
                <c:pt idx="0">
                  <c:v>0.5</c:v>
                </c:pt>
                <c:pt idx="1">
                  <c:v>0.6</c:v>
                </c:pt>
                <c:pt idx="2">
                  <c:v>0.8</c:v>
                </c:pt>
                <c:pt idx="3">
                  <c:v>1</c:v>
                </c:pt>
                <c:pt idx="4">
                  <c:v>1.2</c:v>
                </c:pt>
                <c:pt idx="5">
                  <c:v>1.4</c:v>
                </c:pt>
                <c:pt idx="6">
                  <c:v>1.5</c:v>
                </c:pt>
                <c:pt idx="7">
                  <c:v>1.7999999999999998</c:v>
                </c:pt>
                <c:pt idx="8">
                  <c:v>2</c:v>
                </c:pt>
                <c:pt idx="9">
                  <c:v>2.4</c:v>
                </c:pt>
                <c:pt idx="10">
                  <c:v>2.4000000000000004</c:v>
                </c:pt>
                <c:pt idx="11">
                  <c:v>3</c:v>
                </c:pt>
                <c:pt idx="12">
                  <c:v>3.5999999999999996</c:v>
                </c:pt>
                <c:pt idx="13">
                  <c:v>4</c:v>
                </c:pt>
                <c:pt idx="14">
                  <c:v>4.5</c:v>
                </c:pt>
                <c:pt idx="15">
                  <c:v>5</c:v>
                </c:pt>
                <c:pt idx="16">
                  <c:v>5.5</c:v>
                </c:pt>
                <c:pt idx="17">
                  <c:v>6</c:v>
                </c:pt>
                <c:pt idx="18">
                  <c:v>6.5</c:v>
                </c:pt>
                <c:pt idx="19">
                  <c:v>7</c:v>
                </c:pt>
                <c:pt idx="20">
                  <c:v>7.5</c:v>
                </c:pt>
                <c:pt idx="21">
                  <c:v>8.4</c:v>
                </c:pt>
                <c:pt idx="22">
                  <c:v>9</c:v>
                </c:pt>
                <c:pt idx="23">
                  <c:v>9.1</c:v>
                </c:pt>
                <c:pt idx="24">
                  <c:v>10.5</c:v>
                </c:pt>
                <c:pt idx="25">
                  <c:v>11</c:v>
                </c:pt>
                <c:pt idx="26">
                  <c:v>13.5</c:v>
                </c:pt>
                <c:pt idx="27">
                  <c:v>15</c:v>
                </c:pt>
                <c:pt idx="28">
                  <c:v>60</c:v>
                </c:pt>
                <c:pt idx="29">
                  <c:v>70</c:v>
                </c:pt>
              </c:numCache>
            </c:numRef>
          </c:cat>
          <c:val>
            <c:numRef>
              <c:f>'חח מכשור - מלאי מינימום 2015'!$X$5:$X$34</c:f>
              <c:numCache>
                <c:formatCode>General</c:formatCode>
                <c:ptCount val="30"/>
                <c:pt idx="0">
                  <c:v>23</c:v>
                </c:pt>
                <c:pt idx="1">
                  <c:v>1</c:v>
                </c:pt>
                <c:pt idx="2">
                  <c:v>4</c:v>
                </c:pt>
                <c:pt idx="3">
                  <c:v>26</c:v>
                </c:pt>
                <c:pt idx="4">
                  <c:v>1</c:v>
                </c:pt>
                <c:pt idx="5">
                  <c:v>2</c:v>
                </c:pt>
                <c:pt idx="6">
                  <c:v>20</c:v>
                </c:pt>
                <c:pt idx="7">
                  <c:v>1</c:v>
                </c:pt>
                <c:pt idx="8">
                  <c:v>15</c:v>
                </c:pt>
                <c:pt idx="9">
                  <c:v>2</c:v>
                </c:pt>
                <c:pt idx="10">
                  <c:v>2</c:v>
                </c:pt>
                <c:pt idx="11">
                  <c:v>21</c:v>
                </c:pt>
                <c:pt idx="12">
                  <c:v>1</c:v>
                </c:pt>
                <c:pt idx="13">
                  <c:v>7</c:v>
                </c:pt>
                <c:pt idx="14">
                  <c:v>7</c:v>
                </c:pt>
                <c:pt idx="15">
                  <c:v>6</c:v>
                </c:pt>
                <c:pt idx="16">
                  <c:v>1</c:v>
                </c:pt>
                <c:pt idx="17">
                  <c:v>3</c:v>
                </c:pt>
                <c:pt idx="18">
                  <c:v>1</c:v>
                </c:pt>
                <c:pt idx="19">
                  <c:v>1</c:v>
                </c:pt>
                <c:pt idx="20">
                  <c:v>2</c:v>
                </c:pt>
                <c:pt idx="21">
                  <c:v>1</c:v>
                </c:pt>
                <c:pt idx="22">
                  <c:v>3</c:v>
                </c:pt>
                <c:pt idx="23">
                  <c:v>1</c:v>
                </c:pt>
                <c:pt idx="24">
                  <c:v>1</c:v>
                </c:pt>
                <c:pt idx="25">
                  <c:v>2</c:v>
                </c:pt>
                <c:pt idx="26">
                  <c:v>1</c:v>
                </c:pt>
                <c:pt idx="27">
                  <c:v>4</c:v>
                </c:pt>
                <c:pt idx="28">
                  <c:v>2</c:v>
                </c:pt>
                <c:pt idx="29">
                  <c:v>1</c:v>
                </c:pt>
              </c:numCache>
            </c:numRef>
          </c:val>
          <c:extLst>
            <c:ext xmlns:c16="http://schemas.microsoft.com/office/drawing/2014/chart" uri="{C3380CC4-5D6E-409C-BE32-E72D297353CC}">
              <c16:uniqueId val="{00000000-E993-4BF2-9047-8468C42CC724}"/>
            </c:ext>
          </c:extLst>
        </c:ser>
        <c:dLbls>
          <c:showLegendKey val="0"/>
          <c:showVal val="0"/>
          <c:showCatName val="0"/>
          <c:showSerName val="0"/>
          <c:showPercent val="0"/>
          <c:showBubbleSize val="0"/>
        </c:dLbls>
        <c:gapWidth val="150"/>
        <c:axId val="127305600"/>
        <c:axId val="134130688"/>
      </c:barChart>
      <c:catAx>
        <c:axId val="127305600"/>
        <c:scaling>
          <c:orientation val="minMax"/>
        </c:scaling>
        <c:delete val="0"/>
        <c:axPos val="b"/>
        <c:numFmt formatCode="General" sourceLinked="1"/>
        <c:majorTickMark val="out"/>
        <c:minorTickMark val="none"/>
        <c:tickLblPos val="nextTo"/>
        <c:crossAx val="134130688"/>
        <c:crosses val="autoZero"/>
        <c:auto val="1"/>
        <c:lblAlgn val="ctr"/>
        <c:lblOffset val="100"/>
        <c:noMultiLvlLbl val="0"/>
      </c:catAx>
      <c:valAx>
        <c:axId val="134130688"/>
        <c:scaling>
          <c:orientation val="minMax"/>
        </c:scaling>
        <c:delete val="0"/>
        <c:axPos val="l"/>
        <c:majorGridlines/>
        <c:numFmt formatCode="General" sourceLinked="1"/>
        <c:majorTickMark val="out"/>
        <c:minorTickMark val="none"/>
        <c:tickLblPos val="nextTo"/>
        <c:crossAx val="127305600"/>
        <c:crosses val="autoZero"/>
        <c:crossBetween val="between"/>
        <c:majorUnit val="1"/>
        <c:minorUnit val="1"/>
      </c:valAx>
    </c:plotArea>
    <c:legend>
      <c:legendPos val="r"/>
      <c:overlay val="0"/>
    </c:legend>
    <c:plotVisOnly val="1"/>
    <c:dispBlanksAs val="gap"/>
    <c:showDLblsOverMax val="0"/>
  </c:chart>
  <c:txPr>
    <a:bodyPr/>
    <a:lstStyle/>
    <a:p>
      <a:pPr>
        <a:defRPr b="1"/>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24</xdr:col>
      <xdr:colOff>170090</xdr:colOff>
      <xdr:row>10</xdr:row>
      <xdr:rowOff>259772</xdr:rowOff>
    </xdr:from>
    <xdr:to>
      <xdr:col>36</xdr:col>
      <xdr:colOff>143029</xdr:colOff>
      <xdr:row>31</xdr:row>
      <xdr:rowOff>73757</xdr:rowOff>
    </xdr:to>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17" Type="http://schemas.openxmlformats.org/officeDocument/2006/relationships/hyperlink" Target="https://www.afs.endress.com/en/search?filter.text=W2001F0435D&amp;t.tabId=product-configure" TargetMode="External"/><Relationship Id="rId21" Type="http://schemas.openxmlformats.org/officeDocument/2006/relationships/hyperlink" Target="https://mall.industry.siemens.com/mall/en/WW/Catalog/Product/6ES7307-1EA01-0AA0" TargetMode="External"/><Relationship Id="rId42" Type="http://schemas.openxmlformats.org/officeDocument/2006/relationships/hyperlink" Target="https://www-unitronicsplc-com.webpkgcache.com/doc/-/s/www.unitronicsplc.com/wp-content/uploads/2017/08/V230-280-290_03-16-Update.pdf" TargetMode="External"/><Relationship Id="rId63" Type="http://schemas.openxmlformats.org/officeDocument/2006/relationships/hyperlink" Target="https://www.i4automation.co.uk/unitronicspdf/EX-RC1_SPEC_05-08.pdf" TargetMode="External"/><Relationship Id="rId84" Type="http://schemas.openxmlformats.org/officeDocument/2006/relationships/hyperlink" Target="https://www.rockwellautomation.com/en-us/products/details.1769-L32E.html" TargetMode="External"/><Relationship Id="rId138" Type="http://schemas.openxmlformats.org/officeDocument/2006/relationships/hyperlink" Target="https://www.servapure.com/Thornton-52-300-110-Patch-Cable-M300-VP-for-PH-and-Oxygen-33-Ft_p_9640.html" TargetMode="External"/><Relationship Id="rId159" Type="http://schemas.openxmlformats.org/officeDocument/2006/relationships/hyperlink" Target="https://www.processsensing.com/en-us/products/humidity-probes-hc2a-s-sh-hh.htm" TargetMode="External"/><Relationship Id="rId107" Type="http://schemas.openxmlformats.org/officeDocument/2006/relationships/hyperlink" Target="https://www.afs.endress.com/en/field-instruments-overview/pressure/Absolute-gauge-Ceraphant-PTP33B?t.tabId=product-specification" TargetMode="External"/><Relationship Id="rId11" Type="http://schemas.openxmlformats.org/officeDocument/2006/relationships/hyperlink" Target="https://literature.rockwellautomation.com/idc/groups/literature/documents/in/1769-in072_-en-p.pdf" TargetMode="External"/><Relationship Id="rId32" Type="http://schemas.openxmlformats.org/officeDocument/2006/relationships/hyperlink" Target="http://milan-il.com/upload_pics/File/180ATR111.pdf" TargetMode="External"/><Relationship Id="rId53" Type="http://schemas.openxmlformats.org/officeDocument/2006/relationships/hyperlink" Target="https://www.unitronicsplc.com/Documents/Vision/EXP/UG_IO-TO16.pdf" TargetMode="External"/><Relationship Id="rId74" Type="http://schemas.openxmlformats.org/officeDocument/2006/relationships/hyperlink" Target="https://www.rockwellautomation.com/en-us/products/details.1734-OB8E.html" TargetMode="External"/><Relationship Id="rId128" Type="http://schemas.openxmlformats.org/officeDocument/2006/relationships/hyperlink" Target="https://www.afs.endress.com/en/search?filter.text=H10114010AE" TargetMode="External"/><Relationship Id="rId149" Type="http://schemas.openxmlformats.org/officeDocument/2006/relationships/hyperlink" Target="https://www.festo.com/il/en/a/533347/?q=533347%7E%3AfestoSortOrderScored" TargetMode="External"/><Relationship Id="rId5" Type="http://schemas.openxmlformats.org/officeDocument/2006/relationships/hyperlink" Target="https://www.jumo.de/products/pressure/pressure-transmitter/404366/jumo-dtrans-p30-%E2%80%93-pressure-transmitter-404366.html" TargetMode="External"/><Relationship Id="rId95" Type="http://schemas.openxmlformats.org/officeDocument/2006/relationships/hyperlink" Target="https://controtec-ltd.com/%D7%A8%D7%92%D7%A9-%D7%9C%D7%97%D7%A5-%D7%90%D7%95%D7%95%D7%99%D7%A8-%D7%94%D7%A4%D7%A8%D7%A9%D7%99-%D7%AA%D7%A2%D7%A9%D7%99%D7%99%D7%AA%D7%99-%D7%93%D7%99%D7%92%D7%99%D7%98%D7%9C%D7%99" TargetMode="External"/><Relationship Id="rId160" Type="http://schemas.openxmlformats.org/officeDocument/2006/relationships/hyperlink" Target="https://www.testo.com/en/testo-6621/p/0555-6621" TargetMode="External"/><Relationship Id="rId22" Type="http://schemas.openxmlformats.org/officeDocument/2006/relationships/hyperlink" Target="https://mall.industry.siemens.com/mall/en/WW/Catalog/Product/6ES7332-5HD01-0AB0" TargetMode="External"/><Relationship Id="rId43" Type="http://schemas.openxmlformats.org/officeDocument/2006/relationships/hyperlink" Target="https://www-unitronicsplc-com.webpkgcache.com/doc/-/s/www.unitronicsplc.com/wp-content/uploads/2017/08/V230-280-290_03-16-Update.pdf" TargetMode="External"/><Relationship Id="rId64" Type="http://schemas.openxmlformats.org/officeDocument/2006/relationships/hyperlink" Target="https://www.i4automation.co.uk/unitronicspdf/IO-LC1%20IO-LC3.pdf" TargetMode="External"/><Relationship Id="rId118" Type="http://schemas.openxmlformats.org/officeDocument/2006/relationships/hyperlink" Target="https://www.afs.endress.com/en/search?filter.text=CLS82E-AApG30" TargetMode="External"/><Relationship Id="rId139" Type="http://schemas.openxmlformats.org/officeDocument/2006/relationships/hyperlink" Target="https://www.redlion.net/product/csmstrle-protocol-converter" TargetMode="External"/><Relationship Id="rId85" Type="http://schemas.openxmlformats.org/officeDocument/2006/relationships/hyperlink" Target="https://www.rockwellautomation.com/en-us/products/details.1769-L33ER.html" TargetMode="External"/><Relationship Id="rId150" Type="http://schemas.openxmlformats.org/officeDocument/2006/relationships/hyperlink" Target="https://www.festo.com/il/en/a/526996/?q=526996%7E%3AfestoSortOrderScored" TargetMode="External"/><Relationship Id="rId12" Type="http://schemas.openxmlformats.org/officeDocument/2006/relationships/hyperlink" Target="https://literature.rockwellautomation.com/idc/groups/literature/documents/td/1769-td006_-en-p.pdf" TargetMode="External"/><Relationship Id="rId17" Type="http://schemas.openxmlformats.org/officeDocument/2006/relationships/hyperlink" Target="https://www.schneider-electric.com/en/product/VW3A8306TF03/modbus-%E2%80%9Ct%E2%80%9D-tap-off---1-x-rj45-male-and-2-x-rj45-female---cable-0.3-m/" TargetMode="External"/><Relationship Id="rId33" Type="http://schemas.openxmlformats.org/officeDocument/2006/relationships/hyperlink" Target="https://www.endress.com/en/search?filter.text=P7085005G00&amp;products.page=1&amp;products.fromBeginning=true" TargetMode="External"/><Relationship Id="rId38" Type="http://schemas.openxmlformats.org/officeDocument/2006/relationships/hyperlink" Target="https://controtec-ltd.com/%D7%9C%D7%97%D7%95%D7%AA" TargetMode="External"/><Relationship Id="rId59" Type="http://schemas.openxmlformats.org/officeDocument/2006/relationships/hyperlink" Target="https://www.pl-systems.fr/wa_files/io-pt400-4k.pdf" TargetMode="External"/><Relationship Id="rId103" Type="http://schemas.openxmlformats.org/officeDocument/2006/relationships/hyperlink" Target="https://www.afs.endress.com/en/field-instruments-overview/liquid-analysis-product-overview/compact-transmitter-pH-conductivity-oxygen-orp-cm82?t.tabId=product-overview" TargetMode="External"/><Relationship Id="rId108" Type="http://schemas.openxmlformats.org/officeDocument/2006/relationships/hyperlink" Target="https://www.afs.endress.com/en/search?filter.text=V1095805LC0" TargetMode="External"/><Relationship Id="rId124" Type="http://schemas.openxmlformats.org/officeDocument/2006/relationships/hyperlink" Target="https://www.afs.endress.com/en/search?filter.text=C8008401024" TargetMode="External"/><Relationship Id="rId129" Type="http://schemas.openxmlformats.org/officeDocument/2006/relationships/hyperlink" Target="https://www.afs.endress.com/en/search?filter.text=E6000404298" TargetMode="External"/><Relationship Id="rId54" Type="http://schemas.openxmlformats.org/officeDocument/2006/relationships/hyperlink" Target="https://www.unitronicsplc.com/Documents/Vision/EXP/UG_IO-DI8-RO4_DI8-RO4-L.pdf" TargetMode="External"/><Relationship Id="rId70" Type="http://schemas.openxmlformats.org/officeDocument/2006/relationships/hyperlink" Target="https://www.unitronicsplc.com/wp-content/uploads/2015/12/V200-18-E1.pdf" TargetMode="External"/><Relationship Id="rId75" Type="http://schemas.openxmlformats.org/officeDocument/2006/relationships/hyperlink" Target="https://www.rockwellautomation.com/en-us/products/details.1734-IE2C.html" TargetMode="External"/><Relationship Id="rId91" Type="http://schemas.openxmlformats.org/officeDocument/2006/relationships/hyperlink" Target="https://docs.rs-online.com/e311/0900766b8131a205.pdf" TargetMode="External"/><Relationship Id="rId96" Type="http://schemas.openxmlformats.org/officeDocument/2006/relationships/hyperlink" Target="https://kimessa.com/product-overview/monoline/" TargetMode="External"/><Relationship Id="rId140" Type="http://schemas.openxmlformats.org/officeDocument/2006/relationships/hyperlink" Target="https://www.festo.com/gb/en/a/6211/?q=6211%7E%3AfestoSortOrderScored" TargetMode="External"/><Relationship Id="rId145" Type="http://schemas.openxmlformats.org/officeDocument/2006/relationships/hyperlink" Target="https://www.festo.com/gb/en/a/543815/?q=543815%7E%3AfestoSortOrderScored" TargetMode="External"/><Relationship Id="rId161" Type="http://schemas.openxmlformats.org/officeDocument/2006/relationships/hyperlink" Target="https://www.frigor.co.il/%D7%A8%D7%92%D7%A9_%D7%98%D7%9E%D7%A4%D7%A8%D7%98%D7%95%D7%A8%D7%94_%D7%97%D7%95%D7%A5" TargetMode="External"/><Relationship Id="rId1" Type="http://schemas.openxmlformats.org/officeDocument/2006/relationships/hyperlink" Target="https://www.ontrium.com/en/usa/brands/huba-control/630-940027" TargetMode="External"/><Relationship Id="rId6" Type="http://schemas.openxmlformats.org/officeDocument/2006/relationships/hyperlink" Target="https://www.jumo.de/products/pressure/pressure-transmitter/404366/jumo-dtrans-p30-%E2%80%93-pressure-transmitter-404366.html" TargetMode="External"/><Relationship Id="rId23" Type="http://schemas.openxmlformats.org/officeDocument/2006/relationships/hyperlink" Target="https://mall.industry.siemens.com/mall/en/WW/Catalog/Product/6ES7314-6EH04-0AB0" TargetMode="External"/><Relationship Id="rId28" Type="http://schemas.openxmlformats.org/officeDocument/2006/relationships/hyperlink" Target="http://files.pepperl-fuchs.com/selector_files/navi/productInfo/edb/106447_eng.pdf" TargetMode="External"/><Relationship Id="rId49" Type="http://schemas.openxmlformats.org/officeDocument/2006/relationships/hyperlink" Target="https://unitronicsplc.com/wp-content/uploads/2015/12/V12022T2C_DSPV120T2C_1007.pdf" TargetMode="External"/><Relationship Id="rId114" Type="http://schemas.openxmlformats.org/officeDocument/2006/relationships/hyperlink" Target="https://www.afs.endress.com/en/search?filter.text=CYK10-A031" TargetMode="External"/><Relationship Id="rId119" Type="http://schemas.openxmlformats.org/officeDocument/2006/relationships/hyperlink" Target="https://www.afs.endress.com/en/search?filter.text=w2002a010f1" TargetMode="External"/><Relationship Id="rId44" Type="http://schemas.openxmlformats.org/officeDocument/2006/relationships/hyperlink" Target="https://www-unitronicsplc-com.webpkgcache.com/doc/-/s/www.unitronicsplc.com/wp-content/uploads/2015/12/V570-57-T20B-J_TECH-SPEC_06-12.pdf" TargetMode="External"/><Relationship Id="rId60" Type="http://schemas.openxmlformats.org/officeDocument/2006/relationships/hyperlink" Target="https://doc.r-s-group.com/4010096-SM.pdf" TargetMode="External"/><Relationship Id="rId65" Type="http://schemas.openxmlformats.org/officeDocument/2006/relationships/hyperlink" Target="https://www.i4automation.co.uk/unitronicspdf/IO-LC1%20IO-LC3.pdf" TargetMode="External"/><Relationship Id="rId81" Type="http://schemas.openxmlformats.org/officeDocument/2006/relationships/hyperlink" Target="https://www.rockwellautomation.com/en-us/products/details.1734-AENT.html" TargetMode="External"/><Relationship Id="rId86" Type="http://schemas.openxmlformats.org/officeDocument/2006/relationships/hyperlink" Target="https://www.sipatec.rs/files/uploads/SAX.pdf" TargetMode="External"/><Relationship Id="rId130" Type="http://schemas.openxmlformats.org/officeDocument/2006/relationships/hyperlink" Target="https://www.mt.com/dam/MTPRO/PDF/BA/BA_THO_770MAX_Transmitter_EN_OM84372J.pdf" TargetMode="External"/><Relationship Id="rId135" Type="http://schemas.openxmlformats.org/officeDocument/2006/relationships/hyperlink" Target="https://www.servapure.com/Thornton-58-080-204-UniCond-Conductivity-Resistivity-Sensor-Cable-25-Ft-Long-VP-Sensors_p_9762.html" TargetMode="External"/><Relationship Id="rId151" Type="http://schemas.openxmlformats.org/officeDocument/2006/relationships/hyperlink" Target="https://www.festo.com/il/en/a/4527/?q=4527%7E%3AfestoSortOrderScored" TargetMode="External"/><Relationship Id="rId156" Type="http://schemas.openxmlformats.org/officeDocument/2006/relationships/hyperlink" Target="https://www.cometsystem.com/products/sensors/reg-t3118" TargetMode="External"/><Relationship Id="rId13" Type="http://schemas.openxmlformats.org/officeDocument/2006/relationships/hyperlink" Target="https://literature.rockwellautomation.com/idc/groups/literature/documents/td/1769-td006_-en-p.pdf" TargetMode="External"/><Relationship Id="rId18" Type="http://schemas.openxmlformats.org/officeDocument/2006/relationships/hyperlink" Target="https://alerton.com/CatalogDocuments/LTBT-VLC-1188.pdf" TargetMode="External"/><Relationship Id="rId39" Type="http://schemas.openxmlformats.org/officeDocument/2006/relationships/hyperlink" Target="https://literature.rockwellautomation.com/idc/groups/literature/documents/in/1769-in015_-en-p.pdf" TargetMode="External"/><Relationship Id="rId109" Type="http://schemas.openxmlformats.org/officeDocument/2006/relationships/hyperlink" Target="https://www.afs.endress.com/en/search?filter.text=CPS11E-1082%2F0" TargetMode="External"/><Relationship Id="rId34" Type="http://schemas.openxmlformats.org/officeDocument/2006/relationships/hyperlink" Target="https://www.smcpneumatics.com/pdfs/ISE30.pdf" TargetMode="External"/><Relationship Id="rId50" Type="http://schemas.openxmlformats.org/officeDocument/2006/relationships/hyperlink" Target="https://unitronicsplc.com/wp-content/uploads/2015/12/V120-22-R6C-541012003.pdf" TargetMode="External"/><Relationship Id="rId55" Type="http://schemas.openxmlformats.org/officeDocument/2006/relationships/hyperlink" Target="https://www.unitronicsplc.com/Documents/Vision/EXP/UG_IO-DI16_DI16-L.pdf" TargetMode="External"/><Relationship Id="rId76" Type="http://schemas.openxmlformats.org/officeDocument/2006/relationships/hyperlink" Target="https://www.rockwellautomation.com/en-us/products/details.1734-OE2C.html" TargetMode="External"/><Relationship Id="rId97" Type="http://schemas.openxmlformats.org/officeDocument/2006/relationships/hyperlink" Target="https://www.afs.endress.com/en/search?filter.text=F4013A0106A&amp;ii-country=il" TargetMode="External"/><Relationship Id="rId104" Type="http://schemas.openxmlformats.org/officeDocument/2006/relationships/hyperlink" Target="https://www.afs.endress.com/en/search?filter.text=CCA250-A0" TargetMode="External"/><Relationship Id="rId120" Type="http://schemas.openxmlformats.org/officeDocument/2006/relationships/hyperlink" Target="https://www.afs.endress.com/en/search?filter.text=CLS82E-34E0%2F0&amp;t.tabId=product-configure" TargetMode="External"/><Relationship Id="rId125" Type="http://schemas.openxmlformats.org/officeDocument/2006/relationships/hyperlink" Target="https://www.afs.endress.com/en/search?filter.text=E800830112A" TargetMode="External"/><Relationship Id="rId141" Type="http://schemas.openxmlformats.org/officeDocument/2006/relationships/hyperlink" Target="https://www.festo.com/gb/en/a/533352/?q=533352%7E%3AfestoSortOrderScored" TargetMode="External"/><Relationship Id="rId146" Type="http://schemas.openxmlformats.org/officeDocument/2006/relationships/hyperlink" Target="https://www.festo.com/il/en/search/?tab=SUPPORT_PORTAL&amp;text=3S7PMQMNDZW&amp;documentTypeGroup=USER_DOCUMENTATION&amp;documentTypes=" TargetMode="External"/><Relationship Id="rId7" Type="http://schemas.openxmlformats.org/officeDocument/2006/relationships/hyperlink" Target="https://www.nhp.com.au/files/editor_upload/File/Product-Tech-Data-Sheets/176428BXB.pdf" TargetMode="External"/><Relationship Id="rId71" Type="http://schemas.openxmlformats.org/officeDocument/2006/relationships/hyperlink" Target="https://www.unitronicsplc.com/Documents/Vision/EXP/UG_IO-RO16_RO16-L.pdf" TargetMode="External"/><Relationship Id="rId92" Type="http://schemas.openxmlformats.org/officeDocument/2006/relationships/hyperlink" Target="https://adegis.com/media/asset/2994d077cc61cc49def56517688146967759f31e0efa29238b8a739538296436.pdf" TargetMode="External"/><Relationship Id="rId162" Type="http://schemas.openxmlformats.org/officeDocument/2006/relationships/printerSettings" Target="../printerSettings/printerSettings4.bin"/><Relationship Id="rId2" Type="http://schemas.openxmlformats.org/officeDocument/2006/relationships/hyperlink" Target="https://www.tecsis.com/fileadmin/Content/tecsis/2_Files/2_Pressure/B_Electrical_Pressure_Measurement/2_Special_Applications/de726.pdf" TargetMode="External"/><Relationship Id="rId29" Type="http://schemas.openxmlformats.org/officeDocument/2006/relationships/hyperlink" Target="https://www.mt.com/dam/MTPRO/PDF/BA/BA_Housing_InFit76Xe_EN_52403547_July2012.pdf" TargetMode="External"/><Relationship Id="rId24" Type="http://schemas.openxmlformats.org/officeDocument/2006/relationships/hyperlink" Target="https://support.industry.siemens.com/cs/products/6av6642-0ba01-1ax1/tp177b-6-pn-dp-color?pid=402682&amp;mlfb=6AV6642-0BA01-1AX1&amp;mfn=ps&amp;lc=en-WW" TargetMode="External"/><Relationship Id="rId40" Type="http://schemas.openxmlformats.org/officeDocument/2006/relationships/hyperlink" Target="https://literature.rockwellautomation.com/idc/groups/literature/documents/um/1769-um018_-en-p.pdf" TargetMode="External"/><Relationship Id="rId45" Type="http://schemas.openxmlformats.org/officeDocument/2006/relationships/hyperlink" Target="https://www.unitronicsplc.com/wp-content/uploads/2015/12/V1210-T20BJ_INSTALL-GUIDE_03-141.pdf" TargetMode="External"/><Relationship Id="rId66" Type="http://schemas.openxmlformats.org/officeDocument/2006/relationships/hyperlink" Target="https://www.unitronicsplc.com/Documents/Vision/Com/UG_V200-19-xxxx.pdf" TargetMode="External"/><Relationship Id="rId87" Type="http://schemas.openxmlformats.org/officeDocument/2006/relationships/hyperlink" Target="https://dienelectric.com/pdf/Siemens-QBE64-DP4-Datasheet.pdf" TargetMode="External"/><Relationship Id="rId110" Type="http://schemas.openxmlformats.org/officeDocument/2006/relationships/hyperlink" Target="https://www.afs.endress.com/en/search?filter.text=CLS82D-1KA9%2F0&amp;t.tabId=product-overview" TargetMode="External"/><Relationship Id="rId115" Type="http://schemas.openxmlformats.org/officeDocument/2006/relationships/hyperlink" Target="https://www.afs.endress.com/en/search?filter.text=CYK10-A101" TargetMode="External"/><Relationship Id="rId131" Type="http://schemas.openxmlformats.org/officeDocument/2006/relationships/hyperlink" Target="https://www.mt.com/int/en/home/products/Process-Analytics/conductivity-resistivity-analyzers/conductivity-sensor/cond-sensor-1-5tri-0-1c-ss-ism.html" TargetMode="External"/><Relationship Id="rId136" Type="http://schemas.openxmlformats.org/officeDocument/2006/relationships/hyperlink" Target="https://www.servapure.com/Thornton-58-080-204-UniCond-Conductivity-Resistivity-Sensor-Cable-25-Ft-Long-VP-Sensors_p_9762.html" TargetMode="External"/><Relationship Id="rId157" Type="http://schemas.openxmlformats.org/officeDocument/2006/relationships/hyperlink" Target="https://www.processsensing.com/en-us/products/hygroflex5-hf5-high-precision-transmitter.htm" TargetMode="External"/><Relationship Id="rId61" Type="http://schemas.openxmlformats.org/officeDocument/2006/relationships/hyperlink" Target="https://www.unitronicsplc.com/Documents/Vision/EXP/UG_IO-AI8.pdf" TargetMode="External"/><Relationship Id="rId82" Type="http://schemas.openxmlformats.org/officeDocument/2006/relationships/hyperlink" Target="https://www.rockwellautomation.com/en-us/products/details.1769-OB32.html" TargetMode="External"/><Relationship Id="rId152" Type="http://schemas.openxmlformats.org/officeDocument/2006/relationships/hyperlink" Target="https://www.cometsystem.com/products/temperature-and-humidity-duct-probe-with-0-10v-output/reg-t0213" TargetMode="External"/><Relationship Id="rId19" Type="http://schemas.openxmlformats.org/officeDocument/2006/relationships/hyperlink" Target="https://alerton.com/CatalogDocuments/LTBT-VLC-1600.pdf" TargetMode="External"/><Relationship Id="rId14" Type="http://schemas.openxmlformats.org/officeDocument/2006/relationships/hyperlink" Target="https://ipc2u.com/catalog/mgateeip3170?gclid=EAIaIQobChMIlMOV7pfS4gIVipXtCh0wuwp-EAAYASAAEgLFXfD_BwE" TargetMode="External"/><Relationship Id="rId30" Type="http://schemas.openxmlformats.org/officeDocument/2006/relationships/hyperlink" Target="https://files.pepperl-fuchs.com/webcat/navi/productInfo/edb/181097_eng.pdf?v=20181212000158" TargetMode="External"/><Relationship Id="rId35" Type="http://schemas.openxmlformats.org/officeDocument/2006/relationships/hyperlink" Target="https://www.smc.eu/smc/Net/EMC_DDBB/ce_documentation/data/attachments/IMM_xISE40A_TFM112GB-A.pdf" TargetMode="External"/><Relationship Id="rId56" Type="http://schemas.openxmlformats.org/officeDocument/2006/relationships/hyperlink" Target="https://www.unitronicsplc.com/Documents/Vision/EXP/UG_IO-RO8_RO8L.pdf" TargetMode="External"/><Relationship Id="rId77" Type="http://schemas.openxmlformats.org/officeDocument/2006/relationships/hyperlink" Target="https://www.rockwellautomation.com/en-us/products/details.1734-OB8.html" TargetMode="External"/><Relationship Id="rId100" Type="http://schemas.openxmlformats.org/officeDocument/2006/relationships/hyperlink" Target="https://www.afs.endress.com/en/search?filter.text=FMI52-A1ATJJA1A1A&amp;ii-country=il" TargetMode="External"/><Relationship Id="rId105" Type="http://schemas.openxmlformats.org/officeDocument/2006/relationships/hyperlink" Target="https://www.afs.endress.com/en/field-instruments-overview/liquid-analysis-product-overview/Disinfection-assembly-cca151?t.tabId=product-overview" TargetMode="External"/><Relationship Id="rId126" Type="http://schemas.openxmlformats.org/officeDocument/2006/relationships/hyperlink" Target="https://www.afs.endress.com/en/search?filter.text=JC02BB0112A" TargetMode="External"/><Relationship Id="rId147" Type="http://schemas.openxmlformats.org/officeDocument/2006/relationships/hyperlink" Target="https://www.festo.com/gb/en/a/18527/?q=18527%7E%3AfestoSortOrderScored" TargetMode="External"/><Relationship Id="rId8" Type="http://schemas.openxmlformats.org/officeDocument/2006/relationships/hyperlink" Target="file:///C:\Users\slavap\Downloads\Logic%20controller%20-%20Modicon%20M258_TCSESU053FN0.pdf" TargetMode="External"/><Relationship Id="rId51" Type="http://schemas.openxmlformats.org/officeDocument/2006/relationships/hyperlink" Target="https://www.i4automation.co.uk/unitronicspdf/EX-A1%2012-24VDC.pdf" TargetMode="External"/><Relationship Id="rId72" Type="http://schemas.openxmlformats.org/officeDocument/2006/relationships/hyperlink" Target="https://www.rockwellautomation.com/en-us/products/details.1769-OF8C.html" TargetMode="External"/><Relationship Id="rId93" Type="http://schemas.openxmlformats.org/officeDocument/2006/relationships/hyperlink" Target="https://mall.industry.siemens.com/mall/en/ww/Catalog/Product/6ES7314-6BH04-0AB0" TargetMode="External"/><Relationship Id="rId98" Type="http://schemas.openxmlformats.org/officeDocument/2006/relationships/hyperlink" Target="https://www.afs.endress.com/en/search?filter.text=CB02D50104E&amp;ii-country=il" TargetMode="External"/><Relationship Id="rId121" Type="http://schemas.openxmlformats.org/officeDocument/2006/relationships/hyperlink" Target="https://www.afs.endress.com/en/search?filter.text=s3006f0116e" TargetMode="External"/><Relationship Id="rId142" Type="http://schemas.openxmlformats.org/officeDocument/2006/relationships/hyperlink" Target="https://www.festo.com/gb/en/a/529027/?q=529027%7E%3AfestoSortOrderScored" TargetMode="External"/><Relationship Id="rId163" Type="http://schemas.openxmlformats.org/officeDocument/2006/relationships/vmlDrawing" Target="../drawings/vmlDrawing5.vml"/><Relationship Id="rId3" Type="http://schemas.openxmlformats.org/officeDocument/2006/relationships/hyperlink" Target="https://www.baumer.com/us/en/product-overview/process-sensors/pressure-measurement/with-flush-membrane/with-flush-clamping-connection/pbmh/p/35472" TargetMode="External"/><Relationship Id="rId25" Type="http://schemas.openxmlformats.org/officeDocument/2006/relationships/hyperlink" Target="https://www.otdl.com/7520.PDF" TargetMode="External"/><Relationship Id="rId46" Type="http://schemas.openxmlformats.org/officeDocument/2006/relationships/hyperlink" Target="https://unitronicsplc.com/wp-content/uploads/2015/12/V120-22-RA22-541013107.pdf" TargetMode="External"/><Relationship Id="rId67" Type="http://schemas.openxmlformats.org/officeDocument/2006/relationships/hyperlink" Target="https://www.unitronicsplc.com/wp-content/uploads/2015/12/V200-18-E3XB.pdf" TargetMode="External"/><Relationship Id="rId116" Type="http://schemas.openxmlformats.org/officeDocument/2006/relationships/hyperlink" Target="https://www.afs.endress.com/en/field-instruments-overview/liquid-analysis-product-overview/digital-extension-cable-cyk11?t.tabId=product-configure&amp;orderCode=CYK11-_" TargetMode="External"/><Relationship Id="rId137" Type="http://schemas.openxmlformats.org/officeDocument/2006/relationships/hyperlink" Target="https://www.servapure.com/Thornton-52-300-109-Patch-Cable-M300-VP-for-PH-Oxygen-16-Foot_p_9644.html" TargetMode="External"/><Relationship Id="rId158" Type="http://schemas.openxmlformats.org/officeDocument/2006/relationships/hyperlink" Target="https://www.processsensing.com/en-us/products/temperature-transmitter-rotronic-tf5.htm" TargetMode="External"/><Relationship Id="rId20" Type="http://schemas.openxmlformats.org/officeDocument/2006/relationships/hyperlink" Target="https://mall.industry.siemens.com/mall/en/WW/Catalog/Product/6ES7331-1KF02-0AB0" TargetMode="External"/><Relationship Id="rId41" Type="http://schemas.openxmlformats.org/officeDocument/2006/relationships/hyperlink" Target="https://literature.rockwellautomation.com/idc/groups/literature/documents/um/1769-um020_-en-p.pdf" TargetMode="External"/><Relationship Id="rId62" Type="http://schemas.openxmlformats.org/officeDocument/2006/relationships/hyperlink" Target="https://www.i4automation.co.uk/unitronicspdf/IO-ATC8.pdf" TargetMode="External"/><Relationship Id="rId83" Type="http://schemas.openxmlformats.org/officeDocument/2006/relationships/hyperlink" Target="https://www.rockwellautomation.com/en-us/products/details.1769-IR6.html" TargetMode="External"/><Relationship Id="rId88" Type="http://schemas.openxmlformats.org/officeDocument/2006/relationships/hyperlink" Target="https://files.kempstoncontrols.com/files/9636052e8a9e9c79113b52d6232bfb73/GMA161.9E.pdf" TargetMode="External"/><Relationship Id="rId111" Type="http://schemas.openxmlformats.org/officeDocument/2006/relationships/hyperlink" Target="https://www.afs.endress.com/en/search?filter.text=W10A6C05LI1" TargetMode="External"/><Relationship Id="rId132" Type="http://schemas.openxmlformats.org/officeDocument/2006/relationships/hyperlink" Target="https://www.mt.com/mt_ext_files/Editorial/Generic/5/OM-THOR-5000TOC-Service_Man_Editorial-Generic_11_Editorial-Generic_1172086993742_files/Manual_5000TOC_Service_OM84449C_1007.pdf" TargetMode="External"/><Relationship Id="rId153" Type="http://schemas.openxmlformats.org/officeDocument/2006/relationships/hyperlink" Target="https://www.cometsystem.com/products/reg-sp003" TargetMode="External"/><Relationship Id="rId15" Type="http://schemas.openxmlformats.org/officeDocument/2006/relationships/hyperlink" Target="https://literature.rockwellautomation.com/idc/groups/literature/documents/in/1734-in051_-en-e.pdf" TargetMode="External"/><Relationship Id="rId36" Type="http://schemas.openxmlformats.org/officeDocument/2006/relationships/hyperlink" Target="https://www.mindman.com.tw/proimages/pdf/E_MP20.pdf" TargetMode="External"/><Relationship Id="rId57" Type="http://schemas.openxmlformats.org/officeDocument/2006/relationships/hyperlink" Target="https://www.unitronicsplc.com/Documents/Vision/EXP/UG_IO-AI4-AO2.pdf" TargetMode="External"/><Relationship Id="rId106" Type="http://schemas.openxmlformats.org/officeDocument/2006/relationships/hyperlink" Target="https://www.afs.endress.com/en/search?filter.text=SA028105G00" TargetMode="External"/><Relationship Id="rId127" Type="http://schemas.openxmlformats.org/officeDocument/2006/relationships/hyperlink" Target="https://www.afs.endress.com/en/search?filter.text=E5015E0112A" TargetMode="External"/><Relationship Id="rId10" Type="http://schemas.openxmlformats.org/officeDocument/2006/relationships/hyperlink" Target="https://literature.rockwellautomation.com/idc/groups/literature/documents/um/1764-um001_-en-p.pdf" TargetMode="External"/><Relationship Id="rId31" Type="http://schemas.openxmlformats.org/officeDocument/2006/relationships/hyperlink" Target="https://www.sick.com/ag/en/proximity-sensors/inductive-proximity-sensors/imn/im12-02b-n-zw0/p/p232148" TargetMode="External"/><Relationship Id="rId52" Type="http://schemas.openxmlformats.org/officeDocument/2006/relationships/hyperlink" Target="https://www.i4automation.co.uk/unitronicspdf/EX-A2X_SPEC_12-09.pdf" TargetMode="External"/><Relationship Id="rId73" Type="http://schemas.openxmlformats.org/officeDocument/2006/relationships/hyperlink" Target="https://www.rockwellautomation.com/en-us/products/details.1769-OB8.html" TargetMode="External"/><Relationship Id="rId78" Type="http://schemas.openxmlformats.org/officeDocument/2006/relationships/hyperlink" Target="https://www.rockwellautomation.com/en-us/products/details.1734-OE4C.html" TargetMode="External"/><Relationship Id="rId94" Type="http://schemas.openxmlformats.org/officeDocument/2006/relationships/hyperlink" Target="https://hit.sbt.siemens.com/RWD/app.aspx?RC=BE&amp;lang=en&amp;MODULE=Catalog&amp;ACTION=ShowProduct&amp;KEY=BPZ%3aQAE2120.010" TargetMode="External"/><Relationship Id="rId99" Type="http://schemas.openxmlformats.org/officeDocument/2006/relationships/hyperlink" Target="https://www.afs.endress.com/en/search?filter.text=FTL50H-ATT2ADAG6B&amp;ii-country=il" TargetMode="External"/><Relationship Id="rId101" Type="http://schemas.openxmlformats.org/officeDocument/2006/relationships/hyperlink" Target="https://www.afs.endress.com/en/search?filter.text=P50409041C0&amp;ii-country=il" TargetMode="External"/><Relationship Id="rId122" Type="http://schemas.openxmlformats.org/officeDocument/2006/relationships/hyperlink" Target="https://www.afs.endress.com/en/search?filter.text=+E6000404298" TargetMode="External"/><Relationship Id="rId143" Type="http://schemas.openxmlformats.org/officeDocument/2006/relationships/hyperlink" Target="https://www.festo.com/gb/en/a/533360/?q=533360%7E%3AfestoSortOrderScored" TargetMode="External"/><Relationship Id="rId148" Type="http://schemas.openxmlformats.org/officeDocument/2006/relationships/hyperlink" Target="https://www.festo.com/gb/en/a/573410/?q=573410%7E%3AfestoSortOrderScored" TargetMode="External"/><Relationship Id="rId164" Type="http://schemas.openxmlformats.org/officeDocument/2006/relationships/comments" Target="../comments5.xml"/><Relationship Id="rId4" Type="http://schemas.openxmlformats.org/officeDocument/2006/relationships/hyperlink" Target="https://www.sick.com/ag/en/fluid-sensors/level-sensors/mhf15/mhf15-21ng1hsm/p/p209844" TargetMode="External"/><Relationship Id="rId9" Type="http://schemas.openxmlformats.org/officeDocument/2006/relationships/hyperlink" Target="http://www.plccenter.cn/Rockwell/docs01/wcd0000c/wcd00cef.pdf" TargetMode="External"/><Relationship Id="rId26" Type="http://schemas.openxmlformats.org/officeDocument/2006/relationships/hyperlink" Target="https://www.moxa.com/en/products/industrial-network-infrastructure/ethernet-switches/layer-2-managed-switches/eds-508a-series" TargetMode="External"/><Relationship Id="rId47" Type="http://schemas.openxmlformats.org/officeDocument/2006/relationships/hyperlink" Target="https://unitronicsplc.com/wp-content/uploads/2015/12/V120-22-T1-541012508.pdf" TargetMode="External"/><Relationship Id="rId68" Type="http://schemas.openxmlformats.org/officeDocument/2006/relationships/hyperlink" Target="https://www.i4automation.co.uk/unitronicspdf/V200-18-E4XB.pdf" TargetMode="External"/><Relationship Id="rId89" Type="http://schemas.openxmlformats.org/officeDocument/2006/relationships/hyperlink" Target="https://docs.rs-online.com/4d43/0900766b8131a219.pdf" TargetMode="External"/><Relationship Id="rId112" Type="http://schemas.openxmlformats.org/officeDocument/2006/relationships/hyperlink" Target="https://www.afs.endress.com/en/search?filter.text=W102DB05G00" TargetMode="External"/><Relationship Id="rId133" Type="http://schemas.openxmlformats.org/officeDocument/2006/relationships/hyperlink" Target="https://www.servapure.com/Thornton-30300481-Panel-Mounting-Kit-for-12-DIN_p_9670.html" TargetMode="External"/><Relationship Id="rId154" Type="http://schemas.openxmlformats.org/officeDocument/2006/relationships/hyperlink" Target="https://www.cometsystem.com/products/sensors/reg-t3110" TargetMode="External"/><Relationship Id="rId16" Type="http://schemas.openxmlformats.org/officeDocument/2006/relationships/hyperlink" Target="https://literature.rockwellautomation.com/idc/groups/literature/documents/um/1769-um011_-en-p.pdf" TargetMode="External"/><Relationship Id="rId37" Type="http://schemas.openxmlformats.org/officeDocument/2006/relationships/hyperlink" Target="https://www.elcon.co.il/product/baroli-series/" TargetMode="External"/><Relationship Id="rId58" Type="http://schemas.openxmlformats.org/officeDocument/2006/relationships/hyperlink" Target="https://www.i4automation.co.uk/unitronicspdf/IO-DI8-TO8-L_SPEC_1-08.pdf" TargetMode="External"/><Relationship Id="rId79" Type="http://schemas.openxmlformats.org/officeDocument/2006/relationships/hyperlink" Target="https://www.rockwellautomation.com/en-us/products/details.1769-PA4.html" TargetMode="External"/><Relationship Id="rId102" Type="http://schemas.openxmlformats.org/officeDocument/2006/relationships/hyperlink" Target="https://www.endress.com/en/field-instruments-overview/liquid-analysis-product-overview/free-chlorine-digital-sensor-ccs51d?t.tabId=product-overview" TargetMode="External"/><Relationship Id="rId123" Type="http://schemas.openxmlformats.org/officeDocument/2006/relationships/hyperlink" Target="https://www.endress.com/en/search?filter.text=CCM253-EK0005" TargetMode="External"/><Relationship Id="rId144" Type="http://schemas.openxmlformats.org/officeDocument/2006/relationships/hyperlink" Target="https://www.festo.com/gb/en/a/195746/?q=195746%7E%3AfestoSortOrderScored" TargetMode="External"/><Relationship Id="rId90" Type="http://schemas.openxmlformats.org/officeDocument/2006/relationships/hyperlink" Target="https://www.elit.ee/docs/Automation/Siemens%20PLCs/6ES73231BL000AA0.pdf" TargetMode="External"/><Relationship Id="rId27" Type="http://schemas.openxmlformats.org/officeDocument/2006/relationships/hyperlink" Target="https://www.adz.de/pressure-transmitter-sml.html" TargetMode="External"/><Relationship Id="rId48" Type="http://schemas.openxmlformats.org/officeDocument/2006/relationships/hyperlink" Target="https://unitronicsplc.com/wp-content/uploads/2015/12/V120-22-R1-541012106.pdf" TargetMode="External"/><Relationship Id="rId69" Type="http://schemas.openxmlformats.org/officeDocument/2006/relationships/hyperlink" Target="https://www.unitronicsplc.com/wp-content/uploads/2015/12/V200-18-E1.pdf" TargetMode="External"/><Relationship Id="rId113" Type="http://schemas.openxmlformats.org/officeDocument/2006/relationships/hyperlink" Target="https://www.afs.endress.com/en/search?filter.text=W1020605LI0" TargetMode="External"/><Relationship Id="rId134" Type="http://schemas.openxmlformats.org/officeDocument/2006/relationships/hyperlink" Target="https://www.mt.com/mt_ext_files/Editorial/Generic/0/BA_Transmitter_M400_Multiparameter_Editorial-Generic_1207308161309_files/BA_Transmitter_M400_Multiparameter_e_52121378_Nov08.pdf" TargetMode="External"/><Relationship Id="rId80" Type="http://schemas.openxmlformats.org/officeDocument/2006/relationships/hyperlink" Target="https://www.rockwellautomation.com/en-us/products/details.1734-OE2V.html" TargetMode="External"/><Relationship Id="rId155" Type="http://schemas.openxmlformats.org/officeDocument/2006/relationships/hyperlink" Target="https://www.cometsystem.com/products/interior-temperature-transmitter-with-4-20ma-output/reg-t01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38"/>
  <sheetViews>
    <sheetView rightToLeft="1" zoomScale="115" zoomScaleNormal="115" workbookViewId="0">
      <pane ySplit="3" topLeftCell="A105" activePane="bottomLeft" state="frozen"/>
      <selection activeCell="G1" sqref="G1"/>
      <selection pane="bottomLeft" activeCell="A120" sqref="A120:XFD120"/>
    </sheetView>
  </sheetViews>
  <sheetFormatPr defaultRowHeight="14.4"/>
  <cols>
    <col min="1" max="1" width="20" style="18" customWidth="1"/>
    <col min="2" max="2" width="30.77734375" style="9" customWidth="1"/>
    <col min="3" max="3" width="46" style="75" customWidth="1"/>
    <col min="4" max="4" width="28" customWidth="1"/>
    <col min="5" max="5" width="17.77734375" style="11" customWidth="1"/>
    <col min="6" max="6" width="11.33203125" customWidth="1"/>
    <col min="7" max="7" width="37.6640625" customWidth="1"/>
  </cols>
  <sheetData>
    <row r="1" spans="1:7" ht="69" customHeight="1" thickBot="1">
      <c r="A1" s="450" t="s">
        <v>1515</v>
      </c>
      <c r="B1" s="450"/>
      <c r="C1" s="450"/>
      <c r="D1" s="450"/>
      <c r="E1" s="450"/>
      <c r="F1" s="450"/>
      <c r="G1" s="450"/>
    </row>
    <row r="2" spans="1:7" ht="46.5" customHeight="1">
      <c r="A2" s="25" t="s">
        <v>81</v>
      </c>
      <c r="B2" s="24" t="s">
        <v>2</v>
      </c>
      <c r="C2" s="22" t="s">
        <v>3</v>
      </c>
      <c r="D2" s="24" t="s">
        <v>0</v>
      </c>
      <c r="E2" s="24" t="s">
        <v>1</v>
      </c>
      <c r="F2" s="22" t="s">
        <v>1165</v>
      </c>
      <c r="G2" s="22" t="s">
        <v>10</v>
      </c>
    </row>
    <row r="3" spans="1:7" ht="0.75" customHeight="1">
      <c r="A3" s="29" t="s">
        <v>16</v>
      </c>
      <c r="B3" s="52" t="s">
        <v>54</v>
      </c>
      <c r="C3" s="29" t="s">
        <v>67</v>
      </c>
      <c r="D3" s="83" t="s">
        <v>23</v>
      </c>
      <c r="E3" s="31" t="s">
        <v>33</v>
      </c>
      <c r="F3" s="52">
        <v>70000</v>
      </c>
      <c r="G3" s="89"/>
    </row>
    <row r="4" spans="1:7" s="12" customFormat="1">
      <c r="A4" s="96" t="s">
        <v>21</v>
      </c>
      <c r="B4" s="17" t="s">
        <v>58</v>
      </c>
      <c r="C4" s="97">
        <v>5000</v>
      </c>
      <c r="D4" s="147" t="s">
        <v>87</v>
      </c>
      <c r="E4" s="99" t="s">
        <v>44</v>
      </c>
      <c r="F4" s="148">
        <v>50000</v>
      </c>
      <c r="G4" s="17"/>
    </row>
    <row r="5" spans="1:7" s="12" customFormat="1" ht="28.8">
      <c r="A5" s="98" t="s">
        <v>21</v>
      </c>
      <c r="B5" s="16" t="s">
        <v>150</v>
      </c>
      <c r="C5" s="98" t="s">
        <v>154</v>
      </c>
      <c r="D5" s="98" t="s">
        <v>140</v>
      </c>
      <c r="E5" s="149" t="s">
        <v>143</v>
      </c>
      <c r="F5" s="16">
        <v>50000</v>
      </c>
      <c r="G5" s="17"/>
    </row>
    <row r="6" spans="1:7" s="12" customFormat="1">
      <c r="A6" s="96" t="s">
        <v>21</v>
      </c>
      <c r="B6" s="17" t="s">
        <v>101</v>
      </c>
      <c r="C6" s="96" t="s">
        <v>154</v>
      </c>
      <c r="D6" s="150" t="s">
        <v>238</v>
      </c>
      <c r="E6" s="99" t="s">
        <v>1055</v>
      </c>
      <c r="F6" s="16">
        <v>50000</v>
      </c>
      <c r="G6" s="17"/>
    </row>
    <row r="7" spans="1:7" s="12" customFormat="1" ht="14.25" customHeight="1">
      <c r="A7" s="96" t="s">
        <v>22</v>
      </c>
      <c r="B7" s="17" t="s">
        <v>221</v>
      </c>
      <c r="C7" s="96" t="s">
        <v>421</v>
      </c>
      <c r="D7" s="17">
        <v>5000</v>
      </c>
      <c r="E7" s="99" t="s">
        <v>36</v>
      </c>
      <c r="F7" s="16">
        <v>10000</v>
      </c>
      <c r="G7" s="17"/>
    </row>
    <row r="8" spans="1:7" s="12" customFormat="1">
      <c r="A8" s="96" t="s">
        <v>22</v>
      </c>
      <c r="B8" s="17" t="s">
        <v>221</v>
      </c>
      <c r="C8" s="151" t="s">
        <v>421</v>
      </c>
      <c r="D8" s="17">
        <v>2500</v>
      </c>
      <c r="E8" s="99" t="s">
        <v>36</v>
      </c>
      <c r="F8" s="16">
        <v>10000</v>
      </c>
      <c r="G8" s="17"/>
    </row>
    <row r="9" spans="1:7" s="12" customFormat="1" ht="14.25" customHeight="1">
      <c r="A9" s="96" t="s">
        <v>422</v>
      </c>
      <c r="B9" s="17" t="s">
        <v>49</v>
      </c>
      <c r="C9" s="96" t="s">
        <v>424</v>
      </c>
      <c r="D9" s="17" t="s">
        <v>233</v>
      </c>
      <c r="E9" s="99" t="s">
        <v>423</v>
      </c>
      <c r="F9" s="16">
        <v>18000</v>
      </c>
      <c r="G9" s="17"/>
    </row>
    <row r="10" spans="1:7" s="12" customFormat="1">
      <c r="A10" s="96" t="s">
        <v>11</v>
      </c>
      <c r="B10" s="17" t="s">
        <v>398</v>
      </c>
      <c r="C10" s="96" t="s">
        <v>416</v>
      </c>
      <c r="D10" s="17" t="s">
        <v>347</v>
      </c>
      <c r="E10" s="99" t="s">
        <v>380</v>
      </c>
      <c r="F10" s="16">
        <v>14000</v>
      </c>
      <c r="G10" s="17"/>
    </row>
    <row r="11" spans="1:7" s="12" customFormat="1" ht="28.5" customHeight="1">
      <c r="A11" s="96" t="s">
        <v>11</v>
      </c>
      <c r="B11" s="17" t="s">
        <v>398</v>
      </c>
      <c r="C11" s="96" t="s">
        <v>416</v>
      </c>
      <c r="D11" s="17" t="s">
        <v>347</v>
      </c>
      <c r="E11" s="99" t="s">
        <v>381</v>
      </c>
      <c r="F11" s="16">
        <v>14000</v>
      </c>
      <c r="G11" s="17"/>
    </row>
    <row r="12" spans="1:7" s="12" customFormat="1" ht="14.25" customHeight="1">
      <c r="A12" s="98" t="s">
        <v>89</v>
      </c>
      <c r="B12" s="98" t="s">
        <v>105</v>
      </c>
      <c r="C12" s="98" t="s">
        <v>113</v>
      </c>
      <c r="D12" s="122" t="s">
        <v>88</v>
      </c>
      <c r="E12" s="152" t="s">
        <v>94</v>
      </c>
      <c r="F12" s="16">
        <v>12000</v>
      </c>
      <c r="G12" s="17"/>
    </row>
    <row r="13" spans="1:7" s="12" customFormat="1" ht="14.25" customHeight="1">
      <c r="A13" s="96" t="s">
        <v>83</v>
      </c>
      <c r="B13" s="17" t="s">
        <v>149</v>
      </c>
      <c r="C13" s="96" t="s">
        <v>223</v>
      </c>
      <c r="D13" s="103" t="s">
        <v>219</v>
      </c>
      <c r="E13" s="99" t="s">
        <v>216</v>
      </c>
      <c r="F13" s="16">
        <v>120000</v>
      </c>
      <c r="G13" s="17"/>
    </row>
    <row r="14" spans="1:7" s="12" customFormat="1" ht="28.8">
      <c r="A14" s="96" t="s">
        <v>83</v>
      </c>
      <c r="B14" s="17" t="s">
        <v>149</v>
      </c>
      <c r="C14" s="96" t="s">
        <v>231</v>
      </c>
      <c r="D14" s="17" t="s">
        <v>227</v>
      </c>
      <c r="E14" s="99" t="s">
        <v>228</v>
      </c>
      <c r="F14" s="16">
        <v>120000</v>
      </c>
      <c r="G14" s="17"/>
    </row>
    <row r="15" spans="1:7" s="12" customFormat="1">
      <c r="A15" s="96" t="s">
        <v>83</v>
      </c>
      <c r="B15" s="17" t="s">
        <v>149</v>
      </c>
      <c r="C15" s="96" t="s">
        <v>247</v>
      </c>
      <c r="D15" s="150" t="s">
        <v>238</v>
      </c>
      <c r="E15" s="99" t="s">
        <v>239</v>
      </c>
      <c r="F15" s="16">
        <v>12000</v>
      </c>
      <c r="G15" s="17"/>
    </row>
    <row r="16" spans="1:7" s="12" customFormat="1">
      <c r="A16" s="96" t="s">
        <v>83</v>
      </c>
      <c r="B16" s="17" t="s">
        <v>149</v>
      </c>
      <c r="C16" s="96" t="s">
        <v>407</v>
      </c>
      <c r="D16" s="17" t="s">
        <v>345</v>
      </c>
      <c r="E16" s="99" t="s">
        <v>362</v>
      </c>
      <c r="F16" s="16">
        <v>12000</v>
      </c>
      <c r="G16" s="17"/>
    </row>
    <row r="17" spans="1:7" s="12" customFormat="1">
      <c r="A17" s="98" t="s">
        <v>159</v>
      </c>
      <c r="B17" s="98" t="s">
        <v>53</v>
      </c>
      <c r="C17" s="98" t="s">
        <v>66</v>
      </c>
      <c r="D17" s="147" t="s">
        <v>23</v>
      </c>
      <c r="E17" s="100" t="s">
        <v>30</v>
      </c>
      <c r="F17" s="16">
        <v>10000</v>
      </c>
      <c r="G17" s="17"/>
    </row>
    <row r="18" spans="1:7" s="12" customFormat="1">
      <c r="A18" s="98" t="s">
        <v>159</v>
      </c>
      <c r="B18" s="98" t="s">
        <v>53</v>
      </c>
      <c r="C18" s="98" t="s">
        <v>66</v>
      </c>
      <c r="D18" s="147" t="s">
        <v>23</v>
      </c>
      <c r="E18" s="100" t="s">
        <v>31</v>
      </c>
      <c r="F18" s="16">
        <v>10000</v>
      </c>
      <c r="G18" s="17"/>
    </row>
    <row r="19" spans="1:7" s="12" customFormat="1">
      <c r="A19" s="96" t="s">
        <v>22</v>
      </c>
      <c r="B19" s="17" t="s">
        <v>58</v>
      </c>
      <c r="C19" s="96" t="s">
        <v>77</v>
      </c>
      <c r="D19" s="147" t="s">
        <v>87</v>
      </c>
      <c r="E19" s="99"/>
      <c r="F19" s="148">
        <v>10000</v>
      </c>
      <c r="G19" s="17"/>
    </row>
    <row r="20" spans="1:7" s="12" customFormat="1" ht="28.8">
      <c r="A20" s="153" t="s">
        <v>1057</v>
      </c>
      <c r="B20" s="17" t="s">
        <v>149</v>
      </c>
      <c r="C20" s="155" t="s">
        <v>605</v>
      </c>
      <c r="D20" s="103" t="s">
        <v>205</v>
      </c>
      <c r="E20" s="99" t="s">
        <v>211</v>
      </c>
      <c r="F20" s="16">
        <v>7000</v>
      </c>
      <c r="G20" s="17"/>
    </row>
    <row r="21" spans="1:7" s="12" customFormat="1" ht="14.25" customHeight="1">
      <c r="A21" s="154" t="s">
        <v>83</v>
      </c>
      <c r="B21" s="17" t="s">
        <v>149</v>
      </c>
      <c r="C21" s="96" t="s">
        <v>213</v>
      </c>
      <c r="D21" s="103" t="s">
        <v>205</v>
      </c>
      <c r="E21" s="99" t="s">
        <v>206</v>
      </c>
      <c r="F21" s="17">
        <v>10000</v>
      </c>
      <c r="G21" s="17"/>
    </row>
    <row r="22" spans="1:7" s="12" customFormat="1" ht="14.25" customHeight="1">
      <c r="A22" s="133" t="s">
        <v>83</v>
      </c>
      <c r="B22" s="136" t="s">
        <v>149</v>
      </c>
      <c r="C22" s="133" t="s">
        <v>213</v>
      </c>
      <c r="D22" s="17" t="s">
        <v>233</v>
      </c>
      <c r="E22" s="132" t="s">
        <v>234</v>
      </c>
      <c r="F22" s="16">
        <v>10000</v>
      </c>
      <c r="G22" s="17"/>
    </row>
    <row r="23" spans="1:7" s="12" customFormat="1" ht="14.25" customHeight="1">
      <c r="A23" s="96" t="s">
        <v>22</v>
      </c>
      <c r="B23" s="17" t="s">
        <v>245</v>
      </c>
      <c r="C23" s="96" t="s">
        <v>245</v>
      </c>
      <c r="D23" s="150" t="s">
        <v>238</v>
      </c>
      <c r="E23" s="99" t="s">
        <v>241</v>
      </c>
      <c r="F23" s="16">
        <v>10000</v>
      </c>
      <c r="G23" s="17"/>
    </row>
    <row r="24" spans="1:7" s="12" customFormat="1" ht="14.25" customHeight="1">
      <c r="A24" s="98" t="s">
        <v>159</v>
      </c>
      <c r="B24" s="98" t="s">
        <v>53</v>
      </c>
      <c r="C24" s="98" t="s">
        <v>66</v>
      </c>
      <c r="D24" s="147" t="s">
        <v>23</v>
      </c>
      <c r="E24" s="100" t="s">
        <v>32</v>
      </c>
      <c r="F24" s="16">
        <v>10000</v>
      </c>
      <c r="G24" s="17"/>
    </row>
    <row r="25" spans="1:7" s="12" customFormat="1" ht="33.75" customHeight="1">
      <c r="A25" s="98" t="s">
        <v>11</v>
      </c>
      <c r="B25" s="16" t="s">
        <v>49</v>
      </c>
      <c r="C25" s="98" t="s">
        <v>61</v>
      </c>
      <c r="D25" s="147" t="s">
        <v>23</v>
      </c>
      <c r="E25" s="100" t="s">
        <v>25</v>
      </c>
      <c r="F25" s="16">
        <v>9133</v>
      </c>
      <c r="G25" s="17"/>
    </row>
    <row r="26" spans="1:7" s="12" customFormat="1" ht="14.25" customHeight="1">
      <c r="A26" s="96" t="s">
        <v>1063</v>
      </c>
      <c r="B26" s="17" t="s">
        <v>587</v>
      </c>
      <c r="C26" s="96" t="s">
        <v>595</v>
      </c>
      <c r="D26" s="17" t="s">
        <v>430</v>
      </c>
      <c r="E26" s="99" t="s">
        <v>566</v>
      </c>
      <c r="F26" s="16">
        <v>7500</v>
      </c>
      <c r="G26" s="17"/>
    </row>
    <row r="27" spans="1:7" s="12" customFormat="1" ht="14.25" customHeight="1">
      <c r="A27" s="153" t="s">
        <v>1057</v>
      </c>
      <c r="B27" s="123" t="s">
        <v>149</v>
      </c>
      <c r="C27" s="122" t="s">
        <v>401</v>
      </c>
      <c r="D27" s="123" t="s">
        <v>344</v>
      </c>
      <c r="E27" s="121" t="s">
        <v>348</v>
      </c>
      <c r="F27" s="123">
        <v>7000</v>
      </c>
      <c r="G27" s="156" t="s">
        <v>419</v>
      </c>
    </row>
    <row r="28" spans="1:7" s="12" customFormat="1" ht="14.25" customHeight="1">
      <c r="A28" s="96" t="s">
        <v>1056</v>
      </c>
      <c r="B28" s="17" t="s">
        <v>133</v>
      </c>
      <c r="C28" s="96" t="s">
        <v>402</v>
      </c>
      <c r="D28" s="17" t="s">
        <v>344</v>
      </c>
      <c r="E28" s="99" t="s">
        <v>351</v>
      </c>
      <c r="F28" s="16">
        <v>7000</v>
      </c>
      <c r="G28" s="157" t="s">
        <v>420</v>
      </c>
    </row>
    <row r="29" spans="1:7" s="124" customFormat="1" ht="28.5" customHeight="1">
      <c r="A29" s="96" t="s">
        <v>1056</v>
      </c>
      <c r="B29" s="17" t="s">
        <v>221</v>
      </c>
      <c r="C29" s="96" t="s">
        <v>1029</v>
      </c>
      <c r="D29" s="17" t="s">
        <v>167</v>
      </c>
      <c r="E29" s="99" t="s">
        <v>919</v>
      </c>
      <c r="F29" s="16">
        <v>4000</v>
      </c>
      <c r="G29" s="17"/>
    </row>
    <row r="30" spans="1:7" s="12" customFormat="1" ht="14.25" customHeight="1">
      <c r="A30" s="96" t="s">
        <v>117</v>
      </c>
      <c r="B30" s="96" t="s">
        <v>400</v>
      </c>
      <c r="C30" s="96" t="s">
        <v>406</v>
      </c>
      <c r="D30" s="17" t="s">
        <v>345</v>
      </c>
      <c r="E30" s="99" t="s">
        <v>361</v>
      </c>
      <c r="F30" s="16">
        <v>7000</v>
      </c>
      <c r="G30" s="17"/>
    </row>
    <row r="31" spans="1:7" s="12" customFormat="1" ht="28.5" customHeight="1">
      <c r="A31" s="98" t="s">
        <v>15</v>
      </c>
      <c r="B31" s="98" t="s">
        <v>53</v>
      </c>
      <c r="C31" s="98" t="s">
        <v>65</v>
      </c>
      <c r="D31" s="147" t="s">
        <v>23</v>
      </c>
      <c r="E31" s="100" t="s">
        <v>29</v>
      </c>
      <c r="F31" s="16">
        <v>6708</v>
      </c>
      <c r="G31" s="17"/>
    </row>
    <row r="32" spans="1:7" s="12" customFormat="1" ht="32.25" customHeight="1">
      <c r="A32" s="98" t="s">
        <v>13</v>
      </c>
      <c r="B32" s="16" t="s">
        <v>51</v>
      </c>
      <c r="C32" s="98" t="s">
        <v>63</v>
      </c>
      <c r="D32" s="147" t="s">
        <v>23</v>
      </c>
      <c r="E32" s="100" t="s">
        <v>27</v>
      </c>
      <c r="F32" s="16">
        <v>6615</v>
      </c>
      <c r="G32" s="17"/>
    </row>
    <row r="33" spans="1:7" s="12" customFormat="1" ht="42.75" customHeight="1">
      <c r="A33" s="153" t="s">
        <v>159</v>
      </c>
      <c r="B33" s="16" t="s">
        <v>149</v>
      </c>
      <c r="C33" s="98" t="s">
        <v>155</v>
      </c>
      <c r="D33" s="98" t="s">
        <v>140</v>
      </c>
      <c r="E33" s="149" t="s">
        <v>144</v>
      </c>
      <c r="F33" s="16">
        <v>6000</v>
      </c>
      <c r="G33" s="157"/>
    </row>
    <row r="34" spans="1:7" s="12" customFormat="1" ht="28.5" customHeight="1">
      <c r="A34" s="96" t="s">
        <v>159</v>
      </c>
      <c r="B34" s="17" t="s">
        <v>244</v>
      </c>
      <c r="C34" s="96" t="s">
        <v>248</v>
      </c>
      <c r="D34" s="150" t="s">
        <v>238</v>
      </c>
      <c r="E34" s="99" t="s">
        <v>240</v>
      </c>
      <c r="F34" s="16">
        <v>6000</v>
      </c>
      <c r="G34" s="17"/>
    </row>
    <row r="35" spans="1:7" s="12" customFormat="1" ht="42.75" customHeight="1">
      <c r="A35" s="96" t="s">
        <v>159</v>
      </c>
      <c r="B35" s="17" t="s">
        <v>149</v>
      </c>
      <c r="C35" s="96" t="s">
        <v>409</v>
      </c>
      <c r="D35" s="17" t="s">
        <v>346</v>
      </c>
      <c r="E35" s="99" t="s">
        <v>365</v>
      </c>
      <c r="F35" s="16">
        <v>6000</v>
      </c>
      <c r="G35" s="17"/>
    </row>
    <row r="36" spans="1:7" s="12" customFormat="1" ht="28.5" customHeight="1">
      <c r="A36" s="96" t="s">
        <v>159</v>
      </c>
      <c r="B36" s="17" t="s">
        <v>149</v>
      </c>
      <c r="C36" s="96" t="s">
        <v>410</v>
      </c>
      <c r="D36" s="17" t="s">
        <v>346</v>
      </c>
      <c r="E36" s="99" t="s">
        <v>366</v>
      </c>
      <c r="F36" s="16">
        <v>6000</v>
      </c>
      <c r="G36" s="17"/>
    </row>
    <row r="37" spans="1:7" s="12" customFormat="1" ht="28.5" customHeight="1">
      <c r="A37" s="96" t="s">
        <v>390</v>
      </c>
      <c r="B37" s="17" t="s">
        <v>149</v>
      </c>
      <c r="C37" s="96" t="s">
        <v>410</v>
      </c>
      <c r="D37" s="17" t="s">
        <v>346</v>
      </c>
      <c r="E37" s="99" t="s">
        <v>375</v>
      </c>
      <c r="F37" s="16">
        <v>6000</v>
      </c>
      <c r="G37" s="17"/>
    </row>
    <row r="38" spans="1:7" s="12" customFormat="1" ht="28.5" customHeight="1">
      <c r="A38" s="96" t="s">
        <v>159</v>
      </c>
      <c r="B38" s="17" t="s">
        <v>149</v>
      </c>
      <c r="C38" s="96" t="s">
        <v>1030</v>
      </c>
      <c r="D38" s="17" t="s">
        <v>167</v>
      </c>
      <c r="E38" s="99" t="s">
        <v>922</v>
      </c>
      <c r="F38" s="16">
        <v>6000</v>
      </c>
      <c r="G38" s="17"/>
    </row>
    <row r="39" spans="1:7" s="12" customFormat="1" ht="28.5" customHeight="1">
      <c r="A39" s="261" t="s">
        <v>159</v>
      </c>
      <c r="B39" s="257" t="s">
        <v>149</v>
      </c>
      <c r="C39" s="261" t="s">
        <v>1030</v>
      </c>
      <c r="D39" s="257" t="s">
        <v>167</v>
      </c>
      <c r="E39" s="224" t="s">
        <v>923</v>
      </c>
      <c r="F39" s="260">
        <v>6000</v>
      </c>
      <c r="G39" s="17"/>
    </row>
    <row r="40" spans="1:7" s="12" customFormat="1" ht="28.5" customHeight="1">
      <c r="A40" s="261" t="s">
        <v>159</v>
      </c>
      <c r="B40" s="257" t="s">
        <v>149</v>
      </c>
      <c r="C40" s="261" t="s">
        <v>1036</v>
      </c>
      <c r="D40" s="257" t="s">
        <v>166</v>
      </c>
      <c r="E40" s="224" t="s">
        <v>934</v>
      </c>
      <c r="F40" s="260">
        <v>6000</v>
      </c>
      <c r="G40" s="17"/>
    </row>
    <row r="41" spans="1:7" s="12" customFormat="1" ht="28.5" customHeight="1">
      <c r="A41" s="261" t="s">
        <v>159</v>
      </c>
      <c r="B41" s="257" t="s">
        <v>149</v>
      </c>
      <c r="C41" s="261" t="s">
        <v>1036</v>
      </c>
      <c r="D41" s="257" t="s">
        <v>166</v>
      </c>
      <c r="E41" s="224" t="s">
        <v>937</v>
      </c>
      <c r="F41" s="260">
        <v>6000</v>
      </c>
      <c r="G41" s="17"/>
    </row>
    <row r="42" spans="1:7" s="12" customFormat="1" ht="28.5" customHeight="1">
      <c r="A42" s="261" t="s">
        <v>159</v>
      </c>
      <c r="B42" s="257" t="s">
        <v>149</v>
      </c>
      <c r="C42" s="261" t="s">
        <v>1036</v>
      </c>
      <c r="D42" s="257" t="s">
        <v>425</v>
      </c>
      <c r="E42" s="224" t="s">
        <v>946</v>
      </c>
      <c r="F42" s="260">
        <v>6000</v>
      </c>
      <c r="G42" s="17"/>
    </row>
    <row r="43" spans="1:7" s="12" customFormat="1" ht="42.75" customHeight="1">
      <c r="A43" s="261" t="s">
        <v>159</v>
      </c>
      <c r="B43" s="257" t="s">
        <v>149</v>
      </c>
      <c r="C43" s="261" t="s">
        <v>1036</v>
      </c>
      <c r="D43" s="257" t="s">
        <v>448</v>
      </c>
      <c r="E43" s="224" t="s">
        <v>982</v>
      </c>
      <c r="F43" s="260">
        <v>6000</v>
      </c>
      <c r="G43" s="17"/>
    </row>
    <row r="44" spans="1:7" s="12" customFormat="1" ht="28.5" customHeight="1">
      <c r="A44" s="261" t="s">
        <v>159</v>
      </c>
      <c r="B44" s="257" t="s">
        <v>149</v>
      </c>
      <c r="C44" s="261" t="s">
        <v>1036</v>
      </c>
      <c r="D44" s="257" t="s">
        <v>449</v>
      </c>
      <c r="E44" s="224" t="s">
        <v>992</v>
      </c>
      <c r="F44" s="260">
        <v>6000</v>
      </c>
      <c r="G44" s="17"/>
    </row>
    <row r="45" spans="1:7" s="12" customFormat="1" ht="28.5" customHeight="1">
      <c r="A45" s="98" t="s">
        <v>83</v>
      </c>
      <c r="B45" s="16" t="s">
        <v>149</v>
      </c>
      <c r="C45" s="98" t="s">
        <v>153</v>
      </c>
      <c r="D45" s="98" t="s">
        <v>140</v>
      </c>
      <c r="E45" s="101" t="s">
        <v>142</v>
      </c>
      <c r="F45" s="16">
        <v>5111</v>
      </c>
      <c r="G45" s="17"/>
    </row>
    <row r="46" spans="1:7" s="12" customFormat="1" ht="42" customHeight="1">
      <c r="A46" s="98" t="s">
        <v>1046</v>
      </c>
      <c r="B46" s="141" t="s">
        <v>52</v>
      </c>
      <c r="C46" s="98" t="s">
        <v>71</v>
      </c>
      <c r="D46" s="147" t="s">
        <v>23</v>
      </c>
      <c r="E46" s="101" t="s">
        <v>36</v>
      </c>
      <c r="F46" s="16">
        <v>5000</v>
      </c>
      <c r="G46" s="17"/>
    </row>
    <row r="47" spans="1:7" s="12" customFormat="1" ht="71.400000000000006" customHeight="1">
      <c r="A47" s="96" t="s">
        <v>159</v>
      </c>
      <c r="B47" s="17" t="s">
        <v>259</v>
      </c>
      <c r="C47" s="96" t="s">
        <v>260</v>
      </c>
      <c r="D47" s="17" t="s">
        <v>251</v>
      </c>
      <c r="E47" s="99" t="s">
        <v>254</v>
      </c>
      <c r="F47" s="16">
        <v>5000</v>
      </c>
      <c r="G47" s="17"/>
    </row>
    <row r="48" spans="1:7" s="12" customFormat="1" ht="28.5" customHeight="1">
      <c r="A48" s="129" t="s">
        <v>159</v>
      </c>
      <c r="B48" s="158" t="s">
        <v>259</v>
      </c>
      <c r="C48" s="129" t="s">
        <v>260</v>
      </c>
      <c r="D48" s="17" t="s">
        <v>251</v>
      </c>
      <c r="E48" s="128" t="s">
        <v>255</v>
      </c>
      <c r="F48" s="16">
        <v>5000</v>
      </c>
      <c r="G48" s="17"/>
    </row>
    <row r="49" spans="1:7" s="12" customFormat="1">
      <c r="A49" s="129" t="s">
        <v>159</v>
      </c>
      <c r="B49" s="17" t="s">
        <v>259</v>
      </c>
      <c r="C49" s="96" t="s">
        <v>260</v>
      </c>
      <c r="D49" s="159" t="s">
        <v>251</v>
      </c>
      <c r="E49" s="99" t="s">
        <v>256</v>
      </c>
      <c r="F49" s="16">
        <v>5000</v>
      </c>
      <c r="G49" s="17"/>
    </row>
    <row r="50" spans="1:7" s="12" customFormat="1" ht="35.4" customHeight="1">
      <c r="A50" s="129" t="s">
        <v>501</v>
      </c>
      <c r="B50" s="17" t="s">
        <v>1032</v>
      </c>
      <c r="C50" s="96">
        <v>3410</v>
      </c>
      <c r="D50" s="159" t="s">
        <v>167</v>
      </c>
      <c r="E50" s="99" t="s">
        <v>925</v>
      </c>
      <c r="F50" s="16">
        <v>1500</v>
      </c>
      <c r="G50" s="17"/>
    </row>
    <row r="51" spans="1:7" s="12" customFormat="1" ht="28.5" customHeight="1">
      <c r="A51" s="96" t="s">
        <v>501</v>
      </c>
      <c r="B51" s="136" t="s">
        <v>1027</v>
      </c>
      <c r="C51" s="133" t="s">
        <v>1028</v>
      </c>
      <c r="D51" s="17" t="s">
        <v>166</v>
      </c>
      <c r="E51" s="132" t="s">
        <v>929</v>
      </c>
      <c r="F51" s="16">
        <v>1500</v>
      </c>
      <c r="G51" s="17"/>
    </row>
    <row r="52" spans="1:7" s="12" customFormat="1" ht="28.5" customHeight="1">
      <c r="A52" s="129" t="s">
        <v>501</v>
      </c>
      <c r="B52" s="158" t="s">
        <v>1032</v>
      </c>
      <c r="C52" s="129">
        <v>3410</v>
      </c>
      <c r="D52" s="17" t="s">
        <v>166</v>
      </c>
      <c r="E52" s="128" t="s">
        <v>930</v>
      </c>
      <c r="F52" s="16">
        <v>1500</v>
      </c>
      <c r="G52" s="17"/>
    </row>
    <row r="53" spans="1:7" s="12" customFormat="1" ht="30.15" customHeight="1">
      <c r="A53" s="129" t="s">
        <v>501</v>
      </c>
      <c r="B53" s="17" t="s">
        <v>1027</v>
      </c>
      <c r="C53" s="96" t="s">
        <v>1028</v>
      </c>
      <c r="D53" s="159" t="s">
        <v>166</v>
      </c>
      <c r="E53" s="99" t="s">
        <v>942</v>
      </c>
      <c r="F53" s="16">
        <v>1500</v>
      </c>
      <c r="G53" s="17"/>
    </row>
    <row r="54" spans="1:7" s="12" customFormat="1" ht="28.5" customHeight="1">
      <c r="A54" s="129" t="s">
        <v>501</v>
      </c>
      <c r="B54" s="17" t="s">
        <v>1027</v>
      </c>
      <c r="C54" s="96" t="s">
        <v>1028</v>
      </c>
      <c r="D54" s="159" t="s">
        <v>166</v>
      </c>
      <c r="E54" s="99" t="s">
        <v>943</v>
      </c>
      <c r="F54" s="16">
        <v>1500</v>
      </c>
      <c r="G54" s="17"/>
    </row>
    <row r="55" spans="1:7" s="12" customFormat="1" ht="28.5" customHeight="1">
      <c r="A55" s="96" t="s">
        <v>501</v>
      </c>
      <c r="B55" s="136" t="s">
        <v>1027</v>
      </c>
      <c r="C55" s="133" t="s">
        <v>1028</v>
      </c>
      <c r="D55" s="17" t="s">
        <v>166</v>
      </c>
      <c r="E55" s="132" t="s">
        <v>944</v>
      </c>
      <c r="F55" s="16">
        <v>1500</v>
      </c>
      <c r="G55" s="17"/>
    </row>
    <row r="56" spans="1:7" s="12" customFormat="1" ht="28.5" customHeight="1">
      <c r="A56" s="96" t="s">
        <v>501</v>
      </c>
      <c r="B56" s="17" t="s">
        <v>1032</v>
      </c>
      <c r="C56" s="96">
        <v>3410</v>
      </c>
      <c r="D56" s="17" t="s">
        <v>425</v>
      </c>
      <c r="E56" s="99" t="s">
        <v>945</v>
      </c>
      <c r="F56" s="16">
        <v>1500</v>
      </c>
      <c r="G56" s="17"/>
    </row>
    <row r="57" spans="1:7" s="12" customFormat="1" ht="28.5" customHeight="1">
      <c r="A57" s="96" t="s">
        <v>775</v>
      </c>
      <c r="B57" s="17" t="s">
        <v>1040</v>
      </c>
      <c r="C57" s="96" t="s">
        <v>1041</v>
      </c>
      <c r="D57" s="17" t="s">
        <v>425</v>
      </c>
      <c r="E57" s="99" t="s">
        <v>954</v>
      </c>
      <c r="F57" s="16">
        <v>4500</v>
      </c>
      <c r="G57" s="17"/>
    </row>
    <row r="58" spans="1:7" s="12" customFormat="1" ht="28.5" customHeight="1">
      <c r="A58" s="129" t="s">
        <v>501</v>
      </c>
      <c r="B58" s="158" t="s">
        <v>1032</v>
      </c>
      <c r="C58" s="129">
        <v>3410</v>
      </c>
      <c r="D58" s="158" t="s">
        <v>447</v>
      </c>
      <c r="E58" s="128" t="s">
        <v>955</v>
      </c>
      <c r="F58" s="16">
        <v>1500</v>
      </c>
      <c r="G58" s="17"/>
    </row>
    <row r="59" spans="1:7" s="12" customFormat="1" ht="42.75" customHeight="1">
      <c r="A59" s="96" t="s">
        <v>501</v>
      </c>
      <c r="B59" s="17" t="s">
        <v>1032</v>
      </c>
      <c r="C59" s="96">
        <v>3410</v>
      </c>
      <c r="D59" s="17" t="s">
        <v>447</v>
      </c>
      <c r="E59" s="99" t="s">
        <v>956</v>
      </c>
      <c r="F59" s="127">
        <v>1500</v>
      </c>
      <c r="G59" s="17"/>
    </row>
    <row r="60" spans="1:7" s="12" customFormat="1" ht="28.5" customHeight="1">
      <c r="A60" s="96" t="s">
        <v>501</v>
      </c>
      <c r="B60" s="17" t="s">
        <v>1032</v>
      </c>
      <c r="C60" s="96">
        <v>3410</v>
      </c>
      <c r="D60" s="17" t="s">
        <v>447</v>
      </c>
      <c r="E60" s="99" t="s">
        <v>957</v>
      </c>
      <c r="F60" s="127">
        <v>1500</v>
      </c>
      <c r="G60" s="17"/>
    </row>
    <row r="61" spans="1:7" s="12" customFormat="1" ht="28.5" customHeight="1">
      <c r="A61" s="96" t="s">
        <v>501</v>
      </c>
      <c r="B61" s="17" t="s">
        <v>1032</v>
      </c>
      <c r="C61" s="96">
        <v>3410</v>
      </c>
      <c r="D61" s="17" t="s">
        <v>447</v>
      </c>
      <c r="E61" s="99" t="s">
        <v>958</v>
      </c>
      <c r="F61" s="16">
        <v>1500</v>
      </c>
      <c r="G61" s="17"/>
    </row>
    <row r="62" spans="1:7" s="12" customFormat="1" ht="28.5" customHeight="1">
      <c r="A62" s="96" t="s">
        <v>501</v>
      </c>
      <c r="B62" s="17" t="s">
        <v>1032</v>
      </c>
      <c r="C62" s="96">
        <v>3410</v>
      </c>
      <c r="D62" s="17" t="s">
        <v>447</v>
      </c>
      <c r="E62" s="99" t="s">
        <v>959</v>
      </c>
      <c r="F62" s="16">
        <v>1500</v>
      </c>
      <c r="G62" s="17"/>
    </row>
    <row r="63" spans="1:7" s="12" customFormat="1" ht="28.5" customHeight="1">
      <c r="A63" s="133" t="s">
        <v>501</v>
      </c>
      <c r="B63" s="160" t="s">
        <v>1032</v>
      </c>
      <c r="C63" s="133">
        <v>3410</v>
      </c>
      <c r="D63" s="17" t="s">
        <v>447</v>
      </c>
      <c r="E63" s="132" t="s">
        <v>960</v>
      </c>
      <c r="F63" s="16">
        <v>1500</v>
      </c>
      <c r="G63" s="17"/>
    </row>
    <row r="64" spans="1:7" s="12" customFormat="1" ht="14.25" customHeight="1">
      <c r="A64" s="96" t="s">
        <v>501</v>
      </c>
      <c r="B64" s="17" t="s">
        <v>1032</v>
      </c>
      <c r="C64" s="96" t="s">
        <v>1028</v>
      </c>
      <c r="D64" s="17" t="s">
        <v>448</v>
      </c>
      <c r="E64" s="99" t="s">
        <v>977</v>
      </c>
      <c r="F64" s="16">
        <v>1500</v>
      </c>
      <c r="G64" s="17"/>
    </row>
    <row r="65" spans="1:7" s="12" customFormat="1" ht="14.25" customHeight="1">
      <c r="A65" s="96" t="s">
        <v>501</v>
      </c>
      <c r="B65" s="17" t="s">
        <v>1032</v>
      </c>
      <c r="C65" s="96" t="s">
        <v>1028</v>
      </c>
      <c r="D65" s="17" t="s">
        <v>448</v>
      </c>
      <c r="E65" s="99" t="s">
        <v>978</v>
      </c>
      <c r="F65" s="16">
        <v>1500</v>
      </c>
      <c r="G65" s="17"/>
    </row>
    <row r="66" spans="1:7" s="12" customFormat="1" ht="14.25" customHeight="1">
      <c r="A66" s="96" t="s">
        <v>501</v>
      </c>
      <c r="B66" s="17" t="s">
        <v>1032</v>
      </c>
      <c r="C66" s="96">
        <v>3510</v>
      </c>
      <c r="D66" s="17" t="s">
        <v>449</v>
      </c>
      <c r="E66" s="99" t="s">
        <v>987</v>
      </c>
      <c r="F66" s="16">
        <v>1500</v>
      </c>
      <c r="G66" s="17"/>
    </row>
    <row r="67" spans="1:7" s="12" customFormat="1" ht="14.25" customHeight="1">
      <c r="A67" s="96" t="s">
        <v>501</v>
      </c>
      <c r="B67" s="17" t="s">
        <v>477</v>
      </c>
      <c r="C67" s="96" t="s">
        <v>1044</v>
      </c>
      <c r="D67" s="17" t="s">
        <v>449</v>
      </c>
      <c r="E67" s="99" t="s">
        <v>988</v>
      </c>
      <c r="F67" s="16">
        <v>1500</v>
      </c>
      <c r="G67" s="17"/>
    </row>
    <row r="68" spans="1:7" s="12" customFormat="1" ht="14.25" customHeight="1">
      <c r="A68" s="98" t="s">
        <v>12</v>
      </c>
      <c r="B68" s="16" t="s">
        <v>50</v>
      </c>
      <c r="C68" s="98" t="s">
        <v>62</v>
      </c>
      <c r="D68" s="147" t="s">
        <v>23</v>
      </c>
      <c r="E68" s="100" t="s">
        <v>26</v>
      </c>
      <c r="F68" s="16">
        <v>4226</v>
      </c>
      <c r="G68" s="17"/>
    </row>
    <row r="69" spans="1:7" s="12" customFormat="1" ht="28.5" customHeight="1">
      <c r="A69" s="96" t="s">
        <v>170</v>
      </c>
      <c r="B69" s="17" t="s">
        <v>221</v>
      </c>
      <c r="C69" s="96" t="s">
        <v>1029</v>
      </c>
      <c r="D69" s="17" t="s">
        <v>166</v>
      </c>
      <c r="E69" s="99" t="s">
        <v>932</v>
      </c>
      <c r="F69" s="16">
        <v>4000</v>
      </c>
      <c r="G69" s="17"/>
    </row>
    <row r="70" spans="1:7" s="12" customFormat="1" ht="14.25" customHeight="1">
      <c r="A70" s="96" t="s">
        <v>1059</v>
      </c>
      <c r="B70" s="17" t="s">
        <v>221</v>
      </c>
      <c r="C70" s="96" t="s">
        <v>1045</v>
      </c>
      <c r="D70" s="103" t="s">
        <v>219</v>
      </c>
      <c r="E70" s="99" t="s">
        <v>171</v>
      </c>
      <c r="F70" s="16">
        <v>4000</v>
      </c>
      <c r="G70" s="17"/>
    </row>
    <row r="71" spans="1:7" s="12" customFormat="1" ht="14.25" customHeight="1">
      <c r="A71" s="96" t="s">
        <v>1059</v>
      </c>
      <c r="B71" s="16" t="s">
        <v>101</v>
      </c>
      <c r="C71" s="96" t="s">
        <v>1045</v>
      </c>
      <c r="D71" s="17" t="s">
        <v>227</v>
      </c>
      <c r="E71" s="99" t="s">
        <v>172</v>
      </c>
      <c r="F71" s="16">
        <v>4000</v>
      </c>
      <c r="G71" s="17"/>
    </row>
    <row r="72" spans="1:7" s="12" customFormat="1" ht="14.25" customHeight="1">
      <c r="A72" s="96" t="s">
        <v>1062</v>
      </c>
      <c r="B72" s="17" t="s">
        <v>221</v>
      </c>
      <c r="C72" s="116" t="s">
        <v>478</v>
      </c>
      <c r="D72" s="17" t="s">
        <v>427</v>
      </c>
      <c r="E72" s="99" t="s">
        <v>499</v>
      </c>
      <c r="F72" s="16">
        <v>4000</v>
      </c>
      <c r="G72" s="17"/>
    </row>
    <row r="73" spans="1:7" s="12" customFormat="1">
      <c r="A73" s="96" t="s">
        <v>501</v>
      </c>
      <c r="B73" s="17" t="s">
        <v>1027</v>
      </c>
      <c r="C73" s="96" t="s">
        <v>1028</v>
      </c>
      <c r="D73" s="17" t="s">
        <v>167</v>
      </c>
      <c r="E73" s="99" t="s">
        <v>918</v>
      </c>
      <c r="F73" s="16">
        <v>4000</v>
      </c>
      <c r="G73" s="17"/>
    </row>
    <row r="74" spans="1:7" s="12" customFormat="1" ht="14.25" customHeight="1">
      <c r="A74" s="96" t="s">
        <v>1056</v>
      </c>
      <c r="B74" s="16" t="s">
        <v>101</v>
      </c>
      <c r="C74" s="162" t="s">
        <v>173</v>
      </c>
      <c r="D74" s="103" t="s">
        <v>219</v>
      </c>
      <c r="E74" s="99" t="s">
        <v>171</v>
      </c>
      <c r="F74" s="16">
        <v>3596.5</v>
      </c>
      <c r="G74" s="17" t="s">
        <v>194</v>
      </c>
    </row>
    <row r="75" spans="1:7" s="12" customFormat="1" ht="14.25" customHeight="1">
      <c r="A75" s="96" t="s">
        <v>1062</v>
      </c>
      <c r="B75" s="17" t="s">
        <v>221</v>
      </c>
      <c r="C75" s="116" t="s">
        <v>1045</v>
      </c>
      <c r="D75" s="17" t="s">
        <v>167</v>
      </c>
      <c r="E75" s="99" t="s">
        <v>168</v>
      </c>
      <c r="F75" s="16">
        <v>4000</v>
      </c>
      <c r="G75" s="17"/>
    </row>
    <row r="76" spans="1:7" s="12" customFormat="1" ht="14.25" customHeight="1">
      <c r="A76" s="96" t="s">
        <v>1059</v>
      </c>
      <c r="B76" s="17" t="s">
        <v>221</v>
      </c>
      <c r="C76" s="161" t="s">
        <v>1045</v>
      </c>
      <c r="D76" s="17" t="s">
        <v>167</v>
      </c>
      <c r="E76" s="99" t="s">
        <v>176</v>
      </c>
      <c r="F76" s="16">
        <v>4000</v>
      </c>
      <c r="G76" s="17"/>
    </row>
    <row r="77" spans="1:7" s="12" customFormat="1" ht="14.25" customHeight="1">
      <c r="A77" s="96" t="s">
        <v>1059</v>
      </c>
      <c r="B77" s="17" t="s">
        <v>221</v>
      </c>
      <c r="C77" s="96" t="s">
        <v>1045</v>
      </c>
      <c r="D77" s="17" t="s">
        <v>166</v>
      </c>
      <c r="E77" s="99" t="s">
        <v>932</v>
      </c>
      <c r="F77" s="16">
        <v>4000</v>
      </c>
      <c r="G77" s="17"/>
    </row>
    <row r="78" spans="1:7" s="12" customFormat="1" ht="51.75" customHeight="1">
      <c r="A78" s="96" t="s">
        <v>1056</v>
      </c>
      <c r="B78" s="16" t="s">
        <v>101</v>
      </c>
      <c r="C78" s="162" t="s">
        <v>173</v>
      </c>
      <c r="D78" s="17" t="s">
        <v>227</v>
      </c>
      <c r="E78" s="99" t="s">
        <v>172</v>
      </c>
      <c r="F78" s="16">
        <v>3596.5</v>
      </c>
      <c r="G78" s="17" t="s">
        <v>194</v>
      </c>
    </row>
    <row r="79" spans="1:7" s="12" customFormat="1" ht="14.25" customHeight="1">
      <c r="A79" s="96" t="s">
        <v>1062</v>
      </c>
      <c r="B79" s="17" t="s">
        <v>221</v>
      </c>
      <c r="C79" s="116" t="s">
        <v>1045</v>
      </c>
      <c r="D79" s="17" t="s">
        <v>166</v>
      </c>
      <c r="E79" s="99" t="s">
        <v>933</v>
      </c>
      <c r="F79" s="16">
        <v>4000</v>
      </c>
      <c r="G79" s="17"/>
    </row>
    <row r="80" spans="1:7" s="12" customFormat="1" ht="14.25" customHeight="1">
      <c r="A80" s="96" t="s">
        <v>1059</v>
      </c>
      <c r="B80" s="17" t="s">
        <v>221</v>
      </c>
      <c r="C80" s="96" t="s">
        <v>1045</v>
      </c>
      <c r="D80" s="17" t="s">
        <v>166</v>
      </c>
      <c r="E80" s="99" t="s">
        <v>940</v>
      </c>
      <c r="F80" s="16">
        <v>4000</v>
      </c>
      <c r="G80" s="17"/>
    </row>
    <row r="81" spans="1:7" s="12" customFormat="1" ht="14.25" customHeight="1">
      <c r="A81" s="96" t="s">
        <v>1062</v>
      </c>
      <c r="B81" s="17" t="s">
        <v>221</v>
      </c>
      <c r="C81" s="116" t="s">
        <v>1045</v>
      </c>
      <c r="D81" s="17" t="s">
        <v>166</v>
      </c>
      <c r="E81" s="99" t="s">
        <v>940</v>
      </c>
      <c r="F81" s="16">
        <v>4000</v>
      </c>
      <c r="G81" s="17"/>
    </row>
    <row r="82" spans="1:7" s="12" customFormat="1" ht="14.25" customHeight="1">
      <c r="A82" s="96" t="s">
        <v>1062</v>
      </c>
      <c r="B82" s="17" t="s">
        <v>221</v>
      </c>
      <c r="C82" s="116" t="s">
        <v>1045</v>
      </c>
      <c r="D82" s="17" t="s">
        <v>425</v>
      </c>
      <c r="E82" s="99" t="s">
        <v>162</v>
      </c>
      <c r="F82" s="16">
        <v>4000</v>
      </c>
      <c r="G82" s="17"/>
    </row>
    <row r="83" spans="1:7" s="12" customFormat="1" ht="30.75" customHeight="1">
      <c r="A83" s="96" t="s">
        <v>1059</v>
      </c>
      <c r="B83" s="17" t="s">
        <v>221</v>
      </c>
      <c r="C83" s="96" t="s">
        <v>1045</v>
      </c>
      <c r="D83" s="17" t="s">
        <v>425</v>
      </c>
      <c r="E83" s="99" t="s">
        <v>948</v>
      </c>
      <c r="F83" s="16">
        <v>4000</v>
      </c>
      <c r="G83" s="17"/>
    </row>
    <row r="84" spans="1:7" s="12" customFormat="1" ht="14.25" customHeight="1">
      <c r="A84" s="96" t="s">
        <v>12</v>
      </c>
      <c r="B84" s="17" t="s">
        <v>149</v>
      </c>
      <c r="C84" s="96" t="s">
        <v>1039</v>
      </c>
      <c r="D84" s="17" t="s">
        <v>425</v>
      </c>
      <c r="E84" s="99" t="s">
        <v>953</v>
      </c>
      <c r="F84" s="16">
        <v>4000</v>
      </c>
      <c r="G84" s="17"/>
    </row>
    <row r="85" spans="1:7" s="12" customFormat="1" ht="28.5" customHeight="1">
      <c r="A85" s="96" t="s">
        <v>1062</v>
      </c>
      <c r="B85" s="17" t="s">
        <v>221</v>
      </c>
      <c r="C85" s="116">
        <v>2100</v>
      </c>
      <c r="D85" s="17" t="s">
        <v>447</v>
      </c>
      <c r="E85" s="99" t="s">
        <v>967</v>
      </c>
      <c r="F85" s="16">
        <v>4000</v>
      </c>
      <c r="G85" s="17"/>
    </row>
    <row r="86" spans="1:7" s="12" customFormat="1" ht="14.25" customHeight="1">
      <c r="A86" s="96" t="s">
        <v>1062</v>
      </c>
      <c r="B86" s="17" t="s">
        <v>221</v>
      </c>
      <c r="C86" s="116">
        <v>2100</v>
      </c>
      <c r="D86" s="17" t="s">
        <v>447</v>
      </c>
      <c r="E86" s="99" t="s">
        <v>968</v>
      </c>
      <c r="F86" s="16">
        <v>4000</v>
      </c>
      <c r="G86" s="17"/>
    </row>
    <row r="87" spans="1:7" s="12" customFormat="1" ht="14.25" customHeight="1">
      <c r="A87" s="96" t="s">
        <v>1062</v>
      </c>
      <c r="B87" s="17" t="s">
        <v>221</v>
      </c>
      <c r="C87" s="116">
        <v>2100</v>
      </c>
      <c r="D87" s="17" t="s">
        <v>447</v>
      </c>
      <c r="E87" s="99" t="s">
        <v>969</v>
      </c>
      <c r="F87" s="16">
        <v>4000</v>
      </c>
      <c r="G87" s="17"/>
    </row>
    <row r="88" spans="1:7" s="12" customFormat="1" ht="14.25" customHeight="1">
      <c r="A88" s="96" t="s">
        <v>1062</v>
      </c>
      <c r="B88" s="17" t="s">
        <v>221</v>
      </c>
      <c r="C88" s="116">
        <v>2100</v>
      </c>
      <c r="D88" s="17" t="s">
        <v>447</v>
      </c>
      <c r="E88" s="99" t="s">
        <v>970</v>
      </c>
      <c r="F88" s="16">
        <v>4000</v>
      </c>
      <c r="G88" s="17"/>
    </row>
    <row r="89" spans="1:7" s="12" customFormat="1" ht="14.25" customHeight="1">
      <c r="A89" s="96" t="s">
        <v>1062</v>
      </c>
      <c r="B89" s="17" t="s">
        <v>221</v>
      </c>
      <c r="C89" s="116" t="s">
        <v>1045</v>
      </c>
      <c r="D89" s="17" t="s">
        <v>448</v>
      </c>
      <c r="E89" s="99" t="s">
        <v>980</v>
      </c>
      <c r="F89" s="16">
        <v>4000</v>
      </c>
      <c r="G89" s="17"/>
    </row>
    <row r="90" spans="1:7" s="12" customFormat="1" ht="14.25" customHeight="1">
      <c r="A90" s="96" t="s">
        <v>1059</v>
      </c>
      <c r="B90" s="17" t="s">
        <v>221</v>
      </c>
      <c r="C90" s="96" t="s">
        <v>1045</v>
      </c>
      <c r="D90" s="17" t="s">
        <v>448</v>
      </c>
      <c r="E90" s="99" t="s">
        <v>981</v>
      </c>
      <c r="F90" s="16">
        <v>4000</v>
      </c>
      <c r="G90" s="17"/>
    </row>
    <row r="91" spans="1:7" s="12" customFormat="1" ht="14.25" customHeight="1">
      <c r="A91" s="96" t="s">
        <v>1059</v>
      </c>
      <c r="B91" s="17" t="s">
        <v>221</v>
      </c>
      <c r="C91" s="96" t="s">
        <v>1045</v>
      </c>
      <c r="D91" s="17" t="s">
        <v>448</v>
      </c>
      <c r="E91" s="99" t="s">
        <v>985</v>
      </c>
      <c r="F91" s="16">
        <v>4000</v>
      </c>
      <c r="G91" s="17"/>
    </row>
    <row r="92" spans="1:7" s="12" customFormat="1" ht="14.25" customHeight="1">
      <c r="A92" s="96" t="s">
        <v>1059</v>
      </c>
      <c r="B92" s="17" t="s">
        <v>221</v>
      </c>
      <c r="C92" s="96" t="s">
        <v>1045</v>
      </c>
      <c r="D92" s="17" t="s">
        <v>449</v>
      </c>
      <c r="E92" s="99" t="s">
        <v>990</v>
      </c>
      <c r="F92" s="16">
        <v>4000</v>
      </c>
      <c r="G92" s="17"/>
    </row>
    <row r="93" spans="1:7" s="12" customFormat="1" ht="14.25" customHeight="1">
      <c r="A93" s="96" t="s">
        <v>1062</v>
      </c>
      <c r="B93" s="17" t="s">
        <v>221</v>
      </c>
      <c r="C93" s="116" t="s">
        <v>1045</v>
      </c>
      <c r="D93" s="17" t="s">
        <v>449</v>
      </c>
      <c r="E93" s="99" t="s">
        <v>991</v>
      </c>
      <c r="F93" s="16">
        <v>4000</v>
      </c>
      <c r="G93" s="17"/>
    </row>
    <row r="94" spans="1:7" s="12" customFormat="1" ht="14.25" customHeight="1">
      <c r="A94" s="98" t="s">
        <v>1056</v>
      </c>
      <c r="B94" s="16" t="s">
        <v>101</v>
      </c>
      <c r="C94" s="98" t="s">
        <v>112</v>
      </c>
      <c r="D94" s="98" t="s">
        <v>88</v>
      </c>
      <c r="E94" s="163" t="s">
        <v>115</v>
      </c>
      <c r="F94" s="16">
        <v>3500</v>
      </c>
      <c r="G94" s="17"/>
    </row>
    <row r="95" spans="1:7" s="12" customFormat="1" ht="14.25" customHeight="1">
      <c r="A95" s="153" t="s">
        <v>1056</v>
      </c>
      <c r="B95" s="16" t="s">
        <v>101</v>
      </c>
      <c r="C95" s="165" t="s">
        <v>1073</v>
      </c>
      <c r="D95" s="98" t="s">
        <v>140</v>
      </c>
      <c r="E95" s="164" t="s">
        <v>160</v>
      </c>
      <c r="F95" s="16">
        <v>3500</v>
      </c>
      <c r="G95" s="17"/>
    </row>
    <row r="96" spans="1:7" s="12" customFormat="1" ht="14.25" customHeight="1">
      <c r="A96" s="96" t="s">
        <v>1056</v>
      </c>
      <c r="B96" s="17" t="s">
        <v>221</v>
      </c>
      <c r="C96" s="96" t="s">
        <v>412</v>
      </c>
      <c r="D96" s="17" t="s">
        <v>346</v>
      </c>
      <c r="E96" s="99" t="s">
        <v>369</v>
      </c>
      <c r="F96" s="16">
        <v>2500</v>
      </c>
      <c r="G96" s="17"/>
    </row>
    <row r="97" spans="1:7" s="12" customFormat="1" ht="14.25" customHeight="1">
      <c r="A97" s="96" t="s">
        <v>1056</v>
      </c>
      <c r="B97" s="17" t="s">
        <v>221</v>
      </c>
      <c r="C97" s="96" t="s">
        <v>412</v>
      </c>
      <c r="D97" s="17" t="s">
        <v>346</v>
      </c>
      <c r="E97" s="99" t="s">
        <v>371</v>
      </c>
      <c r="F97" s="16">
        <v>2500</v>
      </c>
      <c r="G97" s="17"/>
    </row>
    <row r="98" spans="1:7" s="12" customFormat="1" ht="14.25" customHeight="1">
      <c r="A98" s="98" t="s">
        <v>83</v>
      </c>
      <c r="B98" s="16" t="s">
        <v>56</v>
      </c>
      <c r="C98" s="98" t="s">
        <v>72</v>
      </c>
      <c r="D98" s="147" t="s">
        <v>23</v>
      </c>
      <c r="E98" s="101" t="s">
        <v>37</v>
      </c>
      <c r="F98" s="16">
        <v>3000</v>
      </c>
      <c r="G98" s="17"/>
    </row>
    <row r="99" spans="1:7" s="12" customFormat="1" ht="14.25" customHeight="1">
      <c r="A99" s="98" t="s">
        <v>18</v>
      </c>
      <c r="B99" s="16" t="s">
        <v>50</v>
      </c>
      <c r="C99" s="98" t="s">
        <v>62</v>
      </c>
      <c r="D99" s="147" t="s">
        <v>23</v>
      </c>
      <c r="E99" s="101" t="s">
        <v>38</v>
      </c>
      <c r="F99" s="16">
        <v>4226</v>
      </c>
      <c r="G99" s="17"/>
    </row>
    <row r="100" spans="1:7" s="12" customFormat="1" ht="14.25" customHeight="1">
      <c r="A100" s="98" t="s">
        <v>19</v>
      </c>
      <c r="B100" s="98" t="s">
        <v>57</v>
      </c>
      <c r="C100" s="98" t="s">
        <v>74</v>
      </c>
      <c r="D100" s="147" t="s">
        <v>87</v>
      </c>
      <c r="E100" s="100" t="s">
        <v>40</v>
      </c>
      <c r="F100" s="16">
        <v>3000</v>
      </c>
      <c r="G100" s="17"/>
    </row>
    <row r="101" spans="1:7" s="12" customFormat="1" ht="14.25" customHeight="1">
      <c r="A101" s="98" t="s">
        <v>117</v>
      </c>
      <c r="B101" s="98" t="s">
        <v>128</v>
      </c>
      <c r="C101" s="98" t="s">
        <v>135</v>
      </c>
      <c r="D101" s="98" t="s">
        <v>116</v>
      </c>
      <c r="E101" s="100" t="s">
        <v>120</v>
      </c>
      <c r="F101" s="16">
        <v>7000</v>
      </c>
      <c r="G101" s="17"/>
    </row>
    <row r="102" spans="1:7" s="12" customFormat="1" ht="14.25" customHeight="1">
      <c r="A102" s="96" t="s">
        <v>11</v>
      </c>
      <c r="B102" s="17" t="s">
        <v>149</v>
      </c>
      <c r="C102" s="96" t="s">
        <v>411</v>
      </c>
      <c r="D102" s="17" t="s">
        <v>346</v>
      </c>
      <c r="E102" s="99" t="s">
        <v>367</v>
      </c>
      <c r="F102" s="16">
        <v>3000</v>
      </c>
      <c r="G102" s="17"/>
    </row>
    <row r="103" spans="1:7" s="12" customFormat="1" ht="14.25" customHeight="1">
      <c r="A103" s="96" t="s">
        <v>11</v>
      </c>
      <c r="B103" s="17" t="s">
        <v>149</v>
      </c>
      <c r="C103" s="96" t="s">
        <v>411</v>
      </c>
      <c r="D103" s="17" t="s">
        <v>346</v>
      </c>
      <c r="E103" s="99" t="s">
        <v>368</v>
      </c>
      <c r="F103" s="16">
        <v>3000</v>
      </c>
      <c r="G103" s="17"/>
    </row>
    <row r="104" spans="1:7" s="12" customFormat="1" ht="14.25" customHeight="1">
      <c r="A104" s="96" t="s">
        <v>1048</v>
      </c>
      <c r="B104" s="17" t="s">
        <v>589</v>
      </c>
      <c r="C104" s="96" t="s">
        <v>601</v>
      </c>
      <c r="D104" s="17" t="s">
        <v>431</v>
      </c>
      <c r="E104" s="99" t="s">
        <v>573</v>
      </c>
      <c r="F104" s="16">
        <v>1600</v>
      </c>
      <c r="G104" s="17"/>
    </row>
    <row r="105" spans="1:7" s="12" customFormat="1" ht="14.25" customHeight="1">
      <c r="A105" s="17" t="s">
        <v>1048</v>
      </c>
      <c r="B105" s="166" t="s">
        <v>60</v>
      </c>
      <c r="C105" s="96" t="s">
        <v>766</v>
      </c>
      <c r="D105" s="96" t="s">
        <v>436</v>
      </c>
      <c r="E105" s="99" t="s">
        <v>714</v>
      </c>
      <c r="F105" s="16">
        <v>3000</v>
      </c>
      <c r="G105" s="17"/>
    </row>
    <row r="106" spans="1:7" s="12" customFormat="1" ht="14.25" customHeight="1">
      <c r="A106" s="17" t="s">
        <v>1048</v>
      </c>
      <c r="B106" s="166" t="s">
        <v>589</v>
      </c>
      <c r="C106" s="96" t="s">
        <v>771</v>
      </c>
      <c r="D106" s="96" t="s">
        <v>437</v>
      </c>
      <c r="E106" s="99" t="s">
        <v>729</v>
      </c>
      <c r="F106" s="16">
        <v>3000</v>
      </c>
      <c r="G106" s="17"/>
    </row>
    <row r="107" spans="1:7" s="12" customFormat="1" ht="14.25" customHeight="1">
      <c r="A107" s="17" t="s">
        <v>1048</v>
      </c>
      <c r="B107" s="166" t="s">
        <v>589</v>
      </c>
      <c r="C107" s="96" t="s">
        <v>771</v>
      </c>
      <c r="D107" s="96" t="s">
        <v>436</v>
      </c>
      <c r="E107" s="99" t="s">
        <v>730</v>
      </c>
      <c r="F107" s="16">
        <v>3000</v>
      </c>
      <c r="G107" s="17"/>
    </row>
    <row r="108" spans="1:7" s="12" customFormat="1" ht="14.25" customHeight="1">
      <c r="A108" s="96" t="s">
        <v>1048</v>
      </c>
      <c r="B108" s="17" t="s">
        <v>589</v>
      </c>
      <c r="C108" s="96" t="s">
        <v>601</v>
      </c>
      <c r="D108" s="17" t="s">
        <v>438</v>
      </c>
      <c r="E108" s="99" t="s">
        <v>776</v>
      </c>
      <c r="F108" s="16">
        <v>1600</v>
      </c>
      <c r="G108" s="17"/>
    </row>
    <row r="109" spans="1:7" s="12" customFormat="1" ht="14.25" customHeight="1">
      <c r="A109" s="96" t="s">
        <v>1070</v>
      </c>
      <c r="B109" s="17" t="s">
        <v>130</v>
      </c>
      <c r="C109" s="96" t="s">
        <v>130</v>
      </c>
      <c r="D109" s="17" t="s">
        <v>447</v>
      </c>
      <c r="E109" s="99" t="s">
        <v>975</v>
      </c>
      <c r="F109" s="16">
        <v>3000</v>
      </c>
      <c r="G109" s="17"/>
    </row>
    <row r="110" spans="1:7" s="12" customFormat="1" ht="14.25" customHeight="1">
      <c r="A110" s="96" t="s">
        <v>1070</v>
      </c>
      <c r="B110" s="17" t="s">
        <v>130</v>
      </c>
      <c r="C110" s="96" t="s">
        <v>130</v>
      </c>
      <c r="D110" s="17" t="s">
        <v>447</v>
      </c>
      <c r="E110" s="99" t="s">
        <v>976</v>
      </c>
      <c r="F110" s="16">
        <v>3000</v>
      </c>
      <c r="G110" s="17"/>
    </row>
    <row r="111" spans="1:7" s="12" customFormat="1" ht="14.25" customHeight="1">
      <c r="A111" s="98" t="s">
        <v>17</v>
      </c>
      <c r="B111" s="98" t="s">
        <v>53</v>
      </c>
      <c r="C111" s="98" t="s">
        <v>68</v>
      </c>
      <c r="D111" s="147" t="s">
        <v>23</v>
      </c>
      <c r="E111" s="100" t="s">
        <v>34</v>
      </c>
      <c r="F111" s="16">
        <v>2600</v>
      </c>
      <c r="G111" s="17"/>
    </row>
    <row r="112" spans="1:7" s="12" customFormat="1" ht="14.25" customHeight="1">
      <c r="A112" s="98" t="s">
        <v>1058</v>
      </c>
      <c r="B112" s="16" t="s">
        <v>55</v>
      </c>
      <c r="C112" s="98" t="s">
        <v>70</v>
      </c>
      <c r="D112" s="147" t="s">
        <v>23</v>
      </c>
      <c r="E112" s="101" t="s">
        <v>36</v>
      </c>
      <c r="F112" s="16">
        <v>2500</v>
      </c>
      <c r="G112" s="17"/>
    </row>
    <row r="113" spans="1:7" s="12" customFormat="1" ht="14.25" customHeight="1">
      <c r="A113" s="98" t="s">
        <v>1058</v>
      </c>
      <c r="B113" s="16" t="s">
        <v>55</v>
      </c>
      <c r="C113" s="98" t="s">
        <v>70</v>
      </c>
      <c r="D113" s="147" t="s">
        <v>23</v>
      </c>
      <c r="E113" s="101" t="s">
        <v>39</v>
      </c>
      <c r="F113" s="16">
        <v>2500</v>
      </c>
      <c r="G113" s="17"/>
    </row>
    <row r="114" spans="1:7" s="12" customFormat="1" ht="14.25" customHeight="1">
      <c r="A114" s="98" t="s">
        <v>1059</v>
      </c>
      <c r="B114" s="98" t="s">
        <v>106</v>
      </c>
      <c r="C114" s="98" t="s">
        <v>107</v>
      </c>
      <c r="D114" s="122" t="s">
        <v>88</v>
      </c>
      <c r="E114" s="152" t="s">
        <v>91</v>
      </c>
      <c r="F114" s="16">
        <v>2500</v>
      </c>
      <c r="G114" s="17"/>
    </row>
    <row r="115" spans="1:7" s="12" customFormat="1" ht="14.25" customHeight="1">
      <c r="A115" s="98" t="s">
        <v>1059</v>
      </c>
      <c r="B115" s="98" t="s">
        <v>106</v>
      </c>
      <c r="C115" s="98" t="s">
        <v>111</v>
      </c>
      <c r="D115" s="122" t="s">
        <v>88</v>
      </c>
      <c r="E115" s="152" t="s">
        <v>92</v>
      </c>
      <c r="F115" s="16">
        <v>2500</v>
      </c>
      <c r="G115" s="17"/>
    </row>
    <row r="116" spans="1:7" s="12" customFormat="1" ht="14.25" customHeight="1">
      <c r="A116" s="98" t="s">
        <v>1059</v>
      </c>
      <c r="B116" s="98" t="s">
        <v>106</v>
      </c>
      <c r="C116" s="98" t="s">
        <v>107</v>
      </c>
      <c r="D116" s="122" t="s">
        <v>88</v>
      </c>
      <c r="E116" s="152" t="s">
        <v>93</v>
      </c>
      <c r="F116" s="16">
        <v>2500</v>
      </c>
      <c r="G116" s="17"/>
    </row>
    <row r="117" spans="1:7" s="12" customFormat="1" ht="14.25" customHeight="1">
      <c r="A117" s="98" t="s">
        <v>19</v>
      </c>
      <c r="B117" s="16" t="s">
        <v>102</v>
      </c>
      <c r="C117" s="98" t="s">
        <v>114</v>
      </c>
      <c r="D117" s="122" t="s">
        <v>88</v>
      </c>
      <c r="E117" s="152" t="s">
        <v>95</v>
      </c>
      <c r="F117" s="16">
        <v>2500</v>
      </c>
      <c r="G117" s="17"/>
    </row>
    <row r="118" spans="1:7" s="12" customFormat="1" ht="14.25" customHeight="1">
      <c r="A118" s="98" t="s">
        <v>83</v>
      </c>
      <c r="B118" s="16" t="s">
        <v>129</v>
      </c>
      <c r="C118" s="98" t="s">
        <v>136</v>
      </c>
      <c r="D118" s="98" t="s">
        <v>116</v>
      </c>
      <c r="E118" s="100" t="s">
        <v>121</v>
      </c>
      <c r="F118" s="16">
        <v>2500</v>
      </c>
      <c r="G118" s="17"/>
    </row>
    <row r="119" spans="1:7" s="12" customFormat="1" ht="14.25" customHeight="1">
      <c r="A119" s="98" t="s">
        <v>1059</v>
      </c>
      <c r="B119" s="98" t="s">
        <v>106</v>
      </c>
      <c r="C119" s="98" t="s">
        <v>107</v>
      </c>
      <c r="D119" s="98" t="s">
        <v>116</v>
      </c>
      <c r="E119" s="100" t="s">
        <v>124</v>
      </c>
      <c r="F119" s="16">
        <v>2500</v>
      </c>
      <c r="G119" s="17"/>
    </row>
    <row r="120" spans="1:7" s="12" customFormat="1" ht="14.25" customHeight="1">
      <c r="A120" s="96" t="s">
        <v>273</v>
      </c>
      <c r="B120" s="17" t="s">
        <v>304</v>
      </c>
      <c r="C120" s="96" t="s">
        <v>309</v>
      </c>
      <c r="D120" s="17" t="s">
        <v>275</v>
      </c>
      <c r="E120" s="99" t="s">
        <v>296</v>
      </c>
      <c r="F120" s="16">
        <v>2500</v>
      </c>
      <c r="G120" s="17"/>
    </row>
    <row r="121" spans="1:7" s="12" customFormat="1" ht="14.25" customHeight="1">
      <c r="A121" s="96" t="s">
        <v>1056</v>
      </c>
      <c r="B121" s="17" t="s">
        <v>221</v>
      </c>
      <c r="C121" s="96" t="s">
        <v>412</v>
      </c>
      <c r="D121" s="17" t="s">
        <v>346</v>
      </c>
      <c r="E121" s="99" t="s">
        <v>373</v>
      </c>
      <c r="F121" s="16">
        <v>2500</v>
      </c>
      <c r="G121" s="17"/>
    </row>
    <row r="122" spans="1:7" s="12" customFormat="1" ht="14.25" customHeight="1">
      <c r="A122" s="96" t="s">
        <v>393</v>
      </c>
      <c r="B122" s="17" t="s">
        <v>221</v>
      </c>
      <c r="C122" s="96" t="s">
        <v>413</v>
      </c>
      <c r="D122" s="17" t="s">
        <v>346</v>
      </c>
      <c r="E122" s="99" t="s">
        <v>370</v>
      </c>
      <c r="F122" s="16">
        <v>2500</v>
      </c>
      <c r="G122" s="17"/>
    </row>
    <row r="123" spans="1:7" s="12" customFormat="1" ht="14.25" customHeight="1">
      <c r="A123" s="96" t="s">
        <v>1056</v>
      </c>
      <c r="B123" s="17" t="s">
        <v>221</v>
      </c>
      <c r="C123" s="96" t="s">
        <v>412</v>
      </c>
      <c r="D123" s="17" t="s">
        <v>347</v>
      </c>
      <c r="E123" s="99" t="s">
        <v>383</v>
      </c>
      <c r="F123" s="16">
        <v>2500</v>
      </c>
      <c r="G123" s="17"/>
    </row>
    <row r="124" spans="1:7" s="12" customFormat="1" ht="14.25" customHeight="1">
      <c r="A124" s="96" t="s">
        <v>393</v>
      </c>
      <c r="B124" s="17" t="s">
        <v>221</v>
      </c>
      <c r="C124" s="96" t="s">
        <v>413</v>
      </c>
      <c r="D124" s="17" t="s">
        <v>346</v>
      </c>
      <c r="E124" s="99" t="s">
        <v>372</v>
      </c>
      <c r="F124" s="16">
        <v>2500</v>
      </c>
      <c r="G124" s="17"/>
    </row>
    <row r="125" spans="1:7" s="12" customFormat="1" ht="14.25" customHeight="1">
      <c r="A125" s="96" t="s">
        <v>1056</v>
      </c>
      <c r="B125" s="17" t="s">
        <v>221</v>
      </c>
      <c r="C125" s="96" t="s">
        <v>412</v>
      </c>
      <c r="D125" s="17" t="s">
        <v>347</v>
      </c>
      <c r="E125" s="99" t="s">
        <v>385</v>
      </c>
      <c r="F125" s="16">
        <v>2500</v>
      </c>
      <c r="G125" s="17"/>
    </row>
    <row r="126" spans="1:7" s="12" customFormat="1" ht="14.25" customHeight="1">
      <c r="A126" s="96" t="s">
        <v>393</v>
      </c>
      <c r="B126" s="17" t="s">
        <v>221</v>
      </c>
      <c r="C126" s="96" t="s">
        <v>413</v>
      </c>
      <c r="D126" s="17" t="s">
        <v>346</v>
      </c>
      <c r="E126" s="99" t="s">
        <v>374</v>
      </c>
      <c r="F126" s="16">
        <v>2500</v>
      </c>
      <c r="G126" s="17"/>
    </row>
    <row r="127" spans="1:7" s="12" customFormat="1" ht="14.25" customHeight="1">
      <c r="A127" s="96" t="s">
        <v>392</v>
      </c>
      <c r="B127" s="17" t="s">
        <v>149</v>
      </c>
      <c r="C127" s="96" t="s">
        <v>415</v>
      </c>
      <c r="D127" s="17" t="s">
        <v>346</v>
      </c>
      <c r="E127" s="99" t="s">
        <v>379</v>
      </c>
      <c r="F127" s="16">
        <v>2500</v>
      </c>
      <c r="G127" s="17"/>
    </row>
    <row r="128" spans="1:7" s="12" customFormat="1" ht="14.25" customHeight="1">
      <c r="A128" s="96" t="s">
        <v>1056</v>
      </c>
      <c r="B128" s="17" t="s">
        <v>221</v>
      </c>
      <c r="C128" s="96" t="s">
        <v>476</v>
      </c>
      <c r="D128" s="17" t="s">
        <v>427</v>
      </c>
      <c r="E128" s="99" t="s">
        <v>497</v>
      </c>
      <c r="F128" s="16">
        <v>2500</v>
      </c>
      <c r="G128" s="17"/>
    </row>
    <row r="129" spans="1:7" s="12" customFormat="1" ht="14.25" customHeight="1">
      <c r="A129" s="96" t="s">
        <v>393</v>
      </c>
      <c r="B129" s="17" t="s">
        <v>221</v>
      </c>
      <c r="C129" s="96" t="s">
        <v>413</v>
      </c>
      <c r="D129" s="17" t="s">
        <v>347</v>
      </c>
      <c r="E129" s="99" t="s">
        <v>384</v>
      </c>
      <c r="F129" s="16">
        <v>2500</v>
      </c>
      <c r="G129" s="17"/>
    </row>
    <row r="130" spans="1:7" s="12" customFormat="1" ht="14.25" customHeight="1">
      <c r="A130" s="96" t="s">
        <v>1056</v>
      </c>
      <c r="B130" s="17" t="s">
        <v>221</v>
      </c>
      <c r="C130" s="96" t="s">
        <v>1034</v>
      </c>
      <c r="D130" s="17" t="s">
        <v>167</v>
      </c>
      <c r="E130" s="99" t="s">
        <v>176</v>
      </c>
      <c r="F130" s="16">
        <v>2000</v>
      </c>
      <c r="G130" s="17"/>
    </row>
    <row r="131" spans="1:7" s="12" customFormat="1" ht="14.25" customHeight="1">
      <c r="A131" s="96" t="s">
        <v>170</v>
      </c>
      <c r="B131" s="17" t="s">
        <v>221</v>
      </c>
      <c r="C131" s="96" t="s">
        <v>1029</v>
      </c>
      <c r="D131" s="17" t="s">
        <v>166</v>
      </c>
      <c r="E131" s="99" t="s">
        <v>940</v>
      </c>
      <c r="F131" s="16">
        <v>2000</v>
      </c>
      <c r="G131" s="17"/>
    </row>
    <row r="132" spans="1:7" s="12" customFormat="1" ht="14.25" customHeight="1">
      <c r="A132" s="96" t="s">
        <v>83</v>
      </c>
      <c r="B132" s="17" t="s">
        <v>56</v>
      </c>
      <c r="C132" s="96" t="s">
        <v>1038</v>
      </c>
      <c r="D132" s="17" t="s">
        <v>425</v>
      </c>
      <c r="E132" s="99" t="s">
        <v>952</v>
      </c>
      <c r="F132" s="16">
        <v>2500</v>
      </c>
      <c r="G132" s="17"/>
    </row>
    <row r="133" spans="1:7" s="12" customFormat="1" ht="14.25" customHeight="1">
      <c r="A133" s="98" t="s">
        <v>17</v>
      </c>
      <c r="B133" s="98" t="s">
        <v>53</v>
      </c>
      <c r="C133" s="98" t="s">
        <v>68</v>
      </c>
      <c r="D133" s="147" t="s">
        <v>23</v>
      </c>
      <c r="E133" s="100" t="s">
        <v>35</v>
      </c>
      <c r="F133" s="16">
        <v>2300</v>
      </c>
      <c r="G133" s="17"/>
    </row>
    <row r="134" spans="1:7" s="12" customFormat="1" ht="14.25" customHeight="1">
      <c r="A134" s="96" t="s">
        <v>83</v>
      </c>
      <c r="B134" s="17" t="s">
        <v>59</v>
      </c>
      <c r="C134" s="96" t="s">
        <v>78</v>
      </c>
      <c r="D134" s="147" t="s">
        <v>87</v>
      </c>
      <c r="E134" s="99" t="s">
        <v>47</v>
      </c>
      <c r="F134" s="17">
        <v>2000</v>
      </c>
      <c r="G134" s="17"/>
    </row>
    <row r="135" spans="1:7" s="12" customFormat="1" ht="14.25" customHeight="1">
      <c r="A135" s="167" t="s">
        <v>19</v>
      </c>
      <c r="B135" s="98" t="s">
        <v>152</v>
      </c>
      <c r="C135" s="98" t="s">
        <v>158</v>
      </c>
      <c r="D135" s="98" t="s">
        <v>140</v>
      </c>
      <c r="E135" s="168" t="s">
        <v>148</v>
      </c>
      <c r="F135" s="16">
        <v>3000</v>
      </c>
      <c r="G135" s="17"/>
    </row>
    <row r="136" spans="1:7" s="12" customFormat="1" ht="14.25" customHeight="1">
      <c r="A136" s="96" t="s">
        <v>12</v>
      </c>
      <c r="B136" s="17" t="s">
        <v>258</v>
      </c>
      <c r="C136" s="96" t="s">
        <v>258</v>
      </c>
      <c r="D136" s="17" t="s">
        <v>251</v>
      </c>
      <c r="E136" s="99" t="s">
        <v>252</v>
      </c>
      <c r="F136" s="16">
        <v>2000</v>
      </c>
      <c r="G136" s="17"/>
    </row>
    <row r="137" spans="1:7" s="12" customFormat="1" ht="14.25" customHeight="1">
      <c r="A137" s="96" t="s">
        <v>12</v>
      </c>
      <c r="B137" s="17" t="s">
        <v>258</v>
      </c>
      <c r="C137" s="96" t="s">
        <v>258</v>
      </c>
      <c r="D137" s="17" t="s">
        <v>251</v>
      </c>
      <c r="E137" s="99" t="s">
        <v>253</v>
      </c>
      <c r="F137" s="16">
        <v>2000</v>
      </c>
      <c r="G137" s="17"/>
    </row>
    <row r="138" spans="1:7" s="12" customFormat="1" ht="14.25" customHeight="1">
      <c r="A138" s="96" t="s">
        <v>83</v>
      </c>
      <c r="B138" s="17" t="s">
        <v>395</v>
      </c>
      <c r="C138" s="96">
        <v>18.605</v>
      </c>
      <c r="D138" s="17" t="s">
        <v>344</v>
      </c>
      <c r="E138" s="99" t="s">
        <v>350</v>
      </c>
      <c r="F138" s="16">
        <v>2000</v>
      </c>
      <c r="G138" s="17"/>
    </row>
    <row r="139" spans="1:7" s="12" customFormat="1" ht="14.25" customHeight="1">
      <c r="A139" s="96" t="s">
        <v>391</v>
      </c>
      <c r="B139" s="17" t="s">
        <v>149</v>
      </c>
      <c r="C139" s="96" t="s">
        <v>414</v>
      </c>
      <c r="D139" s="17" t="s">
        <v>346</v>
      </c>
      <c r="E139" s="99" t="s">
        <v>376</v>
      </c>
      <c r="F139" s="16">
        <v>2000</v>
      </c>
      <c r="G139" s="17"/>
    </row>
    <row r="140" spans="1:7" s="12" customFormat="1" ht="14.25" customHeight="1">
      <c r="A140" s="96" t="s">
        <v>391</v>
      </c>
      <c r="B140" s="17" t="s">
        <v>149</v>
      </c>
      <c r="C140" s="96" t="s">
        <v>414</v>
      </c>
      <c r="D140" s="17" t="s">
        <v>346</v>
      </c>
      <c r="E140" s="99" t="s">
        <v>377</v>
      </c>
      <c r="F140" s="16">
        <v>2000</v>
      </c>
      <c r="G140" s="17"/>
    </row>
    <row r="141" spans="1:7" s="12" customFormat="1" ht="14.25" customHeight="1">
      <c r="A141" s="96" t="s">
        <v>19</v>
      </c>
      <c r="B141" s="17" t="s">
        <v>399</v>
      </c>
      <c r="C141" s="96" t="s">
        <v>417</v>
      </c>
      <c r="D141" s="17" t="s">
        <v>347</v>
      </c>
      <c r="E141" s="99" t="s">
        <v>386</v>
      </c>
      <c r="F141" s="16">
        <v>2000</v>
      </c>
      <c r="G141" s="17"/>
    </row>
    <row r="142" spans="1:7" s="12" customFormat="1" ht="14.25" customHeight="1">
      <c r="A142" s="96" t="s">
        <v>19</v>
      </c>
      <c r="B142" s="17" t="s">
        <v>399</v>
      </c>
      <c r="C142" s="96" t="s">
        <v>417</v>
      </c>
      <c r="D142" s="17" t="s">
        <v>347</v>
      </c>
      <c r="E142" s="99" t="s">
        <v>387</v>
      </c>
      <c r="F142" s="16">
        <v>2000</v>
      </c>
      <c r="G142" s="17"/>
    </row>
    <row r="143" spans="1:7" s="12" customFormat="1" ht="14.25" customHeight="1">
      <c r="A143" s="96" t="s">
        <v>89</v>
      </c>
      <c r="B143" s="17" t="s">
        <v>1002</v>
      </c>
      <c r="C143" s="96" t="s">
        <v>1003</v>
      </c>
      <c r="D143" s="17" t="s">
        <v>439</v>
      </c>
      <c r="E143" s="99" t="s">
        <v>785</v>
      </c>
      <c r="F143" s="16">
        <v>4000</v>
      </c>
      <c r="G143" s="17"/>
    </row>
    <row r="144" spans="1:7" s="12" customFormat="1" ht="14.25" customHeight="1">
      <c r="A144" s="96" t="s">
        <v>89</v>
      </c>
      <c r="B144" s="17" t="s">
        <v>1002</v>
      </c>
      <c r="C144" s="96" t="s">
        <v>1003</v>
      </c>
      <c r="D144" s="17" t="s">
        <v>439</v>
      </c>
      <c r="E144" s="99" t="s">
        <v>786</v>
      </c>
      <c r="F144" s="16">
        <v>4000</v>
      </c>
      <c r="G144" s="17"/>
    </row>
    <row r="145" spans="1:7" s="12" customFormat="1" ht="14.25" customHeight="1">
      <c r="A145" s="96" t="s">
        <v>163</v>
      </c>
      <c r="B145" s="17" t="s">
        <v>221</v>
      </c>
      <c r="C145" s="116" t="s">
        <v>1033</v>
      </c>
      <c r="D145" s="17" t="s">
        <v>167</v>
      </c>
      <c r="E145" s="99" t="s">
        <v>168</v>
      </c>
      <c r="F145" s="16">
        <v>2000</v>
      </c>
      <c r="G145" s="17"/>
    </row>
    <row r="146" spans="1:7" s="12" customFormat="1" ht="14.25" customHeight="1">
      <c r="A146" s="96" t="s">
        <v>170</v>
      </c>
      <c r="B146" s="17" t="s">
        <v>221</v>
      </c>
      <c r="C146" s="96" t="s">
        <v>1035</v>
      </c>
      <c r="D146" s="17" t="s">
        <v>425</v>
      </c>
      <c r="E146" s="99" t="s">
        <v>948</v>
      </c>
      <c r="F146" s="16">
        <v>2000</v>
      </c>
      <c r="G146" s="17"/>
    </row>
    <row r="147" spans="1:7" s="12" customFormat="1" ht="14.25" customHeight="1">
      <c r="A147" s="96" t="s">
        <v>159</v>
      </c>
      <c r="B147" s="17" t="s">
        <v>130</v>
      </c>
      <c r="C147" s="96" t="s">
        <v>130</v>
      </c>
      <c r="D147" s="17" t="s">
        <v>167</v>
      </c>
      <c r="E147" s="99" t="s">
        <v>928</v>
      </c>
      <c r="F147" s="16">
        <v>3000</v>
      </c>
      <c r="G147" s="17"/>
    </row>
    <row r="148" spans="1:7" s="12" customFormat="1" ht="14.25" customHeight="1">
      <c r="A148" s="96" t="s">
        <v>163</v>
      </c>
      <c r="B148" s="17" t="s">
        <v>221</v>
      </c>
      <c r="C148" s="116" t="s">
        <v>1035</v>
      </c>
      <c r="D148" s="17" t="s">
        <v>166</v>
      </c>
      <c r="E148" s="99" t="s">
        <v>933</v>
      </c>
      <c r="F148" s="16">
        <v>2000</v>
      </c>
      <c r="G148" s="17"/>
    </row>
    <row r="149" spans="1:7" s="12" customFormat="1" ht="14.25" customHeight="1">
      <c r="A149" s="96" t="s">
        <v>170</v>
      </c>
      <c r="B149" s="17" t="s">
        <v>221</v>
      </c>
      <c r="C149" s="96" t="s">
        <v>1034</v>
      </c>
      <c r="D149" s="17" t="s">
        <v>447</v>
      </c>
      <c r="E149" s="99" t="s">
        <v>971</v>
      </c>
      <c r="F149" s="16">
        <v>2000</v>
      </c>
      <c r="G149" s="17"/>
    </row>
    <row r="150" spans="1:7" s="12" customFormat="1" ht="14.25" customHeight="1">
      <c r="A150" s="96" t="s">
        <v>163</v>
      </c>
      <c r="B150" s="17" t="s">
        <v>221</v>
      </c>
      <c r="C150" s="116" t="s">
        <v>1035</v>
      </c>
      <c r="D150" s="17" t="s">
        <v>166</v>
      </c>
      <c r="E150" s="99" t="s">
        <v>941</v>
      </c>
      <c r="F150" s="16">
        <v>2000</v>
      </c>
      <c r="G150" s="17"/>
    </row>
    <row r="151" spans="1:7" s="12" customFormat="1" ht="14.25" customHeight="1">
      <c r="A151" s="96" t="s">
        <v>163</v>
      </c>
      <c r="B151" s="17" t="s">
        <v>221</v>
      </c>
      <c r="C151" s="116" t="s">
        <v>1029</v>
      </c>
      <c r="D151" s="17" t="s">
        <v>425</v>
      </c>
      <c r="E151" s="99" t="s">
        <v>162</v>
      </c>
      <c r="F151" s="16">
        <v>2000</v>
      </c>
      <c r="G151" s="17"/>
    </row>
    <row r="152" spans="1:7" s="12" customFormat="1" ht="14.25" customHeight="1">
      <c r="A152" s="96" t="s">
        <v>170</v>
      </c>
      <c r="B152" s="17" t="s">
        <v>221</v>
      </c>
      <c r="C152" s="96" t="s">
        <v>1034</v>
      </c>
      <c r="D152" s="17" t="s">
        <v>447</v>
      </c>
      <c r="E152" s="99" t="s">
        <v>972</v>
      </c>
      <c r="F152" s="16">
        <v>2000</v>
      </c>
      <c r="G152" s="17"/>
    </row>
    <row r="153" spans="1:7" s="12" customFormat="1" ht="14.25" customHeight="1">
      <c r="A153" s="96" t="s">
        <v>163</v>
      </c>
      <c r="B153" s="17" t="s">
        <v>221</v>
      </c>
      <c r="C153" s="116" t="s">
        <v>1043</v>
      </c>
      <c r="D153" s="17" t="s">
        <v>447</v>
      </c>
      <c r="E153" s="99" t="s">
        <v>967</v>
      </c>
      <c r="F153" s="16">
        <v>2000</v>
      </c>
      <c r="G153" s="17"/>
    </row>
    <row r="154" spans="1:7" s="12" customFormat="1" ht="14.25" customHeight="1">
      <c r="A154" s="96" t="s">
        <v>163</v>
      </c>
      <c r="B154" s="17" t="s">
        <v>221</v>
      </c>
      <c r="C154" s="116" t="s">
        <v>1043</v>
      </c>
      <c r="D154" s="17" t="s">
        <v>447</v>
      </c>
      <c r="E154" s="99" t="s">
        <v>968</v>
      </c>
      <c r="F154" s="16">
        <v>2000</v>
      </c>
      <c r="G154" s="17"/>
    </row>
    <row r="155" spans="1:7" s="12" customFormat="1" ht="14.25" customHeight="1">
      <c r="A155" s="96" t="s">
        <v>163</v>
      </c>
      <c r="B155" s="17" t="s">
        <v>221</v>
      </c>
      <c r="C155" s="116" t="s">
        <v>1043</v>
      </c>
      <c r="D155" s="17" t="s">
        <v>447</v>
      </c>
      <c r="E155" s="99" t="s">
        <v>969</v>
      </c>
      <c r="F155" s="16">
        <v>2000</v>
      </c>
      <c r="G155" s="17"/>
    </row>
    <row r="156" spans="1:7" s="12" customFormat="1" ht="14.25" customHeight="1">
      <c r="A156" s="96" t="s">
        <v>163</v>
      </c>
      <c r="B156" s="17" t="s">
        <v>221</v>
      </c>
      <c r="C156" s="116" t="s">
        <v>1043</v>
      </c>
      <c r="D156" s="17" t="s">
        <v>447</v>
      </c>
      <c r="E156" s="99" t="s">
        <v>970</v>
      </c>
      <c r="F156" s="16">
        <v>2000</v>
      </c>
      <c r="G156" s="17"/>
    </row>
    <row r="157" spans="1:7" s="12" customFormat="1" ht="14.25" customHeight="1">
      <c r="A157" s="96" t="s">
        <v>170</v>
      </c>
      <c r="B157" s="17" t="s">
        <v>221</v>
      </c>
      <c r="C157" s="96" t="s">
        <v>1034</v>
      </c>
      <c r="D157" s="17" t="s">
        <v>447</v>
      </c>
      <c r="E157" s="99" t="s">
        <v>973</v>
      </c>
      <c r="F157" s="16">
        <v>2000</v>
      </c>
      <c r="G157" s="17"/>
    </row>
    <row r="158" spans="1:7" s="12" customFormat="1" ht="14.25" customHeight="1">
      <c r="A158" s="96" t="s">
        <v>170</v>
      </c>
      <c r="B158" s="17" t="s">
        <v>221</v>
      </c>
      <c r="C158" s="96" t="s">
        <v>1034</v>
      </c>
      <c r="D158" s="17" t="s">
        <v>447</v>
      </c>
      <c r="E158" s="99" t="s">
        <v>974</v>
      </c>
      <c r="F158" s="16">
        <v>2000</v>
      </c>
      <c r="G158" s="17"/>
    </row>
    <row r="159" spans="1:7" s="12" customFormat="1" ht="14.25" customHeight="1">
      <c r="A159" s="96" t="s">
        <v>170</v>
      </c>
      <c r="B159" s="17" t="s">
        <v>221</v>
      </c>
      <c r="C159" s="96" t="s">
        <v>1034</v>
      </c>
      <c r="D159" s="17" t="s">
        <v>448</v>
      </c>
      <c r="E159" s="99" t="s">
        <v>981</v>
      </c>
      <c r="F159" s="16">
        <v>2000</v>
      </c>
      <c r="G159" s="17"/>
    </row>
    <row r="160" spans="1:7" s="124" customFormat="1" ht="51.75" customHeight="1">
      <c r="A160" s="96" t="s">
        <v>170</v>
      </c>
      <c r="B160" s="17" t="s">
        <v>221</v>
      </c>
      <c r="C160" s="96" t="s">
        <v>1034</v>
      </c>
      <c r="D160" s="17" t="s">
        <v>448</v>
      </c>
      <c r="E160" s="99" t="s">
        <v>985</v>
      </c>
      <c r="F160" s="16">
        <v>2000</v>
      </c>
      <c r="G160" s="17"/>
    </row>
    <row r="161" spans="1:7" s="12" customFormat="1" ht="14.25" customHeight="1">
      <c r="A161" s="96" t="s">
        <v>1059</v>
      </c>
      <c r="B161" s="17" t="s">
        <v>221</v>
      </c>
      <c r="C161" s="96">
        <v>7100</v>
      </c>
      <c r="D161" s="17" t="s">
        <v>447</v>
      </c>
      <c r="E161" s="99" t="s">
        <v>971</v>
      </c>
      <c r="F161" s="16">
        <v>2000</v>
      </c>
      <c r="G161" s="17"/>
    </row>
    <row r="162" spans="1:7" s="12" customFormat="1" ht="14.25" customHeight="1">
      <c r="A162" s="96" t="s">
        <v>1059</v>
      </c>
      <c r="B162" s="17" t="s">
        <v>221</v>
      </c>
      <c r="C162" s="96">
        <v>7100</v>
      </c>
      <c r="D162" s="17" t="s">
        <v>447</v>
      </c>
      <c r="E162" s="99" t="s">
        <v>972</v>
      </c>
      <c r="F162" s="16">
        <v>2000</v>
      </c>
      <c r="G162" s="17"/>
    </row>
    <row r="163" spans="1:7" s="12" customFormat="1" ht="27" customHeight="1">
      <c r="A163" s="96" t="s">
        <v>1059</v>
      </c>
      <c r="B163" s="17" t="s">
        <v>221</v>
      </c>
      <c r="C163" s="96">
        <v>7100</v>
      </c>
      <c r="D163" s="17" t="s">
        <v>447</v>
      </c>
      <c r="E163" s="99" t="s">
        <v>973</v>
      </c>
      <c r="F163" s="16">
        <v>2000</v>
      </c>
      <c r="G163" s="17"/>
    </row>
    <row r="164" spans="1:7" s="12" customFormat="1" ht="14.25" customHeight="1">
      <c r="A164" s="96" t="s">
        <v>1059</v>
      </c>
      <c r="B164" s="17" t="s">
        <v>221</v>
      </c>
      <c r="C164" s="96">
        <v>7100</v>
      </c>
      <c r="D164" s="17" t="s">
        <v>447</v>
      </c>
      <c r="E164" s="99" t="s">
        <v>974</v>
      </c>
      <c r="F164" s="16">
        <v>2000</v>
      </c>
      <c r="G164" s="17"/>
    </row>
    <row r="165" spans="1:7" s="12" customFormat="1" ht="14.25" customHeight="1">
      <c r="A165" s="96" t="s">
        <v>163</v>
      </c>
      <c r="B165" s="17" t="s">
        <v>221</v>
      </c>
      <c r="C165" s="116" t="s">
        <v>1033</v>
      </c>
      <c r="D165" s="17" t="s">
        <v>448</v>
      </c>
      <c r="E165" s="99" t="s">
        <v>980</v>
      </c>
      <c r="F165" s="16">
        <v>2000</v>
      </c>
      <c r="G165" s="17"/>
    </row>
    <row r="166" spans="1:7" s="12" customFormat="1" ht="14.25" customHeight="1">
      <c r="A166" s="96" t="s">
        <v>170</v>
      </c>
      <c r="B166" s="17" t="s">
        <v>221</v>
      </c>
      <c r="C166" s="96" t="s">
        <v>1029</v>
      </c>
      <c r="D166" s="17" t="s">
        <v>449</v>
      </c>
      <c r="E166" s="99" t="s">
        <v>990</v>
      </c>
      <c r="F166" s="16">
        <v>2000</v>
      </c>
      <c r="G166" s="17"/>
    </row>
    <row r="167" spans="1:7" s="12" customFormat="1" ht="14.25" customHeight="1">
      <c r="A167" s="96" t="s">
        <v>1062</v>
      </c>
      <c r="B167" s="17" t="s">
        <v>221</v>
      </c>
      <c r="C167" s="116" t="s">
        <v>1045</v>
      </c>
      <c r="D167" s="17" t="s">
        <v>448</v>
      </c>
      <c r="E167" s="99" t="s">
        <v>984</v>
      </c>
      <c r="F167" s="16">
        <v>4000</v>
      </c>
      <c r="G167" s="17"/>
    </row>
    <row r="168" spans="1:7" s="12" customFormat="1" ht="14.25" customHeight="1">
      <c r="A168" s="96" t="s">
        <v>163</v>
      </c>
      <c r="B168" s="17" t="s">
        <v>221</v>
      </c>
      <c r="C168" s="116" t="s">
        <v>1043</v>
      </c>
      <c r="D168" s="17" t="s">
        <v>448</v>
      </c>
      <c r="E168" s="99" t="s">
        <v>984</v>
      </c>
      <c r="F168" s="16">
        <v>2000</v>
      </c>
      <c r="G168" s="17"/>
    </row>
    <row r="169" spans="1:7" s="12" customFormat="1" ht="14.25" customHeight="1">
      <c r="A169" s="153" t="s">
        <v>1057</v>
      </c>
      <c r="B169" s="16" t="s">
        <v>127</v>
      </c>
      <c r="C169" s="98" t="s">
        <v>134</v>
      </c>
      <c r="D169" s="98" t="s">
        <v>116</v>
      </c>
      <c r="E169" s="100" t="s">
        <v>119</v>
      </c>
      <c r="F169" s="16">
        <v>10000</v>
      </c>
      <c r="G169" s="17"/>
    </row>
    <row r="170" spans="1:7" s="12" customFormat="1" ht="14.25" customHeight="1">
      <c r="A170" s="96" t="s">
        <v>1056</v>
      </c>
      <c r="B170" s="17" t="s">
        <v>58</v>
      </c>
      <c r="C170" s="96" t="s">
        <v>76</v>
      </c>
      <c r="D170" s="147" t="s">
        <v>87</v>
      </c>
      <c r="E170" s="99" t="s">
        <v>43</v>
      </c>
      <c r="F170" s="17">
        <v>4200</v>
      </c>
      <c r="G170" s="17"/>
    </row>
    <row r="171" spans="1:7" s="12" customFormat="1" ht="14.25" customHeight="1">
      <c r="A171" s="96" t="s">
        <v>163</v>
      </c>
      <c r="B171" s="17" t="s">
        <v>221</v>
      </c>
      <c r="C171" s="116" t="s">
        <v>1035</v>
      </c>
      <c r="D171" s="17" t="s">
        <v>449</v>
      </c>
      <c r="E171" s="99" t="s">
        <v>991</v>
      </c>
      <c r="F171" s="16">
        <v>2000</v>
      </c>
      <c r="G171" s="17"/>
    </row>
    <row r="172" spans="1:7" s="12" customFormat="1" ht="14.25" customHeight="1">
      <c r="A172" s="96" t="s">
        <v>1051</v>
      </c>
      <c r="B172" s="17" t="s">
        <v>1053</v>
      </c>
      <c r="C172" s="96" t="s">
        <v>601</v>
      </c>
      <c r="D172" s="17" t="s">
        <v>426</v>
      </c>
      <c r="E172" s="99" t="s">
        <v>1052</v>
      </c>
      <c r="F172" s="16">
        <v>1600</v>
      </c>
      <c r="G172" s="17"/>
    </row>
    <row r="173" spans="1:7" s="12" customFormat="1">
      <c r="A173" s="96" t="s">
        <v>163</v>
      </c>
      <c r="B173" s="16" t="s">
        <v>221</v>
      </c>
      <c r="C173" s="116" t="s">
        <v>161</v>
      </c>
      <c r="D173" s="17" t="s">
        <v>165</v>
      </c>
      <c r="E173" s="101" t="s">
        <v>162</v>
      </c>
      <c r="F173" s="16">
        <v>1505</v>
      </c>
      <c r="G173" s="17" t="s">
        <v>194</v>
      </c>
    </row>
    <row r="174" spans="1:7" s="12" customFormat="1" ht="14.25" customHeight="1">
      <c r="A174" s="96" t="s">
        <v>163</v>
      </c>
      <c r="B174" s="16" t="s">
        <v>221</v>
      </c>
      <c r="C174" s="116" t="s">
        <v>161</v>
      </c>
      <c r="D174" s="17" t="s">
        <v>166</v>
      </c>
      <c r="E174" s="99" t="s">
        <v>164</v>
      </c>
      <c r="F174" s="16">
        <v>1505</v>
      </c>
      <c r="G174" s="17" t="s">
        <v>194</v>
      </c>
    </row>
    <row r="175" spans="1:7" s="12" customFormat="1" ht="14.25" customHeight="1">
      <c r="A175" s="98" t="s">
        <v>1074</v>
      </c>
      <c r="B175" s="98" t="s">
        <v>60</v>
      </c>
      <c r="C175" s="98" t="s">
        <v>79</v>
      </c>
      <c r="D175" s="147" t="s">
        <v>87</v>
      </c>
      <c r="E175" s="100" t="s">
        <v>48</v>
      </c>
      <c r="F175" s="16">
        <v>800</v>
      </c>
      <c r="G175" s="96" t="s">
        <v>86</v>
      </c>
    </row>
    <row r="176" spans="1:7" s="12" customFormat="1" ht="14.25" customHeight="1">
      <c r="A176" s="167" t="s">
        <v>17</v>
      </c>
      <c r="B176" s="98" t="s">
        <v>151</v>
      </c>
      <c r="C176" s="98" t="s">
        <v>157</v>
      </c>
      <c r="D176" s="98" t="s">
        <v>140</v>
      </c>
      <c r="E176" s="168" t="s">
        <v>145</v>
      </c>
      <c r="F176" s="16">
        <v>1500</v>
      </c>
      <c r="G176" s="17"/>
    </row>
    <row r="177" spans="1:7" s="12" customFormat="1" ht="14.25" customHeight="1">
      <c r="A177" s="167" t="s">
        <v>17</v>
      </c>
      <c r="B177" s="98" t="s">
        <v>151</v>
      </c>
      <c r="C177" s="98" t="s">
        <v>157</v>
      </c>
      <c r="D177" s="98" t="s">
        <v>140</v>
      </c>
      <c r="E177" s="168" t="s">
        <v>146</v>
      </c>
      <c r="F177" s="16">
        <v>1500</v>
      </c>
      <c r="G177" s="17"/>
    </row>
    <row r="178" spans="1:7" s="12" customFormat="1" ht="14.25" customHeight="1">
      <c r="A178" s="167" t="s">
        <v>17</v>
      </c>
      <c r="B178" s="98" t="s">
        <v>151</v>
      </c>
      <c r="C178" s="98" t="s">
        <v>157</v>
      </c>
      <c r="D178" s="98" t="s">
        <v>140</v>
      </c>
      <c r="E178" s="168" t="s">
        <v>147</v>
      </c>
      <c r="F178" s="16">
        <v>1500</v>
      </c>
      <c r="G178" s="17"/>
    </row>
    <row r="179" spans="1:7" s="12" customFormat="1" ht="14.25" customHeight="1">
      <c r="A179" s="96" t="s">
        <v>19</v>
      </c>
      <c r="B179" s="17" t="s">
        <v>212</v>
      </c>
      <c r="C179" s="96" t="s">
        <v>214</v>
      </c>
      <c r="D179" s="103" t="s">
        <v>205</v>
      </c>
      <c r="E179" s="99" t="s">
        <v>207</v>
      </c>
      <c r="F179" s="16">
        <v>1500</v>
      </c>
      <c r="G179" s="17"/>
    </row>
    <row r="180" spans="1:7" s="12" customFormat="1" ht="14.25" customHeight="1">
      <c r="A180" s="96" t="s">
        <v>19</v>
      </c>
      <c r="B180" s="17" t="s">
        <v>212</v>
      </c>
      <c r="C180" s="96" t="s">
        <v>214</v>
      </c>
      <c r="D180" s="103" t="s">
        <v>205</v>
      </c>
      <c r="E180" s="99" t="s">
        <v>208</v>
      </c>
      <c r="F180" s="16">
        <v>1500</v>
      </c>
      <c r="G180" s="17"/>
    </row>
    <row r="181" spans="1:7" s="12" customFormat="1" ht="14.25" customHeight="1">
      <c r="A181" s="96" t="s">
        <v>19</v>
      </c>
      <c r="B181" s="17" t="s">
        <v>212</v>
      </c>
      <c r="C181" s="96" t="s">
        <v>214</v>
      </c>
      <c r="D181" s="103" t="s">
        <v>205</v>
      </c>
      <c r="E181" s="99" t="s">
        <v>209</v>
      </c>
      <c r="F181" s="16">
        <v>1500</v>
      </c>
      <c r="G181" s="17"/>
    </row>
    <row r="182" spans="1:7" s="12" customFormat="1" ht="14.25" customHeight="1">
      <c r="A182" s="96" t="s">
        <v>19</v>
      </c>
      <c r="B182" s="17" t="s">
        <v>212</v>
      </c>
      <c r="C182" s="96" t="s">
        <v>214</v>
      </c>
      <c r="D182" s="17" t="s">
        <v>233</v>
      </c>
      <c r="E182" s="99" t="s">
        <v>237</v>
      </c>
      <c r="F182" s="16">
        <v>1500</v>
      </c>
      <c r="G182" s="17"/>
    </row>
    <row r="183" spans="1:7" s="12" customFormat="1" ht="14.25" customHeight="1">
      <c r="A183" s="96" t="s">
        <v>17</v>
      </c>
      <c r="B183" s="17" t="s">
        <v>149</v>
      </c>
      <c r="C183" s="96" t="s">
        <v>249</v>
      </c>
      <c r="D183" s="150" t="s">
        <v>238</v>
      </c>
      <c r="E183" s="99" t="s">
        <v>242</v>
      </c>
      <c r="F183" s="16">
        <v>1500</v>
      </c>
      <c r="G183" s="17"/>
    </row>
    <row r="184" spans="1:7" s="12" customFormat="1" ht="14.25" customHeight="1">
      <c r="A184" s="96" t="s">
        <v>19</v>
      </c>
      <c r="B184" s="17" t="s">
        <v>212</v>
      </c>
      <c r="C184" s="151" t="s">
        <v>269</v>
      </c>
      <c r="D184" s="17" t="s">
        <v>261</v>
      </c>
      <c r="E184" s="99" t="s">
        <v>262</v>
      </c>
      <c r="F184" s="16">
        <v>1500</v>
      </c>
      <c r="G184" s="17"/>
    </row>
    <row r="185" spans="1:7" s="12" customFormat="1" ht="14.25" customHeight="1">
      <c r="A185" s="96" t="s">
        <v>1048</v>
      </c>
      <c r="B185" s="17" t="s">
        <v>268</v>
      </c>
      <c r="C185" s="96" t="s">
        <v>270</v>
      </c>
      <c r="D185" s="17" t="s">
        <v>261</v>
      </c>
      <c r="E185" s="99" t="s">
        <v>264</v>
      </c>
      <c r="F185" s="16">
        <v>1500</v>
      </c>
      <c r="G185" s="17"/>
    </row>
    <row r="186" spans="1:7" s="12" customFormat="1" ht="14.25" customHeight="1">
      <c r="A186" s="96" t="s">
        <v>1048</v>
      </c>
      <c r="B186" s="17" t="s">
        <v>268</v>
      </c>
      <c r="C186" s="96" t="s">
        <v>270</v>
      </c>
      <c r="D186" s="17" t="s">
        <v>261</v>
      </c>
      <c r="E186" s="99" t="s">
        <v>265</v>
      </c>
      <c r="F186" s="16">
        <v>1500</v>
      </c>
      <c r="G186" s="17"/>
    </row>
    <row r="187" spans="1:7" s="12" customFormat="1" ht="14.25" customHeight="1">
      <c r="A187" s="96" t="s">
        <v>388</v>
      </c>
      <c r="B187" s="96" t="s">
        <v>1060</v>
      </c>
      <c r="C187" s="96" t="s">
        <v>1061</v>
      </c>
      <c r="D187" s="17" t="s">
        <v>345</v>
      </c>
      <c r="E187" s="99" t="s">
        <v>360</v>
      </c>
      <c r="F187" s="16">
        <v>1500</v>
      </c>
      <c r="G187" s="17"/>
    </row>
    <row r="188" spans="1:7" s="12" customFormat="1" ht="14.25" customHeight="1">
      <c r="A188" s="96" t="s">
        <v>501</v>
      </c>
      <c r="B188" s="17" t="s">
        <v>477</v>
      </c>
      <c r="C188" s="96" t="s">
        <v>477</v>
      </c>
      <c r="D188" s="17" t="s">
        <v>427</v>
      </c>
      <c r="E188" s="99" t="s">
        <v>498</v>
      </c>
      <c r="F188" s="16">
        <v>500</v>
      </c>
      <c r="G188" s="17"/>
    </row>
    <row r="189" spans="1:7" s="12" customFormat="1" ht="14.25" customHeight="1">
      <c r="A189" s="96" t="s">
        <v>501</v>
      </c>
      <c r="B189" s="17" t="s">
        <v>477</v>
      </c>
      <c r="C189" s="96" t="s">
        <v>479</v>
      </c>
      <c r="D189" s="17" t="s">
        <v>427</v>
      </c>
      <c r="E189" s="99" t="s">
        <v>500</v>
      </c>
      <c r="F189" s="16">
        <v>500</v>
      </c>
      <c r="G189" s="17"/>
    </row>
    <row r="190" spans="1:7" s="12" customFormat="1" ht="14.25" customHeight="1">
      <c r="A190" s="96" t="s">
        <v>609</v>
      </c>
      <c r="B190" s="17" t="s">
        <v>584</v>
      </c>
      <c r="C190" s="96" t="s">
        <v>592</v>
      </c>
      <c r="D190" s="17" t="s">
        <v>429</v>
      </c>
      <c r="E190" s="99" t="s">
        <v>536</v>
      </c>
      <c r="F190" s="16">
        <v>1500</v>
      </c>
      <c r="G190" s="17"/>
    </row>
    <row r="191" spans="1:7" s="12" customFormat="1" ht="14.25" customHeight="1">
      <c r="A191" s="96" t="s">
        <v>609</v>
      </c>
      <c r="B191" s="17" t="s">
        <v>584</v>
      </c>
      <c r="C191" s="96" t="s">
        <v>593</v>
      </c>
      <c r="D191" s="17" t="s">
        <v>429</v>
      </c>
      <c r="E191" s="99" t="s">
        <v>537</v>
      </c>
      <c r="F191" s="16">
        <v>1500</v>
      </c>
      <c r="G191" s="17"/>
    </row>
    <row r="192" spans="1:7" s="12" customFormat="1" ht="14.25" customHeight="1">
      <c r="A192" s="96" t="s">
        <v>609</v>
      </c>
      <c r="B192" s="17" t="s">
        <v>584</v>
      </c>
      <c r="C192" s="96" t="s">
        <v>593</v>
      </c>
      <c r="D192" s="17" t="s">
        <v>429</v>
      </c>
      <c r="E192" s="99" t="s">
        <v>538</v>
      </c>
      <c r="F192" s="16">
        <v>1500</v>
      </c>
      <c r="G192" s="17"/>
    </row>
    <row r="193" spans="1:7" s="12" customFormat="1">
      <c r="A193" s="96" t="s">
        <v>609</v>
      </c>
      <c r="B193" s="17" t="s">
        <v>584</v>
      </c>
      <c r="C193" s="96" t="s">
        <v>592</v>
      </c>
      <c r="D193" s="17" t="s">
        <v>429</v>
      </c>
      <c r="E193" s="99" t="s">
        <v>539</v>
      </c>
      <c r="F193" s="16">
        <v>1500</v>
      </c>
      <c r="G193" s="17"/>
    </row>
    <row r="194" spans="1:7" s="12" customFormat="1" ht="14.25" customHeight="1">
      <c r="A194" s="96" t="s">
        <v>609</v>
      </c>
      <c r="B194" s="17" t="s">
        <v>586</v>
      </c>
      <c r="C194" s="96" t="s">
        <v>586</v>
      </c>
      <c r="D194" s="17" t="s">
        <v>430</v>
      </c>
      <c r="E194" s="99" t="s">
        <v>565</v>
      </c>
      <c r="F194" s="16">
        <v>1500</v>
      </c>
      <c r="G194" s="17"/>
    </row>
    <row r="195" spans="1:7" s="12" customFormat="1" ht="14.25" customHeight="1">
      <c r="A195" s="17" t="s">
        <v>609</v>
      </c>
      <c r="B195" s="17" t="s">
        <v>584</v>
      </c>
      <c r="C195" s="96" t="s">
        <v>593</v>
      </c>
      <c r="D195" s="96" t="s">
        <v>432</v>
      </c>
      <c r="E195" s="99" t="s">
        <v>642</v>
      </c>
      <c r="F195" s="16">
        <v>1500</v>
      </c>
      <c r="G195" s="17"/>
    </row>
    <row r="196" spans="1:7" s="12" customFormat="1" ht="14.25" customHeight="1">
      <c r="A196" s="17" t="s">
        <v>1065</v>
      </c>
      <c r="B196" s="166" t="s">
        <v>753</v>
      </c>
      <c r="C196" s="96" t="s">
        <v>765</v>
      </c>
      <c r="D196" s="96" t="s">
        <v>437</v>
      </c>
      <c r="E196" s="99" t="s">
        <v>712</v>
      </c>
      <c r="F196" s="16">
        <v>1500</v>
      </c>
      <c r="G196" s="17"/>
    </row>
    <row r="197" spans="1:7" s="12" customFormat="1" ht="14.25" customHeight="1">
      <c r="A197" s="17" t="s">
        <v>1065</v>
      </c>
      <c r="B197" s="166" t="s">
        <v>753</v>
      </c>
      <c r="C197" s="96" t="s">
        <v>765</v>
      </c>
      <c r="D197" s="96" t="s">
        <v>436</v>
      </c>
      <c r="E197" s="99" t="s">
        <v>713</v>
      </c>
      <c r="F197" s="16">
        <v>1500</v>
      </c>
      <c r="G197" s="17"/>
    </row>
    <row r="198" spans="1:7" s="12" customFormat="1" ht="14.25" customHeight="1">
      <c r="A198" s="96" t="s">
        <v>1067</v>
      </c>
      <c r="B198" s="17" t="s">
        <v>998</v>
      </c>
      <c r="C198" s="96" t="s">
        <v>999</v>
      </c>
      <c r="D198" s="17" t="s">
        <v>438</v>
      </c>
      <c r="E198" s="99" t="s">
        <v>783</v>
      </c>
      <c r="F198" s="16">
        <v>1500</v>
      </c>
      <c r="G198" s="17"/>
    </row>
    <row r="199" spans="1:7" s="12" customFormat="1" ht="14.25" customHeight="1">
      <c r="A199" s="96" t="s">
        <v>1067</v>
      </c>
      <c r="B199" s="17" t="s">
        <v>998</v>
      </c>
      <c r="C199" s="96" t="s">
        <v>999</v>
      </c>
      <c r="D199" s="17" t="s">
        <v>438</v>
      </c>
      <c r="E199" s="99" t="s">
        <v>784</v>
      </c>
      <c r="F199" s="16">
        <v>1500</v>
      </c>
      <c r="G199" s="17"/>
    </row>
    <row r="200" spans="1:7" s="12" customFormat="1" ht="14.25" customHeight="1">
      <c r="A200" s="96" t="s">
        <v>12</v>
      </c>
      <c r="B200" s="17" t="s">
        <v>1013</v>
      </c>
      <c r="C200" s="96" t="s">
        <v>1014</v>
      </c>
      <c r="D200" s="17" t="s">
        <v>440</v>
      </c>
      <c r="E200" s="99" t="s">
        <v>806</v>
      </c>
      <c r="F200" s="16">
        <v>1500</v>
      </c>
      <c r="G200" s="17"/>
    </row>
    <row r="201" spans="1:7" s="12" customFormat="1" ht="14.25" customHeight="1">
      <c r="A201" s="96" t="s">
        <v>12</v>
      </c>
      <c r="B201" s="17" t="s">
        <v>1013</v>
      </c>
      <c r="C201" s="96" t="s">
        <v>1014</v>
      </c>
      <c r="D201" s="17" t="s">
        <v>440</v>
      </c>
      <c r="E201" s="99" t="s">
        <v>807</v>
      </c>
      <c r="F201" s="16">
        <v>1500</v>
      </c>
      <c r="G201" s="17"/>
    </row>
    <row r="202" spans="1:7" s="12" customFormat="1" ht="14.25" customHeight="1">
      <c r="A202" s="96" t="s">
        <v>12</v>
      </c>
      <c r="B202" s="17" t="s">
        <v>1013</v>
      </c>
      <c r="C202" s="96" t="s">
        <v>1014</v>
      </c>
      <c r="D202" s="17" t="s">
        <v>440</v>
      </c>
      <c r="E202" s="99" t="s">
        <v>808</v>
      </c>
      <c r="F202" s="16">
        <v>1500</v>
      </c>
      <c r="G202" s="17"/>
    </row>
    <row r="203" spans="1:7" s="12" customFormat="1" ht="14.25" customHeight="1">
      <c r="A203" s="96" t="s">
        <v>12</v>
      </c>
      <c r="B203" s="17" t="s">
        <v>1013</v>
      </c>
      <c r="C203" s="96" t="s">
        <v>1014</v>
      </c>
      <c r="D203" s="17" t="s">
        <v>440</v>
      </c>
      <c r="E203" s="99" t="s">
        <v>809</v>
      </c>
      <c r="F203" s="16">
        <v>1500</v>
      </c>
      <c r="G203" s="17"/>
    </row>
    <row r="204" spans="1:7" s="12" customFormat="1" ht="14.25" customHeight="1">
      <c r="A204" s="96" t="s">
        <v>609</v>
      </c>
      <c r="B204" s="17" t="s">
        <v>584</v>
      </c>
      <c r="C204" s="96" t="s">
        <v>593</v>
      </c>
      <c r="D204" s="17" t="s">
        <v>440</v>
      </c>
      <c r="E204" s="99" t="s">
        <v>814</v>
      </c>
      <c r="F204" s="16">
        <v>1500</v>
      </c>
      <c r="G204" s="17"/>
    </row>
    <row r="205" spans="1:7" s="12" customFormat="1" ht="14.25" customHeight="1">
      <c r="A205" s="96" t="s">
        <v>12</v>
      </c>
      <c r="B205" s="17" t="s">
        <v>1013</v>
      </c>
      <c r="C205" s="96" t="s">
        <v>1014</v>
      </c>
      <c r="D205" s="17" t="s">
        <v>441</v>
      </c>
      <c r="E205" s="99" t="s">
        <v>868</v>
      </c>
      <c r="F205" s="16">
        <v>1500</v>
      </c>
      <c r="G205" s="17"/>
    </row>
    <row r="206" spans="1:7" s="12" customFormat="1" ht="14.25" customHeight="1">
      <c r="A206" s="96" t="s">
        <v>12</v>
      </c>
      <c r="B206" s="17" t="s">
        <v>1013</v>
      </c>
      <c r="C206" s="96" t="s">
        <v>1014</v>
      </c>
      <c r="D206" s="17" t="s">
        <v>441</v>
      </c>
      <c r="E206" s="99" t="s">
        <v>869</v>
      </c>
      <c r="F206" s="16">
        <v>1500</v>
      </c>
      <c r="G206" s="17"/>
    </row>
    <row r="207" spans="1:7" s="12" customFormat="1" ht="14.25" customHeight="1">
      <c r="A207" s="96" t="s">
        <v>12</v>
      </c>
      <c r="B207" s="17" t="s">
        <v>1013</v>
      </c>
      <c r="C207" s="96" t="s">
        <v>1014</v>
      </c>
      <c r="D207" s="17" t="s">
        <v>441</v>
      </c>
      <c r="E207" s="99" t="s">
        <v>870</v>
      </c>
      <c r="F207" s="16">
        <v>1500</v>
      </c>
      <c r="G207" s="17"/>
    </row>
    <row r="208" spans="1:7" s="12" customFormat="1" ht="14.25" customHeight="1">
      <c r="A208" s="96" t="s">
        <v>12</v>
      </c>
      <c r="B208" s="17" t="s">
        <v>1013</v>
      </c>
      <c r="C208" s="96" t="s">
        <v>1014</v>
      </c>
      <c r="D208" s="17" t="s">
        <v>441</v>
      </c>
      <c r="E208" s="99" t="s">
        <v>871</v>
      </c>
      <c r="F208" s="16">
        <v>1500</v>
      </c>
      <c r="G208" s="17"/>
    </row>
    <row r="209" spans="1:7" s="12" customFormat="1" ht="14.25" customHeight="1">
      <c r="A209" s="96" t="s">
        <v>12</v>
      </c>
      <c r="B209" s="17" t="s">
        <v>1021</v>
      </c>
      <c r="C209" s="96" t="s">
        <v>1014</v>
      </c>
      <c r="D209" s="17" t="s">
        <v>446</v>
      </c>
      <c r="E209" s="99" t="s">
        <v>912</v>
      </c>
      <c r="F209" s="16">
        <v>1500</v>
      </c>
      <c r="G209" s="17"/>
    </row>
    <row r="210" spans="1:7" s="12" customFormat="1" ht="14.25" customHeight="1">
      <c r="A210" s="96" t="s">
        <v>12</v>
      </c>
      <c r="B210" s="17" t="s">
        <v>1021</v>
      </c>
      <c r="C210" s="96" t="s">
        <v>1014</v>
      </c>
      <c r="D210" s="17" t="s">
        <v>446</v>
      </c>
      <c r="E210" s="99" t="s">
        <v>913</v>
      </c>
      <c r="F210" s="16">
        <v>1500</v>
      </c>
      <c r="G210" s="17"/>
    </row>
    <row r="211" spans="1:7" s="12" customFormat="1" ht="14.25" customHeight="1">
      <c r="A211" s="96" t="s">
        <v>17</v>
      </c>
      <c r="B211" s="17" t="s">
        <v>471</v>
      </c>
      <c r="C211" s="96" t="s">
        <v>1042</v>
      </c>
      <c r="D211" s="17" t="s">
        <v>447</v>
      </c>
      <c r="E211" s="99" t="s">
        <v>962</v>
      </c>
      <c r="F211" s="16">
        <v>1500</v>
      </c>
      <c r="G211" s="17"/>
    </row>
    <row r="212" spans="1:7" s="12" customFormat="1" ht="14.25" customHeight="1">
      <c r="A212" s="96" t="s">
        <v>17</v>
      </c>
      <c r="B212" s="17" t="s">
        <v>1017</v>
      </c>
      <c r="C212" s="96" t="s">
        <v>1069</v>
      </c>
      <c r="D212" s="17" t="s">
        <v>447</v>
      </c>
      <c r="E212" s="99" t="s">
        <v>963</v>
      </c>
      <c r="F212" s="16">
        <v>1500</v>
      </c>
      <c r="G212" s="17"/>
    </row>
    <row r="213" spans="1:7" s="12" customFormat="1" ht="14.25" customHeight="1">
      <c r="A213" s="96" t="s">
        <v>17</v>
      </c>
      <c r="B213" s="17" t="s">
        <v>1017</v>
      </c>
      <c r="C213" s="96" t="s">
        <v>1069</v>
      </c>
      <c r="D213" s="17" t="s">
        <v>447</v>
      </c>
      <c r="E213" s="99" t="s">
        <v>964</v>
      </c>
      <c r="F213" s="16">
        <v>1500</v>
      </c>
      <c r="G213" s="17"/>
    </row>
    <row r="214" spans="1:7" s="12" customFormat="1" ht="14.25" customHeight="1">
      <c r="A214" s="96" t="s">
        <v>17</v>
      </c>
      <c r="B214" s="17" t="s">
        <v>1017</v>
      </c>
      <c r="C214" s="96" t="s">
        <v>1069</v>
      </c>
      <c r="D214" s="17" t="s">
        <v>447</v>
      </c>
      <c r="E214" s="99" t="s">
        <v>965</v>
      </c>
      <c r="F214" s="16">
        <v>1500</v>
      </c>
      <c r="G214" s="17"/>
    </row>
    <row r="215" spans="1:7" s="12" customFormat="1" ht="14.25" customHeight="1">
      <c r="A215" s="96" t="s">
        <v>17</v>
      </c>
      <c r="B215" s="17" t="s">
        <v>1017</v>
      </c>
      <c r="C215" s="96" t="s">
        <v>1069</v>
      </c>
      <c r="D215" s="17" t="s">
        <v>447</v>
      </c>
      <c r="E215" s="99" t="s">
        <v>966</v>
      </c>
      <c r="F215" s="16">
        <v>1500</v>
      </c>
      <c r="G215" s="17"/>
    </row>
    <row r="216" spans="1:7" s="12" customFormat="1" ht="14.25" customHeight="1">
      <c r="A216" s="96" t="s">
        <v>163</v>
      </c>
      <c r="B216" s="16" t="s">
        <v>221</v>
      </c>
      <c r="C216" s="116" t="s">
        <v>169</v>
      </c>
      <c r="D216" s="17" t="s">
        <v>167</v>
      </c>
      <c r="E216" s="99" t="s">
        <v>168</v>
      </c>
      <c r="F216" s="16">
        <v>1467</v>
      </c>
      <c r="G216" s="17" t="s">
        <v>194</v>
      </c>
    </row>
    <row r="217" spans="1:7" s="12" customFormat="1" ht="14.25" customHeight="1">
      <c r="A217" s="98" t="s">
        <v>20</v>
      </c>
      <c r="B217" s="96" t="s">
        <v>133</v>
      </c>
      <c r="C217" s="98" t="s">
        <v>138</v>
      </c>
      <c r="D217" s="98" t="s">
        <v>116</v>
      </c>
      <c r="E217" s="100" t="s">
        <v>122</v>
      </c>
      <c r="F217" s="16">
        <v>1200</v>
      </c>
      <c r="G217" s="17"/>
    </row>
    <row r="218" spans="1:7" s="12" customFormat="1" ht="14.25" customHeight="1">
      <c r="A218" s="98" t="s">
        <v>20</v>
      </c>
      <c r="B218" s="98" t="s">
        <v>133</v>
      </c>
      <c r="C218" s="98" t="s">
        <v>138</v>
      </c>
      <c r="D218" s="98" t="s">
        <v>116</v>
      </c>
      <c r="E218" s="100" t="s">
        <v>125</v>
      </c>
      <c r="F218" s="16">
        <v>1200</v>
      </c>
      <c r="G218" s="17"/>
    </row>
    <row r="219" spans="1:7" s="12" customFormat="1" ht="14.25" customHeight="1">
      <c r="A219" s="96" t="s">
        <v>159</v>
      </c>
      <c r="B219" s="17" t="s">
        <v>130</v>
      </c>
      <c r="C219" s="96" t="s">
        <v>215</v>
      </c>
      <c r="D219" s="103" t="s">
        <v>205</v>
      </c>
      <c r="E219" s="99" t="s">
        <v>210</v>
      </c>
      <c r="F219" s="16">
        <v>1200</v>
      </c>
      <c r="G219" s="17"/>
    </row>
    <row r="220" spans="1:7" s="12" customFormat="1" ht="14.25" customHeight="1">
      <c r="A220" s="96" t="s">
        <v>159</v>
      </c>
      <c r="B220" s="17" t="s">
        <v>130</v>
      </c>
      <c r="C220" s="96" t="s">
        <v>215</v>
      </c>
      <c r="D220" s="17" t="s">
        <v>233</v>
      </c>
      <c r="E220" s="99" t="s">
        <v>236</v>
      </c>
      <c r="F220" s="16">
        <v>1200</v>
      </c>
      <c r="G220" s="17"/>
    </row>
    <row r="221" spans="1:7" s="12" customFormat="1" ht="14.25" customHeight="1">
      <c r="A221" s="96" t="s">
        <v>271</v>
      </c>
      <c r="B221" s="169" t="s">
        <v>299</v>
      </c>
      <c r="C221" s="96" t="s">
        <v>305</v>
      </c>
      <c r="D221" s="17" t="s">
        <v>275</v>
      </c>
      <c r="E221" s="99" t="s">
        <v>276</v>
      </c>
      <c r="F221" s="16">
        <v>1200</v>
      </c>
      <c r="G221" s="17"/>
    </row>
    <row r="222" spans="1:7" s="12" customFormat="1" ht="14.25" customHeight="1">
      <c r="A222" s="96" t="s">
        <v>271</v>
      </c>
      <c r="B222" s="169" t="s">
        <v>299</v>
      </c>
      <c r="C222" s="96" t="s">
        <v>305</v>
      </c>
      <c r="D222" s="17" t="s">
        <v>275</v>
      </c>
      <c r="E222" s="99" t="s">
        <v>278</v>
      </c>
      <c r="F222" s="16">
        <v>1200</v>
      </c>
      <c r="G222" s="17"/>
    </row>
    <row r="223" spans="1:7" s="12" customFormat="1" ht="14.25" customHeight="1">
      <c r="A223" s="96" t="s">
        <v>271</v>
      </c>
      <c r="B223" s="169" t="s">
        <v>299</v>
      </c>
      <c r="C223" s="96" t="s">
        <v>305</v>
      </c>
      <c r="D223" s="17" t="s">
        <v>275</v>
      </c>
      <c r="E223" s="99" t="s">
        <v>280</v>
      </c>
      <c r="F223" s="16">
        <v>1200</v>
      </c>
      <c r="G223" s="17"/>
    </row>
    <row r="224" spans="1:7" s="12" customFormat="1" ht="14.25" customHeight="1">
      <c r="A224" s="96" t="s">
        <v>271</v>
      </c>
      <c r="B224" s="169" t="s">
        <v>299</v>
      </c>
      <c r="C224" s="96" t="s">
        <v>305</v>
      </c>
      <c r="D224" s="17" t="s">
        <v>275</v>
      </c>
      <c r="E224" s="99" t="s">
        <v>282</v>
      </c>
      <c r="F224" s="16">
        <v>1200</v>
      </c>
      <c r="G224" s="17"/>
    </row>
    <row r="225" spans="1:7" s="12" customFormat="1" ht="14.25" customHeight="1">
      <c r="A225" s="96" t="s">
        <v>271</v>
      </c>
      <c r="B225" s="169" t="s">
        <v>299</v>
      </c>
      <c r="C225" s="96" t="s">
        <v>305</v>
      </c>
      <c r="D225" s="17" t="s">
        <v>275</v>
      </c>
      <c r="E225" s="99" t="s">
        <v>284</v>
      </c>
      <c r="F225" s="16">
        <v>1200</v>
      </c>
      <c r="G225" s="17"/>
    </row>
    <row r="226" spans="1:7" s="12" customFormat="1" ht="14.25" customHeight="1">
      <c r="A226" s="96" t="s">
        <v>271</v>
      </c>
      <c r="B226" s="169" t="s">
        <v>299</v>
      </c>
      <c r="C226" s="96" t="s">
        <v>305</v>
      </c>
      <c r="D226" s="17" t="s">
        <v>312</v>
      </c>
      <c r="E226" s="99" t="s">
        <v>313</v>
      </c>
      <c r="F226" s="16">
        <v>1200</v>
      </c>
      <c r="G226" s="17"/>
    </row>
    <row r="227" spans="1:7" s="12" customFormat="1" ht="14.25" customHeight="1">
      <c r="A227" s="96" t="s">
        <v>271</v>
      </c>
      <c r="B227" s="169" t="s">
        <v>299</v>
      </c>
      <c r="C227" s="96" t="s">
        <v>305</v>
      </c>
      <c r="D227" s="17" t="s">
        <v>312</v>
      </c>
      <c r="E227" s="99" t="s">
        <v>315</v>
      </c>
      <c r="F227" s="16">
        <v>1200</v>
      </c>
      <c r="G227" s="17"/>
    </row>
    <row r="228" spans="1:7" s="12" customFormat="1" ht="14.25" customHeight="1">
      <c r="A228" s="96" t="s">
        <v>271</v>
      </c>
      <c r="B228" s="169" t="s">
        <v>299</v>
      </c>
      <c r="C228" s="96" t="s">
        <v>305</v>
      </c>
      <c r="D228" s="17" t="s">
        <v>312</v>
      </c>
      <c r="E228" s="99" t="s">
        <v>317</v>
      </c>
      <c r="F228" s="16">
        <v>1200</v>
      </c>
      <c r="G228" s="17"/>
    </row>
    <row r="229" spans="1:7" s="12" customFormat="1" ht="14.25" customHeight="1">
      <c r="A229" s="96" t="s">
        <v>271</v>
      </c>
      <c r="B229" s="169" t="s">
        <v>299</v>
      </c>
      <c r="C229" s="96" t="s">
        <v>305</v>
      </c>
      <c r="D229" s="17" t="s">
        <v>331</v>
      </c>
      <c r="E229" s="99" t="s">
        <v>333</v>
      </c>
      <c r="F229" s="16">
        <v>1200</v>
      </c>
      <c r="G229" s="17"/>
    </row>
    <row r="230" spans="1:7" s="12" customFormat="1" ht="14.25" customHeight="1">
      <c r="A230" s="96" t="s">
        <v>274</v>
      </c>
      <c r="B230" s="169" t="s">
        <v>299</v>
      </c>
      <c r="C230" s="96" t="s">
        <v>305</v>
      </c>
      <c r="D230" s="17" t="s">
        <v>426</v>
      </c>
      <c r="E230" s="99" t="s">
        <v>453</v>
      </c>
      <c r="F230" s="16">
        <v>1200</v>
      </c>
      <c r="G230" s="17"/>
    </row>
    <row r="231" spans="1:7" s="12" customFormat="1" ht="14.25" customHeight="1">
      <c r="A231" s="96" t="s">
        <v>274</v>
      </c>
      <c r="B231" s="169" t="s">
        <v>299</v>
      </c>
      <c r="C231" s="96" t="s">
        <v>305</v>
      </c>
      <c r="D231" s="17" t="s">
        <v>426</v>
      </c>
      <c r="E231" s="99" t="s">
        <v>454</v>
      </c>
      <c r="F231" s="16">
        <v>1200</v>
      </c>
      <c r="G231" s="17"/>
    </row>
    <row r="232" spans="1:7" s="12" customFormat="1" ht="14.25" customHeight="1">
      <c r="A232" s="96" t="s">
        <v>274</v>
      </c>
      <c r="B232" s="169" t="s">
        <v>299</v>
      </c>
      <c r="C232" s="96" t="s">
        <v>305</v>
      </c>
      <c r="D232" s="17" t="s">
        <v>426</v>
      </c>
      <c r="E232" s="99" t="s">
        <v>455</v>
      </c>
      <c r="F232" s="16">
        <v>1200</v>
      </c>
      <c r="G232" s="17"/>
    </row>
    <row r="233" spans="1:7" s="12" customFormat="1" ht="14.25" customHeight="1">
      <c r="A233" s="96" t="s">
        <v>274</v>
      </c>
      <c r="B233" s="169" t="s">
        <v>299</v>
      </c>
      <c r="C233" s="96" t="s">
        <v>305</v>
      </c>
      <c r="D233" s="17" t="s">
        <v>426</v>
      </c>
      <c r="E233" s="99" t="s">
        <v>456</v>
      </c>
      <c r="F233" s="16">
        <v>1200</v>
      </c>
      <c r="G233" s="17"/>
    </row>
    <row r="234" spans="1:7" s="12" customFormat="1" ht="14.25" customHeight="1">
      <c r="A234" s="96" t="s">
        <v>274</v>
      </c>
      <c r="B234" s="169" t="s">
        <v>299</v>
      </c>
      <c r="C234" s="96" t="s">
        <v>305</v>
      </c>
      <c r="D234" s="17" t="s">
        <v>426</v>
      </c>
      <c r="E234" s="99" t="s">
        <v>457</v>
      </c>
      <c r="F234" s="16">
        <v>1200</v>
      </c>
      <c r="G234" s="17"/>
    </row>
    <row r="235" spans="1:7" s="12" customFormat="1" ht="14.25" customHeight="1">
      <c r="A235" s="96" t="s">
        <v>274</v>
      </c>
      <c r="B235" s="169" t="s">
        <v>299</v>
      </c>
      <c r="C235" s="96" t="s">
        <v>305</v>
      </c>
      <c r="D235" s="17" t="s">
        <v>426</v>
      </c>
      <c r="E235" s="99" t="s">
        <v>458</v>
      </c>
      <c r="F235" s="16">
        <v>1200</v>
      </c>
      <c r="G235" s="17"/>
    </row>
    <row r="236" spans="1:7" s="12" customFormat="1" ht="14.25" customHeight="1">
      <c r="A236" s="96" t="s">
        <v>274</v>
      </c>
      <c r="B236" s="169" t="s">
        <v>299</v>
      </c>
      <c r="C236" s="96" t="s">
        <v>305</v>
      </c>
      <c r="D236" s="17" t="s">
        <v>426</v>
      </c>
      <c r="E236" s="99" t="s">
        <v>459</v>
      </c>
      <c r="F236" s="16">
        <v>1200</v>
      </c>
      <c r="G236" s="17"/>
    </row>
    <row r="237" spans="1:7" s="12" customFormat="1" ht="14.25" customHeight="1">
      <c r="A237" s="96" t="s">
        <v>274</v>
      </c>
      <c r="B237" s="169" t="s">
        <v>299</v>
      </c>
      <c r="C237" s="96" t="s">
        <v>305</v>
      </c>
      <c r="D237" s="17" t="s">
        <v>426</v>
      </c>
      <c r="E237" s="99" t="s">
        <v>460</v>
      </c>
      <c r="F237" s="16">
        <v>1200</v>
      </c>
      <c r="G237" s="17"/>
    </row>
    <row r="238" spans="1:7" s="12" customFormat="1" ht="14.25" customHeight="1">
      <c r="A238" s="96" t="s">
        <v>274</v>
      </c>
      <c r="B238" s="169" t="s">
        <v>299</v>
      </c>
      <c r="C238" s="96" t="s">
        <v>305</v>
      </c>
      <c r="D238" s="17" t="s">
        <v>426</v>
      </c>
      <c r="E238" s="99" t="s">
        <v>462</v>
      </c>
      <c r="F238" s="16">
        <v>1200</v>
      </c>
      <c r="G238" s="17"/>
    </row>
    <row r="239" spans="1:7" s="12" customFormat="1" ht="14.25" customHeight="1">
      <c r="A239" s="96" t="s">
        <v>274</v>
      </c>
      <c r="B239" s="169" t="s">
        <v>299</v>
      </c>
      <c r="C239" s="96" t="s">
        <v>305</v>
      </c>
      <c r="D239" s="17" t="s">
        <v>426</v>
      </c>
      <c r="E239" s="99" t="s">
        <v>464</v>
      </c>
      <c r="F239" s="16">
        <v>1200</v>
      </c>
      <c r="G239" s="17"/>
    </row>
    <row r="240" spans="1:7" s="12" customFormat="1" ht="14.25" customHeight="1">
      <c r="A240" s="96" t="s">
        <v>17</v>
      </c>
      <c r="B240" s="17" t="s">
        <v>301</v>
      </c>
      <c r="C240" s="96" t="s">
        <v>474</v>
      </c>
      <c r="D240" s="17" t="s">
        <v>426</v>
      </c>
      <c r="E240" s="99" t="s">
        <v>465</v>
      </c>
      <c r="F240" s="16">
        <v>1200</v>
      </c>
      <c r="G240" s="17"/>
    </row>
    <row r="241" spans="1:7" s="12" customFormat="1" ht="14.25" customHeight="1">
      <c r="A241" s="96" t="s">
        <v>274</v>
      </c>
      <c r="B241" s="169" t="s">
        <v>299</v>
      </c>
      <c r="C241" s="96" t="s">
        <v>305</v>
      </c>
      <c r="D241" s="17" t="s">
        <v>426</v>
      </c>
      <c r="E241" s="99" t="s">
        <v>482</v>
      </c>
      <c r="F241" s="16">
        <v>1200</v>
      </c>
      <c r="G241" s="17"/>
    </row>
    <row r="242" spans="1:7" s="12" customFormat="1" ht="14.25" customHeight="1">
      <c r="A242" s="96" t="s">
        <v>332</v>
      </c>
      <c r="B242" s="17" t="s">
        <v>301</v>
      </c>
      <c r="C242" s="96" t="s">
        <v>474</v>
      </c>
      <c r="D242" s="17" t="s">
        <v>426</v>
      </c>
      <c r="E242" s="99" t="s">
        <v>483</v>
      </c>
      <c r="F242" s="16">
        <v>1200</v>
      </c>
      <c r="G242" s="17"/>
    </row>
    <row r="243" spans="1:7" s="12" customFormat="1" ht="14.25" customHeight="1">
      <c r="A243" s="96" t="s">
        <v>20</v>
      </c>
      <c r="B243" s="17" t="s">
        <v>301</v>
      </c>
      <c r="C243" s="96" t="s">
        <v>474</v>
      </c>
      <c r="D243" s="17" t="s">
        <v>426</v>
      </c>
      <c r="E243" s="99" t="s">
        <v>484</v>
      </c>
      <c r="F243" s="16">
        <v>1200</v>
      </c>
      <c r="G243" s="17"/>
    </row>
    <row r="244" spans="1:7" s="12" customFormat="1" ht="14.25" customHeight="1">
      <c r="A244" s="96" t="s">
        <v>274</v>
      </c>
      <c r="B244" s="169" t="s">
        <v>299</v>
      </c>
      <c r="C244" s="96" t="s">
        <v>305</v>
      </c>
      <c r="D244" s="17" t="s">
        <v>426</v>
      </c>
      <c r="E244" s="99" t="s">
        <v>486</v>
      </c>
      <c r="F244" s="16">
        <v>1200</v>
      </c>
      <c r="G244" s="17"/>
    </row>
    <row r="245" spans="1:7" s="12" customFormat="1" ht="14.25" customHeight="1">
      <c r="A245" s="96" t="s">
        <v>274</v>
      </c>
      <c r="B245" s="169" t="s">
        <v>299</v>
      </c>
      <c r="C245" s="96" t="s">
        <v>305</v>
      </c>
      <c r="D245" s="17" t="s">
        <v>426</v>
      </c>
      <c r="E245" s="99" t="s">
        <v>489</v>
      </c>
      <c r="F245" s="16">
        <v>1200</v>
      </c>
      <c r="G245" s="17"/>
    </row>
    <row r="246" spans="1:7" s="12" customFormat="1" ht="14.25" customHeight="1">
      <c r="A246" s="96" t="s">
        <v>332</v>
      </c>
      <c r="B246" s="17" t="s">
        <v>301</v>
      </c>
      <c r="C246" s="96" t="s">
        <v>474</v>
      </c>
      <c r="D246" s="17" t="s">
        <v>426</v>
      </c>
      <c r="E246" s="99" t="s">
        <v>490</v>
      </c>
      <c r="F246" s="16">
        <v>1200</v>
      </c>
      <c r="G246" s="17"/>
    </row>
    <row r="247" spans="1:7" s="12" customFormat="1" ht="14.25" customHeight="1">
      <c r="A247" s="96" t="s">
        <v>20</v>
      </c>
      <c r="B247" s="17" t="s">
        <v>301</v>
      </c>
      <c r="C247" s="96" t="s">
        <v>474</v>
      </c>
      <c r="D247" s="17" t="s">
        <v>426</v>
      </c>
      <c r="E247" s="99" t="s">
        <v>491</v>
      </c>
      <c r="F247" s="16">
        <v>1200</v>
      </c>
      <c r="G247" s="17"/>
    </row>
    <row r="248" spans="1:7" s="12" customFormat="1" ht="14.25" customHeight="1">
      <c r="A248" s="96" t="s">
        <v>274</v>
      </c>
      <c r="B248" s="169" t="s">
        <v>299</v>
      </c>
      <c r="C248" s="96" t="s">
        <v>305</v>
      </c>
      <c r="D248" s="17" t="s">
        <v>426</v>
      </c>
      <c r="E248" s="99" t="s">
        <v>492</v>
      </c>
      <c r="F248" s="16">
        <v>1200</v>
      </c>
      <c r="G248" s="17"/>
    </row>
    <row r="249" spans="1:7" s="12" customFormat="1" ht="14.25" customHeight="1">
      <c r="A249" s="96" t="s">
        <v>20</v>
      </c>
      <c r="B249" s="17" t="s">
        <v>301</v>
      </c>
      <c r="C249" s="96" t="s">
        <v>474</v>
      </c>
      <c r="D249" s="17" t="s">
        <v>426</v>
      </c>
      <c r="E249" s="99" t="s">
        <v>493</v>
      </c>
      <c r="F249" s="16">
        <v>1200</v>
      </c>
      <c r="G249" s="17"/>
    </row>
    <row r="250" spans="1:7" s="12" customFormat="1" ht="14.25" customHeight="1">
      <c r="A250" s="96" t="s">
        <v>274</v>
      </c>
      <c r="B250" s="169" t="s">
        <v>299</v>
      </c>
      <c r="C250" s="96" t="s">
        <v>305</v>
      </c>
      <c r="D250" s="17" t="s">
        <v>426</v>
      </c>
      <c r="E250" s="99" t="s">
        <v>495</v>
      </c>
      <c r="F250" s="16">
        <v>1200</v>
      </c>
      <c r="G250" s="17"/>
    </row>
    <row r="251" spans="1:7" s="12" customFormat="1" ht="14.25" customHeight="1">
      <c r="A251" s="96" t="s">
        <v>583</v>
      </c>
      <c r="B251" s="17" t="s">
        <v>1075</v>
      </c>
      <c r="C251" s="96" t="s">
        <v>598</v>
      </c>
      <c r="D251" s="17" t="s">
        <v>431</v>
      </c>
      <c r="E251" s="99" t="s">
        <v>570</v>
      </c>
      <c r="F251" s="16">
        <v>1200</v>
      </c>
      <c r="G251" s="17"/>
    </row>
    <row r="252" spans="1:7" s="12" customFormat="1" ht="14.25" customHeight="1">
      <c r="A252" s="96" t="s">
        <v>332</v>
      </c>
      <c r="B252" s="17" t="s">
        <v>470</v>
      </c>
      <c r="C252" s="96" t="s">
        <v>602</v>
      </c>
      <c r="D252" s="17" t="s">
        <v>431</v>
      </c>
      <c r="E252" s="99" t="s">
        <v>578</v>
      </c>
      <c r="F252" s="16">
        <v>1200</v>
      </c>
      <c r="G252" s="17"/>
    </row>
    <row r="253" spans="1:7" s="12" customFormat="1" ht="14.25" customHeight="1">
      <c r="A253" s="96" t="s">
        <v>20</v>
      </c>
      <c r="B253" s="17" t="s">
        <v>470</v>
      </c>
      <c r="C253" s="96" t="s">
        <v>602</v>
      </c>
      <c r="D253" s="17" t="s">
        <v>431</v>
      </c>
      <c r="E253" s="99" t="s">
        <v>579</v>
      </c>
      <c r="F253" s="16">
        <v>1200</v>
      </c>
      <c r="G253" s="17"/>
    </row>
    <row r="254" spans="1:7" s="12" customFormat="1" ht="14.25" customHeight="1">
      <c r="A254" s="96" t="s">
        <v>274</v>
      </c>
      <c r="B254" s="169" t="s">
        <v>299</v>
      </c>
      <c r="C254" s="96" t="s">
        <v>305</v>
      </c>
      <c r="D254" s="17" t="s">
        <v>431</v>
      </c>
      <c r="E254" s="99" t="s">
        <v>580</v>
      </c>
      <c r="F254" s="16">
        <v>1200</v>
      </c>
      <c r="G254" s="17"/>
    </row>
    <row r="255" spans="1:7" s="12" customFormat="1" ht="14.25" customHeight="1">
      <c r="A255" s="96" t="s">
        <v>332</v>
      </c>
      <c r="B255" s="17" t="s">
        <v>470</v>
      </c>
      <c r="C255" s="96" t="s">
        <v>602</v>
      </c>
      <c r="D255" s="17" t="s">
        <v>431</v>
      </c>
      <c r="E255" s="99" t="s">
        <v>581</v>
      </c>
      <c r="F255" s="16">
        <v>1200</v>
      </c>
      <c r="G255" s="17"/>
    </row>
    <row r="256" spans="1:7" s="12" customFormat="1" ht="14.25" customHeight="1">
      <c r="A256" s="96" t="s">
        <v>20</v>
      </c>
      <c r="B256" s="17" t="s">
        <v>470</v>
      </c>
      <c r="C256" s="96" t="s">
        <v>602</v>
      </c>
      <c r="D256" s="17" t="s">
        <v>431</v>
      </c>
      <c r="E256" s="99" t="s">
        <v>582</v>
      </c>
      <c r="F256" s="16">
        <v>1200</v>
      </c>
      <c r="G256" s="17"/>
    </row>
    <row r="257" spans="1:7" s="12" customFormat="1" ht="14.25" customHeight="1">
      <c r="A257" s="17" t="s">
        <v>17</v>
      </c>
      <c r="B257" s="166" t="s">
        <v>301</v>
      </c>
      <c r="C257" s="96" t="s">
        <v>759</v>
      </c>
      <c r="D257" s="96" t="s">
        <v>433</v>
      </c>
      <c r="E257" s="99" t="s">
        <v>646</v>
      </c>
      <c r="F257" s="16">
        <v>1200</v>
      </c>
      <c r="G257" s="17"/>
    </row>
    <row r="258" spans="1:7" s="12" customFormat="1" ht="14.25" customHeight="1">
      <c r="A258" s="17" t="s">
        <v>332</v>
      </c>
      <c r="B258" s="166" t="s">
        <v>301</v>
      </c>
      <c r="C258" s="96" t="s">
        <v>759</v>
      </c>
      <c r="D258" s="96" t="s">
        <v>433</v>
      </c>
      <c r="E258" s="99" t="s">
        <v>649</v>
      </c>
      <c r="F258" s="16">
        <v>1200</v>
      </c>
      <c r="G258" s="17"/>
    </row>
    <row r="259" spans="1:7" s="12" customFormat="1" ht="14.25" customHeight="1">
      <c r="A259" s="96" t="s">
        <v>274</v>
      </c>
      <c r="B259" s="170" t="s">
        <v>299</v>
      </c>
      <c r="C259" s="96" t="s">
        <v>305</v>
      </c>
      <c r="D259" s="96" t="s">
        <v>433</v>
      </c>
      <c r="E259" s="99" t="s">
        <v>650</v>
      </c>
      <c r="F259" s="16">
        <v>1200</v>
      </c>
      <c r="G259" s="17"/>
    </row>
    <row r="260" spans="1:7" s="12" customFormat="1" ht="14.25" customHeight="1">
      <c r="A260" s="17" t="s">
        <v>17</v>
      </c>
      <c r="B260" s="166" t="s">
        <v>301</v>
      </c>
      <c r="C260" s="96" t="s">
        <v>762</v>
      </c>
      <c r="D260" s="96" t="s">
        <v>434</v>
      </c>
      <c r="E260" s="99" t="s">
        <v>652</v>
      </c>
      <c r="F260" s="16">
        <v>1200</v>
      </c>
      <c r="G260" s="17"/>
    </row>
    <row r="261" spans="1:7" s="12" customFormat="1" ht="14.25" customHeight="1">
      <c r="A261" s="17" t="s">
        <v>332</v>
      </c>
      <c r="B261" s="166" t="s">
        <v>301</v>
      </c>
      <c r="C261" s="96" t="s">
        <v>762</v>
      </c>
      <c r="D261" s="96" t="s">
        <v>434</v>
      </c>
      <c r="E261" s="99" t="s">
        <v>653</v>
      </c>
      <c r="F261" s="16">
        <v>1200</v>
      </c>
      <c r="G261" s="17"/>
    </row>
    <row r="262" spans="1:7" s="12" customFormat="1" ht="14.25" customHeight="1">
      <c r="A262" s="17" t="s">
        <v>17</v>
      </c>
      <c r="B262" s="166" t="s">
        <v>301</v>
      </c>
      <c r="C262" s="96" t="s">
        <v>762</v>
      </c>
      <c r="D262" s="96" t="s">
        <v>434</v>
      </c>
      <c r="E262" s="99" t="s">
        <v>654</v>
      </c>
      <c r="F262" s="16">
        <v>1200</v>
      </c>
      <c r="G262" s="17"/>
    </row>
    <row r="263" spans="1:7" s="12" customFormat="1" ht="14.25" customHeight="1">
      <c r="A263" s="17" t="s">
        <v>17</v>
      </c>
      <c r="B263" s="166" t="s">
        <v>301</v>
      </c>
      <c r="C263" s="96" t="s">
        <v>762</v>
      </c>
      <c r="D263" s="96" t="s">
        <v>434</v>
      </c>
      <c r="E263" s="99" t="s">
        <v>655</v>
      </c>
      <c r="F263" s="16">
        <v>1200</v>
      </c>
      <c r="G263" s="17"/>
    </row>
    <row r="264" spans="1:7" s="12" customFormat="1" ht="14.25" customHeight="1">
      <c r="A264" s="17" t="s">
        <v>17</v>
      </c>
      <c r="B264" s="166" t="s">
        <v>301</v>
      </c>
      <c r="C264" s="96" t="s">
        <v>762</v>
      </c>
      <c r="D264" s="96" t="s">
        <v>434</v>
      </c>
      <c r="E264" s="99" t="s">
        <v>656</v>
      </c>
      <c r="F264" s="16">
        <v>1200</v>
      </c>
      <c r="G264" s="17"/>
    </row>
    <row r="265" spans="1:7" s="12" customFormat="1" ht="14.25" customHeight="1">
      <c r="A265" s="17" t="s">
        <v>17</v>
      </c>
      <c r="B265" s="166" t="s">
        <v>301</v>
      </c>
      <c r="C265" s="96" t="s">
        <v>762</v>
      </c>
      <c r="D265" s="96" t="s">
        <v>434</v>
      </c>
      <c r="E265" s="99" t="s">
        <v>657</v>
      </c>
      <c r="F265" s="16">
        <v>1200</v>
      </c>
      <c r="G265" s="17"/>
    </row>
    <row r="266" spans="1:7" s="12" customFormat="1" ht="14.25" customHeight="1">
      <c r="A266" s="96" t="s">
        <v>274</v>
      </c>
      <c r="B266" s="170" t="s">
        <v>299</v>
      </c>
      <c r="C266" s="96" t="s">
        <v>305</v>
      </c>
      <c r="D266" s="96" t="s">
        <v>434</v>
      </c>
      <c r="E266" s="99" t="s">
        <v>658</v>
      </c>
      <c r="F266" s="16">
        <v>1200</v>
      </c>
      <c r="G266" s="17"/>
    </row>
    <row r="267" spans="1:7" s="12" customFormat="1" ht="14.25" customHeight="1">
      <c r="A267" s="96" t="s">
        <v>274</v>
      </c>
      <c r="B267" s="170" t="s">
        <v>299</v>
      </c>
      <c r="C267" s="96" t="s">
        <v>305</v>
      </c>
      <c r="D267" s="96" t="s">
        <v>434</v>
      </c>
      <c r="E267" s="99" t="s">
        <v>659</v>
      </c>
      <c r="F267" s="16">
        <v>1200</v>
      </c>
      <c r="G267" s="17"/>
    </row>
    <row r="268" spans="1:7" s="12" customFormat="1" ht="14.25" customHeight="1">
      <c r="A268" s="96" t="s">
        <v>274</v>
      </c>
      <c r="B268" s="170" t="s">
        <v>299</v>
      </c>
      <c r="C268" s="96" t="s">
        <v>305</v>
      </c>
      <c r="D268" s="96" t="s">
        <v>434</v>
      </c>
      <c r="E268" s="99" t="s">
        <v>660</v>
      </c>
      <c r="F268" s="16">
        <v>1200</v>
      </c>
      <c r="G268" s="17"/>
    </row>
    <row r="269" spans="1:7" s="12" customFormat="1" ht="14.25" customHeight="1">
      <c r="A269" s="96" t="s">
        <v>274</v>
      </c>
      <c r="B269" s="170" t="s">
        <v>299</v>
      </c>
      <c r="C269" s="96" t="s">
        <v>305</v>
      </c>
      <c r="D269" s="96" t="s">
        <v>434</v>
      </c>
      <c r="E269" s="99" t="s">
        <v>661</v>
      </c>
      <c r="F269" s="16">
        <v>1200</v>
      </c>
      <c r="G269" s="17"/>
    </row>
    <row r="270" spans="1:7" s="12" customFormat="1" ht="14.25" customHeight="1">
      <c r="A270" s="96" t="s">
        <v>274</v>
      </c>
      <c r="B270" s="170" t="s">
        <v>299</v>
      </c>
      <c r="C270" s="96" t="s">
        <v>305</v>
      </c>
      <c r="D270" s="96" t="s">
        <v>434</v>
      </c>
      <c r="E270" s="99" t="s">
        <v>662</v>
      </c>
      <c r="F270" s="16">
        <v>1200</v>
      </c>
      <c r="G270" s="17"/>
    </row>
    <row r="271" spans="1:7" s="12" customFormat="1" ht="14.25" customHeight="1">
      <c r="A271" s="17" t="s">
        <v>17</v>
      </c>
      <c r="B271" s="166" t="s">
        <v>301</v>
      </c>
      <c r="C271" s="96" t="s">
        <v>307</v>
      </c>
      <c r="D271" s="96" t="s">
        <v>435</v>
      </c>
      <c r="E271" s="99" t="s">
        <v>667</v>
      </c>
      <c r="F271" s="16">
        <v>1200</v>
      </c>
      <c r="G271" s="17"/>
    </row>
    <row r="272" spans="1:7" s="12" customFormat="1" ht="14.25" customHeight="1">
      <c r="A272" s="17" t="s">
        <v>17</v>
      </c>
      <c r="B272" s="166" t="s">
        <v>301</v>
      </c>
      <c r="C272" s="96" t="s">
        <v>307</v>
      </c>
      <c r="D272" s="96" t="s">
        <v>435</v>
      </c>
      <c r="E272" s="99" t="s">
        <v>668</v>
      </c>
      <c r="F272" s="16">
        <v>1200</v>
      </c>
      <c r="G272" s="17"/>
    </row>
    <row r="273" spans="1:7" s="12" customFormat="1" ht="14.25" customHeight="1">
      <c r="A273" s="17" t="s">
        <v>17</v>
      </c>
      <c r="B273" s="166" t="s">
        <v>301</v>
      </c>
      <c r="C273" s="96" t="s">
        <v>307</v>
      </c>
      <c r="D273" s="96" t="s">
        <v>435</v>
      </c>
      <c r="E273" s="99" t="s">
        <v>669</v>
      </c>
      <c r="F273" s="16">
        <v>1200</v>
      </c>
      <c r="G273" s="17"/>
    </row>
    <row r="274" spans="1:7" s="12" customFormat="1" ht="14.25" customHeight="1">
      <c r="A274" s="17" t="s">
        <v>17</v>
      </c>
      <c r="B274" s="166" t="s">
        <v>301</v>
      </c>
      <c r="C274" s="96" t="s">
        <v>762</v>
      </c>
      <c r="D274" s="96" t="s">
        <v>435</v>
      </c>
      <c r="E274" s="99" t="s">
        <v>670</v>
      </c>
      <c r="F274" s="16">
        <v>1200</v>
      </c>
      <c r="G274" s="17"/>
    </row>
    <row r="275" spans="1:7" s="12" customFormat="1" ht="14.25" customHeight="1">
      <c r="A275" s="17" t="s">
        <v>17</v>
      </c>
      <c r="B275" s="166" t="s">
        <v>301</v>
      </c>
      <c r="C275" s="96" t="s">
        <v>762</v>
      </c>
      <c r="D275" s="96" t="s">
        <v>435</v>
      </c>
      <c r="E275" s="99" t="s">
        <v>671</v>
      </c>
      <c r="F275" s="16">
        <v>1200</v>
      </c>
      <c r="G275" s="17"/>
    </row>
    <row r="276" spans="1:7" s="12" customFormat="1" ht="14.25" customHeight="1">
      <c r="A276" s="17" t="s">
        <v>17</v>
      </c>
      <c r="B276" s="166" t="s">
        <v>301</v>
      </c>
      <c r="C276" s="96" t="s">
        <v>307</v>
      </c>
      <c r="D276" s="96" t="s">
        <v>435</v>
      </c>
      <c r="E276" s="99" t="s">
        <v>672</v>
      </c>
      <c r="F276" s="16">
        <v>1200</v>
      </c>
      <c r="G276" s="17"/>
    </row>
    <row r="277" spans="1:7" s="12" customFormat="1" ht="14.25" customHeight="1">
      <c r="A277" s="17" t="s">
        <v>17</v>
      </c>
      <c r="B277" s="166" t="s">
        <v>301</v>
      </c>
      <c r="C277" s="96" t="s">
        <v>762</v>
      </c>
      <c r="D277" s="96" t="s">
        <v>435</v>
      </c>
      <c r="E277" s="99" t="s">
        <v>673</v>
      </c>
      <c r="F277" s="16">
        <v>1200</v>
      </c>
      <c r="G277" s="17"/>
    </row>
    <row r="278" spans="1:7" s="12" customFormat="1" ht="14.25" customHeight="1">
      <c r="A278" s="17" t="s">
        <v>332</v>
      </c>
      <c r="B278" s="166" t="s">
        <v>301</v>
      </c>
      <c r="C278" s="96" t="s">
        <v>762</v>
      </c>
      <c r="D278" s="96" t="s">
        <v>435</v>
      </c>
      <c r="E278" s="99" t="s">
        <v>674</v>
      </c>
      <c r="F278" s="16">
        <v>1200</v>
      </c>
      <c r="G278" s="17"/>
    </row>
    <row r="279" spans="1:7" s="12" customFormat="1" ht="14.25" customHeight="1">
      <c r="A279" s="17" t="s">
        <v>17</v>
      </c>
      <c r="B279" s="166" t="s">
        <v>301</v>
      </c>
      <c r="C279" s="96" t="s">
        <v>762</v>
      </c>
      <c r="D279" s="96" t="s">
        <v>435</v>
      </c>
      <c r="E279" s="99" t="s">
        <v>675</v>
      </c>
      <c r="F279" s="16">
        <v>1200</v>
      </c>
      <c r="G279" s="17"/>
    </row>
    <row r="280" spans="1:7" s="12" customFormat="1" ht="14.25" customHeight="1">
      <c r="A280" s="17" t="s">
        <v>332</v>
      </c>
      <c r="B280" s="166" t="s">
        <v>301</v>
      </c>
      <c r="C280" s="96" t="s">
        <v>762</v>
      </c>
      <c r="D280" s="96" t="s">
        <v>435</v>
      </c>
      <c r="E280" s="99" t="s">
        <v>676</v>
      </c>
      <c r="F280" s="16">
        <v>1200</v>
      </c>
      <c r="G280" s="17"/>
    </row>
    <row r="281" spans="1:7" s="12" customFormat="1" ht="14.25" customHeight="1">
      <c r="A281" s="17" t="s">
        <v>17</v>
      </c>
      <c r="B281" s="166" t="s">
        <v>301</v>
      </c>
      <c r="C281" s="96" t="s">
        <v>307</v>
      </c>
      <c r="D281" s="96" t="s">
        <v>435</v>
      </c>
      <c r="E281" s="99" t="s">
        <v>677</v>
      </c>
      <c r="F281" s="16">
        <v>1200</v>
      </c>
      <c r="G281" s="17"/>
    </row>
    <row r="282" spans="1:7" s="12" customFormat="1" ht="14.25" customHeight="1">
      <c r="A282" s="17" t="s">
        <v>17</v>
      </c>
      <c r="B282" s="166" t="s">
        <v>301</v>
      </c>
      <c r="C282" s="96" t="s">
        <v>307</v>
      </c>
      <c r="D282" s="96" t="s">
        <v>435</v>
      </c>
      <c r="E282" s="99" t="s">
        <v>678</v>
      </c>
      <c r="F282" s="16">
        <v>1200</v>
      </c>
      <c r="G282" s="17"/>
    </row>
    <row r="283" spans="1:7" s="12" customFormat="1" ht="14.25" customHeight="1">
      <c r="A283" s="17" t="s">
        <v>332</v>
      </c>
      <c r="B283" s="166" t="s">
        <v>301</v>
      </c>
      <c r="C283" s="96" t="s">
        <v>762</v>
      </c>
      <c r="D283" s="96" t="s">
        <v>435</v>
      </c>
      <c r="E283" s="99" t="s">
        <v>679</v>
      </c>
      <c r="F283" s="16">
        <v>1200</v>
      </c>
      <c r="G283" s="17"/>
    </row>
    <row r="284" spans="1:7" s="12" customFormat="1" ht="14.25" customHeight="1">
      <c r="A284" s="96" t="s">
        <v>274</v>
      </c>
      <c r="B284" s="170" t="s">
        <v>299</v>
      </c>
      <c r="C284" s="96" t="s">
        <v>305</v>
      </c>
      <c r="D284" s="96" t="s">
        <v>435</v>
      </c>
      <c r="E284" s="99" t="s">
        <v>680</v>
      </c>
      <c r="F284" s="16">
        <v>1200</v>
      </c>
      <c r="G284" s="17"/>
    </row>
    <row r="285" spans="1:7" s="12" customFormat="1" ht="14.25" customHeight="1">
      <c r="A285" s="96" t="s">
        <v>274</v>
      </c>
      <c r="B285" s="170" t="s">
        <v>299</v>
      </c>
      <c r="C285" s="96" t="s">
        <v>305</v>
      </c>
      <c r="D285" s="96" t="s">
        <v>435</v>
      </c>
      <c r="E285" s="99" t="s">
        <v>681</v>
      </c>
      <c r="F285" s="16">
        <v>1200</v>
      </c>
      <c r="G285" s="17"/>
    </row>
    <row r="286" spans="1:7" s="12" customFormat="1" ht="14.25" customHeight="1">
      <c r="A286" s="96" t="s">
        <v>274</v>
      </c>
      <c r="B286" s="170" t="s">
        <v>299</v>
      </c>
      <c r="C286" s="96" t="s">
        <v>305</v>
      </c>
      <c r="D286" s="96" t="s">
        <v>435</v>
      </c>
      <c r="E286" s="99" t="s">
        <v>682</v>
      </c>
      <c r="F286" s="16">
        <v>1200</v>
      </c>
      <c r="G286" s="17"/>
    </row>
    <row r="287" spans="1:7" s="12" customFormat="1" ht="14.25" customHeight="1">
      <c r="A287" s="96" t="s">
        <v>274</v>
      </c>
      <c r="B287" s="170" t="s">
        <v>299</v>
      </c>
      <c r="C287" s="96" t="s">
        <v>305</v>
      </c>
      <c r="D287" s="96" t="s">
        <v>435</v>
      </c>
      <c r="E287" s="99" t="s">
        <v>683</v>
      </c>
      <c r="F287" s="16">
        <v>1200</v>
      </c>
      <c r="G287" s="17"/>
    </row>
    <row r="288" spans="1:7" s="12" customFormat="1" ht="14.25" customHeight="1">
      <c r="A288" s="96" t="s">
        <v>274</v>
      </c>
      <c r="B288" s="170" t="s">
        <v>299</v>
      </c>
      <c r="C288" s="96" t="s">
        <v>305</v>
      </c>
      <c r="D288" s="96" t="s">
        <v>435</v>
      </c>
      <c r="E288" s="99" t="s">
        <v>684</v>
      </c>
      <c r="F288" s="16">
        <v>1200</v>
      </c>
      <c r="G288" s="17"/>
    </row>
    <row r="289" spans="1:7" s="12" customFormat="1" ht="14.25" customHeight="1">
      <c r="A289" s="96" t="s">
        <v>274</v>
      </c>
      <c r="B289" s="170" t="s">
        <v>299</v>
      </c>
      <c r="C289" s="96" t="s">
        <v>305</v>
      </c>
      <c r="D289" s="96" t="s">
        <v>435</v>
      </c>
      <c r="E289" s="99" t="s">
        <v>685</v>
      </c>
      <c r="F289" s="16">
        <v>1200</v>
      </c>
      <c r="G289" s="17"/>
    </row>
    <row r="290" spans="1:7" s="12" customFormat="1" ht="14.25" customHeight="1">
      <c r="A290" s="96" t="s">
        <v>274</v>
      </c>
      <c r="B290" s="170" t="s">
        <v>299</v>
      </c>
      <c r="C290" s="96" t="s">
        <v>305</v>
      </c>
      <c r="D290" s="96" t="s">
        <v>435</v>
      </c>
      <c r="E290" s="99" t="s">
        <v>686</v>
      </c>
      <c r="F290" s="16">
        <v>1200</v>
      </c>
      <c r="G290" s="17"/>
    </row>
    <row r="291" spans="1:7" s="12" customFormat="1" ht="14.25" customHeight="1">
      <c r="A291" s="96" t="s">
        <v>274</v>
      </c>
      <c r="B291" s="170" t="s">
        <v>299</v>
      </c>
      <c r="C291" s="96" t="s">
        <v>305</v>
      </c>
      <c r="D291" s="96" t="s">
        <v>435</v>
      </c>
      <c r="E291" s="99" t="s">
        <v>687</v>
      </c>
      <c r="F291" s="16">
        <v>1200</v>
      </c>
      <c r="G291" s="17"/>
    </row>
    <row r="292" spans="1:7" s="12" customFormat="1" ht="14.25" customHeight="1">
      <c r="A292" s="96" t="s">
        <v>274</v>
      </c>
      <c r="B292" s="170" t="s">
        <v>299</v>
      </c>
      <c r="C292" s="96" t="s">
        <v>305</v>
      </c>
      <c r="D292" s="96" t="s">
        <v>435</v>
      </c>
      <c r="E292" s="99" t="s">
        <v>688</v>
      </c>
      <c r="F292" s="16">
        <v>1200</v>
      </c>
      <c r="G292" s="17"/>
    </row>
    <row r="293" spans="1:7" s="12" customFormat="1" ht="14.25" customHeight="1">
      <c r="A293" s="96" t="s">
        <v>274</v>
      </c>
      <c r="B293" s="170" t="s">
        <v>299</v>
      </c>
      <c r="C293" s="96" t="s">
        <v>305</v>
      </c>
      <c r="D293" s="96" t="s">
        <v>435</v>
      </c>
      <c r="E293" s="99" t="s">
        <v>689</v>
      </c>
      <c r="F293" s="16">
        <v>1200</v>
      </c>
      <c r="G293" s="17"/>
    </row>
    <row r="294" spans="1:7" s="12" customFormat="1" ht="14.25" customHeight="1">
      <c r="A294" s="96" t="s">
        <v>274</v>
      </c>
      <c r="B294" s="170" t="s">
        <v>299</v>
      </c>
      <c r="C294" s="96" t="s">
        <v>305</v>
      </c>
      <c r="D294" s="96" t="s">
        <v>437</v>
      </c>
      <c r="E294" s="99" t="s">
        <v>698</v>
      </c>
      <c r="F294" s="16">
        <v>1200</v>
      </c>
      <c r="G294" s="17"/>
    </row>
    <row r="295" spans="1:7" s="12" customFormat="1" ht="14.25" customHeight="1">
      <c r="A295" s="96" t="s">
        <v>274</v>
      </c>
      <c r="B295" s="170" t="s">
        <v>299</v>
      </c>
      <c r="C295" s="96" t="s">
        <v>305</v>
      </c>
      <c r="D295" s="96" t="s">
        <v>437</v>
      </c>
      <c r="E295" s="99" t="s">
        <v>699</v>
      </c>
      <c r="F295" s="16">
        <v>1200</v>
      </c>
      <c r="G295" s="17"/>
    </row>
    <row r="296" spans="1:7" s="12" customFormat="1" ht="14.25" customHeight="1">
      <c r="A296" s="96" t="s">
        <v>274</v>
      </c>
      <c r="B296" s="170" t="s">
        <v>299</v>
      </c>
      <c r="C296" s="96" t="s">
        <v>305</v>
      </c>
      <c r="D296" s="96" t="s">
        <v>436</v>
      </c>
      <c r="E296" s="99" t="s">
        <v>701</v>
      </c>
      <c r="F296" s="16">
        <v>1200</v>
      </c>
      <c r="G296" s="17"/>
    </row>
    <row r="297" spans="1:7" s="12" customFormat="1" ht="14.25" customHeight="1">
      <c r="A297" s="96" t="s">
        <v>274</v>
      </c>
      <c r="B297" s="170" t="s">
        <v>299</v>
      </c>
      <c r="C297" s="96" t="s">
        <v>305</v>
      </c>
      <c r="D297" s="96" t="s">
        <v>436</v>
      </c>
      <c r="E297" s="99" t="s">
        <v>702</v>
      </c>
      <c r="F297" s="16">
        <v>1200</v>
      </c>
      <c r="G297" s="17"/>
    </row>
    <row r="298" spans="1:7" s="12" customFormat="1" ht="14.25" customHeight="1">
      <c r="A298" s="96" t="s">
        <v>274</v>
      </c>
      <c r="B298" s="170" t="s">
        <v>299</v>
      </c>
      <c r="C298" s="96" t="s">
        <v>305</v>
      </c>
      <c r="D298" s="96" t="s">
        <v>437</v>
      </c>
      <c r="E298" s="99" t="s">
        <v>703</v>
      </c>
      <c r="F298" s="16">
        <v>1200</v>
      </c>
      <c r="G298" s="17"/>
    </row>
    <row r="299" spans="1:7" s="12" customFormat="1" ht="14.25" customHeight="1">
      <c r="A299" s="96" t="s">
        <v>274</v>
      </c>
      <c r="B299" s="170" t="s">
        <v>299</v>
      </c>
      <c r="C299" s="96" t="s">
        <v>305</v>
      </c>
      <c r="D299" s="96" t="s">
        <v>437</v>
      </c>
      <c r="E299" s="99" t="s">
        <v>704</v>
      </c>
      <c r="F299" s="16">
        <v>1200</v>
      </c>
      <c r="G299" s="17"/>
    </row>
    <row r="300" spans="1:7" s="12" customFormat="1" ht="14.25" customHeight="1">
      <c r="A300" s="96" t="s">
        <v>274</v>
      </c>
      <c r="B300" s="170" t="s">
        <v>299</v>
      </c>
      <c r="C300" s="96" t="s">
        <v>305</v>
      </c>
      <c r="D300" s="96" t="s">
        <v>437</v>
      </c>
      <c r="E300" s="99" t="s">
        <v>705</v>
      </c>
      <c r="F300" s="16">
        <v>1200</v>
      </c>
      <c r="G300" s="17"/>
    </row>
    <row r="301" spans="1:7" s="12" customFormat="1" ht="14.25" customHeight="1">
      <c r="A301" s="96" t="s">
        <v>274</v>
      </c>
      <c r="B301" s="170" t="s">
        <v>299</v>
      </c>
      <c r="C301" s="96" t="s">
        <v>305</v>
      </c>
      <c r="D301" s="96" t="s">
        <v>436</v>
      </c>
      <c r="E301" s="99" t="s">
        <v>706</v>
      </c>
      <c r="F301" s="16">
        <v>1200</v>
      </c>
      <c r="G301" s="17"/>
    </row>
    <row r="302" spans="1:7" s="12" customFormat="1" ht="14.25" customHeight="1">
      <c r="A302" s="96" t="s">
        <v>274</v>
      </c>
      <c r="B302" s="170" t="s">
        <v>299</v>
      </c>
      <c r="C302" s="96" t="s">
        <v>305</v>
      </c>
      <c r="D302" s="96" t="s">
        <v>436</v>
      </c>
      <c r="E302" s="99" t="s">
        <v>707</v>
      </c>
      <c r="F302" s="16">
        <v>1200</v>
      </c>
      <c r="G302" s="17"/>
    </row>
    <row r="303" spans="1:7" s="12" customFormat="1" ht="14.25" customHeight="1">
      <c r="A303" s="96" t="s">
        <v>274</v>
      </c>
      <c r="B303" s="170" t="s">
        <v>299</v>
      </c>
      <c r="C303" s="96" t="s">
        <v>305</v>
      </c>
      <c r="D303" s="96" t="s">
        <v>436</v>
      </c>
      <c r="E303" s="99" t="s">
        <v>708</v>
      </c>
      <c r="F303" s="16">
        <v>1200</v>
      </c>
      <c r="G303" s="17"/>
    </row>
    <row r="304" spans="1:7" s="12" customFormat="1" ht="14.25" customHeight="1">
      <c r="A304" s="96" t="s">
        <v>274</v>
      </c>
      <c r="B304" s="170" t="s">
        <v>299</v>
      </c>
      <c r="C304" s="96" t="s">
        <v>305</v>
      </c>
      <c r="D304" s="96" t="s">
        <v>436</v>
      </c>
      <c r="E304" s="99" t="s">
        <v>709</v>
      </c>
      <c r="F304" s="16">
        <v>1200</v>
      </c>
      <c r="G304" s="17"/>
    </row>
    <row r="305" spans="1:7" s="12" customFormat="1" ht="14.25" customHeight="1">
      <c r="A305" s="96" t="s">
        <v>274</v>
      </c>
      <c r="B305" s="170" t="s">
        <v>299</v>
      </c>
      <c r="C305" s="96" t="s">
        <v>305</v>
      </c>
      <c r="D305" s="96" t="s">
        <v>436</v>
      </c>
      <c r="E305" s="99" t="s">
        <v>710</v>
      </c>
      <c r="F305" s="16">
        <v>1200</v>
      </c>
      <c r="G305" s="17"/>
    </row>
    <row r="306" spans="1:7" s="12" customFormat="1" ht="14.25" customHeight="1">
      <c r="A306" s="96" t="s">
        <v>274</v>
      </c>
      <c r="B306" s="170" t="s">
        <v>299</v>
      </c>
      <c r="C306" s="96" t="s">
        <v>305</v>
      </c>
      <c r="D306" s="96" t="s">
        <v>436</v>
      </c>
      <c r="E306" s="99" t="s">
        <v>711</v>
      </c>
      <c r="F306" s="16">
        <v>1200</v>
      </c>
      <c r="G306" s="17"/>
    </row>
    <row r="307" spans="1:7" s="12" customFormat="1" ht="14.25" customHeight="1">
      <c r="A307" s="96" t="s">
        <v>17</v>
      </c>
      <c r="B307" s="17" t="s">
        <v>998</v>
      </c>
      <c r="C307" s="96" t="s">
        <v>999</v>
      </c>
      <c r="D307" s="17" t="s">
        <v>438</v>
      </c>
      <c r="E307" s="99" t="s">
        <v>779</v>
      </c>
      <c r="F307" s="16">
        <v>1200</v>
      </c>
      <c r="G307" s="17"/>
    </row>
    <row r="308" spans="1:7" s="12" customFormat="1" ht="14.25" customHeight="1">
      <c r="A308" s="96" t="s">
        <v>17</v>
      </c>
      <c r="B308" s="17" t="s">
        <v>998</v>
      </c>
      <c r="C308" s="96" t="s">
        <v>1016</v>
      </c>
      <c r="D308" s="17" t="s">
        <v>441</v>
      </c>
      <c r="E308" s="99" t="s">
        <v>849</v>
      </c>
      <c r="F308" s="16">
        <v>1200</v>
      </c>
      <c r="G308" s="17"/>
    </row>
    <row r="309" spans="1:7" s="12" customFormat="1" ht="14.25" customHeight="1">
      <c r="A309" s="96" t="s">
        <v>1066</v>
      </c>
      <c r="B309" s="17" t="s">
        <v>998</v>
      </c>
      <c r="C309" s="96" t="s">
        <v>1016</v>
      </c>
      <c r="D309" s="17" t="s">
        <v>441</v>
      </c>
      <c r="E309" s="99" t="s">
        <v>850</v>
      </c>
      <c r="F309" s="16">
        <v>1200</v>
      </c>
      <c r="G309" s="17"/>
    </row>
    <row r="310" spans="1:7" s="12" customFormat="1" ht="14.25" customHeight="1">
      <c r="A310" s="96" t="s">
        <v>17</v>
      </c>
      <c r="B310" s="17" t="s">
        <v>998</v>
      </c>
      <c r="C310" s="96" t="s">
        <v>1016</v>
      </c>
      <c r="D310" s="17" t="s">
        <v>441</v>
      </c>
      <c r="E310" s="99" t="s">
        <v>851</v>
      </c>
      <c r="F310" s="16">
        <v>1200</v>
      </c>
      <c r="G310" s="17"/>
    </row>
    <row r="311" spans="1:7" s="12" customFormat="1" ht="14.25" customHeight="1">
      <c r="A311" s="96" t="s">
        <v>1066</v>
      </c>
      <c r="B311" s="17" t="s">
        <v>998</v>
      </c>
      <c r="C311" s="96" t="s">
        <v>1016</v>
      </c>
      <c r="D311" s="17" t="s">
        <v>441</v>
      </c>
      <c r="E311" s="99" t="s">
        <v>852</v>
      </c>
      <c r="F311" s="16">
        <v>1200</v>
      </c>
      <c r="G311" s="17"/>
    </row>
    <row r="312" spans="1:7" s="12" customFormat="1" ht="14.25" customHeight="1">
      <c r="A312" s="96" t="s">
        <v>17</v>
      </c>
      <c r="B312" s="17" t="s">
        <v>998</v>
      </c>
      <c r="C312" s="96" t="s">
        <v>1016</v>
      </c>
      <c r="D312" s="17" t="s">
        <v>441</v>
      </c>
      <c r="E312" s="99" t="s">
        <v>853</v>
      </c>
      <c r="F312" s="16">
        <v>1200</v>
      </c>
      <c r="G312" s="17"/>
    </row>
    <row r="313" spans="1:7" s="12" customFormat="1" ht="14.25" customHeight="1">
      <c r="A313" s="96" t="s">
        <v>1066</v>
      </c>
      <c r="B313" s="17" t="s">
        <v>998</v>
      </c>
      <c r="C313" s="96" t="s">
        <v>1016</v>
      </c>
      <c r="D313" s="17" t="s">
        <v>441</v>
      </c>
      <c r="E313" s="99" t="s">
        <v>854</v>
      </c>
      <c r="F313" s="16">
        <v>1200</v>
      </c>
      <c r="G313" s="17"/>
    </row>
    <row r="314" spans="1:7" s="12" customFormat="1" ht="14.25" customHeight="1">
      <c r="A314" s="96" t="s">
        <v>17</v>
      </c>
      <c r="B314" s="17" t="s">
        <v>998</v>
      </c>
      <c r="C314" s="96" t="s">
        <v>1016</v>
      </c>
      <c r="D314" s="17" t="s">
        <v>441</v>
      </c>
      <c r="E314" s="99" t="s">
        <v>855</v>
      </c>
      <c r="F314" s="16">
        <v>1200</v>
      </c>
      <c r="G314" s="17"/>
    </row>
    <row r="315" spans="1:7" s="12" customFormat="1" ht="14.25" customHeight="1">
      <c r="A315" s="96" t="s">
        <v>1066</v>
      </c>
      <c r="B315" s="17" t="s">
        <v>998</v>
      </c>
      <c r="C315" s="96" t="s">
        <v>1016</v>
      </c>
      <c r="D315" s="17" t="s">
        <v>441</v>
      </c>
      <c r="E315" s="99" t="s">
        <v>856</v>
      </c>
      <c r="F315" s="16">
        <v>1200</v>
      </c>
      <c r="G315" s="17"/>
    </row>
    <row r="316" spans="1:7" s="12" customFormat="1" ht="14.25" customHeight="1">
      <c r="A316" s="96" t="s">
        <v>17</v>
      </c>
      <c r="B316" s="17" t="s">
        <v>998</v>
      </c>
      <c r="C316" s="96" t="s">
        <v>1016</v>
      </c>
      <c r="D316" s="17" t="s">
        <v>441</v>
      </c>
      <c r="E316" s="99" t="s">
        <v>857</v>
      </c>
      <c r="F316" s="16">
        <v>1200</v>
      </c>
      <c r="G316" s="17"/>
    </row>
    <row r="317" spans="1:7" s="12" customFormat="1" ht="14.25" customHeight="1">
      <c r="A317" s="96" t="s">
        <v>1066</v>
      </c>
      <c r="B317" s="17" t="s">
        <v>998</v>
      </c>
      <c r="C317" s="96" t="s">
        <v>1016</v>
      </c>
      <c r="D317" s="17" t="s">
        <v>441</v>
      </c>
      <c r="E317" s="99" t="s">
        <v>858</v>
      </c>
      <c r="F317" s="16">
        <v>1200</v>
      </c>
      <c r="G317" s="17"/>
    </row>
    <row r="318" spans="1:7" s="12" customFormat="1" ht="14.25" customHeight="1">
      <c r="A318" s="96" t="s">
        <v>17</v>
      </c>
      <c r="B318" s="17" t="s">
        <v>998</v>
      </c>
      <c r="C318" s="96" t="s">
        <v>1016</v>
      </c>
      <c r="D318" s="17" t="s">
        <v>441</v>
      </c>
      <c r="E318" s="99" t="s">
        <v>860</v>
      </c>
      <c r="F318" s="16">
        <v>1200</v>
      </c>
      <c r="G318" s="17"/>
    </row>
    <row r="319" spans="1:7" s="12" customFormat="1" ht="14.25" customHeight="1">
      <c r="A319" s="96" t="s">
        <v>1066</v>
      </c>
      <c r="B319" s="17" t="s">
        <v>998</v>
      </c>
      <c r="C319" s="96" t="s">
        <v>1016</v>
      </c>
      <c r="D319" s="17" t="s">
        <v>441</v>
      </c>
      <c r="E319" s="99" t="s">
        <v>861</v>
      </c>
      <c r="F319" s="16">
        <v>1200</v>
      </c>
      <c r="G319" s="17"/>
    </row>
    <row r="320" spans="1:7" s="12" customFormat="1" ht="14.25" customHeight="1">
      <c r="A320" s="96" t="s">
        <v>17</v>
      </c>
      <c r="B320" s="17" t="s">
        <v>998</v>
      </c>
      <c r="C320" s="96" t="s">
        <v>1016</v>
      </c>
      <c r="D320" s="17" t="s">
        <v>441</v>
      </c>
      <c r="E320" s="99" t="s">
        <v>862</v>
      </c>
      <c r="F320" s="16">
        <v>1200</v>
      </c>
      <c r="G320" s="17"/>
    </row>
    <row r="321" spans="1:7" s="12" customFormat="1" ht="14.25" customHeight="1">
      <c r="A321" s="96" t="s">
        <v>17</v>
      </c>
      <c r="B321" s="17" t="s">
        <v>998</v>
      </c>
      <c r="C321" s="96" t="s">
        <v>1016</v>
      </c>
      <c r="D321" s="17" t="s">
        <v>441</v>
      </c>
      <c r="E321" s="99" t="s">
        <v>863</v>
      </c>
      <c r="F321" s="16">
        <v>1200</v>
      </c>
      <c r="G321" s="17"/>
    </row>
    <row r="322" spans="1:7" s="12" customFormat="1" ht="14.25" customHeight="1">
      <c r="A322" s="96" t="s">
        <v>1066</v>
      </c>
      <c r="B322" s="17" t="s">
        <v>998</v>
      </c>
      <c r="C322" s="96" t="s">
        <v>1016</v>
      </c>
      <c r="D322" s="17" t="s">
        <v>441</v>
      </c>
      <c r="E322" s="99" t="s">
        <v>864</v>
      </c>
      <c r="F322" s="16">
        <v>1200</v>
      </c>
      <c r="G322" s="17"/>
    </row>
    <row r="323" spans="1:7" s="12" customFormat="1" ht="14.25" customHeight="1">
      <c r="A323" s="96" t="s">
        <v>17</v>
      </c>
      <c r="B323" s="17" t="s">
        <v>998</v>
      </c>
      <c r="C323" s="96" t="s">
        <v>1016</v>
      </c>
      <c r="D323" s="17" t="s">
        <v>441</v>
      </c>
      <c r="E323" s="99" t="s">
        <v>865</v>
      </c>
      <c r="F323" s="16">
        <v>1200</v>
      </c>
      <c r="G323" s="17"/>
    </row>
    <row r="324" spans="1:7" s="12" customFormat="1" ht="14.25" customHeight="1">
      <c r="A324" s="96" t="s">
        <v>1066</v>
      </c>
      <c r="B324" s="17" t="s">
        <v>998</v>
      </c>
      <c r="C324" s="96" t="s">
        <v>1016</v>
      </c>
      <c r="D324" s="17" t="s">
        <v>441</v>
      </c>
      <c r="E324" s="99" t="s">
        <v>866</v>
      </c>
      <c r="F324" s="16">
        <v>1200</v>
      </c>
      <c r="G324" s="17"/>
    </row>
    <row r="325" spans="1:7" s="12" customFormat="1" ht="14.25" customHeight="1">
      <c r="A325" s="96" t="s">
        <v>274</v>
      </c>
      <c r="B325" s="169" t="s">
        <v>1018</v>
      </c>
      <c r="C325" s="96" t="s">
        <v>1019</v>
      </c>
      <c r="D325" s="17" t="s">
        <v>442</v>
      </c>
      <c r="E325" s="99" t="s">
        <v>878</v>
      </c>
      <c r="F325" s="16">
        <v>1200</v>
      </c>
      <c r="G325" s="17"/>
    </row>
    <row r="326" spans="1:7" s="12" customFormat="1" ht="14.25" customHeight="1">
      <c r="A326" s="96" t="s">
        <v>274</v>
      </c>
      <c r="B326" s="169" t="s">
        <v>1018</v>
      </c>
      <c r="C326" s="96" t="s">
        <v>1019</v>
      </c>
      <c r="D326" s="17" t="s">
        <v>444</v>
      </c>
      <c r="E326" s="99" t="s">
        <v>896</v>
      </c>
      <c r="F326" s="16">
        <v>1200</v>
      </c>
      <c r="G326" s="17"/>
    </row>
    <row r="327" spans="1:7" s="12" customFormat="1" ht="14.25" customHeight="1">
      <c r="A327" s="96" t="s">
        <v>274</v>
      </c>
      <c r="B327" s="169" t="s">
        <v>1018</v>
      </c>
      <c r="C327" s="96" t="s">
        <v>1019</v>
      </c>
      <c r="D327" s="17" t="s">
        <v>445</v>
      </c>
      <c r="E327" s="99" t="s">
        <v>903</v>
      </c>
      <c r="F327" s="16">
        <v>1200</v>
      </c>
      <c r="G327" s="17"/>
    </row>
    <row r="328" spans="1:7" s="12" customFormat="1" ht="14.25" customHeight="1">
      <c r="A328" s="96" t="s">
        <v>274</v>
      </c>
      <c r="B328" s="169" t="s">
        <v>1018</v>
      </c>
      <c r="C328" s="96" t="s">
        <v>1019</v>
      </c>
      <c r="D328" s="17" t="s">
        <v>445</v>
      </c>
      <c r="E328" s="99" t="s">
        <v>904</v>
      </c>
      <c r="F328" s="16">
        <v>1200</v>
      </c>
      <c r="G328" s="17"/>
    </row>
    <row r="329" spans="1:7" s="12" customFormat="1" ht="14.25" customHeight="1">
      <c r="A329" s="96" t="s">
        <v>274</v>
      </c>
      <c r="B329" s="169" t="s">
        <v>1018</v>
      </c>
      <c r="C329" s="96" t="s">
        <v>1019</v>
      </c>
      <c r="D329" s="17" t="s">
        <v>445</v>
      </c>
      <c r="E329" s="99" t="s">
        <v>905</v>
      </c>
      <c r="F329" s="16">
        <v>1200</v>
      </c>
      <c r="G329" s="17"/>
    </row>
    <row r="330" spans="1:7" s="12" customFormat="1" ht="14.25" customHeight="1">
      <c r="A330" s="96" t="s">
        <v>17</v>
      </c>
      <c r="B330" s="17" t="s">
        <v>301</v>
      </c>
      <c r="C330" s="96" t="s">
        <v>307</v>
      </c>
      <c r="D330" s="17" t="s">
        <v>275</v>
      </c>
      <c r="E330" s="99" t="s">
        <v>286</v>
      </c>
      <c r="F330" s="16">
        <v>1100</v>
      </c>
      <c r="G330" s="17"/>
    </row>
    <row r="331" spans="1:7" s="12" customFormat="1" ht="14.25" customHeight="1">
      <c r="A331" s="96" t="s">
        <v>17</v>
      </c>
      <c r="B331" s="17" t="s">
        <v>301</v>
      </c>
      <c r="C331" s="96" t="s">
        <v>307</v>
      </c>
      <c r="D331" s="17" t="s">
        <v>275</v>
      </c>
      <c r="E331" s="99" t="s">
        <v>287</v>
      </c>
      <c r="F331" s="16">
        <v>1100</v>
      </c>
      <c r="G331" s="17"/>
    </row>
    <row r="332" spans="1:7" s="12" customFormat="1" ht="14.25" customHeight="1">
      <c r="A332" s="96" t="s">
        <v>17</v>
      </c>
      <c r="B332" s="17" t="s">
        <v>301</v>
      </c>
      <c r="C332" s="96" t="s">
        <v>307</v>
      </c>
      <c r="D332" s="17" t="s">
        <v>275</v>
      </c>
      <c r="E332" s="99" t="s">
        <v>288</v>
      </c>
      <c r="F332" s="16">
        <v>1100</v>
      </c>
      <c r="G332" s="17"/>
    </row>
    <row r="333" spans="1:7" s="12" customFormat="1" ht="14.25" customHeight="1">
      <c r="A333" s="96" t="s">
        <v>17</v>
      </c>
      <c r="B333" s="17" t="s">
        <v>301</v>
      </c>
      <c r="C333" s="96" t="s">
        <v>307</v>
      </c>
      <c r="D333" s="17" t="s">
        <v>275</v>
      </c>
      <c r="E333" s="99" t="s">
        <v>289</v>
      </c>
      <c r="F333" s="16">
        <v>1100</v>
      </c>
      <c r="G333" s="17"/>
    </row>
    <row r="334" spans="1:7" s="12" customFormat="1" ht="14.25" customHeight="1">
      <c r="A334" s="96" t="s">
        <v>17</v>
      </c>
      <c r="B334" s="17" t="s">
        <v>301</v>
      </c>
      <c r="C334" s="96" t="s">
        <v>307</v>
      </c>
      <c r="D334" s="17" t="s">
        <v>275</v>
      </c>
      <c r="E334" s="99" t="s">
        <v>290</v>
      </c>
      <c r="F334" s="16">
        <v>1100</v>
      </c>
      <c r="G334" s="17"/>
    </row>
    <row r="335" spans="1:7" s="12" customFormat="1" ht="14.25" customHeight="1">
      <c r="A335" s="96" t="s">
        <v>17</v>
      </c>
      <c r="B335" s="17" t="s">
        <v>301</v>
      </c>
      <c r="C335" s="96" t="s">
        <v>307</v>
      </c>
      <c r="D335" s="17" t="s">
        <v>275</v>
      </c>
      <c r="E335" s="99" t="s">
        <v>291</v>
      </c>
      <c r="F335" s="16">
        <v>1100</v>
      </c>
      <c r="G335" s="17"/>
    </row>
    <row r="336" spans="1:7" s="12" customFormat="1" ht="14.25" customHeight="1">
      <c r="A336" s="96" t="s">
        <v>17</v>
      </c>
      <c r="B336" s="17" t="s">
        <v>301</v>
      </c>
      <c r="C336" s="96" t="s">
        <v>307</v>
      </c>
      <c r="D336" s="17" t="s">
        <v>275</v>
      </c>
      <c r="E336" s="99" t="s">
        <v>292</v>
      </c>
      <c r="F336" s="16">
        <v>1100</v>
      </c>
      <c r="G336" s="17"/>
    </row>
    <row r="337" spans="1:7" s="12" customFormat="1" ht="14.25" customHeight="1">
      <c r="A337" s="96" t="s">
        <v>17</v>
      </c>
      <c r="B337" s="17" t="s">
        <v>301</v>
      </c>
      <c r="C337" s="96" t="s">
        <v>307</v>
      </c>
      <c r="D337" s="17" t="s">
        <v>312</v>
      </c>
      <c r="E337" s="99" t="s">
        <v>319</v>
      </c>
      <c r="F337" s="16">
        <v>1100</v>
      </c>
      <c r="G337" s="17"/>
    </row>
    <row r="338" spans="1:7" s="12" customFormat="1" ht="14.25" customHeight="1">
      <c r="A338" s="96" t="s">
        <v>17</v>
      </c>
      <c r="B338" s="17" t="s">
        <v>301</v>
      </c>
      <c r="C338" s="96" t="s">
        <v>307</v>
      </c>
      <c r="D338" s="17" t="s">
        <v>312</v>
      </c>
      <c r="E338" s="99" t="s">
        <v>320</v>
      </c>
      <c r="F338" s="16">
        <v>1100</v>
      </c>
      <c r="G338" s="17"/>
    </row>
    <row r="339" spans="1:7" s="12" customFormat="1" ht="14.25" customHeight="1">
      <c r="A339" s="96" t="s">
        <v>17</v>
      </c>
      <c r="B339" s="17" t="s">
        <v>301</v>
      </c>
      <c r="C339" s="96" t="s">
        <v>307</v>
      </c>
      <c r="D339" s="17" t="s">
        <v>312</v>
      </c>
      <c r="E339" s="99" t="s">
        <v>321</v>
      </c>
      <c r="F339" s="16">
        <v>1100</v>
      </c>
      <c r="G339" s="17"/>
    </row>
    <row r="340" spans="1:7" s="12" customFormat="1" ht="14.25" customHeight="1">
      <c r="A340" s="96" t="s">
        <v>17</v>
      </c>
      <c r="B340" s="17" t="s">
        <v>301</v>
      </c>
      <c r="C340" s="96" t="s">
        <v>307</v>
      </c>
      <c r="D340" s="17" t="s">
        <v>331</v>
      </c>
      <c r="E340" s="99" t="s">
        <v>335</v>
      </c>
      <c r="F340" s="16">
        <v>1100</v>
      </c>
      <c r="G340" s="17"/>
    </row>
    <row r="341" spans="1:7" s="12" customFormat="1" ht="14.25" customHeight="1">
      <c r="A341" s="96" t="s">
        <v>17</v>
      </c>
      <c r="B341" s="17" t="s">
        <v>301</v>
      </c>
      <c r="C341" s="96" t="s">
        <v>307</v>
      </c>
      <c r="D341" s="17" t="s">
        <v>331</v>
      </c>
      <c r="E341" s="99" t="s">
        <v>336</v>
      </c>
      <c r="F341" s="16">
        <v>1100</v>
      </c>
      <c r="G341" s="17"/>
    </row>
    <row r="342" spans="1:7" s="12" customFormat="1" ht="14.25" customHeight="1">
      <c r="A342" s="98" t="s">
        <v>118</v>
      </c>
      <c r="B342" s="16" t="s">
        <v>132</v>
      </c>
      <c r="C342" s="98" t="s">
        <v>139</v>
      </c>
      <c r="D342" s="98" t="s">
        <v>116</v>
      </c>
      <c r="E342" s="100" t="s">
        <v>123</v>
      </c>
      <c r="F342" s="16">
        <v>1000</v>
      </c>
      <c r="G342" s="17"/>
    </row>
    <row r="343" spans="1:7" s="12" customFormat="1" ht="14.25" customHeight="1">
      <c r="A343" s="96" t="s">
        <v>17</v>
      </c>
      <c r="B343" s="17" t="s">
        <v>258</v>
      </c>
      <c r="C343" s="96" t="s">
        <v>250</v>
      </c>
      <c r="D343" s="17" t="s">
        <v>251</v>
      </c>
      <c r="E343" s="99" t="s">
        <v>257</v>
      </c>
      <c r="F343" s="16">
        <v>1000</v>
      </c>
      <c r="G343" s="17"/>
    </row>
    <row r="344" spans="1:7" s="12" customFormat="1" ht="14.25" customHeight="1">
      <c r="A344" s="96" t="s">
        <v>332</v>
      </c>
      <c r="B344" s="17" t="s">
        <v>302</v>
      </c>
      <c r="C344" s="96" t="s">
        <v>311</v>
      </c>
      <c r="D344" s="17" t="s">
        <v>275</v>
      </c>
      <c r="E344" s="99" t="s">
        <v>298</v>
      </c>
      <c r="F344" s="16">
        <v>1000</v>
      </c>
      <c r="G344" s="17"/>
    </row>
    <row r="345" spans="1:7" s="12" customFormat="1" ht="14.25" customHeight="1">
      <c r="A345" s="96" t="s">
        <v>332</v>
      </c>
      <c r="B345" s="17" t="s">
        <v>302</v>
      </c>
      <c r="C345" s="96" t="s">
        <v>311</v>
      </c>
      <c r="D345" s="17" t="s">
        <v>331</v>
      </c>
      <c r="E345" s="99" t="s">
        <v>342</v>
      </c>
      <c r="F345" s="16">
        <v>1000</v>
      </c>
      <c r="G345" s="17"/>
    </row>
    <row r="346" spans="1:7" s="12" customFormat="1" ht="14.25" customHeight="1">
      <c r="A346" s="96" t="s">
        <v>17</v>
      </c>
      <c r="B346" s="17" t="s">
        <v>130</v>
      </c>
      <c r="C346" s="96" t="s">
        <v>157</v>
      </c>
      <c r="D346" s="17" t="s">
        <v>344</v>
      </c>
      <c r="E346" s="99" t="s">
        <v>349</v>
      </c>
      <c r="F346" s="16">
        <v>1000</v>
      </c>
      <c r="G346" s="17"/>
    </row>
    <row r="347" spans="1:7" s="12" customFormat="1" ht="14.25" customHeight="1">
      <c r="A347" s="96" t="s">
        <v>89</v>
      </c>
      <c r="B347" s="17" t="s">
        <v>397</v>
      </c>
      <c r="C347" s="96" t="s">
        <v>404</v>
      </c>
      <c r="D347" s="17" t="s">
        <v>344</v>
      </c>
      <c r="E347" s="99" t="s">
        <v>354</v>
      </c>
      <c r="F347" s="16">
        <v>1000</v>
      </c>
      <c r="G347" s="17"/>
    </row>
    <row r="348" spans="1:7" s="12" customFormat="1" ht="14.25" customHeight="1">
      <c r="A348" s="96" t="s">
        <v>89</v>
      </c>
      <c r="B348" s="17" t="s">
        <v>397</v>
      </c>
      <c r="C348" s="96" t="s">
        <v>404</v>
      </c>
      <c r="D348" s="17" t="s">
        <v>344</v>
      </c>
      <c r="E348" s="99" t="s">
        <v>355</v>
      </c>
      <c r="F348" s="16">
        <v>1000</v>
      </c>
      <c r="G348" s="17"/>
    </row>
    <row r="349" spans="1:7" s="12" customFormat="1" ht="14.25" customHeight="1">
      <c r="A349" s="96" t="s">
        <v>89</v>
      </c>
      <c r="B349" s="17" t="s">
        <v>397</v>
      </c>
      <c r="C349" s="96" t="s">
        <v>404</v>
      </c>
      <c r="D349" s="17" t="s">
        <v>344</v>
      </c>
      <c r="E349" s="99" t="s">
        <v>356</v>
      </c>
      <c r="F349" s="16">
        <v>1000</v>
      </c>
      <c r="G349" s="17"/>
    </row>
    <row r="350" spans="1:7" s="12" customFormat="1" ht="14.25" customHeight="1">
      <c r="A350" s="96" t="s">
        <v>89</v>
      </c>
      <c r="B350" s="17" t="s">
        <v>397</v>
      </c>
      <c r="C350" s="96" t="s">
        <v>404</v>
      </c>
      <c r="D350" s="17" t="s">
        <v>344</v>
      </c>
      <c r="E350" s="99" t="s">
        <v>357</v>
      </c>
      <c r="F350" s="16">
        <v>1000</v>
      </c>
      <c r="G350" s="17"/>
    </row>
    <row r="351" spans="1:7" s="12" customFormat="1" ht="14.25" customHeight="1">
      <c r="A351" s="96" t="s">
        <v>89</v>
      </c>
      <c r="B351" s="17" t="s">
        <v>397</v>
      </c>
      <c r="C351" s="96" t="s">
        <v>405</v>
      </c>
      <c r="D351" s="17" t="s">
        <v>344</v>
      </c>
      <c r="E351" s="99" t="s">
        <v>358</v>
      </c>
      <c r="F351" s="16">
        <v>1000</v>
      </c>
      <c r="G351" s="17"/>
    </row>
    <row r="352" spans="1:7" s="12" customFormat="1" ht="14.25" customHeight="1">
      <c r="A352" s="96" t="s">
        <v>89</v>
      </c>
      <c r="B352" s="17" t="s">
        <v>397</v>
      </c>
      <c r="C352" s="96" t="s">
        <v>405</v>
      </c>
      <c r="D352" s="17" t="s">
        <v>344</v>
      </c>
      <c r="E352" s="99" t="s">
        <v>359</v>
      </c>
      <c r="F352" s="16">
        <v>1000</v>
      </c>
      <c r="G352" s="17"/>
    </row>
    <row r="353" spans="1:7" s="12" customFormat="1" ht="14.25" customHeight="1">
      <c r="A353" s="96" t="s">
        <v>17</v>
      </c>
      <c r="B353" s="17" t="s">
        <v>130</v>
      </c>
      <c r="C353" s="96" t="s">
        <v>408</v>
      </c>
      <c r="D353" s="17" t="s">
        <v>345</v>
      </c>
      <c r="E353" s="99" t="s">
        <v>363</v>
      </c>
      <c r="F353" s="16">
        <v>1000</v>
      </c>
      <c r="G353" s="17"/>
    </row>
    <row r="354" spans="1:7" s="12" customFormat="1" ht="14.25" customHeight="1">
      <c r="A354" s="96" t="s">
        <v>17</v>
      </c>
      <c r="B354" s="17" t="s">
        <v>130</v>
      </c>
      <c r="C354" s="96" t="s">
        <v>408</v>
      </c>
      <c r="D354" s="17" t="s">
        <v>345</v>
      </c>
      <c r="E354" s="99" t="s">
        <v>364</v>
      </c>
      <c r="F354" s="16">
        <v>1000</v>
      </c>
      <c r="G354" s="17"/>
    </row>
    <row r="355" spans="1:7" s="12" customFormat="1" ht="14.25" customHeight="1">
      <c r="A355" s="96" t="s">
        <v>393</v>
      </c>
      <c r="B355" s="17" t="s">
        <v>221</v>
      </c>
      <c r="C355" s="96" t="s">
        <v>413</v>
      </c>
      <c r="D355" s="17" t="s">
        <v>347</v>
      </c>
      <c r="E355" s="99" t="s">
        <v>382</v>
      </c>
      <c r="F355" s="16">
        <v>1000</v>
      </c>
      <c r="G355" s="17"/>
    </row>
    <row r="356" spans="1:7" s="12" customFormat="1" ht="14.25" customHeight="1">
      <c r="A356" s="96" t="s">
        <v>159</v>
      </c>
      <c r="B356" s="17" t="s">
        <v>103</v>
      </c>
      <c r="C356" s="96" t="s">
        <v>103</v>
      </c>
      <c r="D356" s="17" t="s">
        <v>428</v>
      </c>
      <c r="E356" s="99" t="s">
        <v>504</v>
      </c>
      <c r="F356" s="16">
        <v>1000</v>
      </c>
      <c r="G356" s="17"/>
    </row>
    <row r="357" spans="1:7" s="12" customFormat="1" ht="14.25" customHeight="1">
      <c r="A357" s="96" t="s">
        <v>20</v>
      </c>
      <c r="B357" s="17" t="s">
        <v>301</v>
      </c>
      <c r="C357" s="96" t="s">
        <v>591</v>
      </c>
      <c r="D357" s="17" t="s">
        <v>429</v>
      </c>
      <c r="E357" s="99" t="s">
        <v>510</v>
      </c>
      <c r="F357" s="16">
        <v>1000</v>
      </c>
      <c r="G357" s="17"/>
    </row>
    <row r="358" spans="1:7" s="12" customFormat="1" ht="14.25" customHeight="1">
      <c r="A358" s="96" t="s">
        <v>20</v>
      </c>
      <c r="B358" s="17" t="s">
        <v>301</v>
      </c>
      <c r="C358" s="96" t="s">
        <v>591</v>
      </c>
      <c r="D358" s="17" t="s">
        <v>429</v>
      </c>
      <c r="E358" s="99" t="s">
        <v>511</v>
      </c>
      <c r="F358" s="16">
        <v>1000</v>
      </c>
      <c r="G358" s="17"/>
    </row>
    <row r="359" spans="1:7" s="12" customFormat="1" ht="14.25" customHeight="1">
      <c r="A359" s="96" t="s">
        <v>20</v>
      </c>
      <c r="B359" s="17" t="s">
        <v>301</v>
      </c>
      <c r="C359" s="96" t="s">
        <v>591</v>
      </c>
      <c r="D359" s="17" t="s">
        <v>429</v>
      </c>
      <c r="E359" s="99" t="s">
        <v>512</v>
      </c>
      <c r="F359" s="16">
        <v>1000</v>
      </c>
      <c r="G359" s="17"/>
    </row>
    <row r="360" spans="1:7" s="12" customFormat="1" ht="14.25" customHeight="1">
      <c r="A360" s="96" t="s">
        <v>20</v>
      </c>
      <c r="B360" s="17" t="s">
        <v>301</v>
      </c>
      <c r="C360" s="96" t="s">
        <v>591</v>
      </c>
      <c r="D360" s="17" t="s">
        <v>429</v>
      </c>
      <c r="E360" s="99" t="s">
        <v>513</v>
      </c>
      <c r="F360" s="16">
        <v>1000</v>
      </c>
      <c r="G360" s="17"/>
    </row>
    <row r="361" spans="1:7" s="12" customFormat="1" ht="14.25" customHeight="1">
      <c r="A361" s="96" t="s">
        <v>20</v>
      </c>
      <c r="B361" s="17" t="s">
        <v>301</v>
      </c>
      <c r="C361" s="96" t="s">
        <v>591</v>
      </c>
      <c r="D361" s="17" t="s">
        <v>429</v>
      </c>
      <c r="E361" s="99" t="s">
        <v>514</v>
      </c>
      <c r="F361" s="16">
        <v>1000</v>
      </c>
      <c r="G361" s="17"/>
    </row>
    <row r="362" spans="1:7" s="12" customFormat="1" ht="14.25" customHeight="1">
      <c r="A362" s="96" t="s">
        <v>20</v>
      </c>
      <c r="B362" s="17" t="s">
        <v>301</v>
      </c>
      <c r="C362" s="96" t="s">
        <v>591</v>
      </c>
      <c r="D362" s="17" t="s">
        <v>429</v>
      </c>
      <c r="E362" s="99" t="s">
        <v>515</v>
      </c>
      <c r="F362" s="16">
        <v>1000</v>
      </c>
      <c r="G362" s="17"/>
    </row>
    <row r="363" spans="1:7" s="12" customFormat="1" ht="14.25" customHeight="1">
      <c r="A363" s="96" t="s">
        <v>20</v>
      </c>
      <c r="B363" s="17" t="s">
        <v>301</v>
      </c>
      <c r="C363" s="96" t="s">
        <v>591</v>
      </c>
      <c r="D363" s="17" t="s">
        <v>429</v>
      </c>
      <c r="E363" s="99" t="s">
        <v>516</v>
      </c>
      <c r="F363" s="16">
        <v>1000</v>
      </c>
      <c r="G363" s="17"/>
    </row>
    <row r="364" spans="1:7" s="12" customFormat="1" ht="14.25" customHeight="1">
      <c r="A364" s="96" t="s">
        <v>20</v>
      </c>
      <c r="B364" s="17" t="s">
        <v>301</v>
      </c>
      <c r="C364" s="96" t="s">
        <v>591</v>
      </c>
      <c r="D364" s="17" t="s">
        <v>429</v>
      </c>
      <c r="E364" s="99" t="s">
        <v>517</v>
      </c>
      <c r="F364" s="16">
        <v>1000</v>
      </c>
      <c r="G364" s="17"/>
    </row>
    <row r="365" spans="1:7" s="12" customFormat="1" ht="14.25" customHeight="1">
      <c r="A365" s="96" t="s">
        <v>20</v>
      </c>
      <c r="B365" s="17" t="s">
        <v>301</v>
      </c>
      <c r="C365" s="96" t="s">
        <v>591</v>
      </c>
      <c r="D365" s="17" t="s">
        <v>429</v>
      </c>
      <c r="E365" s="99" t="s">
        <v>518</v>
      </c>
      <c r="F365" s="16">
        <v>1000</v>
      </c>
      <c r="G365" s="17"/>
    </row>
    <row r="366" spans="1:7" s="12" customFormat="1" ht="14.25" customHeight="1">
      <c r="A366" s="96" t="s">
        <v>20</v>
      </c>
      <c r="B366" s="17" t="s">
        <v>301</v>
      </c>
      <c r="C366" s="96" t="s">
        <v>591</v>
      </c>
      <c r="D366" s="17" t="s">
        <v>429</v>
      </c>
      <c r="E366" s="99" t="s">
        <v>519</v>
      </c>
      <c r="F366" s="16">
        <v>1000</v>
      </c>
      <c r="G366" s="17"/>
    </row>
    <row r="367" spans="1:7" s="12" customFormat="1" ht="14.25" customHeight="1">
      <c r="A367" s="96" t="s">
        <v>20</v>
      </c>
      <c r="B367" s="17" t="s">
        <v>301</v>
      </c>
      <c r="C367" s="96" t="s">
        <v>591</v>
      </c>
      <c r="D367" s="17" t="s">
        <v>429</v>
      </c>
      <c r="E367" s="99" t="s">
        <v>520</v>
      </c>
      <c r="F367" s="16">
        <v>1000</v>
      </c>
      <c r="G367" s="17"/>
    </row>
    <row r="368" spans="1:7" s="12" customFormat="1" ht="14.25" customHeight="1">
      <c r="A368" s="96" t="s">
        <v>20</v>
      </c>
      <c r="B368" s="17" t="s">
        <v>301</v>
      </c>
      <c r="C368" s="96" t="s">
        <v>591</v>
      </c>
      <c r="D368" s="17" t="s">
        <v>429</v>
      </c>
      <c r="E368" s="99" t="s">
        <v>521</v>
      </c>
      <c r="F368" s="16">
        <v>1000</v>
      </c>
      <c r="G368" s="17"/>
    </row>
    <row r="369" spans="1:7" s="12" customFormat="1" ht="14.25" customHeight="1">
      <c r="A369" s="96" t="s">
        <v>20</v>
      </c>
      <c r="B369" s="17" t="s">
        <v>301</v>
      </c>
      <c r="C369" s="96" t="s">
        <v>591</v>
      </c>
      <c r="D369" s="17" t="s">
        <v>429</v>
      </c>
      <c r="E369" s="99" t="s">
        <v>526</v>
      </c>
      <c r="F369" s="16">
        <v>1000</v>
      </c>
      <c r="G369" s="17"/>
    </row>
    <row r="370" spans="1:7" s="12" customFormat="1" ht="14.25" customHeight="1">
      <c r="A370" s="96" t="s">
        <v>609</v>
      </c>
      <c r="B370" s="17" t="s">
        <v>301</v>
      </c>
      <c r="C370" s="96" t="s">
        <v>474</v>
      </c>
      <c r="D370" s="17" t="s">
        <v>429</v>
      </c>
      <c r="E370" s="99" t="s">
        <v>542</v>
      </c>
      <c r="F370" s="16">
        <v>1000</v>
      </c>
      <c r="G370" s="17"/>
    </row>
    <row r="371" spans="1:7" s="12" customFormat="1" ht="14.25" customHeight="1">
      <c r="A371" s="96" t="s">
        <v>609</v>
      </c>
      <c r="B371" s="17" t="s">
        <v>301</v>
      </c>
      <c r="C371" s="96" t="s">
        <v>474</v>
      </c>
      <c r="D371" s="17" t="s">
        <v>429</v>
      </c>
      <c r="E371" s="99" t="s">
        <v>543</v>
      </c>
      <c r="F371" s="16">
        <v>1000</v>
      </c>
      <c r="G371" s="17"/>
    </row>
    <row r="372" spans="1:7" s="12" customFormat="1" ht="14.25" customHeight="1">
      <c r="A372" s="96" t="s">
        <v>271</v>
      </c>
      <c r="B372" s="17" t="s">
        <v>302</v>
      </c>
      <c r="C372" s="96" t="s">
        <v>596</v>
      </c>
      <c r="D372" s="17" t="s">
        <v>431</v>
      </c>
      <c r="E372" s="99" t="s">
        <v>567</v>
      </c>
      <c r="F372" s="16">
        <v>1000</v>
      </c>
      <c r="G372" s="17"/>
    </row>
    <row r="373" spans="1:7" s="12" customFormat="1" ht="14.25" customHeight="1">
      <c r="A373" s="96" t="s">
        <v>1048</v>
      </c>
      <c r="B373" s="17" t="s">
        <v>268</v>
      </c>
      <c r="C373" s="96" t="s">
        <v>599</v>
      </c>
      <c r="D373" s="17" t="s">
        <v>431</v>
      </c>
      <c r="E373" s="99" t="s">
        <v>571</v>
      </c>
      <c r="F373" s="16">
        <v>1000</v>
      </c>
      <c r="G373" s="17"/>
    </row>
    <row r="374" spans="1:7" s="12" customFormat="1" ht="14.25" customHeight="1">
      <c r="A374" s="96" t="s">
        <v>1048</v>
      </c>
      <c r="B374" s="17" t="s">
        <v>268</v>
      </c>
      <c r="C374" s="96" t="s">
        <v>600</v>
      </c>
      <c r="D374" s="17" t="s">
        <v>431</v>
      </c>
      <c r="E374" s="99" t="s">
        <v>572</v>
      </c>
      <c r="F374" s="16">
        <v>1000</v>
      </c>
      <c r="G374" s="17"/>
    </row>
    <row r="375" spans="1:7" s="12" customFormat="1" ht="14.25" customHeight="1">
      <c r="A375" s="17" t="s">
        <v>17</v>
      </c>
      <c r="B375" s="166" t="s">
        <v>471</v>
      </c>
      <c r="C375" s="96" t="s">
        <v>757</v>
      </c>
      <c r="D375" s="96" t="s">
        <v>432</v>
      </c>
      <c r="E375" s="99" t="s">
        <v>640</v>
      </c>
      <c r="F375" s="16">
        <v>1000</v>
      </c>
      <c r="G375" s="17"/>
    </row>
    <row r="376" spans="1:7" s="12" customFormat="1" ht="14.25" customHeight="1">
      <c r="A376" s="17" t="s">
        <v>17</v>
      </c>
      <c r="B376" s="166" t="s">
        <v>471</v>
      </c>
      <c r="C376" s="96" t="s">
        <v>757</v>
      </c>
      <c r="D376" s="96" t="s">
        <v>432</v>
      </c>
      <c r="E376" s="99" t="s">
        <v>641</v>
      </c>
      <c r="F376" s="16">
        <v>1000</v>
      </c>
      <c r="G376" s="17"/>
    </row>
    <row r="377" spans="1:7" s="12" customFormat="1" ht="14.25" customHeight="1">
      <c r="A377" s="17" t="s">
        <v>1066</v>
      </c>
      <c r="B377" s="166" t="s">
        <v>302</v>
      </c>
      <c r="C377" s="96" t="s">
        <v>311</v>
      </c>
      <c r="D377" s="96" t="s">
        <v>437</v>
      </c>
      <c r="E377" s="99" t="s">
        <v>743</v>
      </c>
      <c r="F377" s="16">
        <v>1000</v>
      </c>
      <c r="G377" s="17"/>
    </row>
    <row r="378" spans="1:7" s="12" customFormat="1" ht="14.25" customHeight="1">
      <c r="A378" s="96" t="s">
        <v>1048</v>
      </c>
      <c r="B378" s="17" t="s">
        <v>268</v>
      </c>
      <c r="C378" s="96" t="s">
        <v>1020</v>
      </c>
      <c r="D378" s="17" t="s">
        <v>442</v>
      </c>
      <c r="E378" s="99" t="s">
        <v>882</v>
      </c>
      <c r="F378" s="16">
        <v>1000</v>
      </c>
      <c r="G378" s="17"/>
    </row>
    <row r="379" spans="1:7" s="12" customFormat="1" ht="14.25" customHeight="1">
      <c r="A379" s="96" t="s">
        <v>1048</v>
      </c>
      <c r="B379" s="17" t="s">
        <v>268</v>
      </c>
      <c r="C379" s="96" t="s">
        <v>1020</v>
      </c>
      <c r="D379" s="17" t="s">
        <v>443</v>
      </c>
      <c r="E379" s="99" t="s">
        <v>892</v>
      </c>
      <c r="F379" s="16">
        <v>1000</v>
      </c>
      <c r="G379" s="17"/>
    </row>
    <row r="380" spans="1:7" s="12" customFormat="1" ht="14.25" customHeight="1">
      <c r="A380" s="96" t="s">
        <v>1048</v>
      </c>
      <c r="B380" s="17" t="s">
        <v>268</v>
      </c>
      <c r="C380" s="96" t="s">
        <v>1020</v>
      </c>
      <c r="D380" s="17" t="s">
        <v>444</v>
      </c>
      <c r="E380" s="99" t="s">
        <v>900</v>
      </c>
      <c r="F380" s="16">
        <v>1000</v>
      </c>
      <c r="G380" s="17"/>
    </row>
    <row r="381" spans="1:7" s="12" customFormat="1" ht="14.25" customHeight="1">
      <c r="A381" s="96" t="s">
        <v>1048</v>
      </c>
      <c r="B381" s="17" t="s">
        <v>268</v>
      </c>
      <c r="C381" s="96" t="s">
        <v>1020</v>
      </c>
      <c r="D381" s="17" t="s">
        <v>445</v>
      </c>
      <c r="E381" s="99" t="s">
        <v>910</v>
      </c>
      <c r="F381" s="16">
        <v>1000</v>
      </c>
      <c r="G381" s="17"/>
    </row>
    <row r="382" spans="1:7" s="12" customFormat="1" ht="14.25" customHeight="1">
      <c r="A382" s="96" t="s">
        <v>20</v>
      </c>
      <c r="B382" s="17" t="s">
        <v>1023</v>
      </c>
      <c r="C382" s="96" t="s">
        <v>1024</v>
      </c>
      <c r="D382" s="96" t="s">
        <v>1049</v>
      </c>
      <c r="E382" s="99" t="s">
        <v>916</v>
      </c>
      <c r="F382" s="16">
        <v>1000</v>
      </c>
      <c r="G382" s="17"/>
    </row>
    <row r="383" spans="1:7" s="12" customFormat="1" ht="14.25" customHeight="1">
      <c r="A383" s="96" t="s">
        <v>15</v>
      </c>
      <c r="B383" s="17" t="s">
        <v>1025</v>
      </c>
      <c r="C383" s="96" t="s">
        <v>1026</v>
      </c>
      <c r="D383" s="96" t="s">
        <v>1049</v>
      </c>
      <c r="E383" s="99" t="s">
        <v>917</v>
      </c>
      <c r="F383" s="16">
        <v>1000</v>
      </c>
      <c r="G383" s="17"/>
    </row>
    <row r="384" spans="1:7" s="12" customFormat="1" ht="14.25" customHeight="1">
      <c r="A384" s="96" t="s">
        <v>1048</v>
      </c>
      <c r="B384" s="17" t="s">
        <v>268</v>
      </c>
      <c r="C384" s="96" t="s">
        <v>270</v>
      </c>
      <c r="D384" s="17" t="s">
        <v>167</v>
      </c>
      <c r="E384" s="99" t="s">
        <v>924</v>
      </c>
      <c r="F384" s="16">
        <v>1500</v>
      </c>
      <c r="G384" s="17"/>
    </row>
    <row r="385" spans="1:7" s="12" customFormat="1" ht="14.25" customHeight="1">
      <c r="A385" s="96" t="s">
        <v>17</v>
      </c>
      <c r="B385" s="17" t="s">
        <v>1017</v>
      </c>
      <c r="C385" s="96" t="s">
        <v>1001</v>
      </c>
      <c r="D385" s="17" t="s">
        <v>167</v>
      </c>
      <c r="E385" s="99" t="s">
        <v>926</v>
      </c>
      <c r="F385" s="16">
        <v>1000</v>
      </c>
      <c r="G385" s="17"/>
    </row>
    <row r="386" spans="1:7" s="12" customFormat="1" ht="14.25" customHeight="1">
      <c r="A386" s="96" t="s">
        <v>17</v>
      </c>
      <c r="B386" s="17" t="s">
        <v>1017</v>
      </c>
      <c r="C386" s="96" t="s">
        <v>1001</v>
      </c>
      <c r="D386" s="17" t="s">
        <v>167</v>
      </c>
      <c r="E386" s="99" t="s">
        <v>927</v>
      </c>
      <c r="F386" s="16">
        <v>1000</v>
      </c>
      <c r="G386" s="17"/>
    </row>
    <row r="387" spans="1:7" s="12" customFormat="1" ht="14.25" customHeight="1">
      <c r="A387" s="96" t="s">
        <v>17</v>
      </c>
      <c r="B387" s="17" t="s">
        <v>1017</v>
      </c>
      <c r="C387" s="96" t="s">
        <v>1069</v>
      </c>
      <c r="D387" s="17" t="s">
        <v>166</v>
      </c>
      <c r="E387" s="99" t="s">
        <v>931</v>
      </c>
      <c r="F387" s="16">
        <v>1000</v>
      </c>
      <c r="G387" s="17"/>
    </row>
    <row r="388" spans="1:7" s="12" customFormat="1" ht="14.25" customHeight="1">
      <c r="A388" s="96" t="s">
        <v>1048</v>
      </c>
      <c r="B388" s="17" t="s">
        <v>268</v>
      </c>
      <c r="C388" s="96" t="s">
        <v>270</v>
      </c>
      <c r="D388" s="17" t="s">
        <v>166</v>
      </c>
      <c r="E388" s="99" t="s">
        <v>935</v>
      </c>
      <c r="F388" s="16">
        <v>1500</v>
      </c>
      <c r="G388" s="17"/>
    </row>
    <row r="389" spans="1:7" s="12" customFormat="1" ht="14.25" customHeight="1">
      <c r="A389" s="96" t="s">
        <v>1048</v>
      </c>
      <c r="B389" s="17" t="s">
        <v>268</v>
      </c>
      <c r="C389" s="96" t="s">
        <v>270</v>
      </c>
      <c r="D389" s="17" t="s">
        <v>166</v>
      </c>
      <c r="E389" s="99" t="s">
        <v>936</v>
      </c>
      <c r="F389" s="16">
        <v>1500</v>
      </c>
      <c r="G389" s="17"/>
    </row>
    <row r="390" spans="1:7" s="12" customFormat="1" ht="14.25" customHeight="1">
      <c r="A390" s="96" t="s">
        <v>17</v>
      </c>
      <c r="B390" s="17" t="s">
        <v>1017</v>
      </c>
      <c r="C390" s="96" t="s">
        <v>1069</v>
      </c>
      <c r="D390" s="17" t="s">
        <v>166</v>
      </c>
      <c r="E390" s="99" t="s">
        <v>938</v>
      </c>
      <c r="F390" s="16">
        <v>1000</v>
      </c>
      <c r="G390" s="17"/>
    </row>
    <row r="391" spans="1:7" s="12" customFormat="1" ht="14.25" customHeight="1">
      <c r="A391" s="96" t="s">
        <v>17</v>
      </c>
      <c r="B391" s="17" t="s">
        <v>1017</v>
      </c>
      <c r="C391" s="96" t="s">
        <v>1069</v>
      </c>
      <c r="D391" s="17" t="s">
        <v>166</v>
      </c>
      <c r="E391" s="99" t="s">
        <v>939</v>
      </c>
      <c r="F391" s="16">
        <v>1000</v>
      </c>
      <c r="G391" s="17"/>
    </row>
    <row r="392" spans="1:7" s="12" customFormat="1" ht="14.25" customHeight="1">
      <c r="A392" s="96" t="s">
        <v>17</v>
      </c>
      <c r="B392" s="17" t="s">
        <v>1017</v>
      </c>
      <c r="C392" s="96" t="s">
        <v>1069</v>
      </c>
      <c r="D392" s="17" t="s">
        <v>425</v>
      </c>
      <c r="E392" s="99" t="s">
        <v>947</v>
      </c>
      <c r="F392" s="16">
        <v>1000</v>
      </c>
      <c r="G392" s="17"/>
    </row>
    <row r="393" spans="1:7" s="12" customFormat="1" ht="14.25" customHeight="1">
      <c r="A393" s="96" t="s">
        <v>1048</v>
      </c>
      <c r="B393" s="17" t="s">
        <v>268</v>
      </c>
      <c r="C393" s="96" t="s">
        <v>270</v>
      </c>
      <c r="D393" s="17" t="s">
        <v>425</v>
      </c>
      <c r="E393" s="99" t="s">
        <v>949</v>
      </c>
      <c r="F393" s="16">
        <v>1500</v>
      </c>
      <c r="G393" s="17"/>
    </row>
    <row r="394" spans="1:7" s="12" customFormat="1" ht="14.25" customHeight="1">
      <c r="A394" s="96" t="s">
        <v>17</v>
      </c>
      <c r="B394" s="17" t="s">
        <v>1017</v>
      </c>
      <c r="C394" s="96" t="s">
        <v>1069</v>
      </c>
      <c r="D394" s="17" t="s">
        <v>425</v>
      </c>
      <c r="E394" s="99" t="s">
        <v>950</v>
      </c>
      <c r="F394" s="16">
        <v>1000</v>
      </c>
      <c r="G394" s="17"/>
    </row>
    <row r="395" spans="1:7" s="12" customFormat="1" ht="14.25" customHeight="1">
      <c r="A395" s="96" t="s">
        <v>17</v>
      </c>
      <c r="B395" s="17" t="s">
        <v>1017</v>
      </c>
      <c r="C395" s="96" t="s">
        <v>1069</v>
      </c>
      <c r="D395" s="17" t="s">
        <v>425</v>
      </c>
      <c r="E395" s="99" t="s">
        <v>951</v>
      </c>
      <c r="F395" s="16">
        <v>1000</v>
      </c>
      <c r="G395" s="17"/>
    </row>
    <row r="396" spans="1:7" s="12" customFormat="1" ht="14.25" customHeight="1">
      <c r="A396" s="96" t="s">
        <v>17</v>
      </c>
      <c r="B396" s="17" t="s">
        <v>1017</v>
      </c>
      <c r="C396" s="96" t="s">
        <v>1069</v>
      </c>
      <c r="D396" s="17" t="s">
        <v>447</v>
      </c>
      <c r="E396" s="99" t="s">
        <v>961</v>
      </c>
      <c r="F396" s="16">
        <v>1000</v>
      </c>
      <c r="G396" s="17"/>
    </row>
    <row r="397" spans="1:7" s="12" customFormat="1" ht="14.25" customHeight="1">
      <c r="A397" s="96" t="s">
        <v>17</v>
      </c>
      <c r="B397" s="17" t="s">
        <v>1071</v>
      </c>
      <c r="C397" s="96" t="s">
        <v>1069</v>
      </c>
      <c r="D397" s="17" t="s">
        <v>448</v>
      </c>
      <c r="E397" s="99" t="s">
        <v>979</v>
      </c>
      <c r="F397" s="16">
        <v>1000</v>
      </c>
      <c r="G397" s="17"/>
    </row>
    <row r="398" spans="1:7" s="12" customFormat="1" ht="14.25" customHeight="1">
      <c r="A398" s="96" t="s">
        <v>17</v>
      </c>
      <c r="B398" s="17" t="s">
        <v>1071</v>
      </c>
      <c r="C398" s="96" t="s">
        <v>1069</v>
      </c>
      <c r="D398" s="17" t="s">
        <v>448</v>
      </c>
      <c r="E398" s="99" t="s">
        <v>983</v>
      </c>
      <c r="F398" s="16">
        <v>1000</v>
      </c>
      <c r="G398" s="17"/>
    </row>
    <row r="399" spans="1:7" s="12" customFormat="1" ht="14.25" customHeight="1">
      <c r="A399" s="96" t="s">
        <v>1048</v>
      </c>
      <c r="B399" s="17" t="s">
        <v>268</v>
      </c>
      <c r="C399" s="96" t="s">
        <v>270</v>
      </c>
      <c r="D399" s="17" t="s">
        <v>448</v>
      </c>
      <c r="E399" s="99" t="s">
        <v>986</v>
      </c>
      <c r="F399" s="16">
        <v>1500</v>
      </c>
      <c r="G399" s="17"/>
    </row>
    <row r="400" spans="1:7" s="12" customFormat="1" ht="14.25" customHeight="1">
      <c r="A400" s="96" t="s">
        <v>17</v>
      </c>
      <c r="B400" s="17" t="s">
        <v>1017</v>
      </c>
      <c r="C400" s="96" t="s">
        <v>1069</v>
      </c>
      <c r="D400" s="17" t="s">
        <v>449</v>
      </c>
      <c r="E400" s="99" t="s">
        <v>989</v>
      </c>
      <c r="F400" s="16">
        <v>1000</v>
      </c>
      <c r="G400" s="17"/>
    </row>
    <row r="401" spans="1:7" s="12" customFormat="1" ht="14.25" customHeight="1">
      <c r="A401" s="96" t="s">
        <v>17</v>
      </c>
      <c r="B401" s="17" t="s">
        <v>1071</v>
      </c>
      <c r="C401" s="96" t="s">
        <v>1069</v>
      </c>
      <c r="D401" s="17" t="s">
        <v>449</v>
      </c>
      <c r="E401" s="99" t="s">
        <v>993</v>
      </c>
      <c r="F401" s="16">
        <v>1000</v>
      </c>
      <c r="G401" s="17"/>
    </row>
    <row r="402" spans="1:7" s="12" customFormat="1" ht="14.25" customHeight="1">
      <c r="A402" s="98" t="s">
        <v>14</v>
      </c>
      <c r="B402" s="16" t="s">
        <v>103</v>
      </c>
      <c r="C402" s="98" t="s">
        <v>108</v>
      </c>
      <c r="D402" s="122" t="s">
        <v>88</v>
      </c>
      <c r="E402" s="152" t="s">
        <v>96</v>
      </c>
      <c r="F402" s="16">
        <v>800</v>
      </c>
      <c r="G402" s="17"/>
    </row>
    <row r="403" spans="1:7" s="12" customFormat="1" ht="14.25" customHeight="1">
      <c r="A403" s="98" t="s">
        <v>90</v>
      </c>
      <c r="B403" s="16" t="s">
        <v>103</v>
      </c>
      <c r="C403" s="98" t="s">
        <v>109</v>
      </c>
      <c r="D403" s="122" t="s">
        <v>88</v>
      </c>
      <c r="E403" s="152" t="s">
        <v>97</v>
      </c>
      <c r="F403" s="16">
        <v>800</v>
      </c>
      <c r="G403" s="17"/>
    </row>
    <row r="404" spans="1:7" s="12" customFormat="1" ht="14.25" customHeight="1">
      <c r="A404" s="98" t="s">
        <v>90</v>
      </c>
      <c r="B404" s="16" t="s">
        <v>103</v>
      </c>
      <c r="C404" s="98" t="s">
        <v>109</v>
      </c>
      <c r="D404" s="122" t="s">
        <v>88</v>
      </c>
      <c r="E404" s="152" t="s">
        <v>98</v>
      </c>
      <c r="F404" s="16">
        <v>800</v>
      </c>
      <c r="G404" s="17"/>
    </row>
    <row r="405" spans="1:7" s="12" customFormat="1" ht="14.25" customHeight="1">
      <c r="A405" s="98" t="s">
        <v>90</v>
      </c>
      <c r="B405" s="16" t="s">
        <v>103</v>
      </c>
      <c r="C405" s="98" t="s">
        <v>109</v>
      </c>
      <c r="D405" s="122" t="s">
        <v>88</v>
      </c>
      <c r="E405" s="152" t="s">
        <v>100</v>
      </c>
      <c r="F405" s="16">
        <v>800</v>
      </c>
      <c r="G405" s="17"/>
    </row>
    <row r="406" spans="1:7" s="12" customFormat="1" ht="14.25" customHeight="1">
      <c r="A406" s="96" t="s">
        <v>274</v>
      </c>
      <c r="B406" s="17" t="s">
        <v>302</v>
      </c>
      <c r="C406" s="96" t="s">
        <v>310</v>
      </c>
      <c r="D406" s="17" t="s">
        <v>275</v>
      </c>
      <c r="E406" s="99" t="s">
        <v>297</v>
      </c>
      <c r="F406" s="16">
        <v>1000</v>
      </c>
      <c r="G406" s="17"/>
    </row>
    <row r="407" spans="1:7" s="12" customFormat="1" ht="14.25" customHeight="1">
      <c r="A407" s="96" t="s">
        <v>271</v>
      </c>
      <c r="B407" s="17" t="s">
        <v>302</v>
      </c>
      <c r="C407" s="96" t="s">
        <v>330</v>
      </c>
      <c r="D407" s="17" t="s">
        <v>312</v>
      </c>
      <c r="E407" s="99" t="s">
        <v>326</v>
      </c>
      <c r="F407" s="16">
        <v>800</v>
      </c>
      <c r="G407" s="17"/>
    </row>
    <row r="408" spans="1:7" s="12" customFormat="1" ht="14.25" customHeight="1">
      <c r="A408" s="96" t="s">
        <v>271</v>
      </c>
      <c r="B408" s="17" t="s">
        <v>302</v>
      </c>
      <c r="C408" s="96" t="s">
        <v>310</v>
      </c>
      <c r="D408" s="17" t="s">
        <v>331</v>
      </c>
      <c r="E408" s="99" t="s">
        <v>337</v>
      </c>
      <c r="F408" s="16">
        <v>1000</v>
      </c>
      <c r="G408" s="17"/>
    </row>
    <row r="409" spans="1:7" s="12" customFormat="1" ht="14.25" customHeight="1">
      <c r="A409" s="96" t="s">
        <v>17</v>
      </c>
      <c r="B409" s="17" t="s">
        <v>343</v>
      </c>
      <c r="C409" s="96" t="s">
        <v>250</v>
      </c>
      <c r="D409" s="17" t="s">
        <v>331</v>
      </c>
      <c r="E409" s="99" t="s">
        <v>340</v>
      </c>
      <c r="F409" s="16">
        <v>800</v>
      </c>
      <c r="G409" s="17"/>
    </row>
    <row r="410" spans="1:7" s="12" customFormat="1" ht="14.25" customHeight="1">
      <c r="A410" s="96" t="s">
        <v>17</v>
      </c>
      <c r="B410" s="17" t="s">
        <v>302</v>
      </c>
      <c r="C410" s="96" t="s">
        <v>308</v>
      </c>
      <c r="D410" s="17" t="s">
        <v>331</v>
      </c>
      <c r="E410" s="99" t="s">
        <v>341</v>
      </c>
      <c r="F410" s="16">
        <v>800</v>
      </c>
      <c r="G410" s="17"/>
    </row>
    <row r="411" spans="1:7" s="12" customFormat="1" ht="14.25" customHeight="1">
      <c r="A411" s="96" t="s">
        <v>17</v>
      </c>
      <c r="B411" s="17" t="s">
        <v>471</v>
      </c>
      <c r="C411" s="96" t="s">
        <v>475</v>
      </c>
      <c r="D411" s="17" t="s">
        <v>427</v>
      </c>
      <c r="E411" s="99" t="s">
        <v>466</v>
      </c>
      <c r="F411" s="16">
        <v>800</v>
      </c>
      <c r="G411" s="17"/>
    </row>
    <row r="412" spans="1:7" s="12" customFormat="1" ht="14.25" customHeight="1">
      <c r="A412" s="17" t="s">
        <v>1048</v>
      </c>
      <c r="B412" s="166" t="s">
        <v>268</v>
      </c>
      <c r="C412" s="96" t="s">
        <v>270</v>
      </c>
      <c r="D412" s="96" t="s">
        <v>433</v>
      </c>
      <c r="E412" s="99" t="s">
        <v>647</v>
      </c>
      <c r="F412" s="16">
        <v>1500</v>
      </c>
      <c r="G412" s="17"/>
    </row>
    <row r="413" spans="1:7" s="12" customFormat="1" ht="14.25" customHeight="1">
      <c r="A413" s="17" t="s">
        <v>1048</v>
      </c>
      <c r="B413" s="166" t="s">
        <v>268</v>
      </c>
      <c r="C413" s="96" t="s">
        <v>270</v>
      </c>
      <c r="D413" s="96" t="s">
        <v>433</v>
      </c>
      <c r="E413" s="99" t="s">
        <v>648</v>
      </c>
      <c r="F413" s="16">
        <v>1500</v>
      </c>
      <c r="G413" s="17"/>
    </row>
    <row r="414" spans="1:7" s="12" customFormat="1" ht="14.25" customHeight="1">
      <c r="A414" s="17" t="s">
        <v>1048</v>
      </c>
      <c r="B414" s="166" t="s">
        <v>268</v>
      </c>
      <c r="C414" s="96" t="s">
        <v>270</v>
      </c>
      <c r="D414" s="96" t="s">
        <v>434</v>
      </c>
      <c r="E414" s="99" t="s">
        <v>663</v>
      </c>
      <c r="F414" s="16">
        <v>1500</v>
      </c>
      <c r="G414" s="17"/>
    </row>
    <row r="415" spans="1:7" s="12" customFormat="1" ht="14.25" customHeight="1">
      <c r="A415" s="17" t="s">
        <v>1048</v>
      </c>
      <c r="B415" s="166" t="s">
        <v>268</v>
      </c>
      <c r="C415" s="96" t="s">
        <v>270</v>
      </c>
      <c r="D415" s="96" t="s">
        <v>434</v>
      </c>
      <c r="E415" s="99" t="s">
        <v>664</v>
      </c>
      <c r="F415" s="16">
        <v>1500</v>
      </c>
      <c r="G415" s="17"/>
    </row>
    <row r="416" spans="1:7" s="12" customFormat="1" ht="14.25" customHeight="1">
      <c r="A416" s="17" t="s">
        <v>1048</v>
      </c>
      <c r="B416" s="166" t="s">
        <v>268</v>
      </c>
      <c r="C416" s="96" t="s">
        <v>270</v>
      </c>
      <c r="D416" s="96" t="s">
        <v>435</v>
      </c>
      <c r="E416" s="99" t="s">
        <v>690</v>
      </c>
      <c r="F416" s="16">
        <v>1500</v>
      </c>
      <c r="G416" s="17"/>
    </row>
    <row r="417" spans="1:7" s="12" customFormat="1" ht="14.25" customHeight="1">
      <c r="A417" s="17" t="s">
        <v>1048</v>
      </c>
      <c r="B417" s="166" t="s">
        <v>268</v>
      </c>
      <c r="C417" s="96" t="s">
        <v>270</v>
      </c>
      <c r="D417" s="96" t="s">
        <v>435</v>
      </c>
      <c r="E417" s="99" t="s">
        <v>691</v>
      </c>
      <c r="F417" s="16">
        <v>1500</v>
      </c>
      <c r="G417" s="17"/>
    </row>
    <row r="418" spans="1:7" s="12" customFormat="1" ht="14.25" customHeight="1">
      <c r="A418" s="17" t="s">
        <v>1048</v>
      </c>
      <c r="B418" s="166" t="s">
        <v>268</v>
      </c>
      <c r="C418" s="96" t="s">
        <v>270</v>
      </c>
      <c r="D418" s="96" t="s">
        <v>435</v>
      </c>
      <c r="E418" s="99" t="s">
        <v>692</v>
      </c>
      <c r="F418" s="16">
        <v>1500</v>
      </c>
      <c r="G418" s="17"/>
    </row>
    <row r="419" spans="1:7" s="12" customFormat="1" ht="14.25" customHeight="1">
      <c r="A419" s="17" t="s">
        <v>1048</v>
      </c>
      <c r="B419" s="166" t="s">
        <v>268</v>
      </c>
      <c r="C419" s="96" t="s">
        <v>270</v>
      </c>
      <c r="D419" s="96" t="s">
        <v>435</v>
      </c>
      <c r="E419" s="99" t="s">
        <v>693</v>
      </c>
      <c r="F419" s="16">
        <v>1500</v>
      </c>
      <c r="G419" s="17"/>
    </row>
    <row r="420" spans="1:7" s="12" customFormat="1" ht="14.25" customHeight="1">
      <c r="A420" s="17" t="s">
        <v>271</v>
      </c>
      <c r="B420" s="166" t="s">
        <v>302</v>
      </c>
      <c r="C420" s="96" t="s">
        <v>596</v>
      </c>
      <c r="D420" s="96" t="s">
        <v>436</v>
      </c>
      <c r="E420" s="99" t="s">
        <v>700</v>
      </c>
      <c r="F420" s="16">
        <v>1000</v>
      </c>
      <c r="G420" s="17"/>
    </row>
    <row r="421" spans="1:7" s="12" customFormat="1" ht="14.25" customHeight="1">
      <c r="A421" s="17" t="s">
        <v>1048</v>
      </c>
      <c r="B421" s="166" t="s">
        <v>754</v>
      </c>
      <c r="C421" s="96" t="s">
        <v>767</v>
      </c>
      <c r="D421" s="96" t="s">
        <v>436</v>
      </c>
      <c r="E421" s="99" t="s">
        <v>715</v>
      </c>
      <c r="F421" s="16">
        <v>800</v>
      </c>
      <c r="G421" s="17"/>
    </row>
    <row r="422" spans="1:7" s="12" customFormat="1" ht="14.25" customHeight="1">
      <c r="A422" s="17" t="s">
        <v>17</v>
      </c>
      <c r="B422" s="166" t="s">
        <v>302</v>
      </c>
      <c r="C422" s="96" t="s">
        <v>768</v>
      </c>
      <c r="D422" s="96" t="s">
        <v>436</v>
      </c>
      <c r="E422" s="99" t="s">
        <v>716</v>
      </c>
      <c r="F422" s="16">
        <v>800</v>
      </c>
      <c r="G422" s="17"/>
    </row>
    <row r="423" spans="1:7" s="12" customFormat="1" ht="14.25" customHeight="1">
      <c r="A423" s="17" t="s">
        <v>17</v>
      </c>
      <c r="B423" s="166" t="s">
        <v>302</v>
      </c>
      <c r="C423" s="96" t="s">
        <v>768</v>
      </c>
      <c r="D423" s="96" t="s">
        <v>436</v>
      </c>
      <c r="E423" s="99" t="s">
        <v>717</v>
      </c>
      <c r="F423" s="16">
        <v>800</v>
      </c>
      <c r="G423" s="17"/>
    </row>
    <row r="424" spans="1:7" s="12" customFormat="1" ht="14.25" customHeight="1">
      <c r="A424" s="17" t="s">
        <v>17</v>
      </c>
      <c r="B424" s="166" t="s">
        <v>302</v>
      </c>
      <c r="C424" s="96" t="s">
        <v>768</v>
      </c>
      <c r="D424" s="96" t="s">
        <v>436</v>
      </c>
      <c r="E424" s="99" t="s">
        <v>718</v>
      </c>
      <c r="F424" s="16">
        <v>800</v>
      </c>
      <c r="G424" s="17"/>
    </row>
    <row r="425" spans="1:7" s="12" customFormat="1" ht="14.25" customHeight="1">
      <c r="A425" s="17" t="s">
        <v>17</v>
      </c>
      <c r="B425" s="166" t="s">
        <v>302</v>
      </c>
      <c r="C425" s="96" t="s">
        <v>768</v>
      </c>
      <c r="D425" s="96" t="s">
        <v>436</v>
      </c>
      <c r="E425" s="99" t="s">
        <v>719</v>
      </c>
      <c r="F425" s="16">
        <v>800</v>
      </c>
      <c r="G425" s="17"/>
    </row>
    <row r="426" spans="1:7" s="12" customFormat="1" ht="14.25" customHeight="1">
      <c r="A426" s="17" t="s">
        <v>17</v>
      </c>
      <c r="B426" s="166" t="s">
        <v>302</v>
      </c>
      <c r="C426" s="96" t="s">
        <v>768</v>
      </c>
      <c r="D426" s="96" t="s">
        <v>436</v>
      </c>
      <c r="E426" s="99" t="s">
        <v>720</v>
      </c>
      <c r="F426" s="16">
        <v>800</v>
      </c>
      <c r="G426" s="17"/>
    </row>
    <row r="427" spans="1:7" s="12" customFormat="1" ht="14.25" customHeight="1">
      <c r="A427" s="17" t="s">
        <v>17</v>
      </c>
      <c r="B427" s="166" t="s">
        <v>302</v>
      </c>
      <c r="C427" s="96" t="s">
        <v>768</v>
      </c>
      <c r="D427" s="96" t="s">
        <v>436</v>
      </c>
      <c r="E427" s="99" t="s">
        <v>721</v>
      </c>
      <c r="F427" s="16">
        <v>800</v>
      </c>
      <c r="G427" s="17"/>
    </row>
    <row r="428" spans="1:7" s="12" customFormat="1" ht="14.25" customHeight="1">
      <c r="A428" s="17" t="s">
        <v>17</v>
      </c>
      <c r="B428" s="166" t="s">
        <v>302</v>
      </c>
      <c r="C428" s="96" t="s">
        <v>768</v>
      </c>
      <c r="D428" s="96" t="s">
        <v>436</v>
      </c>
      <c r="E428" s="99" t="s">
        <v>722</v>
      </c>
      <c r="F428" s="16">
        <v>800</v>
      </c>
      <c r="G428" s="17"/>
    </row>
    <row r="429" spans="1:7" s="12" customFormat="1" ht="14.25" customHeight="1">
      <c r="A429" s="17" t="s">
        <v>17</v>
      </c>
      <c r="B429" s="166" t="s">
        <v>302</v>
      </c>
      <c r="C429" s="96" t="s">
        <v>768</v>
      </c>
      <c r="D429" s="96" t="s">
        <v>436</v>
      </c>
      <c r="E429" s="99" t="s">
        <v>723</v>
      </c>
      <c r="F429" s="16">
        <v>800</v>
      </c>
      <c r="G429" s="17"/>
    </row>
    <row r="430" spans="1:7" s="12" customFormat="1" ht="14.25" customHeight="1">
      <c r="A430" s="17" t="s">
        <v>17</v>
      </c>
      <c r="B430" s="166" t="s">
        <v>755</v>
      </c>
      <c r="C430" s="96" t="s">
        <v>769</v>
      </c>
      <c r="D430" s="96" t="s">
        <v>436</v>
      </c>
      <c r="E430" s="99" t="s">
        <v>724</v>
      </c>
      <c r="F430" s="16">
        <v>800</v>
      </c>
      <c r="G430" s="17"/>
    </row>
    <row r="431" spans="1:7" s="12" customFormat="1" ht="14.25" customHeight="1">
      <c r="A431" s="17" t="s">
        <v>17</v>
      </c>
      <c r="B431" s="166" t="s">
        <v>302</v>
      </c>
      <c r="C431" s="96" t="s">
        <v>768</v>
      </c>
      <c r="D431" s="96" t="s">
        <v>437</v>
      </c>
      <c r="E431" s="99" t="s">
        <v>725</v>
      </c>
      <c r="F431" s="16">
        <v>800</v>
      </c>
      <c r="G431" s="17"/>
    </row>
    <row r="432" spans="1:7" s="12" customFormat="1" ht="14.25" customHeight="1">
      <c r="A432" s="17" t="s">
        <v>17</v>
      </c>
      <c r="B432" s="166" t="s">
        <v>302</v>
      </c>
      <c r="C432" s="96" t="s">
        <v>768</v>
      </c>
      <c r="D432" s="96" t="s">
        <v>437</v>
      </c>
      <c r="E432" s="99" t="s">
        <v>726</v>
      </c>
      <c r="F432" s="16">
        <v>800</v>
      </c>
      <c r="G432" s="17"/>
    </row>
    <row r="433" spans="1:7" s="12" customFormat="1" ht="14.25" customHeight="1">
      <c r="A433" s="17" t="s">
        <v>17</v>
      </c>
      <c r="B433" s="166" t="s">
        <v>302</v>
      </c>
      <c r="C433" s="96" t="s">
        <v>768</v>
      </c>
      <c r="D433" s="96" t="s">
        <v>437</v>
      </c>
      <c r="E433" s="99" t="s">
        <v>727</v>
      </c>
      <c r="F433" s="16">
        <v>800</v>
      </c>
      <c r="G433" s="17"/>
    </row>
    <row r="434" spans="1:7" s="12" customFormat="1" ht="14.25" customHeight="1">
      <c r="A434" s="17" t="s">
        <v>17</v>
      </c>
      <c r="B434" s="166" t="s">
        <v>302</v>
      </c>
      <c r="C434" s="96" t="s">
        <v>770</v>
      </c>
      <c r="D434" s="96" t="s">
        <v>437</v>
      </c>
      <c r="E434" s="99" t="s">
        <v>728</v>
      </c>
      <c r="F434" s="16">
        <v>800</v>
      </c>
      <c r="G434" s="17"/>
    </row>
    <row r="435" spans="1:7" s="12" customFormat="1" ht="14.25" customHeight="1">
      <c r="A435" s="17" t="s">
        <v>1048</v>
      </c>
      <c r="B435" s="166" t="s">
        <v>589</v>
      </c>
      <c r="C435" s="96" t="s">
        <v>772</v>
      </c>
      <c r="D435" s="96" t="s">
        <v>437</v>
      </c>
      <c r="E435" s="99" t="s">
        <v>731</v>
      </c>
      <c r="F435" s="16">
        <v>800</v>
      </c>
      <c r="G435" s="17"/>
    </row>
    <row r="436" spans="1:7" s="12" customFormat="1" ht="14.25" customHeight="1">
      <c r="A436" s="17" t="s">
        <v>1048</v>
      </c>
      <c r="B436" s="166" t="s">
        <v>754</v>
      </c>
      <c r="C436" s="96" t="s">
        <v>767</v>
      </c>
      <c r="D436" s="96" t="s">
        <v>437</v>
      </c>
      <c r="E436" s="99" t="s">
        <v>732</v>
      </c>
      <c r="F436" s="16">
        <v>800</v>
      </c>
      <c r="G436" s="17"/>
    </row>
    <row r="437" spans="1:7" s="12" customFormat="1" ht="14.25" customHeight="1">
      <c r="A437" s="17" t="s">
        <v>1048</v>
      </c>
      <c r="B437" s="166" t="s">
        <v>589</v>
      </c>
      <c r="C437" s="96" t="s">
        <v>772</v>
      </c>
      <c r="D437" s="96" t="s">
        <v>437</v>
      </c>
      <c r="E437" s="99" t="s">
        <v>733</v>
      </c>
      <c r="F437" s="16">
        <v>800</v>
      </c>
      <c r="G437" s="17"/>
    </row>
    <row r="438" spans="1:7" s="12" customFormat="1" ht="14.25" customHeight="1">
      <c r="A438" s="17" t="s">
        <v>1048</v>
      </c>
      <c r="B438" s="166" t="s">
        <v>589</v>
      </c>
      <c r="C438" s="96" t="s">
        <v>772</v>
      </c>
      <c r="D438" s="96" t="s">
        <v>437</v>
      </c>
      <c r="E438" s="99" t="s">
        <v>734</v>
      </c>
      <c r="F438" s="16">
        <v>800</v>
      </c>
      <c r="G438" s="17"/>
    </row>
    <row r="439" spans="1:7" s="12" customFormat="1" ht="14.25" customHeight="1">
      <c r="A439" s="17" t="s">
        <v>1048</v>
      </c>
      <c r="B439" s="166" t="s">
        <v>589</v>
      </c>
      <c r="C439" s="96" t="s">
        <v>772</v>
      </c>
      <c r="D439" s="96" t="s">
        <v>436</v>
      </c>
      <c r="E439" s="99" t="s">
        <v>735</v>
      </c>
      <c r="F439" s="16">
        <v>800</v>
      </c>
      <c r="G439" s="17"/>
    </row>
    <row r="440" spans="1:7" s="12" customFormat="1" ht="14.25" customHeight="1">
      <c r="A440" s="17" t="s">
        <v>1048</v>
      </c>
      <c r="B440" s="166" t="s">
        <v>589</v>
      </c>
      <c r="C440" s="96" t="s">
        <v>772</v>
      </c>
      <c r="D440" s="96" t="s">
        <v>436</v>
      </c>
      <c r="E440" s="99" t="s">
        <v>736</v>
      </c>
      <c r="F440" s="16">
        <v>800</v>
      </c>
      <c r="G440" s="17"/>
    </row>
    <row r="441" spans="1:7" s="12" customFormat="1" ht="14.25" customHeight="1">
      <c r="A441" s="17" t="s">
        <v>1048</v>
      </c>
      <c r="B441" s="166" t="s">
        <v>589</v>
      </c>
      <c r="C441" s="96" t="s">
        <v>772</v>
      </c>
      <c r="D441" s="96" t="s">
        <v>436</v>
      </c>
      <c r="E441" s="99" t="s">
        <v>737</v>
      </c>
      <c r="F441" s="16">
        <v>800</v>
      </c>
      <c r="G441" s="17"/>
    </row>
    <row r="442" spans="1:7" s="12" customFormat="1" ht="14.25" customHeight="1">
      <c r="A442" s="17" t="s">
        <v>1048</v>
      </c>
      <c r="B442" s="166" t="s">
        <v>589</v>
      </c>
      <c r="C442" s="96" t="s">
        <v>772</v>
      </c>
      <c r="D442" s="96" t="s">
        <v>436</v>
      </c>
      <c r="E442" s="99" t="s">
        <v>738</v>
      </c>
      <c r="F442" s="16">
        <v>800</v>
      </c>
      <c r="G442" s="17"/>
    </row>
    <row r="443" spans="1:7" s="12" customFormat="1" ht="14.25" customHeight="1">
      <c r="A443" s="17" t="s">
        <v>1048</v>
      </c>
      <c r="B443" s="166" t="s">
        <v>589</v>
      </c>
      <c r="C443" s="96" t="s">
        <v>772</v>
      </c>
      <c r="D443" s="96" t="s">
        <v>436</v>
      </c>
      <c r="E443" s="99" t="s">
        <v>739</v>
      </c>
      <c r="F443" s="16">
        <v>800</v>
      </c>
      <c r="G443" s="17"/>
    </row>
    <row r="444" spans="1:7" s="12" customFormat="1" ht="14.25" customHeight="1">
      <c r="A444" s="17" t="s">
        <v>1048</v>
      </c>
      <c r="B444" s="166" t="s">
        <v>589</v>
      </c>
      <c r="C444" s="96" t="s">
        <v>772</v>
      </c>
      <c r="D444" s="96" t="s">
        <v>436</v>
      </c>
      <c r="E444" s="99" t="s">
        <v>740</v>
      </c>
      <c r="F444" s="16">
        <v>800</v>
      </c>
      <c r="G444" s="17"/>
    </row>
    <row r="445" spans="1:7" s="12" customFormat="1" ht="14.25" customHeight="1">
      <c r="A445" s="17" t="s">
        <v>1048</v>
      </c>
      <c r="B445" s="166" t="s">
        <v>589</v>
      </c>
      <c r="C445" s="96" t="s">
        <v>772</v>
      </c>
      <c r="D445" s="96" t="s">
        <v>436</v>
      </c>
      <c r="E445" s="99" t="s">
        <v>741</v>
      </c>
      <c r="F445" s="16">
        <v>800</v>
      </c>
      <c r="G445" s="17"/>
    </row>
    <row r="446" spans="1:7" s="12" customFormat="1" ht="14.25" customHeight="1">
      <c r="A446" s="17" t="s">
        <v>1048</v>
      </c>
      <c r="B446" s="166" t="s">
        <v>589</v>
      </c>
      <c r="C446" s="96" t="s">
        <v>772</v>
      </c>
      <c r="D446" s="96" t="s">
        <v>436</v>
      </c>
      <c r="E446" s="99" t="s">
        <v>742</v>
      </c>
      <c r="F446" s="16">
        <v>800</v>
      </c>
      <c r="G446" s="17"/>
    </row>
    <row r="447" spans="1:7" s="12" customFormat="1" ht="14.25" customHeight="1">
      <c r="A447" s="17" t="s">
        <v>271</v>
      </c>
      <c r="B447" s="166" t="s">
        <v>302</v>
      </c>
      <c r="C447" s="96" t="s">
        <v>596</v>
      </c>
      <c r="D447" s="96" t="s">
        <v>437</v>
      </c>
      <c r="E447" s="99" t="s">
        <v>748</v>
      </c>
      <c r="F447" s="16">
        <v>1000</v>
      </c>
      <c r="G447" s="17"/>
    </row>
    <row r="448" spans="1:7" s="12" customFormat="1" ht="14.25" customHeight="1">
      <c r="A448" s="96" t="s">
        <v>17</v>
      </c>
      <c r="B448" s="17" t="s">
        <v>996</v>
      </c>
      <c r="C448" s="96" t="s">
        <v>997</v>
      </c>
      <c r="D448" s="17" t="s">
        <v>438</v>
      </c>
      <c r="E448" s="99" t="s">
        <v>778</v>
      </c>
      <c r="F448" s="16">
        <v>800</v>
      </c>
      <c r="G448" s="17"/>
    </row>
    <row r="449" spans="1:7" s="12" customFormat="1" ht="14.25" customHeight="1">
      <c r="A449" s="96" t="s">
        <v>467</v>
      </c>
      <c r="B449" s="17" t="s">
        <v>470</v>
      </c>
      <c r="C449" s="96" t="s">
        <v>1011</v>
      </c>
      <c r="D449" s="17" t="s">
        <v>440</v>
      </c>
      <c r="E449" s="99" t="s">
        <v>799</v>
      </c>
      <c r="F449" s="16">
        <v>800</v>
      </c>
      <c r="G449" s="17"/>
    </row>
    <row r="450" spans="1:7" s="12" customFormat="1" ht="14.25" customHeight="1">
      <c r="A450" s="96" t="s">
        <v>467</v>
      </c>
      <c r="B450" s="17" t="s">
        <v>470</v>
      </c>
      <c r="C450" s="96" t="s">
        <v>1011</v>
      </c>
      <c r="D450" s="17" t="s">
        <v>440</v>
      </c>
      <c r="E450" s="99" t="s">
        <v>801</v>
      </c>
      <c r="F450" s="16">
        <v>800</v>
      </c>
      <c r="G450" s="17"/>
    </row>
    <row r="451" spans="1:7" s="12" customFormat="1" ht="14.25" customHeight="1">
      <c r="A451" s="96" t="s">
        <v>467</v>
      </c>
      <c r="B451" s="17" t="s">
        <v>470</v>
      </c>
      <c r="C451" s="96" t="s">
        <v>1011</v>
      </c>
      <c r="D451" s="17" t="s">
        <v>440</v>
      </c>
      <c r="E451" s="99" t="s">
        <v>803</v>
      </c>
      <c r="F451" s="16">
        <v>800</v>
      </c>
      <c r="G451" s="17"/>
    </row>
    <row r="452" spans="1:7" s="12" customFormat="1" ht="14.25" customHeight="1">
      <c r="A452" s="96" t="s">
        <v>467</v>
      </c>
      <c r="B452" s="17" t="s">
        <v>1022</v>
      </c>
      <c r="C452" s="96" t="s">
        <v>1011</v>
      </c>
      <c r="D452" s="17" t="s">
        <v>446</v>
      </c>
      <c r="E452" s="99" t="s">
        <v>914</v>
      </c>
      <c r="F452" s="16">
        <v>800</v>
      </c>
      <c r="G452" s="17"/>
    </row>
    <row r="453" spans="1:7" s="12" customFormat="1" ht="14.25" customHeight="1">
      <c r="A453" s="96" t="s">
        <v>17</v>
      </c>
      <c r="B453" s="17" t="s">
        <v>1017</v>
      </c>
      <c r="C453" s="96" t="s">
        <v>1069</v>
      </c>
      <c r="D453" s="17" t="s">
        <v>167</v>
      </c>
      <c r="E453" s="99" t="s">
        <v>920</v>
      </c>
      <c r="F453" s="16">
        <v>800</v>
      </c>
      <c r="G453" s="17"/>
    </row>
    <row r="454" spans="1:7" s="12" customFormat="1" ht="14.25" customHeight="1">
      <c r="A454" s="96" t="s">
        <v>17</v>
      </c>
      <c r="B454" s="17" t="s">
        <v>1017</v>
      </c>
      <c r="C454" s="96" t="s">
        <v>1069</v>
      </c>
      <c r="D454" s="17" t="s">
        <v>167</v>
      </c>
      <c r="E454" s="99" t="s">
        <v>921</v>
      </c>
      <c r="F454" s="16">
        <v>800</v>
      </c>
      <c r="G454" s="17"/>
    </row>
    <row r="455" spans="1:7" s="12" customFormat="1" ht="14.25" customHeight="1">
      <c r="A455" s="98" t="s">
        <v>179</v>
      </c>
      <c r="B455" s="16" t="s">
        <v>101</v>
      </c>
      <c r="C455" s="171" t="s">
        <v>178</v>
      </c>
      <c r="D455" s="122" t="s">
        <v>183</v>
      </c>
      <c r="E455" s="152" t="s">
        <v>180</v>
      </c>
      <c r="F455" s="16">
        <v>700</v>
      </c>
      <c r="G455" s="17" t="s">
        <v>185</v>
      </c>
    </row>
    <row r="456" spans="1:7" s="12" customFormat="1" ht="14.25" customHeight="1">
      <c r="A456" s="98" t="s">
        <v>179</v>
      </c>
      <c r="B456" s="16" t="s">
        <v>101</v>
      </c>
      <c r="C456" s="171" t="s">
        <v>178</v>
      </c>
      <c r="D456" s="122" t="s">
        <v>183</v>
      </c>
      <c r="E456" s="152" t="s">
        <v>181</v>
      </c>
      <c r="F456" s="16">
        <v>700</v>
      </c>
      <c r="G456" s="17" t="s">
        <v>185</v>
      </c>
    </row>
    <row r="457" spans="1:7" s="12" customFormat="1" ht="14.25" customHeight="1">
      <c r="A457" s="153" t="s">
        <v>18</v>
      </c>
      <c r="B457" s="16" t="s">
        <v>188</v>
      </c>
      <c r="C457" s="122" t="s">
        <v>189</v>
      </c>
      <c r="D457" s="98" t="s">
        <v>116</v>
      </c>
      <c r="E457" s="100" t="s">
        <v>187</v>
      </c>
      <c r="F457" s="16">
        <v>680</v>
      </c>
      <c r="G457" s="17"/>
    </row>
    <row r="458" spans="1:7" s="12" customFormat="1" ht="14.25" customHeight="1">
      <c r="A458" s="98" t="s">
        <v>14</v>
      </c>
      <c r="B458" s="16" t="s">
        <v>52</v>
      </c>
      <c r="C458" s="98" t="s">
        <v>64</v>
      </c>
      <c r="D458" s="147" t="s">
        <v>23</v>
      </c>
      <c r="E458" s="100" t="s">
        <v>28</v>
      </c>
      <c r="F458" s="16">
        <v>600</v>
      </c>
      <c r="G458" s="17"/>
    </row>
    <row r="459" spans="1:7" s="12" customFormat="1" ht="14.25" customHeight="1">
      <c r="A459" s="98" t="s">
        <v>186</v>
      </c>
      <c r="B459" s="16" t="s">
        <v>52</v>
      </c>
      <c r="C459" s="98" t="s">
        <v>69</v>
      </c>
      <c r="D459" s="147" t="s">
        <v>23</v>
      </c>
      <c r="E459" s="101" t="s">
        <v>36</v>
      </c>
      <c r="F459" s="16">
        <v>600</v>
      </c>
      <c r="G459" s="17"/>
    </row>
    <row r="460" spans="1:7" s="12" customFormat="1" ht="14.25" customHeight="1">
      <c r="A460" s="96" t="s">
        <v>17</v>
      </c>
      <c r="B460" s="17" t="s">
        <v>589</v>
      </c>
      <c r="C460" s="96" t="s">
        <v>1000</v>
      </c>
      <c r="D460" s="17" t="s">
        <v>438</v>
      </c>
      <c r="E460" s="99" t="s">
        <v>780</v>
      </c>
      <c r="F460" s="16">
        <v>600</v>
      </c>
      <c r="G460" s="17"/>
    </row>
    <row r="461" spans="1:7" s="12" customFormat="1" ht="14.25" customHeight="1">
      <c r="A461" s="98" t="s">
        <v>20</v>
      </c>
      <c r="B461" s="16" t="s">
        <v>130</v>
      </c>
      <c r="C461" s="98" t="s">
        <v>137</v>
      </c>
      <c r="D461" s="98" t="s">
        <v>116</v>
      </c>
      <c r="E461" s="100" t="s">
        <v>141</v>
      </c>
      <c r="F461" s="16">
        <v>500</v>
      </c>
      <c r="G461" s="17"/>
    </row>
    <row r="462" spans="1:7" s="12" customFormat="1" ht="14.25" customHeight="1">
      <c r="A462" s="98" t="s">
        <v>20</v>
      </c>
      <c r="B462" s="16" t="s">
        <v>130</v>
      </c>
      <c r="C462" s="98" t="s">
        <v>137</v>
      </c>
      <c r="D462" s="98" t="s">
        <v>116</v>
      </c>
      <c r="E462" s="172" t="s">
        <v>125</v>
      </c>
      <c r="F462" s="16">
        <v>500</v>
      </c>
      <c r="G462" s="17"/>
    </row>
    <row r="463" spans="1:7" s="12" customFormat="1" ht="14.25" customHeight="1">
      <c r="A463" s="96" t="s">
        <v>17</v>
      </c>
      <c r="B463" s="17" t="s">
        <v>222</v>
      </c>
      <c r="C463" s="96" t="s">
        <v>225</v>
      </c>
      <c r="D463" s="103" t="s">
        <v>219</v>
      </c>
      <c r="E463" s="99" t="s">
        <v>217</v>
      </c>
      <c r="F463" s="16">
        <v>500</v>
      </c>
      <c r="G463" s="17"/>
    </row>
    <row r="464" spans="1:7" s="12" customFormat="1" ht="14.25" customHeight="1">
      <c r="A464" s="96" t="s">
        <v>220</v>
      </c>
      <c r="B464" s="17" t="s">
        <v>130</v>
      </c>
      <c r="C464" s="96" t="s">
        <v>226</v>
      </c>
      <c r="D464" s="103" t="s">
        <v>219</v>
      </c>
      <c r="E464" s="99" t="s">
        <v>218</v>
      </c>
      <c r="F464" s="16">
        <v>500</v>
      </c>
      <c r="G464" s="17"/>
    </row>
    <row r="465" spans="1:7" s="12" customFormat="1" ht="14.25" customHeight="1">
      <c r="A465" s="96" t="s">
        <v>17</v>
      </c>
      <c r="B465" s="17" t="s">
        <v>222</v>
      </c>
      <c r="C465" s="96" t="s">
        <v>225</v>
      </c>
      <c r="D465" s="17" t="s">
        <v>227</v>
      </c>
      <c r="E465" s="99" t="s">
        <v>229</v>
      </c>
      <c r="F465" s="16">
        <v>500</v>
      </c>
      <c r="G465" s="17"/>
    </row>
    <row r="466" spans="1:7" s="12" customFormat="1" ht="14.25" customHeight="1">
      <c r="A466" s="96" t="s">
        <v>220</v>
      </c>
      <c r="B466" s="17" t="s">
        <v>130</v>
      </c>
      <c r="C466" s="96" t="s">
        <v>232</v>
      </c>
      <c r="D466" s="17" t="s">
        <v>227</v>
      </c>
      <c r="E466" s="99" t="s">
        <v>230</v>
      </c>
      <c r="F466" s="16">
        <v>500</v>
      </c>
      <c r="G466" s="17"/>
    </row>
    <row r="467" spans="1:7" s="12" customFormat="1" ht="14.25" customHeight="1">
      <c r="A467" s="96" t="s">
        <v>17</v>
      </c>
      <c r="B467" s="17" t="s">
        <v>222</v>
      </c>
      <c r="C467" s="96" t="s">
        <v>225</v>
      </c>
      <c r="D467" s="17" t="s">
        <v>233</v>
      </c>
      <c r="E467" s="99" t="s">
        <v>235</v>
      </c>
      <c r="F467" s="16">
        <v>500</v>
      </c>
      <c r="G467" s="17"/>
    </row>
    <row r="468" spans="1:7" s="12" customFormat="1" ht="14.25" customHeight="1">
      <c r="A468" s="96" t="s">
        <v>17</v>
      </c>
      <c r="B468" s="17" t="s">
        <v>246</v>
      </c>
      <c r="C468" s="96" t="s">
        <v>250</v>
      </c>
      <c r="D468" s="150" t="s">
        <v>238</v>
      </c>
      <c r="E468" s="99" t="s">
        <v>243</v>
      </c>
      <c r="F468" s="16">
        <v>500</v>
      </c>
      <c r="G468" s="17"/>
    </row>
    <row r="469" spans="1:7" s="12" customFormat="1" ht="14.25" customHeight="1">
      <c r="A469" s="96" t="s">
        <v>17</v>
      </c>
      <c r="B469" s="17" t="s">
        <v>267</v>
      </c>
      <c r="C469" s="96" t="s">
        <v>138</v>
      </c>
      <c r="D469" s="17" t="s">
        <v>261</v>
      </c>
      <c r="E469" s="99" t="s">
        <v>263</v>
      </c>
      <c r="F469" s="16">
        <v>500</v>
      </c>
      <c r="G469" s="17"/>
    </row>
    <row r="470" spans="1:7" s="12" customFormat="1" ht="14.25" customHeight="1">
      <c r="A470" s="96" t="s">
        <v>17</v>
      </c>
      <c r="B470" s="17" t="s">
        <v>267</v>
      </c>
      <c r="C470" s="96" t="s">
        <v>138</v>
      </c>
      <c r="D470" s="17" t="s">
        <v>261</v>
      </c>
      <c r="E470" s="99" t="s">
        <v>266</v>
      </c>
      <c r="F470" s="16">
        <v>500</v>
      </c>
      <c r="G470" s="17"/>
    </row>
    <row r="471" spans="1:7" s="12" customFormat="1" ht="14.25" customHeight="1">
      <c r="A471" s="96" t="s">
        <v>17</v>
      </c>
      <c r="B471" s="17" t="s">
        <v>302</v>
      </c>
      <c r="C471" s="96" t="s">
        <v>308</v>
      </c>
      <c r="D471" s="17" t="s">
        <v>275</v>
      </c>
      <c r="E471" s="99" t="s">
        <v>293</v>
      </c>
      <c r="F471" s="16">
        <v>500</v>
      </c>
      <c r="G471" s="17"/>
    </row>
    <row r="472" spans="1:7" s="12" customFormat="1" ht="14.25" customHeight="1">
      <c r="A472" s="96" t="s">
        <v>17</v>
      </c>
      <c r="B472" s="17" t="s">
        <v>302</v>
      </c>
      <c r="C472" s="96" t="s">
        <v>308</v>
      </c>
      <c r="D472" s="17" t="s">
        <v>275</v>
      </c>
      <c r="E472" s="99" t="s">
        <v>294</v>
      </c>
      <c r="F472" s="16">
        <v>500</v>
      </c>
      <c r="G472" s="17"/>
    </row>
    <row r="473" spans="1:7" s="12" customFormat="1" ht="14.25" customHeight="1">
      <c r="A473" s="96" t="s">
        <v>17</v>
      </c>
      <c r="B473" s="17" t="s">
        <v>302</v>
      </c>
      <c r="C473" s="96" t="s">
        <v>328</v>
      </c>
      <c r="D473" s="17" t="s">
        <v>312</v>
      </c>
      <c r="E473" s="99" t="s">
        <v>322</v>
      </c>
      <c r="F473" s="16">
        <v>500</v>
      </c>
      <c r="G473" s="17"/>
    </row>
    <row r="474" spans="1:7" s="12" customFormat="1" ht="14.25" customHeight="1">
      <c r="A474" s="96" t="s">
        <v>17</v>
      </c>
      <c r="B474" s="17" t="s">
        <v>302</v>
      </c>
      <c r="C474" s="96" t="s">
        <v>329</v>
      </c>
      <c r="D474" s="17" t="s">
        <v>312</v>
      </c>
      <c r="E474" s="99" t="s">
        <v>323</v>
      </c>
      <c r="F474" s="16">
        <v>500</v>
      </c>
      <c r="G474" s="17"/>
    </row>
    <row r="475" spans="1:7" s="12" customFormat="1" ht="14.25" customHeight="1">
      <c r="A475" s="96" t="s">
        <v>273</v>
      </c>
      <c r="B475" s="17" t="s">
        <v>304</v>
      </c>
      <c r="C475" s="96" t="s">
        <v>309</v>
      </c>
      <c r="D475" s="17" t="s">
        <v>312</v>
      </c>
      <c r="E475" s="99" t="s">
        <v>324</v>
      </c>
      <c r="F475" s="16">
        <v>500</v>
      </c>
      <c r="G475" s="17"/>
    </row>
    <row r="476" spans="1:7" s="12" customFormat="1" ht="14.25" customHeight="1">
      <c r="A476" s="96" t="s">
        <v>14</v>
      </c>
      <c r="B476" s="17" t="s">
        <v>104</v>
      </c>
      <c r="C476" s="96" t="s">
        <v>110</v>
      </c>
      <c r="D476" s="17" t="s">
        <v>344</v>
      </c>
      <c r="E476" s="99" t="s">
        <v>352</v>
      </c>
      <c r="F476" s="16">
        <v>500</v>
      </c>
      <c r="G476" s="17"/>
    </row>
    <row r="477" spans="1:7" s="12" customFormat="1" ht="14.25" customHeight="1">
      <c r="A477" s="96" t="s">
        <v>506</v>
      </c>
      <c r="B477" s="17" t="s">
        <v>496</v>
      </c>
      <c r="C477" s="96" t="s">
        <v>480</v>
      </c>
      <c r="D477" s="17" t="s">
        <v>428</v>
      </c>
      <c r="E477" s="99" t="s">
        <v>502</v>
      </c>
      <c r="F477" s="16">
        <v>500</v>
      </c>
      <c r="G477" s="17"/>
    </row>
    <row r="478" spans="1:7" s="12" customFormat="1" ht="14.25" customHeight="1">
      <c r="A478" s="96" t="s">
        <v>14</v>
      </c>
      <c r="B478" s="17" t="s">
        <v>505</v>
      </c>
      <c r="C478" s="96" t="s">
        <v>505</v>
      </c>
      <c r="D478" s="17" t="s">
        <v>428</v>
      </c>
      <c r="E478" s="99" t="s">
        <v>503</v>
      </c>
      <c r="F478" s="16">
        <v>500</v>
      </c>
      <c r="G478" s="17"/>
    </row>
    <row r="479" spans="1:7" s="12" customFormat="1" ht="14.25" customHeight="1">
      <c r="A479" s="96" t="s">
        <v>467</v>
      </c>
      <c r="B479" s="17" t="s">
        <v>470</v>
      </c>
      <c r="C479" s="96" t="s">
        <v>472</v>
      </c>
      <c r="D479" s="17" t="s">
        <v>429</v>
      </c>
      <c r="E479" s="99" t="s">
        <v>527</v>
      </c>
      <c r="F479" s="16">
        <v>500</v>
      </c>
      <c r="G479" s="17"/>
    </row>
    <row r="480" spans="1:7" s="12" customFormat="1" ht="14.25" customHeight="1">
      <c r="A480" s="96" t="s">
        <v>20</v>
      </c>
      <c r="B480" s="17" t="s">
        <v>302</v>
      </c>
      <c r="C480" s="96" t="s">
        <v>473</v>
      </c>
      <c r="D480" s="17" t="s">
        <v>431</v>
      </c>
      <c r="E480" s="99" t="s">
        <v>546</v>
      </c>
      <c r="F480" s="16">
        <v>500</v>
      </c>
      <c r="G480" s="17"/>
    </row>
    <row r="481" spans="1:7" s="12" customFormat="1" ht="14.25" customHeight="1">
      <c r="A481" s="96" t="s">
        <v>1068</v>
      </c>
      <c r="B481" s="17" t="s">
        <v>300</v>
      </c>
      <c r="C481" s="96" t="s">
        <v>1004</v>
      </c>
      <c r="D481" s="17" t="s">
        <v>439</v>
      </c>
      <c r="E481" s="99" t="s">
        <v>785</v>
      </c>
      <c r="F481" s="16">
        <v>500</v>
      </c>
      <c r="G481" s="17"/>
    </row>
    <row r="482" spans="1:7" s="12" customFormat="1" ht="14.25" customHeight="1">
      <c r="A482" s="96" t="s">
        <v>1068</v>
      </c>
      <c r="B482" s="17" t="s">
        <v>300</v>
      </c>
      <c r="C482" s="96" t="s">
        <v>1004</v>
      </c>
      <c r="D482" s="17" t="s">
        <v>439</v>
      </c>
      <c r="E482" s="99" t="s">
        <v>786</v>
      </c>
      <c r="F482" s="16">
        <v>500</v>
      </c>
      <c r="G482" s="17"/>
    </row>
    <row r="483" spans="1:7" s="12" customFormat="1" ht="14.25" customHeight="1">
      <c r="A483" s="96" t="s">
        <v>17</v>
      </c>
      <c r="B483" s="17" t="s">
        <v>302</v>
      </c>
      <c r="C483" s="96" t="s">
        <v>1005</v>
      </c>
      <c r="D483" s="17" t="s">
        <v>439</v>
      </c>
      <c r="E483" s="99" t="s">
        <v>787</v>
      </c>
      <c r="F483" s="16">
        <v>500</v>
      </c>
      <c r="G483" s="17"/>
    </row>
    <row r="484" spans="1:7" s="12" customFormat="1" ht="14.25" customHeight="1">
      <c r="A484" s="96" t="s">
        <v>17</v>
      </c>
      <c r="B484" s="17" t="s">
        <v>302</v>
      </c>
      <c r="C484" s="96" t="s">
        <v>1005</v>
      </c>
      <c r="D484" s="17" t="s">
        <v>439</v>
      </c>
      <c r="E484" s="99" t="s">
        <v>788</v>
      </c>
      <c r="F484" s="16">
        <v>500</v>
      </c>
      <c r="G484" s="17"/>
    </row>
    <row r="485" spans="1:7" s="12" customFormat="1" ht="14.25" customHeight="1">
      <c r="A485" s="96" t="s">
        <v>17</v>
      </c>
      <c r="B485" s="17" t="s">
        <v>302</v>
      </c>
      <c r="C485" s="96" t="s">
        <v>1005</v>
      </c>
      <c r="D485" s="17" t="s">
        <v>439</v>
      </c>
      <c r="E485" s="99" t="s">
        <v>789</v>
      </c>
      <c r="F485" s="16">
        <v>500</v>
      </c>
      <c r="G485" s="17"/>
    </row>
    <row r="486" spans="1:7" s="12" customFormat="1" ht="14.25" customHeight="1">
      <c r="A486" s="96" t="s">
        <v>17</v>
      </c>
      <c r="B486" s="17" t="s">
        <v>302</v>
      </c>
      <c r="C486" s="96" t="s">
        <v>1005</v>
      </c>
      <c r="D486" s="17" t="s">
        <v>439</v>
      </c>
      <c r="E486" s="99" t="s">
        <v>790</v>
      </c>
      <c r="F486" s="16">
        <v>500</v>
      </c>
      <c r="G486" s="17"/>
    </row>
    <row r="487" spans="1:7" s="12" customFormat="1" ht="14.25" customHeight="1">
      <c r="A487" s="96" t="s">
        <v>17</v>
      </c>
      <c r="B487" s="17" t="s">
        <v>302</v>
      </c>
      <c r="C487" s="96" t="s">
        <v>1005</v>
      </c>
      <c r="D487" s="17" t="s">
        <v>439</v>
      </c>
      <c r="E487" s="99" t="s">
        <v>791</v>
      </c>
      <c r="F487" s="16">
        <v>500</v>
      </c>
      <c r="G487" s="17"/>
    </row>
    <row r="488" spans="1:7" s="12" customFormat="1" ht="14.25" customHeight="1">
      <c r="A488" s="96" t="s">
        <v>17</v>
      </c>
      <c r="B488" s="17" t="s">
        <v>302</v>
      </c>
      <c r="C488" s="96" t="s">
        <v>1005</v>
      </c>
      <c r="D488" s="17" t="s">
        <v>439</v>
      </c>
      <c r="E488" s="99" t="s">
        <v>792</v>
      </c>
      <c r="F488" s="16">
        <v>500</v>
      </c>
      <c r="G488" s="17"/>
    </row>
    <row r="489" spans="1:7" s="12" customFormat="1" ht="14.25" customHeight="1">
      <c r="A489" s="96" t="s">
        <v>20</v>
      </c>
      <c r="B489" s="17" t="s">
        <v>129</v>
      </c>
      <c r="C489" s="96" t="s">
        <v>250</v>
      </c>
      <c r="D489" s="17" t="s">
        <v>439</v>
      </c>
      <c r="E489" s="99" t="s">
        <v>795</v>
      </c>
      <c r="F489" s="16">
        <v>500</v>
      </c>
      <c r="G489" s="17"/>
    </row>
    <row r="490" spans="1:7" s="12" customFormat="1" ht="14.25" customHeight="1">
      <c r="A490" s="96" t="s">
        <v>20</v>
      </c>
      <c r="B490" s="17" t="s">
        <v>129</v>
      </c>
      <c r="C490" s="96" t="s">
        <v>250</v>
      </c>
      <c r="D490" s="17" t="s">
        <v>439</v>
      </c>
      <c r="E490" s="99" t="s">
        <v>796</v>
      </c>
      <c r="F490" s="16">
        <v>500</v>
      </c>
      <c r="G490" s="17"/>
    </row>
    <row r="491" spans="1:7" s="12" customFormat="1" ht="14.25" customHeight="1">
      <c r="A491" s="96" t="s">
        <v>17</v>
      </c>
      <c r="B491" s="17" t="s">
        <v>1017</v>
      </c>
      <c r="C491" s="96" t="s">
        <v>250</v>
      </c>
      <c r="D491" s="17" t="s">
        <v>445</v>
      </c>
      <c r="E491" s="99" t="s">
        <v>911</v>
      </c>
      <c r="F491" s="16">
        <v>500</v>
      </c>
      <c r="G491" s="17"/>
    </row>
    <row r="492" spans="1:7" s="12" customFormat="1" ht="14.25" customHeight="1">
      <c r="A492" s="98" t="s">
        <v>14</v>
      </c>
      <c r="B492" s="16" t="s">
        <v>104</v>
      </c>
      <c r="C492" s="98" t="s">
        <v>110</v>
      </c>
      <c r="D492" s="122" t="s">
        <v>88</v>
      </c>
      <c r="E492" s="152" t="s">
        <v>99</v>
      </c>
      <c r="F492" s="16">
        <v>400</v>
      </c>
      <c r="G492" s="17"/>
    </row>
    <row r="493" spans="1:7" s="12" customFormat="1" ht="31.65" customHeight="1">
      <c r="A493" s="98" t="s">
        <v>14</v>
      </c>
      <c r="B493" s="16" t="s">
        <v>104</v>
      </c>
      <c r="C493" s="98" t="s">
        <v>110</v>
      </c>
      <c r="D493" s="98" t="s">
        <v>116</v>
      </c>
      <c r="E493" s="100" t="s">
        <v>126</v>
      </c>
      <c r="F493" s="16">
        <v>400</v>
      </c>
      <c r="G493" s="17"/>
    </row>
    <row r="494" spans="1:7" s="12" customFormat="1" ht="14.25" customHeight="1">
      <c r="A494" s="96" t="s">
        <v>19</v>
      </c>
      <c r="B494" s="17" t="s">
        <v>1006</v>
      </c>
      <c r="C494" s="96" t="s">
        <v>1007</v>
      </c>
      <c r="D494" s="17" t="s">
        <v>439</v>
      </c>
      <c r="E494" s="99" t="s">
        <v>793</v>
      </c>
      <c r="F494" s="16">
        <v>400</v>
      </c>
      <c r="G494" s="17"/>
    </row>
    <row r="495" spans="1:7" s="12" customFormat="1" ht="14.25" customHeight="1">
      <c r="A495" s="96" t="s">
        <v>19</v>
      </c>
      <c r="B495" s="17" t="s">
        <v>1006</v>
      </c>
      <c r="C495" s="96" t="s">
        <v>1007</v>
      </c>
      <c r="D495" s="17" t="s">
        <v>439</v>
      </c>
      <c r="E495" s="99" t="s">
        <v>794</v>
      </c>
      <c r="F495" s="16">
        <v>400</v>
      </c>
      <c r="G495" s="17"/>
    </row>
    <row r="496" spans="1:7" s="12" customFormat="1" ht="14.25" customHeight="1">
      <c r="A496" s="96" t="s">
        <v>19</v>
      </c>
      <c r="B496" s="17" t="s">
        <v>1008</v>
      </c>
      <c r="C496" s="96" t="s">
        <v>1009</v>
      </c>
      <c r="D496" s="17" t="s">
        <v>439</v>
      </c>
      <c r="E496" s="99" t="s">
        <v>797</v>
      </c>
      <c r="F496" s="16">
        <v>400</v>
      </c>
      <c r="G496" s="17"/>
    </row>
    <row r="497" spans="1:7" s="12" customFormat="1" ht="14.25" customHeight="1">
      <c r="A497" s="96" t="s">
        <v>182</v>
      </c>
      <c r="B497" s="16" t="s">
        <v>101</v>
      </c>
      <c r="C497" s="162" t="s">
        <v>184</v>
      </c>
      <c r="D497" s="17" t="s">
        <v>165</v>
      </c>
      <c r="E497" s="101" t="s">
        <v>162</v>
      </c>
      <c r="F497" s="16">
        <v>371</v>
      </c>
      <c r="G497" s="17" t="s">
        <v>194</v>
      </c>
    </row>
    <row r="498" spans="1:7" s="12" customFormat="1" ht="14.25" customHeight="1">
      <c r="A498" s="96" t="s">
        <v>182</v>
      </c>
      <c r="B498" s="16" t="s">
        <v>101</v>
      </c>
      <c r="C498" s="162" t="s">
        <v>184</v>
      </c>
      <c r="D498" s="17" t="s">
        <v>166</v>
      </c>
      <c r="E498" s="99" t="s">
        <v>164</v>
      </c>
      <c r="F498" s="16">
        <v>371</v>
      </c>
      <c r="G498" s="17" t="s">
        <v>194</v>
      </c>
    </row>
    <row r="499" spans="1:7" s="12" customFormat="1" ht="14.25" customHeight="1">
      <c r="A499" s="96" t="s">
        <v>182</v>
      </c>
      <c r="B499" s="16" t="s">
        <v>101</v>
      </c>
      <c r="C499" s="162" t="s">
        <v>184</v>
      </c>
      <c r="D499" s="17" t="s">
        <v>167</v>
      </c>
      <c r="E499" s="99" t="s">
        <v>168</v>
      </c>
      <c r="F499" s="16">
        <v>371</v>
      </c>
      <c r="G499" s="17" t="s">
        <v>194</v>
      </c>
    </row>
    <row r="500" spans="1:7" s="12" customFormat="1" ht="14.25" customHeight="1">
      <c r="A500" s="96" t="s">
        <v>174</v>
      </c>
      <c r="B500" s="16" t="s">
        <v>101</v>
      </c>
      <c r="C500" s="96" t="s">
        <v>177</v>
      </c>
      <c r="D500" s="17" t="s">
        <v>167</v>
      </c>
      <c r="E500" s="99" t="s">
        <v>176</v>
      </c>
      <c r="F500" s="16">
        <v>360</v>
      </c>
      <c r="G500" s="17" t="s">
        <v>194</v>
      </c>
    </row>
    <row r="501" spans="1:7" s="12" customFormat="1" ht="14.25" customHeight="1">
      <c r="A501" s="96" t="s">
        <v>174</v>
      </c>
      <c r="B501" s="16" t="s">
        <v>101</v>
      </c>
      <c r="C501" s="96" t="s">
        <v>177</v>
      </c>
      <c r="D501" s="17" t="s">
        <v>165</v>
      </c>
      <c r="E501" s="101" t="s">
        <v>162</v>
      </c>
      <c r="F501" s="16">
        <v>360</v>
      </c>
      <c r="G501" s="17" t="s">
        <v>194</v>
      </c>
    </row>
    <row r="502" spans="1:7" s="12" customFormat="1" ht="14.25" customHeight="1">
      <c r="A502" s="96" t="s">
        <v>174</v>
      </c>
      <c r="B502" s="16" t="s">
        <v>101</v>
      </c>
      <c r="C502" s="96" t="s">
        <v>175</v>
      </c>
      <c r="D502" s="103" t="s">
        <v>219</v>
      </c>
      <c r="E502" s="99" t="s">
        <v>171</v>
      </c>
      <c r="F502" s="16">
        <v>360</v>
      </c>
      <c r="G502" s="17" t="s">
        <v>194</v>
      </c>
    </row>
    <row r="503" spans="1:7" s="12" customFormat="1" ht="14.25" customHeight="1">
      <c r="A503" s="96" t="s">
        <v>174</v>
      </c>
      <c r="B503" s="16" t="s">
        <v>101</v>
      </c>
      <c r="C503" s="96" t="s">
        <v>175</v>
      </c>
      <c r="D503" s="17" t="s">
        <v>227</v>
      </c>
      <c r="E503" s="99" t="s">
        <v>172</v>
      </c>
      <c r="F503" s="16">
        <v>360</v>
      </c>
      <c r="G503" s="17" t="s">
        <v>194</v>
      </c>
    </row>
    <row r="504" spans="1:7" s="12" customFormat="1" ht="14.25" customHeight="1">
      <c r="A504" s="96" t="s">
        <v>14</v>
      </c>
      <c r="B504" s="17" t="s">
        <v>104</v>
      </c>
      <c r="C504" s="96" t="s">
        <v>110</v>
      </c>
      <c r="D504" s="17" t="s">
        <v>346</v>
      </c>
      <c r="E504" s="99" t="s">
        <v>378</v>
      </c>
      <c r="F504" s="16">
        <v>350</v>
      </c>
      <c r="G504" s="17"/>
    </row>
    <row r="505" spans="1:7" s="12" customFormat="1" ht="14.25" customHeight="1">
      <c r="A505" s="98" t="s">
        <v>20</v>
      </c>
      <c r="B505" s="98" t="s">
        <v>56</v>
      </c>
      <c r="C505" s="98" t="s">
        <v>75</v>
      </c>
      <c r="D505" s="147" t="s">
        <v>87</v>
      </c>
      <c r="E505" s="100" t="s">
        <v>41</v>
      </c>
      <c r="F505" s="16">
        <v>300</v>
      </c>
      <c r="G505" s="17"/>
    </row>
    <row r="506" spans="1:7" s="12" customFormat="1" ht="14.25" customHeight="1">
      <c r="A506" s="96" t="s">
        <v>20</v>
      </c>
      <c r="B506" s="17" t="s">
        <v>56</v>
      </c>
      <c r="C506" s="96" t="s">
        <v>75</v>
      </c>
      <c r="D506" s="147" t="s">
        <v>87</v>
      </c>
      <c r="E506" s="99" t="s">
        <v>42</v>
      </c>
      <c r="F506" s="17">
        <v>300</v>
      </c>
      <c r="G506" s="17" t="s">
        <v>85</v>
      </c>
    </row>
    <row r="507" spans="1:7" s="12" customFormat="1" ht="14.25" customHeight="1">
      <c r="A507" s="96" t="s">
        <v>20</v>
      </c>
      <c r="B507" s="17" t="s">
        <v>56</v>
      </c>
      <c r="C507" s="96" t="s">
        <v>75</v>
      </c>
      <c r="D507" s="147" t="s">
        <v>87</v>
      </c>
      <c r="E507" s="99" t="s">
        <v>45</v>
      </c>
      <c r="F507" s="17">
        <v>300</v>
      </c>
      <c r="G507" s="17" t="s">
        <v>85</v>
      </c>
    </row>
    <row r="508" spans="1:7" s="12" customFormat="1" ht="14.25" customHeight="1">
      <c r="A508" s="122" t="s">
        <v>20</v>
      </c>
      <c r="B508" s="123" t="s">
        <v>56</v>
      </c>
      <c r="C508" s="122" t="s">
        <v>75</v>
      </c>
      <c r="D508" s="173" t="s">
        <v>87</v>
      </c>
      <c r="E508" s="121" t="s">
        <v>46</v>
      </c>
      <c r="F508" s="123">
        <v>300</v>
      </c>
      <c r="G508" s="122" t="s">
        <v>86</v>
      </c>
    </row>
    <row r="509" spans="1:7" s="12" customFormat="1" ht="14.25" customHeight="1">
      <c r="A509" s="96" t="s">
        <v>273</v>
      </c>
      <c r="B509" s="17" t="s">
        <v>303</v>
      </c>
      <c r="C509" s="97">
        <v>930.83</v>
      </c>
      <c r="D509" s="17" t="s">
        <v>275</v>
      </c>
      <c r="E509" s="99" t="s">
        <v>295</v>
      </c>
      <c r="F509" s="16">
        <v>300</v>
      </c>
      <c r="G509" s="17"/>
    </row>
    <row r="510" spans="1:7" s="12" customFormat="1" ht="14.25" customHeight="1">
      <c r="A510" s="96" t="s">
        <v>273</v>
      </c>
      <c r="B510" s="17" t="s">
        <v>327</v>
      </c>
      <c r="C510" s="97">
        <v>930.83</v>
      </c>
      <c r="D510" s="17" t="s">
        <v>312</v>
      </c>
      <c r="E510" s="99" t="s">
        <v>325</v>
      </c>
      <c r="F510" s="16">
        <v>300</v>
      </c>
      <c r="G510" s="17"/>
    </row>
    <row r="511" spans="1:7" s="12" customFormat="1" ht="14.25" customHeight="1">
      <c r="A511" s="96" t="s">
        <v>273</v>
      </c>
      <c r="B511" s="17" t="s">
        <v>327</v>
      </c>
      <c r="C511" s="97">
        <v>930.83</v>
      </c>
      <c r="D511" s="17" t="s">
        <v>331</v>
      </c>
      <c r="E511" s="99" t="s">
        <v>338</v>
      </c>
      <c r="F511" s="16">
        <v>300</v>
      </c>
      <c r="G511" s="17"/>
    </row>
    <row r="512" spans="1:7" s="12" customFormat="1" ht="14.25" customHeight="1">
      <c r="A512" s="96" t="s">
        <v>273</v>
      </c>
      <c r="B512" s="17" t="s">
        <v>327</v>
      </c>
      <c r="C512" s="97">
        <v>930.83</v>
      </c>
      <c r="D512" s="17" t="s">
        <v>331</v>
      </c>
      <c r="E512" s="99" t="s">
        <v>339</v>
      </c>
      <c r="F512" s="16">
        <v>300</v>
      </c>
      <c r="G512" s="17"/>
    </row>
    <row r="513" spans="1:7" s="12" customFormat="1" ht="14.25" customHeight="1">
      <c r="A513" s="96" t="s">
        <v>20</v>
      </c>
      <c r="B513" s="17" t="s">
        <v>469</v>
      </c>
      <c r="C513" s="96" t="s">
        <v>250</v>
      </c>
      <c r="D513" s="17" t="s">
        <v>426</v>
      </c>
      <c r="E513" s="99" t="s">
        <v>450</v>
      </c>
      <c r="F513" s="16">
        <v>300</v>
      </c>
      <c r="G513" s="17"/>
    </row>
    <row r="514" spans="1:7" s="12" customFormat="1" ht="14.25" customHeight="1">
      <c r="A514" s="96" t="s">
        <v>20</v>
      </c>
      <c r="B514" s="17" t="s">
        <v>469</v>
      </c>
      <c r="C514" s="96" t="s">
        <v>250</v>
      </c>
      <c r="D514" s="17" t="s">
        <v>426</v>
      </c>
      <c r="E514" s="99" t="s">
        <v>451</v>
      </c>
      <c r="F514" s="16">
        <v>300</v>
      </c>
      <c r="G514" s="17"/>
    </row>
    <row r="515" spans="1:7" s="12" customFormat="1" ht="14.25" customHeight="1">
      <c r="A515" s="96" t="s">
        <v>467</v>
      </c>
      <c r="B515" s="17" t="s">
        <v>470</v>
      </c>
      <c r="C515" s="96" t="s">
        <v>472</v>
      </c>
      <c r="D515" s="17" t="s">
        <v>607</v>
      </c>
      <c r="E515" s="99" t="s">
        <v>452</v>
      </c>
      <c r="F515" s="16">
        <v>300</v>
      </c>
      <c r="G515" s="17"/>
    </row>
    <row r="516" spans="1:7" s="12" customFormat="1" ht="14.25" customHeight="1">
      <c r="A516" s="96" t="s">
        <v>20</v>
      </c>
      <c r="B516" s="17" t="s">
        <v>469</v>
      </c>
      <c r="C516" s="96" t="s">
        <v>250</v>
      </c>
      <c r="D516" s="17" t="s">
        <v>426</v>
      </c>
      <c r="E516" s="99" t="s">
        <v>487</v>
      </c>
      <c r="F516" s="16">
        <v>300</v>
      </c>
      <c r="G516" s="17"/>
    </row>
    <row r="517" spans="1:7" s="12" customFormat="1" ht="14.25" customHeight="1">
      <c r="A517" s="96" t="s">
        <v>20</v>
      </c>
      <c r="B517" s="17" t="s">
        <v>469</v>
      </c>
      <c r="C517" s="96" t="s">
        <v>250</v>
      </c>
      <c r="D517" s="17" t="s">
        <v>426</v>
      </c>
      <c r="E517" s="99" t="s">
        <v>488</v>
      </c>
      <c r="F517" s="16">
        <v>300</v>
      </c>
      <c r="G517" s="17"/>
    </row>
    <row r="518" spans="1:7" s="12" customFormat="1" ht="14.25" customHeight="1">
      <c r="A518" s="96" t="s">
        <v>20</v>
      </c>
      <c r="B518" s="17" t="s">
        <v>469</v>
      </c>
      <c r="C518" s="96" t="s">
        <v>250</v>
      </c>
      <c r="D518" s="17" t="s">
        <v>429</v>
      </c>
      <c r="E518" s="99" t="s">
        <v>507</v>
      </c>
      <c r="F518" s="16">
        <v>300</v>
      </c>
      <c r="G518" s="17"/>
    </row>
    <row r="519" spans="1:7" s="12" customFormat="1" ht="14.25" customHeight="1">
      <c r="A519" s="96" t="s">
        <v>20</v>
      </c>
      <c r="B519" s="17" t="s">
        <v>469</v>
      </c>
      <c r="C519" s="96" t="s">
        <v>250</v>
      </c>
      <c r="D519" s="17" t="s">
        <v>429</v>
      </c>
      <c r="E519" s="99" t="s">
        <v>508</v>
      </c>
      <c r="F519" s="16">
        <v>300</v>
      </c>
      <c r="G519" s="17"/>
    </row>
    <row r="520" spans="1:7" s="12" customFormat="1" ht="14.25" customHeight="1">
      <c r="A520" s="96" t="s">
        <v>20</v>
      </c>
      <c r="B520" s="17" t="s">
        <v>469</v>
      </c>
      <c r="C520" s="96" t="s">
        <v>250</v>
      </c>
      <c r="D520" s="17" t="s">
        <v>429</v>
      </c>
      <c r="E520" s="99" t="s">
        <v>509</v>
      </c>
      <c r="F520" s="16">
        <v>300</v>
      </c>
      <c r="G520" s="17"/>
    </row>
    <row r="521" spans="1:7" s="12" customFormat="1" ht="14.25" customHeight="1">
      <c r="A521" s="96" t="s">
        <v>20</v>
      </c>
      <c r="B521" s="17" t="s">
        <v>469</v>
      </c>
      <c r="C521" s="96" t="s">
        <v>250</v>
      </c>
      <c r="D521" s="17" t="s">
        <v>429</v>
      </c>
      <c r="E521" s="99" t="s">
        <v>522</v>
      </c>
      <c r="F521" s="16">
        <v>300</v>
      </c>
      <c r="G521" s="17"/>
    </row>
    <row r="522" spans="1:7" s="12" customFormat="1" ht="14.25" customHeight="1">
      <c r="A522" s="96" t="s">
        <v>20</v>
      </c>
      <c r="B522" s="17" t="s">
        <v>469</v>
      </c>
      <c r="C522" s="96" t="s">
        <v>250</v>
      </c>
      <c r="D522" s="17" t="s">
        <v>429</v>
      </c>
      <c r="E522" s="99" t="s">
        <v>523</v>
      </c>
      <c r="F522" s="16">
        <v>300</v>
      </c>
      <c r="G522" s="17"/>
    </row>
    <row r="523" spans="1:7" s="12" customFormat="1" ht="14.25" customHeight="1">
      <c r="A523" s="96" t="s">
        <v>20</v>
      </c>
      <c r="B523" s="17" t="s">
        <v>469</v>
      </c>
      <c r="C523" s="96" t="s">
        <v>250</v>
      </c>
      <c r="D523" s="17" t="s">
        <v>429</v>
      </c>
      <c r="E523" s="99" t="s">
        <v>524</v>
      </c>
      <c r="F523" s="16">
        <v>300</v>
      </c>
      <c r="G523" s="17"/>
    </row>
    <row r="524" spans="1:7" s="12" customFormat="1" ht="14.25" customHeight="1">
      <c r="A524" s="96" t="s">
        <v>20</v>
      </c>
      <c r="B524" s="17" t="s">
        <v>469</v>
      </c>
      <c r="C524" s="96" t="s">
        <v>250</v>
      </c>
      <c r="D524" s="17" t="s">
        <v>429</v>
      </c>
      <c r="E524" s="99" t="s">
        <v>525</v>
      </c>
      <c r="F524" s="16">
        <v>300</v>
      </c>
      <c r="G524" s="17"/>
    </row>
    <row r="525" spans="1:7" s="12" customFormat="1" ht="14.25" customHeight="1">
      <c r="A525" s="96" t="s">
        <v>20</v>
      </c>
      <c r="B525" s="17" t="s">
        <v>469</v>
      </c>
      <c r="C525" s="96" t="s">
        <v>250</v>
      </c>
      <c r="D525" s="17" t="s">
        <v>429</v>
      </c>
      <c r="E525" s="99" t="s">
        <v>528</v>
      </c>
      <c r="F525" s="16">
        <v>300</v>
      </c>
      <c r="G525" s="17"/>
    </row>
    <row r="526" spans="1:7" s="12" customFormat="1" ht="14.25" customHeight="1">
      <c r="A526" s="96" t="s">
        <v>20</v>
      </c>
      <c r="B526" s="17" t="s">
        <v>469</v>
      </c>
      <c r="C526" s="96" t="s">
        <v>250</v>
      </c>
      <c r="D526" s="17" t="s">
        <v>429</v>
      </c>
      <c r="E526" s="99" t="s">
        <v>529</v>
      </c>
      <c r="F526" s="16">
        <v>300</v>
      </c>
      <c r="G526" s="17"/>
    </row>
    <row r="527" spans="1:7" s="12" customFormat="1" ht="14.25" customHeight="1">
      <c r="A527" s="96" t="s">
        <v>20</v>
      </c>
      <c r="B527" s="17" t="s">
        <v>469</v>
      </c>
      <c r="C527" s="96" t="s">
        <v>250</v>
      </c>
      <c r="D527" s="17" t="s">
        <v>429</v>
      </c>
      <c r="E527" s="99" t="s">
        <v>530</v>
      </c>
      <c r="F527" s="16">
        <v>300</v>
      </c>
      <c r="G527" s="17"/>
    </row>
    <row r="528" spans="1:7" s="12" customFormat="1" ht="14.25" customHeight="1">
      <c r="A528" s="96" t="s">
        <v>20</v>
      </c>
      <c r="B528" s="17" t="s">
        <v>469</v>
      </c>
      <c r="C528" s="96" t="s">
        <v>250</v>
      </c>
      <c r="D528" s="17" t="s">
        <v>429</v>
      </c>
      <c r="E528" s="99" t="s">
        <v>531</v>
      </c>
      <c r="F528" s="16">
        <v>300</v>
      </c>
      <c r="G528" s="17"/>
    </row>
    <row r="529" spans="1:7" s="12" customFormat="1" ht="14.25" customHeight="1">
      <c r="A529" s="96" t="s">
        <v>20</v>
      </c>
      <c r="B529" s="17" t="s">
        <v>469</v>
      </c>
      <c r="C529" s="96" t="s">
        <v>250</v>
      </c>
      <c r="D529" s="17" t="s">
        <v>429</v>
      </c>
      <c r="E529" s="99" t="s">
        <v>532</v>
      </c>
      <c r="F529" s="16">
        <v>300</v>
      </c>
      <c r="G529" s="17"/>
    </row>
    <row r="530" spans="1:7" s="12" customFormat="1" ht="14.25" customHeight="1">
      <c r="A530" s="96" t="s">
        <v>20</v>
      </c>
      <c r="B530" s="17" t="s">
        <v>469</v>
      </c>
      <c r="C530" s="96" t="s">
        <v>250</v>
      </c>
      <c r="D530" s="17" t="s">
        <v>429</v>
      </c>
      <c r="E530" s="99" t="s">
        <v>533</v>
      </c>
      <c r="F530" s="16">
        <v>300</v>
      </c>
      <c r="G530" s="17"/>
    </row>
    <row r="531" spans="1:7" s="12" customFormat="1" ht="14.25" customHeight="1">
      <c r="A531" s="96" t="s">
        <v>20</v>
      </c>
      <c r="B531" s="17" t="s">
        <v>469</v>
      </c>
      <c r="C531" s="96" t="s">
        <v>250</v>
      </c>
      <c r="D531" s="17" t="s">
        <v>429</v>
      </c>
      <c r="E531" s="99" t="s">
        <v>534</v>
      </c>
      <c r="F531" s="16">
        <v>300</v>
      </c>
      <c r="G531" s="17"/>
    </row>
    <row r="532" spans="1:7" s="12" customFormat="1" ht="14.25" customHeight="1">
      <c r="A532" s="96" t="s">
        <v>20</v>
      </c>
      <c r="B532" s="17" t="s">
        <v>469</v>
      </c>
      <c r="C532" s="96" t="s">
        <v>250</v>
      </c>
      <c r="D532" s="17" t="s">
        <v>429</v>
      </c>
      <c r="E532" s="99" t="s">
        <v>535</v>
      </c>
      <c r="F532" s="16">
        <v>300</v>
      </c>
      <c r="G532" s="17"/>
    </row>
    <row r="533" spans="1:7" s="12" customFormat="1" ht="14.25" customHeight="1">
      <c r="A533" s="96" t="s">
        <v>609</v>
      </c>
      <c r="B533" s="17" t="s">
        <v>585</v>
      </c>
      <c r="C533" s="96" t="s">
        <v>594</v>
      </c>
      <c r="D533" s="17" t="s">
        <v>429</v>
      </c>
      <c r="E533" s="99" t="s">
        <v>540</v>
      </c>
      <c r="F533" s="16">
        <v>300</v>
      </c>
      <c r="G533" s="17"/>
    </row>
    <row r="534" spans="1:7" s="12" customFormat="1" ht="14.25" customHeight="1">
      <c r="A534" s="96" t="s">
        <v>609</v>
      </c>
      <c r="B534" s="17" t="s">
        <v>585</v>
      </c>
      <c r="C534" s="96" t="s">
        <v>594</v>
      </c>
      <c r="D534" s="17" t="s">
        <v>429</v>
      </c>
      <c r="E534" s="99" t="s">
        <v>541</v>
      </c>
      <c r="F534" s="16">
        <v>300</v>
      </c>
      <c r="G534" s="17"/>
    </row>
    <row r="535" spans="1:7" s="12" customFormat="1" ht="14.25" customHeight="1">
      <c r="A535" s="96" t="s">
        <v>20</v>
      </c>
      <c r="B535" s="17" t="s">
        <v>469</v>
      </c>
      <c r="C535" s="96" t="s">
        <v>250</v>
      </c>
      <c r="D535" s="17" t="s">
        <v>429</v>
      </c>
      <c r="E535" s="99" t="s">
        <v>544</v>
      </c>
      <c r="F535" s="16">
        <v>300</v>
      </c>
      <c r="G535" s="17"/>
    </row>
    <row r="536" spans="1:7" s="12" customFormat="1" ht="14.25" customHeight="1">
      <c r="A536" s="96" t="s">
        <v>20</v>
      </c>
      <c r="B536" s="17" t="s">
        <v>469</v>
      </c>
      <c r="C536" s="96" t="s">
        <v>250</v>
      </c>
      <c r="D536" s="17" t="s">
        <v>429</v>
      </c>
      <c r="E536" s="99" t="s">
        <v>545</v>
      </c>
      <c r="F536" s="16">
        <v>300</v>
      </c>
      <c r="G536" s="17"/>
    </row>
    <row r="537" spans="1:7" s="12" customFormat="1" ht="14.25" customHeight="1">
      <c r="A537" s="96" t="s">
        <v>20</v>
      </c>
      <c r="B537" s="17" t="s">
        <v>469</v>
      </c>
      <c r="C537" s="96" t="s">
        <v>250</v>
      </c>
      <c r="D537" s="17" t="s">
        <v>429</v>
      </c>
      <c r="E537" s="99" t="s">
        <v>546</v>
      </c>
      <c r="F537" s="16">
        <v>300</v>
      </c>
      <c r="G537" s="17"/>
    </row>
    <row r="538" spans="1:7" s="12" customFormat="1" ht="14.25" customHeight="1">
      <c r="A538" s="96" t="s">
        <v>20</v>
      </c>
      <c r="B538" s="17" t="s">
        <v>469</v>
      </c>
      <c r="C538" s="96" t="s">
        <v>250</v>
      </c>
      <c r="D538" s="17" t="s">
        <v>429</v>
      </c>
      <c r="E538" s="99" t="s">
        <v>547</v>
      </c>
      <c r="F538" s="16">
        <v>300</v>
      </c>
      <c r="G538" s="17"/>
    </row>
    <row r="539" spans="1:7" s="12" customFormat="1" ht="14.25" customHeight="1">
      <c r="A539" s="96" t="s">
        <v>20</v>
      </c>
      <c r="B539" s="17" t="s">
        <v>469</v>
      </c>
      <c r="C539" s="96" t="s">
        <v>250</v>
      </c>
      <c r="D539" s="17" t="s">
        <v>429</v>
      </c>
      <c r="E539" s="99" t="s">
        <v>548</v>
      </c>
      <c r="F539" s="16">
        <v>300</v>
      </c>
      <c r="G539" s="17"/>
    </row>
    <row r="540" spans="1:7" s="12" customFormat="1" ht="14.25" customHeight="1">
      <c r="A540" s="96" t="s">
        <v>20</v>
      </c>
      <c r="B540" s="17" t="s">
        <v>469</v>
      </c>
      <c r="C540" s="96" t="s">
        <v>250</v>
      </c>
      <c r="D540" s="17" t="s">
        <v>429</v>
      </c>
      <c r="E540" s="99" t="s">
        <v>549</v>
      </c>
      <c r="F540" s="16">
        <v>300</v>
      </c>
      <c r="G540" s="17"/>
    </row>
    <row r="541" spans="1:7" s="12" customFormat="1" ht="14.25" customHeight="1">
      <c r="A541" s="96" t="s">
        <v>20</v>
      </c>
      <c r="B541" s="17" t="s">
        <v>469</v>
      </c>
      <c r="C541" s="96" t="s">
        <v>250</v>
      </c>
      <c r="D541" s="17" t="s">
        <v>429</v>
      </c>
      <c r="E541" s="99" t="s">
        <v>550</v>
      </c>
      <c r="F541" s="16">
        <v>300</v>
      </c>
      <c r="G541" s="17"/>
    </row>
    <row r="542" spans="1:7" s="12" customFormat="1" ht="14.25" customHeight="1">
      <c r="A542" s="96" t="s">
        <v>20</v>
      </c>
      <c r="B542" s="17" t="s">
        <v>469</v>
      </c>
      <c r="C542" s="96" t="s">
        <v>250</v>
      </c>
      <c r="D542" s="17" t="s">
        <v>429</v>
      </c>
      <c r="E542" s="99" t="s">
        <v>551</v>
      </c>
      <c r="F542" s="16">
        <v>300</v>
      </c>
      <c r="G542" s="17"/>
    </row>
    <row r="543" spans="1:7" s="12" customFormat="1" ht="14.25" customHeight="1">
      <c r="A543" s="96" t="s">
        <v>20</v>
      </c>
      <c r="B543" s="17" t="s">
        <v>469</v>
      </c>
      <c r="C543" s="96" t="s">
        <v>250</v>
      </c>
      <c r="D543" s="17" t="s">
        <v>429</v>
      </c>
      <c r="E543" s="99" t="s">
        <v>552</v>
      </c>
      <c r="F543" s="16">
        <v>300</v>
      </c>
      <c r="G543" s="17"/>
    </row>
    <row r="544" spans="1:7" s="12" customFormat="1" ht="14.25" customHeight="1">
      <c r="A544" s="96" t="s">
        <v>20</v>
      </c>
      <c r="B544" s="17" t="s">
        <v>469</v>
      </c>
      <c r="C544" s="96" t="s">
        <v>250</v>
      </c>
      <c r="D544" s="17" t="s">
        <v>429</v>
      </c>
      <c r="E544" s="99" t="s">
        <v>553</v>
      </c>
      <c r="F544" s="16">
        <v>300</v>
      </c>
      <c r="G544" s="17"/>
    </row>
    <row r="545" spans="1:7" s="12" customFormat="1" ht="14.25" customHeight="1">
      <c r="A545" s="96" t="s">
        <v>20</v>
      </c>
      <c r="B545" s="17" t="s">
        <v>469</v>
      </c>
      <c r="C545" s="96" t="s">
        <v>250</v>
      </c>
      <c r="D545" s="17" t="s">
        <v>429</v>
      </c>
      <c r="E545" s="99" t="s">
        <v>554</v>
      </c>
      <c r="F545" s="16">
        <v>300</v>
      </c>
      <c r="G545" s="17"/>
    </row>
    <row r="546" spans="1:7" s="12" customFormat="1" ht="14.25" customHeight="1">
      <c r="A546" s="96" t="s">
        <v>20</v>
      </c>
      <c r="B546" s="17" t="s">
        <v>469</v>
      </c>
      <c r="C546" s="96" t="s">
        <v>250</v>
      </c>
      <c r="D546" s="17" t="s">
        <v>429</v>
      </c>
      <c r="E546" s="99" t="s">
        <v>555</v>
      </c>
      <c r="F546" s="16">
        <v>300</v>
      </c>
      <c r="G546" s="17"/>
    </row>
    <row r="547" spans="1:7" s="12" customFormat="1" ht="14.25" customHeight="1">
      <c r="A547" s="96" t="s">
        <v>20</v>
      </c>
      <c r="B547" s="17" t="s">
        <v>469</v>
      </c>
      <c r="C547" s="96" t="s">
        <v>250</v>
      </c>
      <c r="D547" s="17" t="s">
        <v>429</v>
      </c>
      <c r="E547" s="99" t="s">
        <v>556</v>
      </c>
      <c r="F547" s="16">
        <v>300</v>
      </c>
      <c r="G547" s="17"/>
    </row>
    <row r="548" spans="1:7" s="12" customFormat="1" ht="14.25" customHeight="1">
      <c r="A548" s="96" t="s">
        <v>20</v>
      </c>
      <c r="B548" s="17" t="s">
        <v>469</v>
      </c>
      <c r="C548" s="96" t="s">
        <v>250</v>
      </c>
      <c r="D548" s="17" t="s">
        <v>429</v>
      </c>
      <c r="E548" s="99" t="s">
        <v>557</v>
      </c>
      <c r="F548" s="16">
        <v>300</v>
      </c>
      <c r="G548" s="17"/>
    </row>
    <row r="549" spans="1:7" s="12" customFormat="1" ht="14.25" customHeight="1">
      <c r="A549" s="96" t="s">
        <v>20</v>
      </c>
      <c r="B549" s="17" t="s">
        <v>469</v>
      </c>
      <c r="C549" s="96" t="s">
        <v>250</v>
      </c>
      <c r="D549" s="17" t="s">
        <v>429</v>
      </c>
      <c r="E549" s="99" t="s">
        <v>558</v>
      </c>
      <c r="F549" s="16">
        <v>300</v>
      </c>
      <c r="G549" s="17"/>
    </row>
    <row r="550" spans="1:7" s="12" customFormat="1" ht="14.25" customHeight="1">
      <c r="A550" s="96" t="s">
        <v>20</v>
      </c>
      <c r="B550" s="17" t="s">
        <v>469</v>
      </c>
      <c r="C550" s="96" t="s">
        <v>250</v>
      </c>
      <c r="D550" s="17" t="s">
        <v>429</v>
      </c>
      <c r="E550" s="99" t="s">
        <v>559</v>
      </c>
      <c r="F550" s="16">
        <v>300</v>
      </c>
      <c r="G550" s="17"/>
    </row>
    <row r="551" spans="1:7" s="12" customFormat="1" ht="14.25" customHeight="1">
      <c r="A551" s="96" t="s">
        <v>20</v>
      </c>
      <c r="B551" s="17" t="s">
        <v>469</v>
      </c>
      <c r="C551" s="96" t="s">
        <v>250</v>
      </c>
      <c r="D551" s="17" t="s">
        <v>429</v>
      </c>
      <c r="E551" s="99" t="s">
        <v>560</v>
      </c>
      <c r="F551" s="16">
        <v>300</v>
      </c>
      <c r="G551" s="17"/>
    </row>
    <row r="552" spans="1:7" s="12" customFormat="1" ht="14.25" customHeight="1">
      <c r="A552" s="96" t="s">
        <v>20</v>
      </c>
      <c r="B552" s="17" t="s">
        <v>469</v>
      </c>
      <c r="C552" s="96" t="s">
        <v>250</v>
      </c>
      <c r="D552" s="17" t="s">
        <v>429</v>
      </c>
      <c r="E552" s="99" t="s">
        <v>561</v>
      </c>
      <c r="F552" s="16">
        <v>300</v>
      </c>
      <c r="G552" s="17"/>
    </row>
    <row r="553" spans="1:7" s="12" customFormat="1" ht="14.25" customHeight="1">
      <c r="A553" s="96" t="s">
        <v>20</v>
      </c>
      <c r="B553" s="17" t="s">
        <v>469</v>
      </c>
      <c r="C553" s="96" t="s">
        <v>250</v>
      </c>
      <c r="D553" s="17" t="s">
        <v>429</v>
      </c>
      <c r="E553" s="99" t="s">
        <v>562</v>
      </c>
      <c r="F553" s="16">
        <v>300</v>
      </c>
      <c r="G553" s="17"/>
    </row>
    <row r="554" spans="1:7" s="12" customFormat="1" ht="14.25" customHeight="1">
      <c r="A554" s="96" t="s">
        <v>20</v>
      </c>
      <c r="B554" s="17" t="s">
        <v>469</v>
      </c>
      <c r="C554" s="96" t="s">
        <v>250</v>
      </c>
      <c r="D554" s="17" t="s">
        <v>429</v>
      </c>
      <c r="E554" s="99" t="s">
        <v>563</v>
      </c>
      <c r="F554" s="16">
        <v>300</v>
      </c>
      <c r="G554" s="17"/>
    </row>
    <row r="555" spans="1:7" s="12" customFormat="1" ht="14.25" customHeight="1">
      <c r="A555" s="96" t="s">
        <v>20</v>
      </c>
      <c r="B555" s="17" t="s">
        <v>469</v>
      </c>
      <c r="C555" s="96" t="s">
        <v>250</v>
      </c>
      <c r="D555" s="17" t="s">
        <v>429</v>
      </c>
      <c r="E555" s="99" t="s">
        <v>564</v>
      </c>
      <c r="F555" s="16">
        <v>300</v>
      </c>
      <c r="G555" s="17"/>
    </row>
    <row r="556" spans="1:7" s="12" customFormat="1" ht="14.25" customHeight="1">
      <c r="A556" s="96" t="s">
        <v>20</v>
      </c>
      <c r="B556" s="17" t="s">
        <v>302</v>
      </c>
      <c r="C556" s="96" t="s">
        <v>597</v>
      </c>
      <c r="D556" s="17" t="s">
        <v>431</v>
      </c>
      <c r="E556" s="99" t="s">
        <v>568</v>
      </c>
      <c r="F556" s="16">
        <v>300</v>
      </c>
      <c r="G556" s="17"/>
    </row>
    <row r="557" spans="1:7" s="12" customFormat="1" ht="14.25" customHeight="1">
      <c r="A557" s="96" t="s">
        <v>20</v>
      </c>
      <c r="B557" s="17" t="s">
        <v>302</v>
      </c>
      <c r="C557" s="96" t="s">
        <v>597</v>
      </c>
      <c r="D557" s="17" t="s">
        <v>431</v>
      </c>
      <c r="E557" s="99" t="s">
        <v>569</v>
      </c>
      <c r="F557" s="16">
        <v>300</v>
      </c>
      <c r="G557" s="17"/>
    </row>
    <row r="558" spans="1:7" s="12" customFormat="1" ht="14.25" customHeight="1">
      <c r="A558" s="17" t="s">
        <v>20</v>
      </c>
      <c r="B558" s="166" t="s">
        <v>469</v>
      </c>
      <c r="C558" s="96" t="s">
        <v>250</v>
      </c>
      <c r="D558" s="96" t="s">
        <v>432</v>
      </c>
      <c r="E558" s="99" t="s">
        <v>611</v>
      </c>
      <c r="F558" s="16">
        <v>300</v>
      </c>
      <c r="G558" s="17"/>
    </row>
    <row r="559" spans="1:7" s="12" customFormat="1" ht="14.25" customHeight="1">
      <c r="A559" s="17" t="s">
        <v>20</v>
      </c>
      <c r="B559" s="166" t="s">
        <v>469</v>
      </c>
      <c r="C559" s="96" t="s">
        <v>250</v>
      </c>
      <c r="D559" s="96" t="s">
        <v>432</v>
      </c>
      <c r="E559" s="99" t="s">
        <v>612</v>
      </c>
      <c r="F559" s="16">
        <v>300</v>
      </c>
      <c r="G559" s="17"/>
    </row>
    <row r="560" spans="1:7" s="12" customFormat="1" ht="14.25" customHeight="1">
      <c r="A560" s="17" t="s">
        <v>20</v>
      </c>
      <c r="B560" s="166" t="s">
        <v>469</v>
      </c>
      <c r="C560" s="96" t="s">
        <v>250</v>
      </c>
      <c r="D560" s="96" t="s">
        <v>432</v>
      </c>
      <c r="E560" s="99" t="s">
        <v>613</v>
      </c>
      <c r="F560" s="16">
        <v>300</v>
      </c>
      <c r="G560" s="17"/>
    </row>
    <row r="561" spans="1:7" s="12" customFormat="1" ht="14.25" customHeight="1">
      <c r="A561" s="17" t="s">
        <v>20</v>
      </c>
      <c r="B561" s="166" t="s">
        <v>469</v>
      </c>
      <c r="C561" s="96" t="s">
        <v>250</v>
      </c>
      <c r="D561" s="96" t="s">
        <v>432</v>
      </c>
      <c r="E561" s="99" t="s">
        <v>614</v>
      </c>
      <c r="F561" s="16">
        <v>300</v>
      </c>
      <c r="G561" s="17"/>
    </row>
    <row r="562" spans="1:7" s="12" customFormat="1" ht="14.25" customHeight="1">
      <c r="A562" s="17" t="s">
        <v>20</v>
      </c>
      <c r="B562" s="166" t="s">
        <v>469</v>
      </c>
      <c r="C562" s="96" t="s">
        <v>250</v>
      </c>
      <c r="D562" s="96" t="s">
        <v>432</v>
      </c>
      <c r="E562" s="99" t="s">
        <v>615</v>
      </c>
      <c r="F562" s="16">
        <v>300</v>
      </c>
      <c r="G562" s="17"/>
    </row>
    <row r="563" spans="1:7" s="12" customFormat="1" ht="14.25" customHeight="1">
      <c r="A563" s="17" t="s">
        <v>20</v>
      </c>
      <c r="B563" s="166" t="s">
        <v>469</v>
      </c>
      <c r="C563" s="96" t="s">
        <v>250</v>
      </c>
      <c r="D563" s="96" t="s">
        <v>432</v>
      </c>
      <c r="E563" s="99" t="s">
        <v>616</v>
      </c>
      <c r="F563" s="16">
        <v>300</v>
      </c>
      <c r="G563" s="17"/>
    </row>
    <row r="564" spans="1:7" s="12" customFormat="1" ht="14.25" customHeight="1">
      <c r="A564" s="17" t="s">
        <v>20</v>
      </c>
      <c r="B564" s="166" t="s">
        <v>469</v>
      </c>
      <c r="C564" s="96" t="s">
        <v>250</v>
      </c>
      <c r="D564" s="96" t="s">
        <v>432</v>
      </c>
      <c r="E564" s="99" t="s">
        <v>617</v>
      </c>
      <c r="F564" s="16">
        <v>300</v>
      </c>
      <c r="G564" s="17"/>
    </row>
    <row r="565" spans="1:7" s="12" customFormat="1" ht="14.25" customHeight="1">
      <c r="A565" s="17" t="s">
        <v>20</v>
      </c>
      <c r="B565" s="166" t="s">
        <v>469</v>
      </c>
      <c r="C565" s="96" t="s">
        <v>250</v>
      </c>
      <c r="D565" s="96" t="s">
        <v>432</v>
      </c>
      <c r="E565" s="99" t="s">
        <v>618</v>
      </c>
      <c r="F565" s="16">
        <v>300</v>
      </c>
      <c r="G565" s="17"/>
    </row>
    <row r="566" spans="1:7" s="12" customFormat="1" ht="14.25" customHeight="1">
      <c r="A566" s="17" t="s">
        <v>20</v>
      </c>
      <c r="B566" s="166" t="s">
        <v>469</v>
      </c>
      <c r="C566" s="96" t="s">
        <v>250</v>
      </c>
      <c r="D566" s="96" t="s">
        <v>432</v>
      </c>
      <c r="E566" s="99" t="s">
        <v>619</v>
      </c>
      <c r="F566" s="16">
        <v>300</v>
      </c>
      <c r="G566" s="17"/>
    </row>
    <row r="567" spans="1:7" s="12" customFormat="1" ht="14.25" customHeight="1">
      <c r="A567" s="17" t="s">
        <v>20</v>
      </c>
      <c r="B567" s="166" t="s">
        <v>469</v>
      </c>
      <c r="C567" s="96" t="s">
        <v>250</v>
      </c>
      <c r="D567" s="96" t="s">
        <v>432</v>
      </c>
      <c r="E567" s="99" t="s">
        <v>620</v>
      </c>
      <c r="F567" s="16">
        <v>300</v>
      </c>
      <c r="G567" s="17"/>
    </row>
    <row r="568" spans="1:7" s="12" customFormat="1" ht="14.25" customHeight="1">
      <c r="A568" s="17" t="s">
        <v>20</v>
      </c>
      <c r="B568" s="166" t="s">
        <v>469</v>
      </c>
      <c r="C568" s="96" t="s">
        <v>250</v>
      </c>
      <c r="D568" s="96" t="s">
        <v>432</v>
      </c>
      <c r="E568" s="99" t="s">
        <v>621</v>
      </c>
      <c r="F568" s="16">
        <v>300</v>
      </c>
      <c r="G568" s="17"/>
    </row>
    <row r="569" spans="1:7" s="12" customFormat="1" ht="14.25" customHeight="1">
      <c r="A569" s="17" t="s">
        <v>20</v>
      </c>
      <c r="B569" s="166" t="s">
        <v>469</v>
      </c>
      <c r="C569" s="96" t="s">
        <v>250</v>
      </c>
      <c r="D569" s="96" t="s">
        <v>432</v>
      </c>
      <c r="E569" s="99" t="s">
        <v>622</v>
      </c>
      <c r="F569" s="16">
        <v>300</v>
      </c>
      <c r="G569" s="17"/>
    </row>
    <row r="570" spans="1:7" s="12" customFormat="1" ht="14.25" customHeight="1">
      <c r="A570" s="17" t="s">
        <v>20</v>
      </c>
      <c r="B570" s="166" t="s">
        <v>469</v>
      </c>
      <c r="C570" s="96" t="s">
        <v>250</v>
      </c>
      <c r="D570" s="96" t="s">
        <v>432</v>
      </c>
      <c r="E570" s="99" t="s">
        <v>623</v>
      </c>
      <c r="F570" s="16">
        <v>300</v>
      </c>
      <c r="G570" s="17"/>
    </row>
    <row r="571" spans="1:7" s="12" customFormat="1" ht="14.25" customHeight="1">
      <c r="A571" s="17" t="s">
        <v>20</v>
      </c>
      <c r="B571" s="166" t="s">
        <v>469</v>
      </c>
      <c r="C571" s="96" t="s">
        <v>250</v>
      </c>
      <c r="D571" s="96" t="s">
        <v>432</v>
      </c>
      <c r="E571" s="99" t="s">
        <v>582</v>
      </c>
      <c r="F571" s="16">
        <v>300</v>
      </c>
      <c r="G571" s="17"/>
    </row>
    <row r="572" spans="1:7" s="12" customFormat="1" ht="14.25" customHeight="1">
      <c r="A572" s="17" t="s">
        <v>20</v>
      </c>
      <c r="B572" s="166" t="s">
        <v>469</v>
      </c>
      <c r="C572" s="96" t="s">
        <v>250</v>
      </c>
      <c r="D572" s="96" t="s">
        <v>432</v>
      </c>
      <c r="E572" s="99" t="s">
        <v>624</v>
      </c>
      <c r="F572" s="16">
        <v>300</v>
      </c>
      <c r="G572" s="17"/>
    </row>
    <row r="573" spans="1:7" s="12" customFormat="1" ht="14.25" customHeight="1">
      <c r="A573" s="17" t="s">
        <v>20</v>
      </c>
      <c r="B573" s="166" t="s">
        <v>469</v>
      </c>
      <c r="C573" s="96" t="s">
        <v>250</v>
      </c>
      <c r="D573" s="96" t="s">
        <v>432</v>
      </c>
      <c r="E573" s="99" t="s">
        <v>625</v>
      </c>
      <c r="F573" s="16">
        <v>300</v>
      </c>
      <c r="G573" s="17"/>
    </row>
    <row r="574" spans="1:7" s="12" customFormat="1" ht="14.25" customHeight="1">
      <c r="A574" s="17" t="s">
        <v>20</v>
      </c>
      <c r="B574" s="166" t="s">
        <v>749</v>
      </c>
      <c r="C574" s="96" t="s">
        <v>250</v>
      </c>
      <c r="D574" s="96" t="s">
        <v>432</v>
      </c>
      <c r="E574" s="99" t="s">
        <v>626</v>
      </c>
      <c r="F574" s="16">
        <v>300</v>
      </c>
      <c r="G574" s="17"/>
    </row>
    <row r="575" spans="1:7" s="12" customFormat="1" ht="14.25" customHeight="1">
      <c r="A575" s="17" t="s">
        <v>20</v>
      </c>
      <c r="B575" s="166" t="s">
        <v>749</v>
      </c>
      <c r="C575" s="96" t="s">
        <v>250</v>
      </c>
      <c r="D575" s="96" t="s">
        <v>432</v>
      </c>
      <c r="E575" s="99" t="s">
        <v>627</v>
      </c>
      <c r="F575" s="16">
        <v>300</v>
      </c>
      <c r="G575" s="17"/>
    </row>
    <row r="576" spans="1:7" s="12" customFormat="1" ht="14.25" customHeight="1">
      <c r="A576" s="17" t="s">
        <v>20</v>
      </c>
      <c r="B576" s="166" t="s">
        <v>749</v>
      </c>
      <c r="C576" s="96" t="s">
        <v>250</v>
      </c>
      <c r="D576" s="96" t="s">
        <v>432</v>
      </c>
      <c r="E576" s="99" t="s">
        <v>628</v>
      </c>
      <c r="F576" s="16">
        <v>300</v>
      </c>
      <c r="G576" s="17"/>
    </row>
    <row r="577" spans="1:7" s="12" customFormat="1" ht="14.25" customHeight="1">
      <c r="A577" s="17" t="s">
        <v>20</v>
      </c>
      <c r="B577" s="166" t="s">
        <v>749</v>
      </c>
      <c r="C577" s="96" t="s">
        <v>250</v>
      </c>
      <c r="D577" s="96" t="s">
        <v>432</v>
      </c>
      <c r="E577" s="99" t="s">
        <v>629</v>
      </c>
      <c r="F577" s="16">
        <v>300</v>
      </c>
      <c r="G577" s="17"/>
    </row>
    <row r="578" spans="1:7" s="12" customFormat="1" ht="14.25" customHeight="1">
      <c r="A578" s="17" t="s">
        <v>20</v>
      </c>
      <c r="B578" s="166" t="s">
        <v>749</v>
      </c>
      <c r="C578" s="96" t="s">
        <v>250</v>
      </c>
      <c r="D578" s="96" t="s">
        <v>432</v>
      </c>
      <c r="E578" s="99" t="s">
        <v>630</v>
      </c>
      <c r="F578" s="16">
        <v>300</v>
      </c>
      <c r="G578" s="17"/>
    </row>
    <row r="579" spans="1:7" s="12" customFormat="1" ht="14.25" customHeight="1">
      <c r="A579" s="17" t="s">
        <v>20</v>
      </c>
      <c r="B579" s="166" t="s">
        <v>749</v>
      </c>
      <c r="C579" s="96" t="s">
        <v>250</v>
      </c>
      <c r="D579" s="96" t="s">
        <v>432</v>
      </c>
      <c r="E579" s="99" t="s">
        <v>631</v>
      </c>
      <c r="F579" s="16">
        <v>300</v>
      </c>
      <c r="G579" s="17"/>
    </row>
    <row r="580" spans="1:7" s="12" customFormat="1" ht="14.25" customHeight="1">
      <c r="A580" s="17" t="s">
        <v>20</v>
      </c>
      <c r="B580" s="166" t="s">
        <v>749</v>
      </c>
      <c r="C580" s="96" t="s">
        <v>250</v>
      </c>
      <c r="D580" s="96" t="s">
        <v>432</v>
      </c>
      <c r="E580" s="99" t="s">
        <v>632</v>
      </c>
      <c r="F580" s="16">
        <v>300</v>
      </c>
      <c r="G580" s="17"/>
    </row>
    <row r="581" spans="1:7" s="12" customFormat="1" ht="14.25" customHeight="1">
      <c r="A581" s="17" t="s">
        <v>20</v>
      </c>
      <c r="B581" s="166" t="s">
        <v>749</v>
      </c>
      <c r="C581" s="96" t="s">
        <v>250</v>
      </c>
      <c r="D581" s="96" t="s">
        <v>432</v>
      </c>
      <c r="E581" s="99" t="s">
        <v>633</v>
      </c>
      <c r="F581" s="16">
        <v>300</v>
      </c>
      <c r="G581" s="17"/>
    </row>
    <row r="582" spans="1:7" s="12" customFormat="1" ht="14.25" customHeight="1">
      <c r="A582" s="17" t="s">
        <v>20</v>
      </c>
      <c r="B582" s="166" t="s">
        <v>749</v>
      </c>
      <c r="C582" s="96" t="s">
        <v>250</v>
      </c>
      <c r="D582" s="96" t="s">
        <v>432</v>
      </c>
      <c r="E582" s="99" t="s">
        <v>634</v>
      </c>
      <c r="F582" s="16">
        <v>300</v>
      </c>
      <c r="G582" s="17"/>
    </row>
    <row r="583" spans="1:7" s="12" customFormat="1" ht="14.25" customHeight="1">
      <c r="A583" s="17" t="s">
        <v>20</v>
      </c>
      <c r="B583" s="166" t="s">
        <v>749</v>
      </c>
      <c r="C583" s="96" t="s">
        <v>250</v>
      </c>
      <c r="D583" s="96" t="s">
        <v>432</v>
      </c>
      <c r="E583" s="99" t="s">
        <v>635</v>
      </c>
      <c r="F583" s="16">
        <v>300</v>
      </c>
      <c r="G583" s="17"/>
    </row>
    <row r="584" spans="1:7" s="12" customFormat="1" ht="14.25" customHeight="1">
      <c r="A584" s="17" t="s">
        <v>20</v>
      </c>
      <c r="B584" s="166" t="s">
        <v>749</v>
      </c>
      <c r="C584" s="96" t="s">
        <v>250</v>
      </c>
      <c r="D584" s="96" t="s">
        <v>432</v>
      </c>
      <c r="E584" s="99" t="s">
        <v>636</v>
      </c>
      <c r="F584" s="16">
        <v>300</v>
      </c>
      <c r="G584" s="17"/>
    </row>
    <row r="585" spans="1:7" s="12" customFormat="1" ht="14.25" customHeight="1">
      <c r="A585" s="96" t="s">
        <v>90</v>
      </c>
      <c r="B585" s="17" t="s">
        <v>994</v>
      </c>
      <c r="C585" s="96" t="s">
        <v>995</v>
      </c>
      <c r="D585" s="17" t="s">
        <v>438</v>
      </c>
      <c r="E585" s="99" t="s">
        <v>777</v>
      </c>
      <c r="F585" s="16">
        <v>300</v>
      </c>
      <c r="G585" s="17"/>
    </row>
    <row r="586" spans="1:7" s="12" customFormat="1" ht="14.25" customHeight="1">
      <c r="A586" s="96" t="s">
        <v>17</v>
      </c>
      <c r="B586" s="17" t="s">
        <v>343</v>
      </c>
      <c r="C586" s="96" t="s">
        <v>1001</v>
      </c>
      <c r="D586" s="17" t="s">
        <v>438</v>
      </c>
      <c r="E586" s="99" t="s">
        <v>781</v>
      </c>
      <c r="F586" s="16">
        <v>300</v>
      </c>
      <c r="G586" s="17"/>
    </row>
    <row r="587" spans="1:7" s="12" customFormat="1" ht="14.25" customHeight="1">
      <c r="A587" s="96" t="s">
        <v>17</v>
      </c>
      <c r="B587" s="17" t="s">
        <v>343</v>
      </c>
      <c r="C587" s="96" t="s">
        <v>1001</v>
      </c>
      <c r="D587" s="17" t="s">
        <v>438</v>
      </c>
      <c r="E587" s="99" t="s">
        <v>782</v>
      </c>
      <c r="F587" s="16">
        <v>300</v>
      </c>
      <c r="G587" s="17"/>
    </row>
    <row r="588" spans="1:7" s="12" customFormat="1" ht="14.25" customHeight="1">
      <c r="A588" s="96" t="s">
        <v>20</v>
      </c>
      <c r="B588" s="17" t="s">
        <v>469</v>
      </c>
      <c r="C588" s="96" t="s">
        <v>250</v>
      </c>
      <c r="D588" s="17" t="s">
        <v>440</v>
      </c>
      <c r="E588" s="99" t="s">
        <v>804</v>
      </c>
      <c r="F588" s="16">
        <v>300</v>
      </c>
      <c r="G588" s="17"/>
    </row>
    <row r="589" spans="1:7" s="12" customFormat="1" ht="14.25" customHeight="1">
      <c r="A589" s="96" t="s">
        <v>20</v>
      </c>
      <c r="B589" s="17" t="s">
        <v>469</v>
      </c>
      <c r="C589" s="96" t="s">
        <v>250</v>
      </c>
      <c r="D589" s="17" t="s">
        <v>440</v>
      </c>
      <c r="E589" s="99" t="s">
        <v>805</v>
      </c>
      <c r="F589" s="16">
        <v>300</v>
      </c>
      <c r="G589" s="17"/>
    </row>
    <row r="590" spans="1:7" s="12" customFormat="1" ht="14.25" customHeight="1">
      <c r="A590" s="96" t="s">
        <v>20</v>
      </c>
      <c r="B590" s="17" t="s">
        <v>469</v>
      </c>
      <c r="C590" s="96" t="s">
        <v>250</v>
      </c>
      <c r="D590" s="17" t="s">
        <v>440</v>
      </c>
      <c r="E590" s="99" t="s">
        <v>810</v>
      </c>
      <c r="F590" s="16">
        <v>300</v>
      </c>
      <c r="G590" s="17"/>
    </row>
    <row r="591" spans="1:7" s="12" customFormat="1" ht="14.25" customHeight="1">
      <c r="A591" s="96" t="s">
        <v>20</v>
      </c>
      <c r="B591" s="17" t="s">
        <v>469</v>
      </c>
      <c r="C591" s="96" t="s">
        <v>250</v>
      </c>
      <c r="D591" s="17" t="s">
        <v>440</v>
      </c>
      <c r="E591" s="99" t="s">
        <v>811</v>
      </c>
      <c r="F591" s="16">
        <v>300</v>
      </c>
      <c r="G591" s="17"/>
    </row>
    <row r="592" spans="1:7" s="12" customFormat="1" ht="14.25" customHeight="1">
      <c r="A592" s="96" t="s">
        <v>20</v>
      </c>
      <c r="B592" s="17" t="s">
        <v>469</v>
      </c>
      <c r="C592" s="96" t="s">
        <v>250</v>
      </c>
      <c r="D592" s="17" t="s">
        <v>440</v>
      </c>
      <c r="E592" s="99" t="s">
        <v>812</v>
      </c>
      <c r="F592" s="16">
        <v>300</v>
      </c>
      <c r="G592" s="17"/>
    </row>
    <row r="593" spans="1:7" s="12" customFormat="1" ht="14.25" customHeight="1">
      <c r="A593" s="96" t="s">
        <v>20</v>
      </c>
      <c r="B593" s="17" t="s">
        <v>469</v>
      </c>
      <c r="C593" s="96" t="s">
        <v>250</v>
      </c>
      <c r="D593" s="17" t="s">
        <v>440</v>
      </c>
      <c r="E593" s="99" t="s">
        <v>813</v>
      </c>
      <c r="F593" s="16">
        <v>300</v>
      </c>
      <c r="G593" s="17"/>
    </row>
    <row r="594" spans="1:7" s="12" customFormat="1" ht="14.25" customHeight="1">
      <c r="A594" s="96" t="s">
        <v>20</v>
      </c>
      <c r="B594" s="17" t="s">
        <v>469</v>
      </c>
      <c r="C594" s="96" t="s">
        <v>250</v>
      </c>
      <c r="D594" s="17" t="s">
        <v>440</v>
      </c>
      <c r="E594" s="99" t="s">
        <v>815</v>
      </c>
      <c r="F594" s="16">
        <v>300</v>
      </c>
      <c r="G594" s="17"/>
    </row>
    <row r="595" spans="1:7" s="12" customFormat="1" ht="14.25" customHeight="1">
      <c r="A595" s="96" t="s">
        <v>20</v>
      </c>
      <c r="B595" s="17" t="s">
        <v>469</v>
      </c>
      <c r="C595" s="96" t="s">
        <v>250</v>
      </c>
      <c r="D595" s="17" t="s">
        <v>440</v>
      </c>
      <c r="E595" s="99" t="s">
        <v>816</v>
      </c>
      <c r="F595" s="16">
        <v>300</v>
      </c>
      <c r="G595" s="17"/>
    </row>
    <row r="596" spans="1:7" s="12" customFormat="1" ht="14.25" customHeight="1">
      <c r="A596" s="96" t="s">
        <v>20</v>
      </c>
      <c r="B596" s="17" t="s">
        <v>469</v>
      </c>
      <c r="C596" s="96" t="s">
        <v>250</v>
      </c>
      <c r="D596" s="17" t="s">
        <v>440</v>
      </c>
      <c r="E596" s="99" t="s">
        <v>817</v>
      </c>
      <c r="F596" s="16">
        <v>300</v>
      </c>
      <c r="G596" s="17"/>
    </row>
    <row r="597" spans="1:7" s="12" customFormat="1" ht="14.25" customHeight="1">
      <c r="A597" s="96" t="s">
        <v>15</v>
      </c>
      <c r="B597" s="17" t="s">
        <v>585</v>
      </c>
      <c r="C597" s="96" t="s">
        <v>594</v>
      </c>
      <c r="D597" s="17" t="s">
        <v>440</v>
      </c>
      <c r="E597" s="99" t="s">
        <v>818</v>
      </c>
      <c r="F597" s="16">
        <v>300</v>
      </c>
      <c r="G597" s="17"/>
    </row>
    <row r="598" spans="1:7" s="12" customFormat="1" ht="14.25" customHeight="1">
      <c r="A598" s="96" t="s">
        <v>20</v>
      </c>
      <c r="B598" s="17" t="s">
        <v>469</v>
      </c>
      <c r="C598" s="96" t="s">
        <v>250</v>
      </c>
      <c r="D598" s="17" t="s">
        <v>440</v>
      </c>
      <c r="E598" s="99" t="s">
        <v>819</v>
      </c>
      <c r="F598" s="16">
        <v>300</v>
      </c>
      <c r="G598" s="17"/>
    </row>
    <row r="599" spans="1:7" s="12" customFormat="1" ht="14.25" customHeight="1">
      <c r="A599" s="96" t="s">
        <v>20</v>
      </c>
      <c r="B599" s="17" t="s">
        <v>469</v>
      </c>
      <c r="C599" s="96" t="s">
        <v>250</v>
      </c>
      <c r="D599" s="17" t="s">
        <v>440</v>
      </c>
      <c r="E599" s="99" t="s">
        <v>820</v>
      </c>
      <c r="F599" s="16">
        <v>300</v>
      </c>
      <c r="G599" s="17"/>
    </row>
    <row r="600" spans="1:7" s="12" customFormat="1" ht="14.25" customHeight="1">
      <c r="A600" s="96" t="s">
        <v>20</v>
      </c>
      <c r="B600" s="17" t="s">
        <v>469</v>
      </c>
      <c r="C600" s="96" t="s">
        <v>250</v>
      </c>
      <c r="D600" s="17" t="s">
        <v>440</v>
      </c>
      <c r="E600" s="99" t="s">
        <v>821</v>
      </c>
      <c r="F600" s="16">
        <v>300</v>
      </c>
      <c r="G600" s="17"/>
    </row>
    <row r="601" spans="1:7" s="12" customFormat="1" ht="14.25" customHeight="1">
      <c r="A601" s="96" t="s">
        <v>20</v>
      </c>
      <c r="B601" s="17" t="s">
        <v>469</v>
      </c>
      <c r="C601" s="96" t="s">
        <v>250</v>
      </c>
      <c r="D601" s="17" t="s">
        <v>440</v>
      </c>
      <c r="E601" s="99" t="s">
        <v>822</v>
      </c>
      <c r="F601" s="16">
        <v>300</v>
      </c>
      <c r="G601" s="17"/>
    </row>
    <row r="602" spans="1:7" s="12" customFormat="1" ht="14.25" customHeight="1">
      <c r="A602" s="96" t="s">
        <v>20</v>
      </c>
      <c r="B602" s="17" t="s">
        <v>469</v>
      </c>
      <c r="C602" s="96" t="s">
        <v>250</v>
      </c>
      <c r="D602" s="17" t="s">
        <v>440</v>
      </c>
      <c r="E602" s="99" t="s">
        <v>823</v>
      </c>
      <c r="F602" s="16">
        <v>300</v>
      </c>
      <c r="G602" s="17"/>
    </row>
    <row r="603" spans="1:7" s="12" customFormat="1" ht="14.25" customHeight="1">
      <c r="A603" s="96" t="s">
        <v>20</v>
      </c>
      <c r="B603" s="17" t="s">
        <v>469</v>
      </c>
      <c r="C603" s="96" t="s">
        <v>250</v>
      </c>
      <c r="D603" s="17" t="s">
        <v>440</v>
      </c>
      <c r="E603" s="99" t="s">
        <v>824</v>
      </c>
      <c r="F603" s="16">
        <v>300</v>
      </c>
      <c r="G603" s="17"/>
    </row>
    <row r="604" spans="1:7" s="12" customFormat="1" ht="14.25" customHeight="1">
      <c r="A604" s="96" t="s">
        <v>20</v>
      </c>
      <c r="B604" s="17" t="s">
        <v>469</v>
      </c>
      <c r="C604" s="96" t="s">
        <v>250</v>
      </c>
      <c r="D604" s="17" t="s">
        <v>440</v>
      </c>
      <c r="E604" s="99" t="s">
        <v>825</v>
      </c>
      <c r="F604" s="16">
        <v>300</v>
      </c>
      <c r="G604" s="17"/>
    </row>
    <row r="605" spans="1:7" s="12" customFormat="1" ht="14.25" customHeight="1">
      <c r="A605" s="96" t="s">
        <v>20</v>
      </c>
      <c r="B605" s="17" t="s">
        <v>469</v>
      </c>
      <c r="C605" s="96" t="s">
        <v>250</v>
      </c>
      <c r="D605" s="17" t="s">
        <v>440</v>
      </c>
      <c r="E605" s="99" t="s">
        <v>826</v>
      </c>
      <c r="F605" s="16">
        <v>300</v>
      </c>
      <c r="G605" s="17"/>
    </row>
    <row r="606" spans="1:7" s="12" customFormat="1" ht="14.25" customHeight="1">
      <c r="A606" s="96" t="s">
        <v>20</v>
      </c>
      <c r="B606" s="17" t="s">
        <v>469</v>
      </c>
      <c r="C606" s="96" t="s">
        <v>250</v>
      </c>
      <c r="D606" s="17" t="s">
        <v>440</v>
      </c>
      <c r="E606" s="99" t="s">
        <v>827</v>
      </c>
      <c r="F606" s="16">
        <v>300</v>
      </c>
      <c r="G606" s="17"/>
    </row>
    <row r="607" spans="1:7" s="12" customFormat="1" ht="14.25" customHeight="1">
      <c r="A607" s="96" t="s">
        <v>20</v>
      </c>
      <c r="B607" s="17" t="s">
        <v>469</v>
      </c>
      <c r="C607" s="96" t="s">
        <v>250</v>
      </c>
      <c r="D607" s="17" t="s">
        <v>440</v>
      </c>
      <c r="E607" s="99" t="s">
        <v>828</v>
      </c>
      <c r="F607" s="16">
        <v>300</v>
      </c>
      <c r="G607" s="17"/>
    </row>
    <row r="608" spans="1:7" s="12" customFormat="1" ht="14.25" customHeight="1">
      <c r="A608" s="96" t="s">
        <v>20</v>
      </c>
      <c r="B608" s="17" t="s">
        <v>469</v>
      </c>
      <c r="C608" s="96" t="s">
        <v>250</v>
      </c>
      <c r="D608" s="17" t="s">
        <v>440</v>
      </c>
      <c r="E608" s="99" t="s">
        <v>829</v>
      </c>
      <c r="F608" s="16">
        <v>300</v>
      </c>
      <c r="G608" s="17"/>
    </row>
    <row r="609" spans="1:7" s="12" customFormat="1" ht="14.25" customHeight="1">
      <c r="A609" s="96" t="s">
        <v>20</v>
      </c>
      <c r="B609" s="17" t="s">
        <v>469</v>
      </c>
      <c r="C609" s="96" t="s">
        <v>250</v>
      </c>
      <c r="D609" s="17" t="s">
        <v>440</v>
      </c>
      <c r="E609" s="99" t="s">
        <v>830</v>
      </c>
      <c r="F609" s="16">
        <v>300</v>
      </c>
      <c r="G609" s="17"/>
    </row>
    <row r="610" spans="1:7" s="12" customFormat="1" ht="14.25" customHeight="1">
      <c r="A610" s="96" t="s">
        <v>20</v>
      </c>
      <c r="B610" s="17" t="s">
        <v>469</v>
      </c>
      <c r="C610" s="96" t="s">
        <v>250</v>
      </c>
      <c r="D610" s="17" t="s">
        <v>440</v>
      </c>
      <c r="E610" s="99" t="s">
        <v>831</v>
      </c>
      <c r="F610" s="16">
        <v>300</v>
      </c>
      <c r="G610" s="17"/>
    </row>
    <row r="611" spans="1:7" s="12" customFormat="1" ht="14.25" customHeight="1">
      <c r="A611" s="96" t="s">
        <v>20</v>
      </c>
      <c r="B611" s="17" t="s">
        <v>469</v>
      </c>
      <c r="C611" s="96" t="s">
        <v>250</v>
      </c>
      <c r="D611" s="17" t="s">
        <v>440</v>
      </c>
      <c r="E611" s="99" t="s">
        <v>832</v>
      </c>
      <c r="F611" s="16">
        <v>300</v>
      </c>
      <c r="G611" s="17"/>
    </row>
    <row r="612" spans="1:7" s="12" customFormat="1" ht="14.25" customHeight="1">
      <c r="A612" s="96" t="s">
        <v>20</v>
      </c>
      <c r="B612" s="17" t="s">
        <v>469</v>
      </c>
      <c r="C612" s="96" t="s">
        <v>250</v>
      </c>
      <c r="D612" s="17" t="s">
        <v>440</v>
      </c>
      <c r="E612" s="99" t="s">
        <v>833</v>
      </c>
      <c r="F612" s="16">
        <v>300</v>
      </c>
      <c r="G612" s="17"/>
    </row>
    <row r="613" spans="1:7" s="12" customFormat="1" ht="14.25" customHeight="1">
      <c r="A613" s="96" t="s">
        <v>20</v>
      </c>
      <c r="B613" s="17" t="s">
        <v>469</v>
      </c>
      <c r="C613" s="96" t="s">
        <v>250</v>
      </c>
      <c r="D613" s="17" t="s">
        <v>440</v>
      </c>
      <c r="E613" s="99" t="s">
        <v>834</v>
      </c>
      <c r="F613" s="16">
        <v>300</v>
      </c>
      <c r="G613" s="17"/>
    </row>
    <row r="614" spans="1:7" s="12" customFormat="1" ht="14.25" customHeight="1">
      <c r="A614" s="96" t="s">
        <v>20</v>
      </c>
      <c r="B614" s="17" t="s">
        <v>469</v>
      </c>
      <c r="C614" s="96" t="s">
        <v>250</v>
      </c>
      <c r="D614" s="17" t="s">
        <v>440</v>
      </c>
      <c r="E614" s="99" t="s">
        <v>835</v>
      </c>
      <c r="F614" s="16">
        <v>300</v>
      </c>
      <c r="G614" s="17"/>
    </row>
    <row r="615" spans="1:7" s="12" customFormat="1" ht="14.25" customHeight="1">
      <c r="A615" s="96" t="s">
        <v>20</v>
      </c>
      <c r="B615" s="17" t="s">
        <v>469</v>
      </c>
      <c r="C615" s="96" t="s">
        <v>250</v>
      </c>
      <c r="D615" s="17" t="s">
        <v>440</v>
      </c>
      <c r="E615" s="99" t="s">
        <v>836</v>
      </c>
      <c r="F615" s="16">
        <v>300</v>
      </c>
      <c r="G615" s="17"/>
    </row>
    <row r="616" spans="1:7" s="12" customFormat="1" ht="14.25" customHeight="1">
      <c r="A616" s="96" t="s">
        <v>20</v>
      </c>
      <c r="B616" s="17" t="s">
        <v>469</v>
      </c>
      <c r="C616" s="96" t="s">
        <v>250</v>
      </c>
      <c r="D616" s="17" t="s">
        <v>440</v>
      </c>
      <c r="E616" s="99" t="s">
        <v>837</v>
      </c>
      <c r="F616" s="16">
        <v>300</v>
      </c>
      <c r="G616" s="17"/>
    </row>
    <row r="617" spans="1:7" s="12" customFormat="1" ht="14.25" customHeight="1">
      <c r="A617" s="96" t="s">
        <v>20</v>
      </c>
      <c r="B617" s="17" t="s">
        <v>469</v>
      </c>
      <c r="C617" s="96" t="s">
        <v>250</v>
      </c>
      <c r="D617" s="17" t="s">
        <v>440</v>
      </c>
      <c r="E617" s="99" t="s">
        <v>838</v>
      </c>
      <c r="F617" s="16">
        <v>300</v>
      </c>
      <c r="G617" s="17"/>
    </row>
    <row r="618" spans="1:7" s="12" customFormat="1" ht="14.25" customHeight="1">
      <c r="A618" s="96" t="s">
        <v>20</v>
      </c>
      <c r="B618" s="17" t="s">
        <v>469</v>
      </c>
      <c r="C618" s="96" t="s">
        <v>250</v>
      </c>
      <c r="D618" s="17" t="s">
        <v>440</v>
      </c>
      <c r="E618" s="99" t="s">
        <v>839</v>
      </c>
      <c r="F618" s="16">
        <v>300</v>
      </c>
      <c r="G618" s="17"/>
    </row>
    <row r="619" spans="1:7" s="12" customFormat="1" ht="14.25" customHeight="1">
      <c r="A619" s="96" t="s">
        <v>20</v>
      </c>
      <c r="B619" s="17" t="s">
        <v>469</v>
      </c>
      <c r="C619" s="96" t="s">
        <v>250</v>
      </c>
      <c r="D619" s="17" t="s">
        <v>440</v>
      </c>
      <c r="E619" s="99" t="s">
        <v>840</v>
      </c>
      <c r="F619" s="16">
        <v>300</v>
      </c>
      <c r="G619" s="17"/>
    </row>
    <row r="620" spans="1:7" s="12" customFormat="1" ht="14.25" customHeight="1">
      <c r="A620" s="96" t="s">
        <v>20</v>
      </c>
      <c r="B620" s="17" t="s">
        <v>469</v>
      </c>
      <c r="C620" s="96" t="s">
        <v>250</v>
      </c>
      <c r="D620" s="17" t="s">
        <v>440</v>
      </c>
      <c r="E620" s="99" t="s">
        <v>841</v>
      </c>
      <c r="F620" s="16">
        <v>300</v>
      </c>
      <c r="G620" s="17"/>
    </row>
    <row r="621" spans="1:7" s="12" customFormat="1" ht="14.25" customHeight="1">
      <c r="A621" s="96" t="s">
        <v>20</v>
      </c>
      <c r="B621" s="17" t="s">
        <v>469</v>
      </c>
      <c r="C621" s="96" t="s">
        <v>250</v>
      </c>
      <c r="D621" s="17" t="s">
        <v>440</v>
      </c>
      <c r="E621" s="99" t="s">
        <v>842</v>
      </c>
      <c r="F621" s="16">
        <v>300</v>
      </c>
      <c r="G621" s="17"/>
    </row>
    <row r="622" spans="1:7" s="12" customFormat="1" ht="14.25" customHeight="1">
      <c r="A622" s="96" t="s">
        <v>20</v>
      </c>
      <c r="B622" s="17" t="s">
        <v>469</v>
      </c>
      <c r="C622" s="139" t="s">
        <v>250</v>
      </c>
      <c r="D622" s="17" t="s">
        <v>440</v>
      </c>
      <c r="E622" s="99" t="s">
        <v>843</v>
      </c>
      <c r="F622" s="16">
        <v>300</v>
      </c>
      <c r="G622" s="17"/>
    </row>
    <row r="623" spans="1:7" s="12" customFormat="1" ht="14.25" customHeight="1">
      <c r="A623" s="96" t="s">
        <v>20</v>
      </c>
      <c r="B623" s="17" t="s">
        <v>469</v>
      </c>
      <c r="C623" s="96" t="s">
        <v>250</v>
      </c>
      <c r="D623" s="17" t="s">
        <v>440</v>
      </c>
      <c r="E623" s="99" t="s">
        <v>844</v>
      </c>
      <c r="F623" s="16">
        <v>300</v>
      </c>
      <c r="G623" s="17"/>
    </row>
    <row r="624" spans="1:7" s="12" customFormat="1" ht="14.25" customHeight="1">
      <c r="A624" s="96" t="s">
        <v>20</v>
      </c>
      <c r="B624" s="17" t="s">
        <v>469</v>
      </c>
      <c r="C624" s="96" t="s">
        <v>250</v>
      </c>
      <c r="D624" s="17" t="s">
        <v>440</v>
      </c>
      <c r="E624" s="99" t="s">
        <v>845</v>
      </c>
      <c r="F624" s="16">
        <v>300</v>
      </c>
      <c r="G624" s="17"/>
    </row>
    <row r="625" spans="1:7" s="12" customFormat="1" ht="14.25" customHeight="1">
      <c r="A625" s="96" t="s">
        <v>20</v>
      </c>
      <c r="B625" s="17" t="s">
        <v>469</v>
      </c>
      <c r="C625" s="96" t="s">
        <v>250</v>
      </c>
      <c r="D625" s="17" t="s">
        <v>440</v>
      </c>
      <c r="E625" s="99" t="s">
        <v>846</v>
      </c>
      <c r="F625" s="16">
        <v>300</v>
      </c>
      <c r="G625" s="17"/>
    </row>
    <row r="626" spans="1:7" s="12" customFormat="1" ht="14.25" customHeight="1">
      <c r="A626" s="96" t="s">
        <v>20</v>
      </c>
      <c r="B626" s="17" t="s">
        <v>749</v>
      </c>
      <c r="C626" s="96" t="s">
        <v>250</v>
      </c>
      <c r="D626" s="17" t="s">
        <v>440</v>
      </c>
      <c r="E626" s="99" t="s">
        <v>847</v>
      </c>
      <c r="F626" s="16">
        <v>300</v>
      </c>
      <c r="G626" s="17"/>
    </row>
    <row r="627" spans="1:7" s="12" customFormat="1" ht="14.25" customHeight="1">
      <c r="A627" s="96" t="s">
        <v>20</v>
      </c>
      <c r="B627" s="17" t="s">
        <v>749</v>
      </c>
      <c r="C627" s="96" t="s">
        <v>1015</v>
      </c>
      <c r="D627" s="17" t="s">
        <v>440</v>
      </c>
      <c r="E627" s="99" t="s">
        <v>848</v>
      </c>
      <c r="F627" s="16">
        <v>300</v>
      </c>
      <c r="G627" s="17"/>
    </row>
    <row r="628" spans="1:7" s="12" customFormat="1" ht="14.25" customHeight="1">
      <c r="A628" s="96" t="s">
        <v>20</v>
      </c>
      <c r="B628" s="17" t="s">
        <v>469</v>
      </c>
      <c r="C628" s="96" t="s">
        <v>250</v>
      </c>
      <c r="D628" s="17" t="s">
        <v>441</v>
      </c>
      <c r="E628" s="99" t="s">
        <v>859</v>
      </c>
      <c r="F628" s="16">
        <v>300</v>
      </c>
      <c r="G628" s="17"/>
    </row>
    <row r="629" spans="1:7" s="12" customFormat="1" ht="14.25" customHeight="1">
      <c r="A629" s="96" t="s">
        <v>17</v>
      </c>
      <c r="B629" s="17" t="s">
        <v>469</v>
      </c>
      <c r="C629" s="96" t="s">
        <v>250</v>
      </c>
      <c r="D629" s="17" t="s">
        <v>441</v>
      </c>
      <c r="E629" s="99" t="s">
        <v>867</v>
      </c>
      <c r="F629" s="16">
        <v>300</v>
      </c>
      <c r="G629" s="17"/>
    </row>
    <row r="630" spans="1:7" s="12" customFormat="1" ht="14.25" customHeight="1">
      <c r="A630" s="96" t="s">
        <v>20</v>
      </c>
      <c r="B630" s="17" t="s">
        <v>469</v>
      </c>
      <c r="C630" s="96" t="s">
        <v>250</v>
      </c>
      <c r="D630" s="17" t="s">
        <v>441</v>
      </c>
      <c r="E630" s="99" t="s">
        <v>872</v>
      </c>
      <c r="F630" s="16">
        <v>300</v>
      </c>
      <c r="G630" s="17"/>
    </row>
    <row r="631" spans="1:7" s="12" customFormat="1" ht="14.25" customHeight="1">
      <c r="A631" s="96" t="s">
        <v>20</v>
      </c>
      <c r="B631" s="17" t="s">
        <v>469</v>
      </c>
      <c r="C631" s="96" t="s">
        <v>250</v>
      </c>
      <c r="D631" s="17" t="s">
        <v>441</v>
      </c>
      <c r="E631" s="99" t="s">
        <v>873</v>
      </c>
      <c r="F631" s="16">
        <v>300</v>
      </c>
      <c r="G631" s="17"/>
    </row>
    <row r="632" spans="1:7" s="12" customFormat="1" ht="14.25" customHeight="1">
      <c r="A632" s="96" t="s">
        <v>20</v>
      </c>
      <c r="B632" s="17" t="s">
        <v>469</v>
      </c>
      <c r="C632" s="96" t="s">
        <v>250</v>
      </c>
      <c r="D632" s="17" t="s">
        <v>441</v>
      </c>
      <c r="E632" s="99" t="s">
        <v>874</v>
      </c>
      <c r="F632" s="16">
        <v>300</v>
      </c>
      <c r="G632" s="17"/>
    </row>
    <row r="633" spans="1:7" s="12" customFormat="1" ht="14.25" customHeight="1">
      <c r="A633" s="96" t="s">
        <v>20</v>
      </c>
      <c r="B633" s="17" t="s">
        <v>469</v>
      </c>
      <c r="C633" s="96" t="s">
        <v>250</v>
      </c>
      <c r="D633" s="17" t="s">
        <v>441</v>
      </c>
      <c r="E633" s="99" t="s">
        <v>875</v>
      </c>
      <c r="F633" s="16">
        <v>300</v>
      </c>
      <c r="G633" s="17"/>
    </row>
    <row r="634" spans="1:7" s="12" customFormat="1" ht="14.25" customHeight="1">
      <c r="A634" s="96" t="s">
        <v>17</v>
      </c>
      <c r="B634" s="17" t="s">
        <v>1017</v>
      </c>
      <c r="C634" s="96" t="s">
        <v>250</v>
      </c>
      <c r="D634" s="17" t="s">
        <v>442</v>
      </c>
      <c r="E634" s="99" t="s">
        <v>876</v>
      </c>
      <c r="F634" s="16">
        <v>300</v>
      </c>
      <c r="G634" s="17"/>
    </row>
    <row r="635" spans="1:7" s="12" customFormat="1" ht="14.25" customHeight="1">
      <c r="A635" s="96" t="s">
        <v>17</v>
      </c>
      <c r="B635" s="17" t="s">
        <v>1017</v>
      </c>
      <c r="C635" s="96" t="s">
        <v>250</v>
      </c>
      <c r="D635" s="17" t="s">
        <v>442</v>
      </c>
      <c r="E635" s="99" t="s">
        <v>877</v>
      </c>
      <c r="F635" s="16">
        <v>300</v>
      </c>
      <c r="G635" s="17"/>
    </row>
    <row r="636" spans="1:7" s="12" customFormat="1" ht="14.25" customHeight="1">
      <c r="A636" s="96" t="s">
        <v>17</v>
      </c>
      <c r="B636" s="17" t="s">
        <v>1017</v>
      </c>
      <c r="C636" s="96" t="s">
        <v>250</v>
      </c>
      <c r="D636" s="17" t="s">
        <v>442</v>
      </c>
      <c r="E636" s="99" t="s">
        <v>883</v>
      </c>
      <c r="F636" s="16">
        <v>300</v>
      </c>
      <c r="G636" s="17"/>
    </row>
    <row r="637" spans="1:7" s="12" customFormat="1" ht="14.25" customHeight="1">
      <c r="A637" s="96" t="s">
        <v>17</v>
      </c>
      <c r="B637" s="17" t="s">
        <v>1017</v>
      </c>
      <c r="C637" s="96" t="s">
        <v>250</v>
      </c>
      <c r="D637" s="17" t="s">
        <v>442</v>
      </c>
      <c r="E637" s="99" t="s">
        <v>884</v>
      </c>
      <c r="F637" s="16">
        <v>300</v>
      </c>
      <c r="G637" s="17"/>
    </row>
    <row r="638" spans="1:7" s="12" customFormat="1" ht="14.25" customHeight="1">
      <c r="A638" s="96" t="s">
        <v>17</v>
      </c>
      <c r="B638" s="17" t="s">
        <v>1017</v>
      </c>
      <c r="C638" s="96" t="s">
        <v>250</v>
      </c>
      <c r="D638" s="17" t="s">
        <v>442</v>
      </c>
      <c r="E638" s="99" t="s">
        <v>885</v>
      </c>
      <c r="F638" s="16">
        <v>300</v>
      </c>
      <c r="G638" s="17"/>
    </row>
    <row r="639" spans="1:7" s="12" customFormat="1" ht="14.25" customHeight="1">
      <c r="A639" s="96" t="s">
        <v>17</v>
      </c>
      <c r="B639" s="17" t="s">
        <v>1017</v>
      </c>
      <c r="C639" s="96" t="s">
        <v>250</v>
      </c>
      <c r="D639" s="17" t="s">
        <v>443</v>
      </c>
      <c r="E639" s="99" t="s">
        <v>886</v>
      </c>
      <c r="F639" s="16">
        <v>300</v>
      </c>
      <c r="G639" s="17"/>
    </row>
    <row r="640" spans="1:7" s="12" customFormat="1" ht="14.25" customHeight="1">
      <c r="A640" s="96" t="s">
        <v>17</v>
      </c>
      <c r="B640" s="17" t="s">
        <v>1017</v>
      </c>
      <c r="C640" s="96" t="s">
        <v>250</v>
      </c>
      <c r="D640" s="17" t="s">
        <v>443</v>
      </c>
      <c r="E640" s="99" t="s">
        <v>887</v>
      </c>
      <c r="F640" s="16">
        <v>300</v>
      </c>
      <c r="G640" s="17"/>
    </row>
    <row r="641" spans="1:7" s="12" customFormat="1" ht="14.25" customHeight="1">
      <c r="A641" s="96" t="s">
        <v>274</v>
      </c>
      <c r="B641" s="169" t="s">
        <v>1018</v>
      </c>
      <c r="C641" s="96" t="s">
        <v>1019</v>
      </c>
      <c r="D641" s="17" t="s">
        <v>443</v>
      </c>
      <c r="E641" s="99" t="s">
        <v>888</v>
      </c>
      <c r="F641" s="16">
        <v>300</v>
      </c>
      <c r="G641" s="17"/>
    </row>
    <row r="642" spans="1:7" s="12" customFormat="1" ht="14.25" customHeight="1">
      <c r="A642" s="96" t="s">
        <v>17</v>
      </c>
      <c r="B642" s="17" t="s">
        <v>1017</v>
      </c>
      <c r="C642" s="96" t="s">
        <v>250</v>
      </c>
      <c r="D642" s="17" t="s">
        <v>443</v>
      </c>
      <c r="E642" s="99" t="s">
        <v>893</v>
      </c>
      <c r="F642" s="16">
        <v>300</v>
      </c>
      <c r="G642" s="17"/>
    </row>
    <row r="643" spans="1:7" s="12" customFormat="1" ht="14.25" customHeight="1">
      <c r="A643" s="96" t="s">
        <v>17</v>
      </c>
      <c r="B643" s="17" t="s">
        <v>1017</v>
      </c>
      <c r="C643" s="96" t="s">
        <v>250</v>
      </c>
      <c r="D643" s="17" t="s">
        <v>444</v>
      </c>
      <c r="E643" s="99" t="s">
        <v>894</v>
      </c>
      <c r="F643" s="16">
        <v>300</v>
      </c>
      <c r="G643" s="17"/>
    </row>
    <row r="644" spans="1:7" s="12" customFormat="1" ht="14.25" customHeight="1">
      <c r="A644" s="96" t="s">
        <v>17</v>
      </c>
      <c r="B644" s="17" t="s">
        <v>1017</v>
      </c>
      <c r="C644" s="96" t="s">
        <v>250</v>
      </c>
      <c r="D644" s="17" t="s">
        <v>444</v>
      </c>
      <c r="E644" s="99" t="s">
        <v>895</v>
      </c>
      <c r="F644" s="16">
        <v>300</v>
      </c>
      <c r="G644" s="17"/>
    </row>
    <row r="645" spans="1:7" s="12" customFormat="1" ht="14.25" customHeight="1">
      <c r="A645" s="96" t="s">
        <v>17</v>
      </c>
      <c r="B645" s="17" t="s">
        <v>1017</v>
      </c>
      <c r="C645" s="96" t="s">
        <v>250</v>
      </c>
      <c r="D645" s="17" t="s">
        <v>444</v>
      </c>
      <c r="E645" s="99" t="s">
        <v>901</v>
      </c>
      <c r="F645" s="16">
        <v>300</v>
      </c>
      <c r="G645" s="17"/>
    </row>
    <row r="646" spans="1:7" s="12" customFormat="1" ht="14.25" customHeight="1">
      <c r="A646" s="96" t="s">
        <v>17</v>
      </c>
      <c r="B646" s="17" t="s">
        <v>1017</v>
      </c>
      <c r="C646" s="96" t="s">
        <v>250</v>
      </c>
      <c r="D646" s="17" t="s">
        <v>445</v>
      </c>
      <c r="E646" s="99" t="s">
        <v>902</v>
      </c>
      <c r="F646" s="16">
        <v>300</v>
      </c>
      <c r="G646" s="17"/>
    </row>
    <row r="647" spans="1:7" s="12" customFormat="1" ht="14.25" customHeight="1">
      <c r="A647" s="96" t="s">
        <v>17</v>
      </c>
      <c r="B647" s="17" t="s">
        <v>1017</v>
      </c>
      <c r="C647" s="96" t="s">
        <v>250</v>
      </c>
      <c r="D647" s="17" t="s">
        <v>445</v>
      </c>
      <c r="E647" s="99" t="s">
        <v>906</v>
      </c>
      <c r="F647" s="16">
        <v>300</v>
      </c>
      <c r="G647" s="17"/>
    </row>
    <row r="648" spans="1:7" s="12" customFormat="1" ht="14.25" customHeight="1">
      <c r="A648" s="96" t="s">
        <v>272</v>
      </c>
      <c r="B648" s="17" t="s">
        <v>300</v>
      </c>
      <c r="C648" s="96" t="s">
        <v>306</v>
      </c>
      <c r="D648" s="17" t="s">
        <v>275</v>
      </c>
      <c r="E648" s="99" t="s">
        <v>277</v>
      </c>
      <c r="F648" s="16">
        <v>250</v>
      </c>
      <c r="G648" s="17"/>
    </row>
    <row r="649" spans="1:7" s="12" customFormat="1" ht="14.25" customHeight="1">
      <c r="A649" s="96" t="s">
        <v>272</v>
      </c>
      <c r="B649" s="17" t="s">
        <v>300</v>
      </c>
      <c r="C649" s="96" t="s">
        <v>306</v>
      </c>
      <c r="D649" s="17" t="s">
        <v>275</v>
      </c>
      <c r="E649" s="99" t="s">
        <v>279</v>
      </c>
      <c r="F649" s="16">
        <v>250</v>
      </c>
      <c r="G649" s="17"/>
    </row>
    <row r="650" spans="1:7" s="12" customFormat="1" ht="14.25" customHeight="1">
      <c r="A650" s="96" t="s">
        <v>272</v>
      </c>
      <c r="B650" s="17" t="s">
        <v>300</v>
      </c>
      <c r="C650" s="96" t="s">
        <v>306</v>
      </c>
      <c r="D650" s="17" t="s">
        <v>275</v>
      </c>
      <c r="E650" s="99" t="s">
        <v>281</v>
      </c>
      <c r="F650" s="16">
        <v>250</v>
      </c>
      <c r="G650" s="17"/>
    </row>
    <row r="651" spans="1:7" s="12" customFormat="1" ht="14.25" customHeight="1">
      <c r="A651" s="96" t="s">
        <v>272</v>
      </c>
      <c r="B651" s="17" t="s">
        <v>300</v>
      </c>
      <c r="C651" s="96" t="s">
        <v>306</v>
      </c>
      <c r="D651" s="17" t="s">
        <v>275</v>
      </c>
      <c r="E651" s="99" t="s">
        <v>283</v>
      </c>
      <c r="F651" s="16">
        <v>250</v>
      </c>
      <c r="G651" s="17"/>
    </row>
    <row r="652" spans="1:7" s="12" customFormat="1" ht="14.25" customHeight="1">
      <c r="A652" s="96" t="s">
        <v>272</v>
      </c>
      <c r="B652" s="17" t="s">
        <v>300</v>
      </c>
      <c r="C652" s="96" t="s">
        <v>306</v>
      </c>
      <c r="D652" s="17" t="s">
        <v>275</v>
      </c>
      <c r="E652" s="99" t="s">
        <v>285</v>
      </c>
      <c r="F652" s="16">
        <v>250</v>
      </c>
      <c r="G652" s="17"/>
    </row>
    <row r="653" spans="1:7" s="12" customFormat="1" ht="14.25" customHeight="1">
      <c r="A653" s="96" t="s">
        <v>272</v>
      </c>
      <c r="B653" s="17" t="s">
        <v>300</v>
      </c>
      <c r="C653" s="96" t="s">
        <v>306</v>
      </c>
      <c r="D653" s="17" t="s">
        <v>312</v>
      </c>
      <c r="E653" s="99" t="s">
        <v>314</v>
      </c>
      <c r="F653" s="16">
        <v>250</v>
      </c>
      <c r="G653" s="17"/>
    </row>
    <row r="654" spans="1:7" s="12" customFormat="1" ht="14.25" customHeight="1">
      <c r="A654" s="96" t="s">
        <v>272</v>
      </c>
      <c r="B654" s="17" t="s">
        <v>300</v>
      </c>
      <c r="C654" s="96" t="s">
        <v>306</v>
      </c>
      <c r="D654" s="17" t="s">
        <v>312</v>
      </c>
      <c r="E654" s="99" t="s">
        <v>316</v>
      </c>
      <c r="F654" s="16">
        <v>250</v>
      </c>
      <c r="G654" s="17"/>
    </row>
    <row r="655" spans="1:7" s="12" customFormat="1" ht="14.25" customHeight="1">
      <c r="A655" s="96" t="s">
        <v>272</v>
      </c>
      <c r="B655" s="17" t="s">
        <v>300</v>
      </c>
      <c r="C655" s="96" t="s">
        <v>306</v>
      </c>
      <c r="D655" s="17" t="s">
        <v>312</v>
      </c>
      <c r="E655" s="99" t="s">
        <v>318</v>
      </c>
      <c r="F655" s="16">
        <v>250</v>
      </c>
      <c r="G655" s="17"/>
    </row>
    <row r="656" spans="1:7" s="12" customFormat="1" ht="14.25" customHeight="1">
      <c r="A656" s="96" t="s">
        <v>272</v>
      </c>
      <c r="B656" s="17" t="s">
        <v>300</v>
      </c>
      <c r="C656" s="96" t="s">
        <v>306</v>
      </c>
      <c r="D656" s="17" t="s">
        <v>331</v>
      </c>
      <c r="E656" s="99" t="s">
        <v>334</v>
      </c>
      <c r="F656" s="16">
        <v>250</v>
      </c>
      <c r="G656" s="17"/>
    </row>
    <row r="657" spans="1:7" s="12" customFormat="1" ht="14.25" customHeight="1">
      <c r="A657" s="96" t="s">
        <v>220</v>
      </c>
      <c r="B657" s="17" t="s">
        <v>396</v>
      </c>
      <c r="C657" s="96" t="s">
        <v>403</v>
      </c>
      <c r="D657" s="17" t="s">
        <v>344</v>
      </c>
      <c r="E657" s="99" t="s">
        <v>353</v>
      </c>
      <c r="F657" s="16">
        <v>250</v>
      </c>
      <c r="G657" s="17"/>
    </row>
    <row r="658" spans="1:7" s="12" customFormat="1" ht="14.25" customHeight="1">
      <c r="A658" s="96" t="s">
        <v>468</v>
      </c>
      <c r="B658" s="17" t="s">
        <v>302</v>
      </c>
      <c r="C658" s="96" t="s">
        <v>473</v>
      </c>
      <c r="D658" s="17" t="s">
        <v>426</v>
      </c>
      <c r="E658" s="99" t="s">
        <v>453</v>
      </c>
      <c r="F658" s="16">
        <v>250</v>
      </c>
      <c r="G658" s="17"/>
    </row>
    <row r="659" spans="1:7" s="12" customFormat="1" ht="14.25" customHeight="1">
      <c r="A659" s="96" t="s">
        <v>468</v>
      </c>
      <c r="B659" s="17" t="s">
        <v>302</v>
      </c>
      <c r="C659" s="96" t="s">
        <v>473</v>
      </c>
      <c r="D659" s="17" t="s">
        <v>426</v>
      </c>
      <c r="E659" s="99" t="s">
        <v>454</v>
      </c>
      <c r="F659" s="16">
        <v>250</v>
      </c>
      <c r="G659" s="17"/>
    </row>
    <row r="660" spans="1:7" s="12" customFormat="1" ht="14.25" customHeight="1">
      <c r="A660" s="96" t="s">
        <v>274</v>
      </c>
      <c r="B660" s="17" t="s">
        <v>302</v>
      </c>
      <c r="C660" s="96" t="s">
        <v>473</v>
      </c>
      <c r="D660" s="17" t="s">
        <v>426</v>
      </c>
      <c r="E660" s="99" t="s">
        <v>455</v>
      </c>
      <c r="F660" s="16">
        <v>250</v>
      </c>
      <c r="G660" s="17"/>
    </row>
    <row r="661" spans="1:7" s="12" customFormat="1" ht="14.25" customHeight="1">
      <c r="A661" s="96" t="s">
        <v>468</v>
      </c>
      <c r="B661" s="17" t="s">
        <v>302</v>
      </c>
      <c r="C661" s="96" t="s">
        <v>473</v>
      </c>
      <c r="D661" s="17" t="s">
        <v>426</v>
      </c>
      <c r="E661" s="99" t="s">
        <v>456</v>
      </c>
      <c r="F661" s="16">
        <v>250</v>
      </c>
      <c r="G661" s="17"/>
    </row>
    <row r="662" spans="1:7" s="12" customFormat="1" ht="14.25" customHeight="1">
      <c r="A662" s="96" t="s">
        <v>468</v>
      </c>
      <c r="B662" s="17" t="s">
        <v>302</v>
      </c>
      <c r="C662" s="96" t="s">
        <v>473</v>
      </c>
      <c r="D662" s="17" t="s">
        <v>426</v>
      </c>
      <c r="E662" s="99" t="s">
        <v>457</v>
      </c>
      <c r="F662" s="16">
        <v>250</v>
      </c>
      <c r="G662" s="17"/>
    </row>
    <row r="663" spans="1:7" s="12" customFormat="1" ht="14.25" customHeight="1">
      <c r="A663" s="96" t="s">
        <v>468</v>
      </c>
      <c r="B663" s="17" t="s">
        <v>302</v>
      </c>
      <c r="C663" s="96" t="s">
        <v>473</v>
      </c>
      <c r="D663" s="17" t="s">
        <v>426</v>
      </c>
      <c r="E663" s="99" t="s">
        <v>458</v>
      </c>
      <c r="F663" s="16">
        <v>250</v>
      </c>
      <c r="G663" s="17"/>
    </row>
    <row r="664" spans="1:7" s="12" customFormat="1" ht="14.25" customHeight="1">
      <c r="A664" s="96" t="s">
        <v>468</v>
      </c>
      <c r="B664" s="17" t="s">
        <v>302</v>
      </c>
      <c r="C664" s="96" t="s">
        <v>473</v>
      </c>
      <c r="D664" s="17" t="s">
        <v>426</v>
      </c>
      <c r="E664" s="99" t="s">
        <v>459</v>
      </c>
      <c r="F664" s="16">
        <v>250</v>
      </c>
      <c r="G664" s="17"/>
    </row>
    <row r="665" spans="1:7" s="12" customFormat="1" ht="14.25" customHeight="1">
      <c r="A665" s="96" t="s">
        <v>274</v>
      </c>
      <c r="B665" s="17" t="s">
        <v>302</v>
      </c>
      <c r="C665" s="96" t="s">
        <v>473</v>
      </c>
      <c r="D665" s="17" t="s">
        <v>426</v>
      </c>
      <c r="E665" s="99" t="s">
        <v>460</v>
      </c>
      <c r="F665" s="16">
        <v>250</v>
      </c>
      <c r="G665" s="17"/>
    </row>
    <row r="666" spans="1:7" s="12" customFormat="1" ht="14.25" customHeight="1">
      <c r="A666" s="96" t="s">
        <v>468</v>
      </c>
      <c r="B666" s="17" t="s">
        <v>302</v>
      </c>
      <c r="C666" s="96" t="s">
        <v>473</v>
      </c>
      <c r="D666" s="17" t="s">
        <v>426</v>
      </c>
      <c r="E666" s="99" t="s">
        <v>461</v>
      </c>
      <c r="F666" s="16">
        <v>250</v>
      </c>
      <c r="G666" s="17"/>
    </row>
    <row r="667" spans="1:7" s="12" customFormat="1" ht="14.25" customHeight="1">
      <c r="A667" s="96" t="s">
        <v>274</v>
      </c>
      <c r="B667" s="17" t="s">
        <v>302</v>
      </c>
      <c r="C667" s="96" t="s">
        <v>473</v>
      </c>
      <c r="D667" s="17" t="s">
        <v>426</v>
      </c>
      <c r="E667" s="99" t="s">
        <v>463</v>
      </c>
      <c r="F667" s="16">
        <v>250</v>
      </c>
      <c r="G667" s="17"/>
    </row>
    <row r="668" spans="1:7" s="12" customFormat="1" ht="14.25" customHeight="1">
      <c r="A668" s="96" t="s">
        <v>468</v>
      </c>
      <c r="B668" s="17" t="s">
        <v>302</v>
      </c>
      <c r="C668" s="96" t="s">
        <v>473</v>
      </c>
      <c r="D668" s="17" t="s">
        <v>426</v>
      </c>
      <c r="E668" s="99" t="s">
        <v>481</v>
      </c>
      <c r="F668" s="16">
        <v>250</v>
      </c>
      <c r="G668" s="17"/>
    </row>
    <row r="669" spans="1:7" s="12" customFormat="1" ht="14.25" customHeight="1">
      <c r="A669" s="96" t="s">
        <v>468</v>
      </c>
      <c r="B669" s="17" t="s">
        <v>302</v>
      </c>
      <c r="C669" s="96" t="s">
        <v>473</v>
      </c>
      <c r="D669" s="17" t="s">
        <v>426</v>
      </c>
      <c r="E669" s="99" t="s">
        <v>485</v>
      </c>
      <c r="F669" s="16">
        <v>250</v>
      </c>
      <c r="G669" s="17"/>
    </row>
    <row r="670" spans="1:7" s="12" customFormat="1" ht="14.25" customHeight="1">
      <c r="A670" s="96" t="s">
        <v>274</v>
      </c>
      <c r="B670" s="17" t="s">
        <v>302</v>
      </c>
      <c r="C670" s="96" t="s">
        <v>473</v>
      </c>
      <c r="D670" s="17" t="s">
        <v>426</v>
      </c>
      <c r="E670" s="99" t="s">
        <v>489</v>
      </c>
      <c r="F670" s="16">
        <v>250</v>
      </c>
      <c r="G670" s="17"/>
    </row>
    <row r="671" spans="1:7" s="12" customFormat="1" ht="14.25" customHeight="1">
      <c r="A671" s="96" t="s">
        <v>468</v>
      </c>
      <c r="B671" s="17" t="s">
        <v>302</v>
      </c>
      <c r="C671" s="96" t="s">
        <v>473</v>
      </c>
      <c r="D671" s="17" t="s">
        <v>426</v>
      </c>
      <c r="E671" s="99" t="s">
        <v>494</v>
      </c>
      <c r="F671" s="16">
        <v>250</v>
      </c>
      <c r="G671" s="17"/>
    </row>
    <row r="672" spans="1:7" s="12" customFormat="1" ht="14.25" customHeight="1">
      <c r="A672" s="17" t="s">
        <v>273</v>
      </c>
      <c r="B672" s="166" t="s">
        <v>752</v>
      </c>
      <c r="C672" s="96" t="s">
        <v>758</v>
      </c>
      <c r="D672" s="96" t="s">
        <v>433</v>
      </c>
      <c r="E672" s="99" t="s">
        <v>643</v>
      </c>
      <c r="F672" s="16">
        <v>250</v>
      </c>
      <c r="G672" s="17"/>
    </row>
    <row r="673" spans="1:7" s="12" customFormat="1" ht="14.25" customHeight="1">
      <c r="A673" s="17" t="s">
        <v>273</v>
      </c>
      <c r="B673" s="166" t="s">
        <v>752</v>
      </c>
      <c r="C673" s="96" t="s">
        <v>758</v>
      </c>
      <c r="D673" s="96" t="s">
        <v>433</v>
      </c>
      <c r="E673" s="99" t="s">
        <v>644</v>
      </c>
      <c r="F673" s="16">
        <v>250</v>
      </c>
      <c r="G673" s="17"/>
    </row>
    <row r="674" spans="1:7" s="12" customFormat="1" ht="14.25" customHeight="1">
      <c r="A674" s="17" t="s">
        <v>273</v>
      </c>
      <c r="B674" s="166" t="s">
        <v>752</v>
      </c>
      <c r="C674" s="96" t="s">
        <v>758</v>
      </c>
      <c r="D674" s="96" t="s">
        <v>433</v>
      </c>
      <c r="E674" s="99" t="s">
        <v>645</v>
      </c>
      <c r="F674" s="16">
        <v>250</v>
      </c>
      <c r="G674" s="17"/>
    </row>
    <row r="675" spans="1:7" s="12" customFormat="1" ht="14.25" customHeight="1">
      <c r="A675" s="17" t="s">
        <v>273</v>
      </c>
      <c r="B675" s="166" t="s">
        <v>752</v>
      </c>
      <c r="C675" s="96" t="s">
        <v>761</v>
      </c>
      <c r="D675" s="96" t="s">
        <v>433</v>
      </c>
      <c r="E675" s="99" t="s">
        <v>651</v>
      </c>
      <c r="F675" s="16">
        <v>250</v>
      </c>
      <c r="G675" s="17"/>
    </row>
    <row r="676" spans="1:7" s="12" customFormat="1" ht="14.25" customHeight="1">
      <c r="A676" s="17" t="s">
        <v>19</v>
      </c>
      <c r="B676" s="166" t="s">
        <v>590</v>
      </c>
      <c r="C676" s="96" t="s">
        <v>763</v>
      </c>
      <c r="D676" s="96" t="s">
        <v>434</v>
      </c>
      <c r="E676" s="99" t="s">
        <v>665</v>
      </c>
      <c r="F676" s="16">
        <v>250</v>
      </c>
      <c r="G676" s="17"/>
    </row>
    <row r="677" spans="1:7" s="12" customFormat="1" ht="14.25" customHeight="1">
      <c r="A677" s="17" t="s">
        <v>19</v>
      </c>
      <c r="B677" s="166" t="s">
        <v>590</v>
      </c>
      <c r="C677" s="96" t="s">
        <v>763</v>
      </c>
      <c r="D677" s="96" t="s">
        <v>434</v>
      </c>
      <c r="E677" s="99" t="s">
        <v>666</v>
      </c>
      <c r="F677" s="16">
        <v>250</v>
      </c>
      <c r="G677" s="17"/>
    </row>
    <row r="678" spans="1:7" s="12" customFormat="1" ht="14.25" customHeight="1">
      <c r="A678" s="17" t="s">
        <v>14</v>
      </c>
      <c r="B678" s="166" t="s">
        <v>590</v>
      </c>
      <c r="C678" s="96" t="s">
        <v>763</v>
      </c>
      <c r="D678" s="96" t="s">
        <v>435</v>
      </c>
      <c r="E678" s="99" t="s">
        <v>694</v>
      </c>
      <c r="F678" s="16">
        <v>250</v>
      </c>
      <c r="G678" s="17"/>
    </row>
    <row r="679" spans="1:7" s="12" customFormat="1" ht="14.25" customHeight="1">
      <c r="A679" s="17" t="s">
        <v>14</v>
      </c>
      <c r="B679" s="166" t="s">
        <v>590</v>
      </c>
      <c r="C679" s="96" t="s">
        <v>763</v>
      </c>
      <c r="D679" s="96" t="s">
        <v>435</v>
      </c>
      <c r="E679" s="99" t="s">
        <v>695</v>
      </c>
      <c r="F679" s="16">
        <v>250</v>
      </c>
      <c r="G679" s="17"/>
    </row>
    <row r="680" spans="1:7" s="12" customFormat="1" ht="14.25" customHeight="1">
      <c r="A680" s="17" t="s">
        <v>14</v>
      </c>
      <c r="B680" s="166" t="s">
        <v>590</v>
      </c>
      <c r="C680" s="96" t="s">
        <v>763</v>
      </c>
      <c r="D680" s="96" t="s">
        <v>435</v>
      </c>
      <c r="E680" s="99" t="s">
        <v>696</v>
      </c>
      <c r="F680" s="16">
        <v>250</v>
      </c>
      <c r="G680" s="17"/>
    </row>
    <row r="681" spans="1:7" s="12" customFormat="1" ht="14.25" customHeight="1">
      <c r="A681" s="17" t="s">
        <v>14</v>
      </c>
      <c r="B681" s="166" t="s">
        <v>590</v>
      </c>
      <c r="C681" s="96" t="s">
        <v>763</v>
      </c>
      <c r="D681" s="96" t="s">
        <v>435</v>
      </c>
      <c r="E681" s="99" t="s">
        <v>697</v>
      </c>
      <c r="F681" s="16">
        <v>250</v>
      </c>
      <c r="G681" s="17"/>
    </row>
    <row r="682" spans="1:7" s="12" customFormat="1" ht="14.25" customHeight="1">
      <c r="A682" s="17" t="s">
        <v>273</v>
      </c>
      <c r="B682" s="166" t="s">
        <v>590</v>
      </c>
      <c r="C682" s="96">
        <v>930.83</v>
      </c>
      <c r="D682" s="96" t="s">
        <v>437</v>
      </c>
      <c r="E682" s="99" t="s">
        <v>744</v>
      </c>
      <c r="F682" s="16">
        <v>250</v>
      </c>
      <c r="G682" s="17"/>
    </row>
    <row r="683" spans="1:7" s="12" customFormat="1" ht="14.25" customHeight="1">
      <c r="A683" s="17" t="s">
        <v>273</v>
      </c>
      <c r="B683" s="166" t="s">
        <v>590</v>
      </c>
      <c r="C683" s="96" t="s">
        <v>763</v>
      </c>
      <c r="D683" s="96" t="s">
        <v>437</v>
      </c>
      <c r="E683" s="99" t="s">
        <v>745</v>
      </c>
      <c r="F683" s="16">
        <v>250</v>
      </c>
      <c r="G683" s="17"/>
    </row>
    <row r="684" spans="1:7" s="12" customFormat="1" ht="14.25" customHeight="1">
      <c r="A684" s="17" t="s">
        <v>273</v>
      </c>
      <c r="B684" s="166" t="s">
        <v>590</v>
      </c>
      <c r="C684" s="96" t="s">
        <v>763</v>
      </c>
      <c r="D684" s="96" t="s">
        <v>436</v>
      </c>
      <c r="E684" s="99" t="s">
        <v>746</v>
      </c>
      <c r="F684" s="16">
        <v>250</v>
      </c>
      <c r="G684" s="17"/>
    </row>
    <row r="685" spans="1:7" s="12" customFormat="1" ht="14.25" customHeight="1">
      <c r="A685" s="17" t="s">
        <v>273</v>
      </c>
      <c r="B685" s="166" t="s">
        <v>590</v>
      </c>
      <c r="C685" s="96">
        <v>930.83</v>
      </c>
      <c r="D685" s="96" t="s">
        <v>436</v>
      </c>
      <c r="E685" s="99" t="s">
        <v>747</v>
      </c>
      <c r="F685" s="16">
        <v>250</v>
      </c>
      <c r="G685" s="17"/>
    </row>
    <row r="686" spans="1:7" s="12" customFormat="1" ht="14.25" customHeight="1">
      <c r="A686" s="96" t="s">
        <v>608</v>
      </c>
      <c r="B686" s="17" t="s">
        <v>470</v>
      </c>
      <c r="C686" s="96" t="s">
        <v>1010</v>
      </c>
      <c r="D686" s="17" t="s">
        <v>440</v>
      </c>
      <c r="E686" s="99" t="s">
        <v>798</v>
      </c>
      <c r="F686" s="16">
        <v>250</v>
      </c>
      <c r="G686" s="17"/>
    </row>
    <row r="687" spans="1:7" s="12" customFormat="1" ht="14.25" customHeight="1">
      <c r="A687" s="96" t="s">
        <v>1050</v>
      </c>
      <c r="B687" s="17" t="s">
        <v>470</v>
      </c>
      <c r="C687" s="96" t="s">
        <v>1012</v>
      </c>
      <c r="D687" s="17" t="s">
        <v>440</v>
      </c>
      <c r="E687" s="99" t="s">
        <v>800</v>
      </c>
      <c r="F687" s="16">
        <v>250</v>
      </c>
      <c r="G687" s="17"/>
    </row>
    <row r="688" spans="1:7" s="12" customFormat="1" ht="14.25" customHeight="1">
      <c r="A688" s="96" t="s">
        <v>1050</v>
      </c>
      <c r="B688" s="17" t="s">
        <v>470</v>
      </c>
      <c r="C688" s="96" t="s">
        <v>1012</v>
      </c>
      <c r="D688" s="17" t="s">
        <v>440</v>
      </c>
      <c r="E688" s="99" t="s">
        <v>802</v>
      </c>
      <c r="F688" s="16">
        <v>250</v>
      </c>
      <c r="G688" s="17"/>
    </row>
    <row r="689" spans="1:7" s="12" customFormat="1" ht="14.25" customHeight="1">
      <c r="A689" s="96" t="s">
        <v>273</v>
      </c>
      <c r="B689" s="17" t="s">
        <v>752</v>
      </c>
      <c r="C689" s="96" t="s">
        <v>761</v>
      </c>
      <c r="D689" s="17" t="s">
        <v>442</v>
      </c>
      <c r="E689" s="99" t="s">
        <v>879</v>
      </c>
      <c r="F689" s="16">
        <v>250</v>
      </c>
      <c r="G689" s="17"/>
    </row>
    <row r="690" spans="1:7" s="12" customFormat="1" ht="14.25" customHeight="1">
      <c r="A690" s="96" t="s">
        <v>273</v>
      </c>
      <c r="B690" s="17" t="s">
        <v>752</v>
      </c>
      <c r="C690" s="96" t="s">
        <v>758</v>
      </c>
      <c r="D690" s="17" t="s">
        <v>442</v>
      </c>
      <c r="E690" s="99" t="s">
        <v>880</v>
      </c>
      <c r="F690" s="16">
        <v>250</v>
      </c>
      <c r="G690" s="17"/>
    </row>
    <row r="691" spans="1:7" s="12" customFormat="1" ht="14.25" customHeight="1">
      <c r="A691" s="96" t="s">
        <v>273</v>
      </c>
      <c r="B691" s="17" t="s">
        <v>752</v>
      </c>
      <c r="C691" s="96" t="s">
        <v>758</v>
      </c>
      <c r="D691" s="17" t="s">
        <v>442</v>
      </c>
      <c r="E691" s="99" t="s">
        <v>881</v>
      </c>
      <c r="F691" s="16">
        <v>250</v>
      </c>
      <c r="G691" s="17"/>
    </row>
    <row r="692" spans="1:7" s="12" customFormat="1" ht="14.25" customHeight="1">
      <c r="A692" s="96" t="s">
        <v>273</v>
      </c>
      <c r="B692" s="17" t="s">
        <v>752</v>
      </c>
      <c r="C692" s="96" t="s">
        <v>761</v>
      </c>
      <c r="D692" s="17" t="s">
        <v>443</v>
      </c>
      <c r="E692" s="99" t="s">
        <v>889</v>
      </c>
      <c r="F692" s="16">
        <v>250</v>
      </c>
      <c r="G692" s="17"/>
    </row>
    <row r="693" spans="1:7" s="12" customFormat="1" ht="14.25" customHeight="1">
      <c r="A693" s="96" t="s">
        <v>273</v>
      </c>
      <c r="B693" s="17" t="s">
        <v>752</v>
      </c>
      <c r="C693" s="96" t="s">
        <v>758</v>
      </c>
      <c r="D693" s="17" t="s">
        <v>443</v>
      </c>
      <c r="E693" s="99" t="s">
        <v>890</v>
      </c>
      <c r="F693" s="16">
        <v>250</v>
      </c>
      <c r="G693" s="17"/>
    </row>
    <row r="694" spans="1:7" s="12" customFormat="1" ht="14.25" customHeight="1">
      <c r="A694" s="96" t="s">
        <v>273</v>
      </c>
      <c r="B694" s="17" t="s">
        <v>752</v>
      </c>
      <c r="C694" s="96" t="s">
        <v>758</v>
      </c>
      <c r="D694" s="17" t="s">
        <v>443</v>
      </c>
      <c r="E694" s="99" t="s">
        <v>891</v>
      </c>
      <c r="F694" s="16">
        <v>250</v>
      </c>
      <c r="G694" s="17"/>
    </row>
    <row r="695" spans="1:7" s="12" customFormat="1" ht="14.25" customHeight="1">
      <c r="A695" s="96" t="s">
        <v>273</v>
      </c>
      <c r="B695" s="17" t="s">
        <v>752</v>
      </c>
      <c r="C695" s="96" t="s">
        <v>761</v>
      </c>
      <c r="D695" s="17" t="s">
        <v>444</v>
      </c>
      <c r="E695" s="99" t="s">
        <v>897</v>
      </c>
      <c r="F695" s="16">
        <v>250</v>
      </c>
      <c r="G695" s="17"/>
    </row>
    <row r="696" spans="1:7" s="12" customFormat="1" ht="14.25" customHeight="1">
      <c r="A696" s="96" t="s">
        <v>273</v>
      </c>
      <c r="B696" s="17" t="s">
        <v>752</v>
      </c>
      <c r="C696" s="96" t="s">
        <v>758</v>
      </c>
      <c r="D696" s="17" t="s">
        <v>444</v>
      </c>
      <c r="E696" s="99" t="s">
        <v>898</v>
      </c>
      <c r="F696" s="16">
        <v>250</v>
      </c>
      <c r="G696" s="17"/>
    </row>
    <row r="697" spans="1:7" s="12" customFormat="1" ht="14.25" customHeight="1">
      <c r="A697" s="96" t="s">
        <v>273</v>
      </c>
      <c r="B697" s="17" t="s">
        <v>752</v>
      </c>
      <c r="C697" s="96" t="s">
        <v>758</v>
      </c>
      <c r="D697" s="17" t="s">
        <v>444</v>
      </c>
      <c r="E697" s="99" t="s">
        <v>899</v>
      </c>
      <c r="F697" s="16">
        <v>250</v>
      </c>
      <c r="G697" s="17"/>
    </row>
    <row r="698" spans="1:7" s="12" customFormat="1" ht="14.25" customHeight="1">
      <c r="A698" s="96" t="s">
        <v>273</v>
      </c>
      <c r="B698" s="17" t="s">
        <v>752</v>
      </c>
      <c r="C698" s="96" t="s">
        <v>761</v>
      </c>
      <c r="D698" s="17" t="s">
        <v>445</v>
      </c>
      <c r="E698" s="99" t="s">
        <v>907</v>
      </c>
      <c r="F698" s="16">
        <v>250</v>
      </c>
      <c r="G698" s="17"/>
    </row>
    <row r="699" spans="1:7" s="12" customFormat="1" ht="14.25" customHeight="1">
      <c r="A699" s="96" t="s">
        <v>273</v>
      </c>
      <c r="B699" s="17" t="s">
        <v>752</v>
      </c>
      <c r="C699" s="96" t="s">
        <v>758</v>
      </c>
      <c r="D699" s="17" t="s">
        <v>445</v>
      </c>
      <c r="E699" s="99" t="s">
        <v>908</v>
      </c>
      <c r="F699" s="16">
        <v>250</v>
      </c>
      <c r="G699" s="17"/>
    </row>
    <row r="700" spans="1:7" s="12" customFormat="1" ht="14.25" customHeight="1">
      <c r="A700" s="96" t="s">
        <v>273</v>
      </c>
      <c r="B700" s="17" t="s">
        <v>752</v>
      </c>
      <c r="C700" s="96" t="s">
        <v>758</v>
      </c>
      <c r="D700" s="17" t="s">
        <v>445</v>
      </c>
      <c r="E700" s="99" t="s">
        <v>909</v>
      </c>
      <c r="F700" s="16">
        <v>250</v>
      </c>
      <c r="G700" s="17"/>
    </row>
    <row r="701" spans="1:7" s="12" customFormat="1" ht="14.25" customHeight="1">
      <c r="A701" s="96" t="s">
        <v>608</v>
      </c>
      <c r="B701" s="72" t="s">
        <v>750</v>
      </c>
      <c r="C701" s="96" t="s">
        <v>756</v>
      </c>
      <c r="D701" s="17" t="s">
        <v>446</v>
      </c>
      <c r="E701" s="99" t="s">
        <v>915</v>
      </c>
      <c r="F701" s="16">
        <v>250</v>
      </c>
      <c r="G701" s="17"/>
    </row>
    <row r="702" spans="1:7" s="12" customFormat="1" ht="14.25" customHeight="1">
      <c r="A702" s="153" t="s">
        <v>195</v>
      </c>
      <c r="B702" s="16" t="s">
        <v>198</v>
      </c>
      <c r="C702" s="174" t="s">
        <v>199</v>
      </c>
      <c r="D702" s="98" t="s">
        <v>116</v>
      </c>
      <c r="E702" s="100" t="s">
        <v>196</v>
      </c>
      <c r="F702" s="16">
        <v>200</v>
      </c>
      <c r="G702" s="17" t="s">
        <v>200</v>
      </c>
    </row>
    <row r="703" spans="1:7" s="12" customFormat="1" ht="14.25" customHeight="1">
      <c r="A703" s="153" t="s">
        <v>195</v>
      </c>
      <c r="B703" s="16" t="s">
        <v>394</v>
      </c>
      <c r="C703" s="174" t="s">
        <v>202</v>
      </c>
      <c r="D703" s="98" t="s">
        <v>116</v>
      </c>
      <c r="E703" s="100" t="s">
        <v>197</v>
      </c>
      <c r="F703" s="16">
        <v>200</v>
      </c>
      <c r="G703" s="123" t="s">
        <v>201</v>
      </c>
    </row>
    <row r="704" spans="1:7" s="12" customFormat="1" ht="15" customHeight="1">
      <c r="A704" s="96" t="s">
        <v>273</v>
      </c>
      <c r="B704" s="17" t="s">
        <v>590</v>
      </c>
      <c r="C704" s="96">
        <v>930.83</v>
      </c>
      <c r="D704" s="17" t="s">
        <v>431</v>
      </c>
      <c r="E704" s="99" t="s">
        <v>574</v>
      </c>
      <c r="F704" s="16">
        <v>200</v>
      </c>
      <c r="G704" s="17"/>
    </row>
    <row r="705" spans="1:7" s="12" customFormat="1" ht="14.25" customHeight="1">
      <c r="A705" s="96" t="s">
        <v>273</v>
      </c>
      <c r="B705" s="17" t="s">
        <v>590</v>
      </c>
      <c r="C705" s="96">
        <v>930.83</v>
      </c>
      <c r="D705" s="17" t="s">
        <v>431</v>
      </c>
      <c r="E705" s="99" t="s">
        <v>575</v>
      </c>
      <c r="F705" s="16">
        <v>200</v>
      </c>
      <c r="G705" s="17"/>
    </row>
    <row r="706" spans="1:7" s="12" customFormat="1" ht="14.25" customHeight="1">
      <c r="A706" s="96" t="s">
        <v>273</v>
      </c>
      <c r="B706" s="17" t="s">
        <v>590</v>
      </c>
      <c r="C706" s="96">
        <v>930.83</v>
      </c>
      <c r="D706" s="17" t="s">
        <v>431</v>
      </c>
      <c r="E706" s="99" t="s">
        <v>576</v>
      </c>
      <c r="F706" s="16">
        <v>200</v>
      </c>
      <c r="G706" s="17"/>
    </row>
    <row r="707" spans="1:7" s="12" customFormat="1" ht="14.25" customHeight="1">
      <c r="A707" s="96" t="s">
        <v>273</v>
      </c>
      <c r="B707" s="17" t="s">
        <v>590</v>
      </c>
      <c r="C707" s="96">
        <v>930.83</v>
      </c>
      <c r="D707" s="17" t="s">
        <v>431</v>
      </c>
      <c r="E707" s="99" t="s">
        <v>577</v>
      </c>
      <c r="F707" s="16">
        <v>200</v>
      </c>
      <c r="G707" s="17"/>
    </row>
    <row r="708" spans="1:7" s="12" customFormat="1" ht="14.25" customHeight="1">
      <c r="A708" s="17" t="s">
        <v>608</v>
      </c>
      <c r="B708" s="175" t="s">
        <v>750</v>
      </c>
      <c r="C708" s="96" t="s">
        <v>756</v>
      </c>
      <c r="D708" s="96" t="s">
        <v>432</v>
      </c>
      <c r="E708" s="99" t="s">
        <v>637</v>
      </c>
      <c r="F708" s="16">
        <v>150</v>
      </c>
      <c r="G708" s="17"/>
    </row>
    <row r="709" spans="1:7" s="12" customFormat="1" ht="14.25" customHeight="1">
      <c r="A709" s="17" t="s">
        <v>608</v>
      </c>
      <c r="B709" s="175" t="s">
        <v>750</v>
      </c>
      <c r="C709" s="96" t="s">
        <v>756</v>
      </c>
      <c r="D709" s="96" t="s">
        <v>432</v>
      </c>
      <c r="E709" s="99" t="s">
        <v>638</v>
      </c>
      <c r="F709" s="16">
        <v>150</v>
      </c>
      <c r="G709" s="17"/>
    </row>
    <row r="710" spans="1:7" s="12" customFormat="1" ht="14.25" customHeight="1">
      <c r="A710" s="17" t="s">
        <v>608</v>
      </c>
      <c r="B710" s="175" t="s">
        <v>750</v>
      </c>
      <c r="C710" s="96" t="s">
        <v>756</v>
      </c>
      <c r="D710" s="96" t="s">
        <v>432</v>
      </c>
      <c r="E710" s="99" t="s">
        <v>639</v>
      </c>
      <c r="F710" s="16">
        <v>150</v>
      </c>
      <c r="G710" s="17"/>
    </row>
    <row r="711" spans="1:7" s="12" customFormat="1" ht="14.25" customHeight="1">
      <c r="A711" s="98" t="s">
        <v>15</v>
      </c>
      <c r="B711" s="17"/>
      <c r="C711" s="96"/>
      <c r="D711" s="100" t="s">
        <v>1134</v>
      </c>
      <c r="E711" s="98" t="s">
        <v>1135</v>
      </c>
      <c r="F711" s="16"/>
      <c r="G711" s="17"/>
    </row>
    <row r="712" spans="1:7" s="12" customFormat="1" ht="14.25" customHeight="1">
      <c r="A712" s="98" t="s">
        <v>15</v>
      </c>
      <c r="B712" s="17"/>
      <c r="C712" s="96"/>
      <c r="D712" s="100" t="s">
        <v>1134</v>
      </c>
      <c r="E712" s="98" t="s">
        <v>1136</v>
      </c>
      <c r="F712" s="16"/>
      <c r="G712" s="17"/>
    </row>
    <row r="713" spans="1:7" s="12" customFormat="1" ht="14.25" customHeight="1">
      <c r="A713" s="98" t="s">
        <v>15</v>
      </c>
      <c r="B713" s="17"/>
      <c r="C713" s="96"/>
      <c r="D713" s="100" t="s">
        <v>1134</v>
      </c>
      <c r="E713" s="98" t="s">
        <v>1137</v>
      </c>
      <c r="F713" s="16"/>
      <c r="G713" s="17"/>
    </row>
    <row r="714" spans="1:7" s="12" customFormat="1" ht="14.25" customHeight="1">
      <c r="A714" s="98" t="s">
        <v>15</v>
      </c>
      <c r="B714" s="17"/>
      <c r="C714" s="96"/>
      <c r="D714" s="100" t="s">
        <v>129</v>
      </c>
      <c r="E714" s="98" t="s">
        <v>1138</v>
      </c>
      <c r="F714" s="16"/>
      <c r="G714" s="17"/>
    </row>
    <row r="715" spans="1:7" s="12" customFormat="1" ht="14.25" customHeight="1">
      <c r="A715" s="98" t="s">
        <v>15</v>
      </c>
      <c r="B715" s="17"/>
      <c r="C715" s="96"/>
      <c r="D715" s="100" t="s">
        <v>129</v>
      </c>
      <c r="E715" s="98" t="s">
        <v>1139</v>
      </c>
      <c r="F715" s="16"/>
      <c r="G715" s="17"/>
    </row>
    <row r="716" spans="1:7" s="12" customFormat="1" ht="14.25" customHeight="1">
      <c r="A716" s="98" t="s">
        <v>20</v>
      </c>
      <c r="B716" s="17"/>
      <c r="C716" s="96"/>
      <c r="D716" s="100" t="s">
        <v>1025</v>
      </c>
      <c r="E716" s="98" t="s">
        <v>1140</v>
      </c>
      <c r="F716" s="16"/>
      <c r="G716" s="17"/>
    </row>
    <row r="717" spans="1:7" ht="14.25" customHeight="1">
      <c r="A717" s="15" t="s">
        <v>1077</v>
      </c>
      <c r="B717" s="14" t="s">
        <v>1082</v>
      </c>
      <c r="C717" s="15" t="s">
        <v>1083</v>
      </c>
      <c r="D717" s="14" t="s">
        <v>1078</v>
      </c>
      <c r="E717" s="14" t="s">
        <v>1078</v>
      </c>
      <c r="F717" s="16">
        <v>150</v>
      </c>
      <c r="G717" s="14"/>
    </row>
    <row r="718" spans="1:7" ht="14.25" customHeight="1">
      <c r="A718" s="15" t="s">
        <v>1081</v>
      </c>
      <c r="B718" s="14" t="s">
        <v>1079</v>
      </c>
      <c r="C718" s="15" t="s">
        <v>1080</v>
      </c>
      <c r="D718" s="14" t="s">
        <v>1078</v>
      </c>
      <c r="E718" s="13" t="s">
        <v>1078</v>
      </c>
      <c r="F718" s="16">
        <v>40</v>
      </c>
      <c r="G718" s="14"/>
    </row>
    <row r="719" spans="1:7" ht="14.25" customHeight="1">
      <c r="A719" s="15" t="s">
        <v>1084</v>
      </c>
      <c r="B719" s="14" t="s">
        <v>1085</v>
      </c>
      <c r="C719" s="15" t="s">
        <v>1086</v>
      </c>
      <c r="D719" s="14" t="s">
        <v>1078</v>
      </c>
      <c r="E719" s="13" t="s">
        <v>1078</v>
      </c>
      <c r="F719" s="16">
        <v>150</v>
      </c>
      <c r="G719" s="14"/>
    </row>
    <row r="720" spans="1:7" ht="14.25" customHeight="1">
      <c r="A720" s="15"/>
      <c r="B720" s="14"/>
      <c r="C720" s="15"/>
      <c r="D720" s="14"/>
      <c r="E720" s="13"/>
      <c r="F720" s="16"/>
      <c r="G720" s="14"/>
    </row>
    <row r="721" spans="1:7" ht="14.25" customHeight="1">
      <c r="A721" s="15"/>
      <c r="B721" s="14"/>
      <c r="C721" s="15"/>
      <c r="D721" s="14"/>
      <c r="E721" s="13"/>
      <c r="F721" s="16"/>
      <c r="G721" s="14"/>
    </row>
    <row r="722" spans="1:7" ht="14.25" customHeight="1">
      <c r="A722" s="15"/>
      <c r="B722" s="14"/>
      <c r="C722" s="15"/>
      <c r="D722" s="14"/>
      <c r="E722" s="13"/>
      <c r="F722" s="16"/>
      <c r="G722" s="14"/>
    </row>
    <row r="723" spans="1:7" ht="14.25" customHeight="1">
      <c r="A723" s="15"/>
      <c r="B723" s="14"/>
      <c r="C723" s="15"/>
      <c r="D723" s="14"/>
      <c r="E723" s="13"/>
      <c r="F723" s="16"/>
      <c r="G723" s="14"/>
    </row>
    <row r="724" spans="1:7" ht="14.25" customHeight="1">
      <c r="A724" s="15"/>
      <c r="B724" s="14"/>
      <c r="C724" s="15"/>
      <c r="D724" s="14"/>
      <c r="E724" s="13"/>
      <c r="F724" s="16"/>
      <c r="G724" s="14"/>
    </row>
    <row r="725" spans="1:7" ht="14.25" customHeight="1">
      <c r="A725" s="15"/>
      <c r="B725" s="14"/>
      <c r="C725" s="15"/>
      <c r="D725" s="14"/>
      <c r="E725" s="13"/>
      <c r="F725" s="16"/>
      <c r="G725" s="14"/>
    </row>
    <row r="726" spans="1:7" ht="14.25" customHeight="1">
      <c r="A726" s="15"/>
      <c r="B726" s="14"/>
      <c r="C726" s="15"/>
      <c r="D726" s="14"/>
      <c r="E726" s="13"/>
      <c r="F726" s="16"/>
      <c r="G726" s="14"/>
    </row>
    <row r="727" spans="1:7" ht="14.25" customHeight="1">
      <c r="A727" s="15"/>
      <c r="B727" s="14"/>
      <c r="C727" s="15"/>
      <c r="D727" s="14"/>
      <c r="E727" s="13"/>
      <c r="F727" s="16"/>
      <c r="G727" s="14"/>
    </row>
    <row r="728" spans="1:7" ht="14.25" customHeight="1">
      <c r="A728" s="15"/>
      <c r="B728" s="14"/>
      <c r="C728" s="15"/>
      <c r="D728" s="14"/>
      <c r="E728" s="13"/>
      <c r="F728" s="16"/>
      <c r="G728" s="14"/>
    </row>
    <row r="729" spans="1:7" ht="14.25" customHeight="1">
      <c r="A729" s="15"/>
      <c r="B729" s="14"/>
      <c r="C729" s="15"/>
      <c r="D729" s="14"/>
      <c r="E729" s="13"/>
      <c r="F729" s="16"/>
      <c r="G729" s="14"/>
    </row>
    <row r="730" spans="1:7" ht="14.25" customHeight="1">
      <c r="A730" s="15"/>
      <c r="B730" s="14"/>
      <c r="C730" s="15"/>
      <c r="D730" s="14"/>
      <c r="E730" s="13"/>
      <c r="F730" s="16"/>
      <c r="G730" s="14"/>
    </row>
    <row r="731" spans="1:7" ht="14.25" customHeight="1">
      <c r="A731" s="15"/>
      <c r="B731" s="14"/>
      <c r="C731" s="15"/>
      <c r="D731" s="14"/>
      <c r="E731" s="13"/>
      <c r="F731" s="16"/>
      <c r="G731" s="14"/>
    </row>
    <row r="732" spans="1:7" ht="14.25" customHeight="1">
      <c r="A732" s="15"/>
      <c r="B732" s="14"/>
      <c r="C732" s="15"/>
      <c r="D732" s="14"/>
      <c r="E732" s="13"/>
      <c r="F732" s="16"/>
      <c r="G732" s="14"/>
    </row>
    <row r="733" spans="1:7" ht="14.25" customHeight="1">
      <c r="A733" s="15"/>
      <c r="B733" s="14"/>
      <c r="C733" s="15"/>
      <c r="D733" s="14"/>
      <c r="E733" s="13"/>
      <c r="F733" s="16"/>
      <c r="G733" s="14"/>
    </row>
    <row r="734" spans="1:7" ht="14.25" customHeight="1">
      <c r="A734" s="15"/>
      <c r="B734" s="14"/>
      <c r="C734" s="15"/>
      <c r="D734" s="14"/>
      <c r="E734" s="13"/>
      <c r="F734" s="16"/>
      <c r="G734" s="14"/>
    </row>
    <row r="735" spans="1:7" ht="14.25" customHeight="1">
      <c r="A735" s="15"/>
      <c r="B735" s="14"/>
      <c r="C735" s="15"/>
      <c r="D735" s="14"/>
      <c r="E735" s="13"/>
      <c r="F735" s="16"/>
      <c r="G735" s="14"/>
    </row>
    <row r="736" spans="1:7" ht="14.25" customHeight="1">
      <c r="A736" s="15"/>
      <c r="B736" s="14"/>
      <c r="C736" s="15"/>
      <c r="D736" s="14"/>
      <c r="E736" s="13"/>
      <c r="F736" s="16"/>
      <c r="G736" s="14"/>
    </row>
    <row r="737" spans="1:7" ht="14.25" customHeight="1">
      <c r="A737" s="15"/>
      <c r="B737" s="14"/>
      <c r="C737" s="15"/>
      <c r="D737" s="14"/>
      <c r="E737" s="13"/>
      <c r="F737" s="16"/>
      <c r="G737" s="14"/>
    </row>
    <row r="738" spans="1:7" ht="14.25" customHeight="1">
      <c r="A738" s="15"/>
      <c r="B738" s="14"/>
      <c r="C738" s="15"/>
      <c r="D738" s="14"/>
      <c r="E738" s="13"/>
      <c r="F738" s="16"/>
      <c r="G738" s="14"/>
    </row>
    <row r="739" spans="1:7" ht="14.25" customHeight="1">
      <c r="A739" s="15"/>
      <c r="B739" s="14"/>
      <c r="C739" s="15"/>
      <c r="D739" s="14"/>
      <c r="E739" s="13"/>
      <c r="F739" s="16"/>
      <c r="G739" s="14"/>
    </row>
    <row r="740" spans="1:7" ht="14.25" customHeight="1">
      <c r="A740" s="15"/>
      <c r="B740" s="14"/>
      <c r="C740" s="15"/>
      <c r="D740" s="14"/>
      <c r="E740" s="13"/>
      <c r="F740" s="16"/>
      <c r="G740" s="14"/>
    </row>
    <row r="741" spans="1:7" ht="14.25" customHeight="1">
      <c r="A741" s="15"/>
      <c r="B741" s="14"/>
      <c r="C741" s="15"/>
      <c r="D741" s="14"/>
      <c r="E741" s="13"/>
      <c r="F741" s="16"/>
      <c r="G741" s="14"/>
    </row>
    <row r="742" spans="1:7" ht="14.25" customHeight="1">
      <c r="A742" s="15"/>
      <c r="B742" s="14"/>
      <c r="C742" s="15"/>
      <c r="D742" s="14"/>
      <c r="E742" s="13"/>
      <c r="F742" s="16"/>
      <c r="G742" s="14"/>
    </row>
    <row r="743" spans="1:7" ht="14.25" customHeight="1">
      <c r="A743" s="15"/>
      <c r="B743" s="14"/>
      <c r="C743" s="15"/>
      <c r="D743" s="14"/>
      <c r="E743" s="13"/>
      <c r="F743" s="16"/>
      <c r="G743" s="14"/>
    </row>
    <row r="744" spans="1:7" ht="14.25" customHeight="1">
      <c r="A744" s="15"/>
      <c r="B744" s="14"/>
      <c r="C744" s="15"/>
      <c r="D744" s="14"/>
      <c r="E744" s="13"/>
      <c r="F744" s="16"/>
      <c r="G744" s="14"/>
    </row>
    <row r="745" spans="1:7" ht="14.25" customHeight="1">
      <c r="A745" s="15"/>
      <c r="B745" s="14"/>
      <c r="C745" s="15"/>
      <c r="D745" s="14"/>
      <c r="E745" s="13"/>
      <c r="F745" s="16"/>
      <c r="G745" s="14"/>
    </row>
    <row r="746" spans="1:7" ht="14.25" customHeight="1">
      <c r="A746" s="15"/>
      <c r="B746" s="14"/>
      <c r="C746" s="15"/>
      <c r="D746" s="14"/>
      <c r="E746" s="13"/>
      <c r="F746" s="16"/>
      <c r="G746" s="14"/>
    </row>
    <row r="747" spans="1:7" ht="14.25" customHeight="1">
      <c r="A747" s="15"/>
      <c r="B747" s="14"/>
      <c r="C747" s="15"/>
      <c r="D747" s="14"/>
      <c r="E747" s="13"/>
      <c r="F747" s="16"/>
      <c r="G747" s="14"/>
    </row>
    <row r="748" spans="1:7" ht="14.25" customHeight="1">
      <c r="A748" s="15"/>
      <c r="B748" s="14"/>
      <c r="C748" s="15"/>
      <c r="D748" s="14"/>
      <c r="E748" s="13"/>
      <c r="F748" s="16"/>
      <c r="G748" s="14"/>
    </row>
    <row r="749" spans="1:7" ht="14.25" customHeight="1">
      <c r="A749" s="15"/>
      <c r="B749" s="14"/>
      <c r="C749" s="15"/>
      <c r="D749" s="14"/>
      <c r="E749" s="13"/>
      <c r="F749" s="16"/>
      <c r="G749" s="14"/>
    </row>
    <row r="750" spans="1:7" ht="14.25" customHeight="1">
      <c r="A750" s="15"/>
      <c r="B750" s="14"/>
      <c r="C750" s="15"/>
      <c r="D750" s="14"/>
      <c r="E750" s="13"/>
      <c r="F750" s="16"/>
      <c r="G750" s="14"/>
    </row>
    <row r="751" spans="1:7" ht="14.25" customHeight="1">
      <c r="A751" s="15"/>
      <c r="B751" s="14"/>
      <c r="C751" s="15"/>
      <c r="D751" s="14"/>
      <c r="E751" s="13"/>
      <c r="F751" s="16"/>
      <c r="G751" s="14"/>
    </row>
    <row r="752" spans="1:7" ht="14.25" customHeight="1">
      <c r="A752" s="15"/>
      <c r="B752" s="14"/>
      <c r="C752" s="15"/>
      <c r="D752" s="14"/>
      <c r="E752" s="13"/>
      <c r="F752" s="16"/>
      <c r="G752" s="14"/>
    </row>
    <row r="753" spans="1:7" ht="14.25" customHeight="1">
      <c r="A753" s="15"/>
      <c r="B753" s="14"/>
      <c r="C753" s="15"/>
      <c r="D753" s="14"/>
      <c r="E753" s="13"/>
      <c r="F753" s="16"/>
      <c r="G753" s="14"/>
    </row>
    <row r="754" spans="1:7" ht="14.25" customHeight="1">
      <c r="A754" s="15"/>
      <c r="B754" s="14"/>
      <c r="C754" s="15"/>
      <c r="D754" s="14"/>
      <c r="E754" s="13"/>
      <c r="F754" s="16"/>
      <c r="G754" s="14"/>
    </row>
    <row r="755" spans="1:7" ht="14.25" customHeight="1">
      <c r="A755" s="15"/>
      <c r="B755" s="14"/>
      <c r="C755" s="15"/>
      <c r="D755" s="14"/>
      <c r="E755" s="13"/>
      <c r="F755" s="16"/>
      <c r="G755" s="14"/>
    </row>
    <row r="756" spans="1:7" ht="14.25" customHeight="1">
      <c r="A756" s="15"/>
      <c r="B756" s="14"/>
      <c r="C756" s="15"/>
      <c r="D756" s="14"/>
      <c r="E756" s="13"/>
      <c r="F756" s="16"/>
      <c r="G756" s="14"/>
    </row>
    <row r="757" spans="1:7" ht="14.25" customHeight="1">
      <c r="A757" s="15"/>
      <c r="B757" s="14"/>
      <c r="C757" s="15"/>
      <c r="D757" s="14"/>
      <c r="E757" s="13"/>
      <c r="F757" s="16"/>
      <c r="G757" s="14"/>
    </row>
    <row r="758" spans="1:7" ht="14.25" customHeight="1">
      <c r="A758" s="15"/>
      <c r="B758" s="14"/>
      <c r="C758" s="15"/>
      <c r="D758" s="14"/>
      <c r="E758" s="13"/>
      <c r="F758" s="16"/>
      <c r="G758" s="14"/>
    </row>
    <row r="759" spans="1:7" ht="14.25" customHeight="1">
      <c r="A759" s="15"/>
      <c r="B759" s="14"/>
      <c r="C759" s="15"/>
      <c r="D759" s="14"/>
      <c r="E759" s="13"/>
      <c r="F759" s="16"/>
      <c r="G759" s="14"/>
    </row>
    <row r="760" spans="1:7" ht="14.25" customHeight="1">
      <c r="A760" s="15"/>
      <c r="B760" s="14"/>
      <c r="C760" s="15"/>
      <c r="D760" s="14"/>
      <c r="E760" s="13"/>
      <c r="F760" s="16"/>
      <c r="G760" s="14"/>
    </row>
    <row r="761" spans="1:7" ht="14.25" customHeight="1">
      <c r="A761" s="15"/>
      <c r="B761" s="14"/>
      <c r="C761" s="15"/>
      <c r="D761" s="14"/>
      <c r="E761" s="13"/>
      <c r="F761" s="16"/>
      <c r="G761" s="14"/>
    </row>
    <row r="762" spans="1:7" ht="14.25" customHeight="1">
      <c r="A762" s="15"/>
      <c r="B762" s="14"/>
      <c r="C762" s="15"/>
      <c r="D762" s="14"/>
      <c r="E762" s="13"/>
      <c r="F762" s="16"/>
      <c r="G762" s="14"/>
    </row>
    <row r="763" spans="1:7" ht="14.25" customHeight="1">
      <c r="A763" s="15"/>
      <c r="B763" s="14"/>
      <c r="C763" s="15"/>
      <c r="D763" s="14"/>
      <c r="E763" s="13"/>
      <c r="F763" s="16"/>
      <c r="G763" s="14"/>
    </row>
    <row r="764" spans="1:7" ht="14.25" customHeight="1">
      <c r="A764" s="15"/>
      <c r="B764" s="14"/>
      <c r="C764" s="15"/>
      <c r="D764" s="14"/>
      <c r="E764" s="13"/>
      <c r="F764" s="16"/>
      <c r="G764" s="14"/>
    </row>
    <row r="765" spans="1:7" ht="14.25" customHeight="1">
      <c r="A765" s="15"/>
      <c r="B765" s="14"/>
      <c r="C765" s="15"/>
      <c r="D765" s="14"/>
      <c r="E765" s="13"/>
      <c r="F765" s="16"/>
      <c r="G765" s="14"/>
    </row>
    <row r="766" spans="1:7" ht="14.25" customHeight="1">
      <c r="A766" s="15"/>
      <c r="B766" s="14"/>
      <c r="C766" s="15"/>
      <c r="D766" s="14"/>
      <c r="E766" s="13"/>
      <c r="F766" s="16"/>
      <c r="G766" s="14"/>
    </row>
    <row r="767" spans="1:7" ht="14.25" customHeight="1">
      <c r="A767" s="15"/>
      <c r="B767" s="14"/>
      <c r="C767" s="15"/>
      <c r="D767" s="14"/>
      <c r="E767" s="13"/>
      <c r="F767" s="16"/>
      <c r="G767" s="14"/>
    </row>
    <row r="768" spans="1:7" ht="14.25" customHeight="1">
      <c r="A768" s="15"/>
      <c r="B768" s="14"/>
      <c r="C768" s="15"/>
      <c r="D768" s="14"/>
      <c r="E768" s="13"/>
      <c r="F768" s="16"/>
      <c r="G768" s="14"/>
    </row>
    <row r="769" spans="1:7" ht="14.25" customHeight="1">
      <c r="A769" s="15"/>
      <c r="B769" s="14"/>
      <c r="C769" s="15"/>
      <c r="D769" s="14"/>
      <c r="E769" s="13"/>
      <c r="F769" s="16"/>
      <c r="G769" s="14"/>
    </row>
    <row r="770" spans="1:7" ht="14.25" customHeight="1">
      <c r="A770" s="15"/>
      <c r="B770" s="14"/>
      <c r="C770" s="15"/>
      <c r="D770" s="14"/>
      <c r="E770" s="13"/>
      <c r="F770" s="16"/>
      <c r="G770" s="14"/>
    </row>
    <row r="771" spans="1:7" ht="14.25" customHeight="1">
      <c r="A771" s="15"/>
      <c r="B771" s="14"/>
      <c r="C771" s="15"/>
      <c r="D771" s="14"/>
      <c r="E771" s="13"/>
      <c r="F771" s="16"/>
      <c r="G771" s="14"/>
    </row>
    <row r="772" spans="1:7" ht="14.25" customHeight="1">
      <c r="A772" s="15"/>
      <c r="B772" s="14"/>
      <c r="C772" s="15"/>
      <c r="D772" s="14"/>
      <c r="E772" s="13"/>
      <c r="F772" s="16"/>
      <c r="G772" s="14"/>
    </row>
    <row r="773" spans="1:7" ht="14.25" customHeight="1">
      <c r="A773" s="15"/>
      <c r="B773" s="14"/>
      <c r="C773" s="15"/>
      <c r="D773" s="14"/>
      <c r="E773" s="13"/>
      <c r="F773" s="16"/>
      <c r="G773" s="14"/>
    </row>
    <row r="774" spans="1:7" ht="14.25" customHeight="1">
      <c r="A774" s="15"/>
      <c r="B774" s="14"/>
      <c r="C774" s="15"/>
      <c r="D774" s="14"/>
      <c r="E774" s="13"/>
      <c r="F774" s="16"/>
      <c r="G774" s="14"/>
    </row>
    <row r="775" spans="1:7" ht="14.25" customHeight="1">
      <c r="A775" s="15"/>
      <c r="B775" s="14"/>
      <c r="C775" s="15"/>
      <c r="D775" s="14"/>
      <c r="E775" s="13"/>
      <c r="F775" s="16"/>
      <c r="G775" s="14"/>
    </row>
    <row r="776" spans="1:7" ht="14.25" customHeight="1">
      <c r="A776" s="15"/>
      <c r="B776" s="14"/>
      <c r="C776" s="15"/>
      <c r="D776" s="14"/>
      <c r="E776" s="13"/>
      <c r="F776" s="16"/>
      <c r="G776" s="14"/>
    </row>
    <row r="777" spans="1:7" ht="14.25" customHeight="1">
      <c r="A777" s="15"/>
      <c r="B777" s="14"/>
      <c r="C777" s="15"/>
      <c r="D777" s="14"/>
      <c r="E777" s="13"/>
      <c r="F777" s="16"/>
      <c r="G777" s="14"/>
    </row>
    <row r="778" spans="1:7" ht="14.25" customHeight="1">
      <c r="A778" s="15"/>
      <c r="B778" s="14"/>
      <c r="C778" s="15"/>
      <c r="D778" s="14"/>
      <c r="E778" s="13"/>
      <c r="F778" s="16"/>
      <c r="G778" s="14"/>
    </row>
    <row r="779" spans="1:7" ht="14.25" customHeight="1">
      <c r="A779" s="15"/>
      <c r="B779" s="14"/>
      <c r="C779" s="15"/>
      <c r="D779" s="14"/>
      <c r="E779" s="13"/>
      <c r="F779" s="16"/>
      <c r="G779" s="14"/>
    </row>
    <row r="780" spans="1:7" ht="14.25" customHeight="1">
      <c r="A780" s="15"/>
      <c r="B780" s="14"/>
      <c r="C780" s="15"/>
      <c r="D780" s="14"/>
      <c r="E780" s="13"/>
      <c r="F780" s="16"/>
      <c r="G780" s="14"/>
    </row>
    <row r="781" spans="1:7" ht="14.25" customHeight="1">
      <c r="A781" s="15"/>
      <c r="B781" s="14"/>
      <c r="C781" s="15"/>
      <c r="D781" s="14"/>
      <c r="E781" s="13"/>
      <c r="F781" s="16"/>
      <c r="G781" s="14"/>
    </row>
    <row r="782" spans="1:7" ht="14.25" customHeight="1">
      <c r="A782" s="15"/>
      <c r="B782" s="14"/>
      <c r="C782" s="15"/>
      <c r="D782" s="14"/>
      <c r="E782" s="13"/>
      <c r="F782" s="16"/>
      <c r="G782" s="14"/>
    </row>
    <row r="783" spans="1:7" ht="14.25" customHeight="1">
      <c r="A783" s="15"/>
      <c r="B783" s="14"/>
      <c r="C783" s="15"/>
      <c r="D783" s="14"/>
      <c r="E783" s="13"/>
      <c r="F783" s="16"/>
      <c r="G783" s="14"/>
    </row>
    <row r="784" spans="1:7" ht="14.25" customHeight="1">
      <c r="A784" s="15"/>
      <c r="B784" s="14"/>
      <c r="C784" s="15"/>
      <c r="D784" s="14"/>
      <c r="E784" s="13"/>
      <c r="F784" s="16"/>
      <c r="G784" s="14"/>
    </row>
    <row r="785" spans="1:7" ht="14.25" customHeight="1">
      <c r="A785" s="15"/>
      <c r="B785" s="14"/>
      <c r="C785" s="15"/>
      <c r="D785" s="14"/>
      <c r="E785" s="13"/>
      <c r="F785" s="16"/>
      <c r="G785" s="14"/>
    </row>
    <row r="786" spans="1:7" ht="14.25" customHeight="1">
      <c r="A786" s="15"/>
      <c r="B786" s="14"/>
      <c r="C786" s="15"/>
      <c r="D786" s="14"/>
      <c r="E786" s="13"/>
      <c r="F786" s="16"/>
      <c r="G786" s="14"/>
    </row>
    <row r="787" spans="1:7" ht="14.25" customHeight="1">
      <c r="A787" s="15"/>
      <c r="B787" s="14"/>
      <c r="C787" s="15"/>
      <c r="D787" s="14"/>
      <c r="E787" s="13"/>
      <c r="F787" s="16"/>
      <c r="G787" s="14"/>
    </row>
    <row r="788" spans="1:7" ht="14.25" customHeight="1">
      <c r="A788" s="15"/>
      <c r="B788" s="14"/>
      <c r="C788" s="15"/>
      <c r="D788" s="14"/>
      <c r="E788" s="13"/>
      <c r="F788" s="16"/>
      <c r="G788" s="14"/>
    </row>
    <row r="789" spans="1:7" ht="14.25" customHeight="1">
      <c r="A789" s="15"/>
      <c r="B789" s="14"/>
      <c r="C789" s="15"/>
      <c r="D789" s="14"/>
      <c r="E789" s="13"/>
      <c r="F789" s="16"/>
      <c r="G789" s="14"/>
    </row>
    <row r="790" spans="1:7" ht="14.25" customHeight="1">
      <c r="A790" s="15"/>
      <c r="B790" s="14"/>
      <c r="C790" s="15"/>
      <c r="D790" s="14"/>
      <c r="E790" s="13"/>
      <c r="F790" s="16"/>
      <c r="G790" s="14"/>
    </row>
    <row r="791" spans="1:7" ht="14.25" customHeight="1">
      <c r="A791" s="15"/>
      <c r="B791" s="14"/>
      <c r="C791" s="15"/>
      <c r="D791" s="14"/>
      <c r="E791" s="13"/>
      <c r="F791" s="16"/>
      <c r="G791" s="14"/>
    </row>
    <row r="792" spans="1:7" ht="14.25" customHeight="1">
      <c r="A792" s="15"/>
      <c r="B792" s="14"/>
      <c r="C792" s="15"/>
      <c r="D792" s="14"/>
      <c r="E792" s="13"/>
      <c r="F792" s="16"/>
      <c r="G792" s="14"/>
    </row>
    <row r="793" spans="1:7" ht="14.25" customHeight="1">
      <c r="A793" s="15"/>
      <c r="B793" s="14"/>
      <c r="C793" s="15"/>
      <c r="D793" s="14"/>
      <c r="E793" s="13"/>
      <c r="F793" s="16"/>
      <c r="G793" s="14"/>
    </row>
    <row r="794" spans="1:7" ht="14.25" customHeight="1">
      <c r="A794" s="15"/>
      <c r="B794" s="14"/>
      <c r="C794" s="15"/>
      <c r="D794" s="14"/>
      <c r="E794" s="13"/>
      <c r="F794" s="16"/>
      <c r="G794" s="14"/>
    </row>
    <row r="795" spans="1:7" ht="14.25" customHeight="1">
      <c r="A795" s="15"/>
      <c r="B795" s="14"/>
      <c r="C795" s="15"/>
      <c r="D795" s="14"/>
      <c r="E795" s="13"/>
      <c r="F795" s="16"/>
      <c r="G795" s="14"/>
    </row>
    <row r="796" spans="1:7" ht="14.25" customHeight="1">
      <c r="A796" s="15"/>
      <c r="B796" s="14"/>
      <c r="C796" s="15"/>
      <c r="D796" s="14"/>
      <c r="E796" s="13"/>
      <c r="F796" s="16"/>
      <c r="G796" s="14"/>
    </row>
    <row r="797" spans="1:7" ht="14.25" customHeight="1">
      <c r="A797" s="15"/>
      <c r="B797" s="14"/>
      <c r="C797" s="15"/>
      <c r="D797" s="14"/>
      <c r="E797" s="13"/>
      <c r="F797" s="16"/>
      <c r="G797" s="14"/>
    </row>
    <row r="798" spans="1:7" ht="14.25" customHeight="1">
      <c r="A798" s="15"/>
      <c r="B798" s="14"/>
      <c r="C798" s="15"/>
      <c r="D798" s="14"/>
      <c r="E798" s="13"/>
      <c r="F798" s="16"/>
      <c r="G798" s="14"/>
    </row>
    <row r="799" spans="1:7" ht="14.25" customHeight="1">
      <c r="A799" s="15"/>
      <c r="B799" s="14"/>
      <c r="C799" s="15"/>
      <c r="D799" s="14"/>
      <c r="E799" s="13"/>
      <c r="F799" s="16"/>
      <c r="G799" s="14"/>
    </row>
    <row r="800" spans="1:7" ht="14.25" customHeight="1">
      <c r="A800" s="15"/>
      <c r="B800" s="14"/>
      <c r="C800" s="15"/>
      <c r="D800" s="14"/>
      <c r="E800" s="13"/>
      <c r="F800" s="16"/>
      <c r="G800" s="14"/>
    </row>
    <row r="801" spans="1:7" ht="14.25" customHeight="1">
      <c r="A801" s="15"/>
      <c r="B801" s="14"/>
      <c r="C801" s="15"/>
      <c r="D801" s="14"/>
      <c r="E801" s="13"/>
      <c r="F801" s="16"/>
      <c r="G801" s="14"/>
    </row>
    <row r="802" spans="1:7" ht="14.25" customHeight="1">
      <c r="A802" s="15"/>
      <c r="B802" s="14"/>
      <c r="C802" s="15"/>
      <c r="D802" s="14"/>
      <c r="E802" s="13"/>
      <c r="F802" s="16"/>
      <c r="G802" s="14"/>
    </row>
    <row r="803" spans="1:7" ht="14.25" customHeight="1">
      <c r="A803" s="15"/>
      <c r="B803" s="14"/>
      <c r="C803" s="15"/>
      <c r="D803" s="14"/>
      <c r="E803" s="13"/>
      <c r="F803" s="16"/>
      <c r="G803" s="14"/>
    </row>
    <row r="804" spans="1:7" ht="14.25" customHeight="1">
      <c r="A804" s="15"/>
      <c r="B804" s="14"/>
      <c r="C804" s="15"/>
      <c r="D804" s="14"/>
      <c r="E804" s="13"/>
      <c r="F804" s="16"/>
      <c r="G804" s="14"/>
    </row>
    <row r="805" spans="1:7" ht="14.25" customHeight="1">
      <c r="A805" s="15"/>
      <c r="B805" s="14"/>
      <c r="C805" s="15"/>
      <c r="D805" s="14"/>
      <c r="E805" s="13"/>
      <c r="F805" s="16"/>
      <c r="G805" s="14"/>
    </row>
    <row r="806" spans="1:7" ht="14.25" customHeight="1">
      <c r="A806" s="15"/>
      <c r="B806" s="14"/>
      <c r="C806" s="15"/>
      <c r="D806" s="14"/>
      <c r="E806" s="13"/>
      <c r="F806" s="16"/>
      <c r="G806" s="14"/>
    </row>
    <row r="807" spans="1:7" ht="14.25" customHeight="1">
      <c r="A807" s="15"/>
      <c r="B807" s="14"/>
      <c r="C807" s="15"/>
      <c r="D807" s="14"/>
      <c r="E807" s="13"/>
      <c r="F807" s="16"/>
      <c r="G807" s="14"/>
    </row>
    <row r="808" spans="1:7" ht="14.25" customHeight="1">
      <c r="A808" s="15"/>
      <c r="B808" s="14"/>
      <c r="C808" s="15"/>
      <c r="D808" s="14"/>
      <c r="E808" s="13"/>
      <c r="F808" s="16"/>
      <c r="G808" s="14"/>
    </row>
    <row r="809" spans="1:7" ht="14.25" customHeight="1">
      <c r="A809" s="15"/>
      <c r="B809" s="14"/>
      <c r="C809" s="15"/>
      <c r="D809" s="14"/>
      <c r="E809" s="13"/>
      <c r="F809" s="16"/>
      <c r="G809" s="14"/>
    </row>
    <row r="810" spans="1:7" ht="14.25" customHeight="1">
      <c r="A810" s="15"/>
      <c r="B810" s="14"/>
      <c r="C810" s="15"/>
      <c r="D810" s="14"/>
      <c r="E810" s="13"/>
      <c r="F810" s="16"/>
      <c r="G810" s="14"/>
    </row>
    <row r="811" spans="1:7" ht="14.25" customHeight="1">
      <c r="A811" s="15"/>
      <c r="B811" s="14"/>
      <c r="C811" s="15"/>
      <c r="D811" s="14"/>
      <c r="E811" s="13"/>
      <c r="F811" s="16"/>
      <c r="G811" s="14"/>
    </row>
    <row r="812" spans="1:7" ht="14.25" customHeight="1">
      <c r="A812" s="15"/>
      <c r="B812" s="14"/>
      <c r="C812" s="15"/>
      <c r="D812" s="14"/>
      <c r="E812" s="13"/>
      <c r="F812" s="16"/>
      <c r="G812" s="14"/>
    </row>
    <row r="813" spans="1:7" ht="14.25" customHeight="1">
      <c r="A813" s="15"/>
      <c r="B813" s="14"/>
      <c r="C813" s="15"/>
      <c r="D813" s="14"/>
      <c r="E813" s="13"/>
      <c r="F813" s="16"/>
      <c r="G813" s="14"/>
    </row>
    <row r="814" spans="1:7" ht="14.25" customHeight="1">
      <c r="A814" s="15"/>
      <c r="B814" s="14"/>
      <c r="C814" s="15"/>
      <c r="D814" s="14"/>
      <c r="E814" s="13"/>
      <c r="F814" s="16"/>
      <c r="G814" s="14"/>
    </row>
    <row r="815" spans="1:7" ht="14.25" customHeight="1">
      <c r="A815" s="15"/>
      <c r="B815" s="14"/>
      <c r="C815" s="15"/>
      <c r="D815" s="14"/>
      <c r="E815" s="13"/>
      <c r="F815" s="16"/>
      <c r="G815" s="14"/>
    </row>
    <row r="816" spans="1:7" ht="14.25" customHeight="1">
      <c r="A816" s="15"/>
      <c r="B816" s="14"/>
      <c r="C816" s="15"/>
      <c r="D816" s="14"/>
      <c r="E816" s="13"/>
      <c r="F816" s="16"/>
      <c r="G816" s="14"/>
    </row>
    <row r="817" spans="1:7" ht="14.25" customHeight="1">
      <c r="A817" s="15"/>
      <c r="B817" s="14"/>
      <c r="C817" s="15"/>
      <c r="D817" s="14"/>
      <c r="E817" s="13"/>
      <c r="F817" s="16"/>
      <c r="G817" s="14"/>
    </row>
    <row r="818" spans="1:7" ht="14.25" customHeight="1">
      <c r="A818" s="15"/>
      <c r="B818" s="14"/>
      <c r="C818" s="15"/>
      <c r="D818" s="14"/>
      <c r="E818" s="13"/>
      <c r="F818" s="16"/>
      <c r="G818" s="14"/>
    </row>
    <row r="819" spans="1:7" ht="14.25" customHeight="1">
      <c r="A819" s="15"/>
      <c r="B819" s="14"/>
      <c r="C819" s="15"/>
      <c r="D819" s="14"/>
      <c r="E819" s="13"/>
      <c r="F819" s="16"/>
      <c r="G819" s="14"/>
    </row>
    <row r="820" spans="1:7" ht="14.25" customHeight="1">
      <c r="A820" s="15"/>
      <c r="B820" s="14"/>
      <c r="C820" s="15"/>
      <c r="D820" s="14"/>
      <c r="E820" s="13"/>
      <c r="F820" s="16"/>
      <c r="G820" s="14"/>
    </row>
    <row r="821" spans="1:7" ht="14.25" customHeight="1">
      <c r="A821" s="15"/>
      <c r="B821" s="14"/>
      <c r="C821" s="15"/>
      <c r="D821" s="14"/>
      <c r="E821" s="13"/>
      <c r="F821" s="16"/>
      <c r="G821" s="14"/>
    </row>
    <row r="822" spans="1:7" ht="14.25" customHeight="1">
      <c r="A822" s="15"/>
      <c r="B822" s="14"/>
      <c r="C822" s="15"/>
      <c r="D822" s="14"/>
      <c r="E822" s="13"/>
      <c r="F822" s="16"/>
      <c r="G822" s="14"/>
    </row>
    <row r="823" spans="1:7" ht="14.25" customHeight="1">
      <c r="A823" s="15"/>
      <c r="B823" s="14"/>
      <c r="C823" s="15"/>
      <c r="D823" s="14"/>
      <c r="E823" s="13"/>
      <c r="F823" s="16"/>
      <c r="G823" s="14"/>
    </row>
    <row r="824" spans="1:7" ht="14.25" customHeight="1">
      <c r="A824" s="15"/>
      <c r="B824" s="14"/>
      <c r="C824" s="15"/>
      <c r="D824" s="14"/>
      <c r="E824" s="13"/>
      <c r="F824" s="16"/>
      <c r="G824" s="14"/>
    </row>
    <row r="825" spans="1:7" ht="14.25" customHeight="1">
      <c r="A825" s="15"/>
      <c r="B825" s="14"/>
      <c r="C825" s="15"/>
      <c r="D825" s="14"/>
      <c r="E825" s="13"/>
      <c r="F825" s="16"/>
      <c r="G825" s="14"/>
    </row>
    <row r="826" spans="1:7" ht="14.25" customHeight="1">
      <c r="A826" s="15"/>
      <c r="B826" s="14"/>
      <c r="C826" s="15"/>
      <c r="D826" s="14"/>
      <c r="E826" s="13"/>
      <c r="F826" s="16"/>
      <c r="G826" s="14"/>
    </row>
    <row r="827" spans="1:7" ht="14.25" customHeight="1">
      <c r="A827" s="15"/>
      <c r="B827" s="14"/>
      <c r="C827" s="15"/>
      <c r="D827" s="14"/>
      <c r="E827" s="13"/>
      <c r="F827" s="16"/>
      <c r="G827" s="14"/>
    </row>
    <row r="828" spans="1:7" ht="14.25" customHeight="1">
      <c r="A828" s="15"/>
      <c r="B828" s="14"/>
      <c r="C828" s="15"/>
      <c r="D828" s="14"/>
      <c r="E828" s="13"/>
      <c r="F828" s="16"/>
      <c r="G828" s="14"/>
    </row>
    <row r="829" spans="1:7" ht="14.25" customHeight="1">
      <c r="A829" s="15"/>
      <c r="B829" s="14"/>
      <c r="C829" s="15"/>
      <c r="D829" s="14"/>
      <c r="E829" s="13"/>
      <c r="F829" s="16"/>
      <c r="G829" s="14"/>
    </row>
    <row r="830" spans="1:7" ht="14.25" customHeight="1">
      <c r="A830" s="15"/>
      <c r="B830" s="14"/>
      <c r="C830" s="15"/>
      <c r="D830" s="14"/>
      <c r="E830" s="13"/>
      <c r="F830" s="16"/>
      <c r="G830" s="14"/>
    </row>
    <row r="831" spans="1:7" ht="14.25" customHeight="1">
      <c r="A831" s="15"/>
      <c r="B831" s="14"/>
      <c r="C831" s="15"/>
      <c r="D831" s="14"/>
      <c r="E831" s="13"/>
      <c r="F831" s="16"/>
      <c r="G831" s="14"/>
    </row>
    <row r="832" spans="1:7" ht="14.25" customHeight="1">
      <c r="A832" s="15"/>
      <c r="B832" s="14"/>
      <c r="C832" s="15"/>
      <c r="D832" s="14"/>
      <c r="E832" s="13"/>
      <c r="F832" s="16"/>
      <c r="G832" s="14"/>
    </row>
    <row r="833" spans="1:7" ht="14.25" customHeight="1">
      <c r="A833" s="15"/>
      <c r="B833" s="14"/>
      <c r="C833" s="15"/>
      <c r="D833" s="14"/>
      <c r="E833" s="13"/>
      <c r="F833" s="16"/>
      <c r="G833" s="14"/>
    </row>
    <row r="834" spans="1:7" ht="14.25" customHeight="1">
      <c r="A834" s="15"/>
      <c r="B834" s="14"/>
      <c r="C834" s="15"/>
      <c r="D834" s="14"/>
      <c r="E834" s="13"/>
      <c r="F834" s="16"/>
      <c r="G834" s="14"/>
    </row>
    <row r="835" spans="1:7" ht="14.25" customHeight="1">
      <c r="A835" s="15"/>
      <c r="B835" s="14"/>
      <c r="C835" s="15"/>
      <c r="D835" s="14"/>
      <c r="E835" s="13"/>
      <c r="F835" s="16"/>
      <c r="G835" s="14"/>
    </row>
    <row r="836" spans="1:7" ht="14.25" customHeight="1">
      <c r="A836" s="15"/>
      <c r="B836" s="14"/>
      <c r="C836" s="15"/>
      <c r="D836" s="14"/>
      <c r="E836" s="13"/>
      <c r="F836" s="16"/>
      <c r="G836" s="14"/>
    </row>
    <row r="837" spans="1:7" ht="14.25" customHeight="1">
      <c r="A837" s="15"/>
      <c r="B837" s="14"/>
      <c r="C837" s="15"/>
      <c r="D837" s="14"/>
      <c r="E837" s="13"/>
      <c r="F837" s="16"/>
      <c r="G837" s="14"/>
    </row>
    <row r="838" spans="1:7" ht="14.25" customHeight="1">
      <c r="A838" s="15"/>
      <c r="B838" s="14"/>
      <c r="C838" s="15"/>
      <c r="D838" s="14"/>
      <c r="E838" s="13"/>
      <c r="F838" s="16"/>
      <c r="G838" s="14"/>
    </row>
    <row r="839" spans="1:7" ht="14.25" customHeight="1">
      <c r="A839" s="15"/>
      <c r="B839" s="14"/>
      <c r="C839" s="15"/>
      <c r="D839" s="14"/>
      <c r="E839" s="13"/>
      <c r="F839" s="16"/>
      <c r="G839" s="14"/>
    </row>
    <row r="840" spans="1:7" ht="14.25" customHeight="1">
      <c r="A840" s="15"/>
      <c r="B840" s="14"/>
      <c r="C840" s="15"/>
      <c r="D840" s="14"/>
      <c r="E840" s="13"/>
      <c r="F840" s="16"/>
      <c r="G840" s="14"/>
    </row>
    <row r="841" spans="1:7" ht="14.25" customHeight="1">
      <c r="A841" s="15"/>
      <c r="B841" s="14"/>
      <c r="C841" s="15"/>
      <c r="D841" s="14"/>
      <c r="E841" s="13"/>
      <c r="F841" s="16"/>
      <c r="G841" s="14"/>
    </row>
    <row r="842" spans="1:7" ht="14.25" customHeight="1">
      <c r="A842" s="15"/>
      <c r="B842" s="14"/>
      <c r="C842" s="15"/>
      <c r="D842" s="14"/>
      <c r="E842" s="13"/>
      <c r="F842" s="16"/>
      <c r="G842" s="14"/>
    </row>
    <row r="843" spans="1:7" ht="14.25" customHeight="1">
      <c r="A843" s="15"/>
      <c r="B843" s="14"/>
      <c r="C843" s="15"/>
      <c r="D843" s="14"/>
      <c r="E843" s="13"/>
      <c r="F843" s="16"/>
      <c r="G843" s="14"/>
    </row>
    <row r="844" spans="1:7" ht="14.25" customHeight="1">
      <c r="A844" s="15"/>
      <c r="B844" s="14"/>
      <c r="C844" s="15"/>
      <c r="D844" s="14"/>
      <c r="E844" s="13"/>
      <c r="F844" s="16"/>
      <c r="G844" s="14"/>
    </row>
    <row r="845" spans="1:7" ht="14.25" customHeight="1">
      <c r="A845" s="15"/>
      <c r="B845" s="14"/>
      <c r="C845" s="15"/>
      <c r="D845" s="14"/>
      <c r="E845" s="13"/>
      <c r="F845" s="16"/>
      <c r="G845" s="14"/>
    </row>
    <row r="846" spans="1:7" ht="14.25" customHeight="1">
      <c r="A846" s="15"/>
      <c r="B846" s="14"/>
      <c r="C846" s="15"/>
      <c r="D846" s="14"/>
      <c r="E846" s="13"/>
      <c r="F846" s="16"/>
      <c r="G846" s="14"/>
    </row>
    <row r="847" spans="1:7" ht="14.25" customHeight="1">
      <c r="A847" s="15"/>
      <c r="B847" s="14"/>
      <c r="C847" s="15"/>
      <c r="D847" s="14"/>
      <c r="E847" s="13"/>
      <c r="F847" s="16"/>
      <c r="G847" s="14"/>
    </row>
    <row r="848" spans="1:7" ht="14.25" customHeight="1">
      <c r="A848" s="15"/>
      <c r="B848" s="14"/>
      <c r="C848" s="15"/>
      <c r="D848" s="14"/>
      <c r="E848" s="13"/>
      <c r="F848" s="16"/>
      <c r="G848" s="14"/>
    </row>
    <row r="849" spans="1:7" ht="14.25" customHeight="1">
      <c r="A849" s="15"/>
      <c r="B849" s="14"/>
      <c r="C849" s="15"/>
      <c r="D849" s="14"/>
      <c r="E849" s="13"/>
      <c r="F849" s="16"/>
      <c r="G849" s="14"/>
    </row>
    <row r="850" spans="1:7" ht="14.25" customHeight="1">
      <c r="A850" s="15"/>
      <c r="B850" s="14"/>
      <c r="C850" s="15"/>
      <c r="D850" s="14"/>
      <c r="E850" s="13"/>
      <c r="F850" s="16"/>
      <c r="G850" s="14"/>
    </row>
    <row r="851" spans="1:7" ht="14.25" customHeight="1">
      <c r="A851" s="15"/>
      <c r="B851" s="14"/>
      <c r="C851" s="15"/>
      <c r="D851" s="14"/>
      <c r="E851" s="13"/>
      <c r="F851" s="16"/>
      <c r="G851" s="14"/>
    </row>
    <row r="852" spans="1:7" ht="14.25" customHeight="1">
      <c r="A852" s="15"/>
      <c r="B852" s="14"/>
      <c r="C852" s="15"/>
      <c r="D852" s="14"/>
      <c r="E852" s="13"/>
      <c r="F852" s="16"/>
      <c r="G852" s="14"/>
    </row>
    <row r="853" spans="1:7" ht="14.25" customHeight="1">
      <c r="A853" s="15"/>
      <c r="B853" s="14"/>
      <c r="C853" s="15"/>
      <c r="D853" s="14"/>
      <c r="E853" s="13"/>
      <c r="F853" s="16"/>
      <c r="G853" s="14"/>
    </row>
    <row r="854" spans="1:7" ht="14.25" customHeight="1">
      <c r="A854" s="15"/>
      <c r="B854" s="14"/>
      <c r="C854" s="15"/>
      <c r="D854" s="14"/>
      <c r="E854" s="13"/>
      <c r="F854" s="16"/>
      <c r="G854" s="14"/>
    </row>
    <row r="855" spans="1:7" ht="14.25" customHeight="1">
      <c r="A855" s="15"/>
      <c r="B855" s="14"/>
      <c r="C855" s="15"/>
      <c r="D855" s="14"/>
      <c r="E855" s="13"/>
      <c r="F855" s="16"/>
      <c r="G855" s="14"/>
    </row>
    <row r="856" spans="1:7" ht="14.25" customHeight="1">
      <c r="A856" s="15"/>
      <c r="B856" s="14"/>
      <c r="C856" s="15"/>
      <c r="D856" s="14"/>
      <c r="E856" s="13"/>
      <c r="F856" s="16"/>
      <c r="G856" s="14"/>
    </row>
    <row r="857" spans="1:7" ht="14.25" customHeight="1">
      <c r="A857" s="15"/>
      <c r="B857" s="14"/>
      <c r="C857" s="15"/>
      <c r="D857" s="14"/>
      <c r="E857" s="13"/>
      <c r="F857" s="16"/>
      <c r="G857" s="14"/>
    </row>
    <row r="858" spans="1:7" ht="14.25" customHeight="1">
      <c r="A858" s="15"/>
      <c r="B858" s="14"/>
      <c r="C858" s="15"/>
      <c r="D858" s="14"/>
      <c r="E858" s="13"/>
      <c r="F858" s="16"/>
      <c r="G858" s="14"/>
    </row>
    <row r="859" spans="1:7" ht="14.25" customHeight="1">
      <c r="A859" s="15"/>
      <c r="B859" s="14"/>
      <c r="C859" s="15"/>
      <c r="D859" s="14"/>
      <c r="E859" s="13"/>
      <c r="F859" s="16"/>
      <c r="G859" s="14"/>
    </row>
    <row r="860" spans="1:7" ht="14.25" customHeight="1">
      <c r="A860" s="15"/>
      <c r="B860" s="14"/>
      <c r="C860" s="15"/>
      <c r="D860" s="14"/>
      <c r="E860" s="13"/>
      <c r="F860" s="16"/>
      <c r="G860" s="14"/>
    </row>
    <row r="861" spans="1:7" ht="14.25" customHeight="1">
      <c r="A861" s="15"/>
      <c r="B861" s="14"/>
      <c r="C861" s="15"/>
      <c r="D861" s="14"/>
      <c r="E861" s="13"/>
      <c r="F861" s="16"/>
      <c r="G861" s="14"/>
    </row>
    <row r="862" spans="1:7" ht="14.25" customHeight="1">
      <c r="A862" s="15"/>
      <c r="B862" s="14"/>
      <c r="C862" s="15"/>
      <c r="D862" s="14"/>
      <c r="E862" s="13"/>
      <c r="F862" s="16"/>
      <c r="G862" s="14"/>
    </row>
    <row r="863" spans="1:7" ht="14.25" customHeight="1">
      <c r="A863" s="15"/>
      <c r="B863" s="14"/>
      <c r="C863" s="15"/>
      <c r="D863" s="14"/>
      <c r="E863" s="13"/>
      <c r="F863" s="16"/>
      <c r="G863" s="14"/>
    </row>
    <row r="864" spans="1:7" ht="14.25" customHeight="1">
      <c r="A864" s="15"/>
      <c r="B864" s="14"/>
      <c r="C864" s="15"/>
      <c r="D864" s="14"/>
      <c r="E864" s="13"/>
      <c r="F864" s="16"/>
      <c r="G864" s="14"/>
    </row>
    <row r="865" spans="1:7" ht="14.25" customHeight="1">
      <c r="A865" s="15"/>
      <c r="B865" s="14"/>
      <c r="C865" s="15"/>
      <c r="D865" s="14"/>
      <c r="E865" s="13"/>
      <c r="F865" s="16"/>
      <c r="G865" s="14"/>
    </row>
    <row r="866" spans="1:7" ht="14.25" customHeight="1">
      <c r="A866" s="15"/>
      <c r="B866" s="14"/>
      <c r="C866" s="15"/>
      <c r="D866" s="14"/>
      <c r="E866" s="13"/>
      <c r="F866" s="16"/>
      <c r="G866" s="14"/>
    </row>
    <row r="867" spans="1:7" ht="14.25" customHeight="1">
      <c r="A867" s="15"/>
      <c r="B867" s="14"/>
      <c r="C867" s="15"/>
      <c r="D867" s="14"/>
      <c r="E867" s="13"/>
      <c r="F867" s="16"/>
      <c r="G867" s="14"/>
    </row>
    <row r="868" spans="1:7" ht="14.25" customHeight="1">
      <c r="A868" s="15"/>
      <c r="B868" s="14"/>
      <c r="C868" s="15"/>
      <c r="D868" s="14"/>
      <c r="E868" s="13"/>
      <c r="F868" s="16"/>
      <c r="G868" s="14"/>
    </row>
    <row r="869" spans="1:7" ht="14.25" customHeight="1">
      <c r="A869" s="15"/>
      <c r="B869" s="14"/>
      <c r="C869" s="15"/>
      <c r="D869" s="14"/>
      <c r="E869" s="13"/>
      <c r="F869" s="16"/>
      <c r="G869" s="14"/>
    </row>
    <row r="870" spans="1:7" ht="14.25" customHeight="1">
      <c r="A870" s="15"/>
      <c r="B870" s="14"/>
      <c r="C870" s="15"/>
      <c r="D870" s="14"/>
      <c r="E870" s="13"/>
      <c r="F870" s="16"/>
      <c r="G870" s="14"/>
    </row>
    <row r="871" spans="1:7" ht="14.25" customHeight="1">
      <c r="A871" s="15"/>
      <c r="B871" s="14"/>
      <c r="C871" s="15"/>
      <c r="D871" s="14"/>
      <c r="E871" s="13"/>
      <c r="F871" s="16"/>
      <c r="G871" s="14"/>
    </row>
    <row r="872" spans="1:7" ht="14.25" customHeight="1">
      <c r="A872" s="15"/>
      <c r="B872" s="14"/>
      <c r="C872" s="15"/>
      <c r="D872" s="14"/>
      <c r="E872" s="13"/>
      <c r="F872" s="16"/>
      <c r="G872" s="14"/>
    </row>
    <row r="873" spans="1:7" ht="14.25" customHeight="1">
      <c r="A873" s="15"/>
      <c r="B873" s="14"/>
      <c r="C873" s="15"/>
      <c r="D873" s="14"/>
      <c r="E873" s="13"/>
      <c r="F873" s="16"/>
      <c r="G873" s="14"/>
    </row>
    <row r="874" spans="1:7" ht="14.25" customHeight="1">
      <c r="A874" s="15"/>
      <c r="B874" s="14"/>
      <c r="C874" s="15"/>
      <c r="D874" s="14"/>
      <c r="E874" s="13"/>
      <c r="F874" s="16"/>
      <c r="G874" s="14"/>
    </row>
    <row r="875" spans="1:7" ht="14.25" customHeight="1">
      <c r="A875" s="15"/>
      <c r="B875" s="14"/>
      <c r="C875" s="15"/>
      <c r="D875" s="14"/>
      <c r="E875" s="13"/>
      <c r="F875" s="16"/>
      <c r="G875" s="14"/>
    </row>
    <row r="876" spans="1:7" ht="14.25" customHeight="1">
      <c r="A876" s="15"/>
      <c r="B876" s="14"/>
      <c r="C876" s="15"/>
      <c r="D876" s="14"/>
      <c r="E876" s="13"/>
      <c r="F876" s="16"/>
      <c r="G876" s="14"/>
    </row>
    <row r="877" spans="1:7" ht="14.25" customHeight="1">
      <c r="A877" s="15"/>
      <c r="B877" s="14"/>
      <c r="C877" s="15"/>
      <c r="D877" s="14"/>
      <c r="E877" s="13"/>
      <c r="F877" s="16"/>
      <c r="G877" s="14"/>
    </row>
    <row r="878" spans="1:7" ht="14.25" customHeight="1">
      <c r="A878" s="15"/>
      <c r="B878" s="14"/>
      <c r="C878" s="15"/>
      <c r="D878" s="14"/>
      <c r="E878" s="13"/>
      <c r="F878" s="16"/>
      <c r="G878" s="14"/>
    </row>
    <row r="879" spans="1:7" ht="14.25" customHeight="1">
      <c r="A879" s="15"/>
      <c r="B879" s="14"/>
      <c r="C879" s="15"/>
      <c r="D879" s="14"/>
      <c r="E879" s="13"/>
      <c r="F879" s="16"/>
      <c r="G879" s="14"/>
    </row>
    <row r="880" spans="1:7" ht="14.25" customHeight="1">
      <c r="A880" s="15"/>
      <c r="B880" s="14"/>
      <c r="C880" s="15"/>
      <c r="D880" s="14"/>
      <c r="E880" s="13"/>
      <c r="F880" s="16"/>
      <c r="G880" s="14"/>
    </row>
    <row r="881" spans="1:7" ht="14.25" customHeight="1">
      <c r="A881" s="15"/>
      <c r="B881" s="14"/>
      <c r="C881" s="15"/>
      <c r="D881" s="14"/>
      <c r="E881" s="13"/>
      <c r="F881" s="16"/>
      <c r="G881" s="14"/>
    </row>
    <row r="882" spans="1:7" ht="14.25" customHeight="1">
      <c r="A882" s="15"/>
      <c r="B882" s="14"/>
      <c r="C882" s="15"/>
      <c r="D882" s="14"/>
      <c r="E882" s="13"/>
      <c r="F882" s="16"/>
      <c r="G882" s="14"/>
    </row>
    <row r="883" spans="1:7" ht="14.25" customHeight="1">
      <c r="A883" s="15"/>
      <c r="B883" s="14"/>
      <c r="C883" s="15"/>
      <c r="D883" s="14"/>
      <c r="E883" s="13"/>
      <c r="F883" s="16"/>
      <c r="G883" s="14"/>
    </row>
    <row r="884" spans="1:7" ht="14.25" customHeight="1">
      <c r="A884" s="15"/>
      <c r="B884" s="14"/>
      <c r="C884" s="15"/>
      <c r="D884" s="14"/>
      <c r="E884" s="13"/>
      <c r="F884" s="16"/>
      <c r="G884" s="14"/>
    </row>
    <row r="885" spans="1:7" ht="14.25" customHeight="1">
      <c r="A885" s="15"/>
      <c r="B885" s="14"/>
      <c r="C885" s="15"/>
      <c r="D885" s="14"/>
      <c r="E885" s="13"/>
      <c r="F885" s="16"/>
      <c r="G885" s="14"/>
    </row>
    <row r="886" spans="1:7" ht="14.25" customHeight="1">
      <c r="A886" s="15"/>
      <c r="B886" s="14"/>
      <c r="C886" s="15"/>
      <c r="D886" s="14"/>
      <c r="E886" s="13"/>
      <c r="F886" s="16"/>
      <c r="G886" s="14"/>
    </row>
    <row r="887" spans="1:7" ht="14.25" customHeight="1">
      <c r="A887" s="15"/>
      <c r="B887" s="14"/>
      <c r="C887" s="15"/>
      <c r="D887" s="14"/>
      <c r="E887" s="13"/>
      <c r="F887" s="16"/>
      <c r="G887" s="14"/>
    </row>
    <row r="888" spans="1:7" ht="14.25" customHeight="1">
      <c r="A888" s="15"/>
      <c r="B888" s="14"/>
      <c r="C888" s="15"/>
      <c r="D888" s="14"/>
      <c r="E888" s="13"/>
      <c r="F888" s="16"/>
      <c r="G888" s="14"/>
    </row>
    <row r="889" spans="1:7" ht="14.25" customHeight="1">
      <c r="A889" s="15"/>
      <c r="B889" s="14"/>
      <c r="C889" s="15"/>
      <c r="D889" s="14"/>
      <c r="E889" s="13"/>
      <c r="F889" s="16"/>
      <c r="G889" s="14"/>
    </row>
    <row r="890" spans="1:7" ht="14.25" customHeight="1">
      <c r="A890" s="15"/>
      <c r="B890" s="14"/>
      <c r="C890" s="15"/>
      <c r="D890" s="14"/>
      <c r="E890" s="13"/>
      <c r="F890" s="16"/>
      <c r="G890" s="14"/>
    </row>
    <row r="891" spans="1:7" ht="14.25" customHeight="1">
      <c r="A891" s="15"/>
      <c r="B891" s="14"/>
      <c r="C891" s="15"/>
      <c r="D891" s="14"/>
      <c r="E891" s="13"/>
      <c r="F891" s="16"/>
      <c r="G891" s="14"/>
    </row>
    <row r="892" spans="1:7" ht="14.25" customHeight="1">
      <c r="A892" s="15"/>
      <c r="B892" s="14"/>
      <c r="C892" s="15"/>
      <c r="D892" s="14"/>
      <c r="E892" s="13"/>
      <c r="F892" s="16"/>
      <c r="G892" s="14"/>
    </row>
    <row r="893" spans="1:7" ht="14.25" customHeight="1">
      <c r="A893" s="15"/>
      <c r="B893" s="14"/>
      <c r="C893" s="15"/>
      <c r="D893" s="14"/>
      <c r="E893" s="13"/>
      <c r="F893" s="16"/>
      <c r="G893" s="14"/>
    </row>
    <row r="894" spans="1:7" ht="14.25" customHeight="1">
      <c r="A894" s="15"/>
      <c r="B894" s="14"/>
      <c r="C894" s="15"/>
      <c r="D894" s="14"/>
      <c r="E894" s="13"/>
      <c r="F894" s="16"/>
      <c r="G894" s="14"/>
    </row>
    <row r="895" spans="1:7" ht="14.25" customHeight="1">
      <c r="A895" s="15"/>
      <c r="B895" s="14"/>
      <c r="C895" s="15"/>
      <c r="D895" s="14"/>
      <c r="E895" s="13"/>
      <c r="F895" s="16"/>
      <c r="G895" s="14"/>
    </row>
    <row r="896" spans="1:7" ht="14.25" customHeight="1">
      <c r="A896" s="15"/>
      <c r="B896" s="14"/>
      <c r="C896" s="15"/>
      <c r="D896" s="14"/>
      <c r="E896" s="13"/>
      <c r="F896" s="16"/>
      <c r="G896" s="14"/>
    </row>
    <row r="897" spans="1:7" ht="14.25" customHeight="1">
      <c r="A897" s="15"/>
      <c r="B897" s="14"/>
      <c r="C897" s="15"/>
      <c r="D897" s="14"/>
      <c r="E897" s="13"/>
      <c r="F897" s="16"/>
      <c r="G897" s="14"/>
    </row>
    <row r="898" spans="1:7" ht="14.25" customHeight="1">
      <c r="A898" s="15"/>
      <c r="B898" s="14"/>
      <c r="C898" s="15"/>
      <c r="D898" s="14"/>
      <c r="E898" s="13"/>
      <c r="F898" s="16"/>
      <c r="G898" s="14"/>
    </row>
    <row r="899" spans="1:7" ht="14.25" customHeight="1">
      <c r="A899" s="15"/>
      <c r="B899" s="14"/>
      <c r="C899" s="15"/>
      <c r="D899" s="14"/>
      <c r="E899" s="13"/>
      <c r="F899" s="16"/>
      <c r="G899" s="14"/>
    </row>
    <row r="900" spans="1:7" ht="14.25" customHeight="1">
      <c r="A900" s="15"/>
      <c r="B900" s="14"/>
      <c r="C900" s="15"/>
      <c r="D900" s="14"/>
      <c r="E900" s="13"/>
      <c r="F900" s="16"/>
      <c r="G900" s="14"/>
    </row>
    <row r="901" spans="1:7" ht="14.25" customHeight="1">
      <c r="A901" s="15"/>
      <c r="B901" s="14"/>
      <c r="C901" s="15"/>
      <c r="D901" s="14"/>
      <c r="E901" s="13"/>
      <c r="F901" s="16"/>
      <c r="G901" s="14"/>
    </row>
    <row r="902" spans="1:7" ht="14.25" customHeight="1">
      <c r="A902" s="15"/>
      <c r="B902" s="14"/>
      <c r="C902" s="15"/>
      <c r="D902" s="14"/>
      <c r="E902" s="13"/>
      <c r="F902" s="16"/>
      <c r="G902" s="14"/>
    </row>
    <row r="903" spans="1:7" ht="14.25" customHeight="1">
      <c r="A903" s="15"/>
      <c r="B903" s="14"/>
      <c r="C903" s="15"/>
      <c r="D903" s="14"/>
      <c r="E903" s="13"/>
      <c r="F903" s="16"/>
      <c r="G903" s="14"/>
    </row>
    <row r="904" spans="1:7" ht="14.25" customHeight="1">
      <c r="A904" s="15"/>
      <c r="B904" s="14"/>
      <c r="C904" s="15"/>
      <c r="D904" s="14"/>
      <c r="E904" s="13"/>
      <c r="F904" s="16"/>
      <c r="G904" s="14"/>
    </row>
    <row r="905" spans="1:7" ht="14.25" customHeight="1">
      <c r="A905" s="15"/>
      <c r="B905" s="14"/>
      <c r="C905" s="15"/>
      <c r="D905" s="14"/>
      <c r="E905" s="13"/>
      <c r="F905" s="16"/>
      <c r="G905" s="14"/>
    </row>
    <row r="906" spans="1:7" ht="14.25" customHeight="1">
      <c r="A906" s="15"/>
      <c r="B906" s="14"/>
      <c r="C906" s="15"/>
      <c r="D906" s="14"/>
      <c r="E906" s="13"/>
      <c r="F906" s="16"/>
      <c r="G906" s="14"/>
    </row>
    <row r="907" spans="1:7" ht="14.25" customHeight="1">
      <c r="A907" s="15"/>
      <c r="B907" s="14"/>
      <c r="C907" s="15"/>
      <c r="D907" s="14"/>
      <c r="E907" s="13"/>
      <c r="F907" s="16"/>
      <c r="G907" s="14"/>
    </row>
    <row r="908" spans="1:7" ht="14.25" customHeight="1">
      <c r="A908" s="15"/>
      <c r="B908" s="14"/>
      <c r="C908" s="15"/>
      <c r="D908" s="14"/>
      <c r="E908" s="13"/>
      <c r="F908" s="16"/>
      <c r="G908" s="14"/>
    </row>
    <row r="909" spans="1:7" ht="14.25" customHeight="1">
      <c r="A909" s="15"/>
      <c r="B909" s="14"/>
      <c r="C909" s="15"/>
      <c r="D909" s="14"/>
      <c r="E909" s="13"/>
      <c r="F909" s="16"/>
      <c r="G909" s="14"/>
    </row>
    <row r="910" spans="1:7" ht="14.25" customHeight="1">
      <c r="A910" s="15"/>
      <c r="B910" s="14"/>
      <c r="C910" s="15"/>
      <c r="D910" s="14"/>
      <c r="E910" s="13"/>
      <c r="F910" s="16"/>
      <c r="G910" s="14"/>
    </row>
    <row r="911" spans="1:7" ht="14.25" customHeight="1">
      <c r="A911" s="15"/>
      <c r="B911" s="14"/>
      <c r="C911" s="15"/>
      <c r="D911" s="14"/>
      <c r="E911" s="13"/>
      <c r="F911" s="16"/>
      <c r="G911" s="14"/>
    </row>
    <row r="912" spans="1:7" ht="14.25" customHeight="1">
      <c r="A912" s="15"/>
      <c r="B912" s="14"/>
      <c r="C912" s="15"/>
      <c r="D912" s="14"/>
      <c r="E912" s="13"/>
      <c r="F912" s="16"/>
      <c r="G912" s="14"/>
    </row>
    <row r="913" spans="1:7" ht="14.25" customHeight="1">
      <c r="A913" s="15"/>
      <c r="B913" s="14"/>
      <c r="C913" s="15"/>
      <c r="D913" s="14"/>
      <c r="E913" s="13"/>
      <c r="F913" s="16"/>
      <c r="G913" s="14"/>
    </row>
    <row r="914" spans="1:7" ht="14.25" customHeight="1">
      <c r="A914" s="15"/>
      <c r="B914" s="14"/>
      <c r="C914" s="15"/>
      <c r="D914" s="14"/>
      <c r="E914" s="13"/>
      <c r="F914" s="16"/>
      <c r="G914" s="14"/>
    </row>
    <row r="915" spans="1:7" ht="14.25" customHeight="1">
      <c r="A915" s="15"/>
      <c r="B915" s="14"/>
      <c r="C915" s="15"/>
      <c r="D915" s="14"/>
      <c r="E915" s="13"/>
      <c r="F915" s="16"/>
      <c r="G915" s="14"/>
    </row>
    <row r="916" spans="1:7" ht="14.25" customHeight="1">
      <c r="A916" s="15"/>
      <c r="B916" s="14"/>
      <c r="C916" s="15"/>
      <c r="D916" s="14"/>
      <c r="E916" s="13"/>
      <c r="F916" s="16"/>
      <c r="G916" s="14"/>
    </row>
    <row r="917" spans="1:7" ht="14.25" customHeight="1">
      <c r="A917" s="15"/>
      <c r="B917" s="14"/>
      <c r="C917" s="15"/>
      <c r="D917" s="14"/>
      <c r="E917" s="13"/>
      <c r="F917" s="16"/>
      <c r="G917" s="14"/>
    </row>
    <row r="918" spans="1:7" ht="14.25" customHeight="1">
      <c r="A918" s="15"/>
      <c r="B918" s="14"/>
      <c r="C918" s="15"/>
      <c r="D918" s="14"/>
      <c r="E918" s="13"/>
      <c r="F918" s="16"/>
      <c r="G918" s="14"/>
    </row>
    <row r="919" spans="1:7" ht="14.25" customHeight="1">
      <c r="A919" s="15"/>
      <c r="B919" s="14"/>
      <c r="C919" s="15"/>
      <c r="D919" s="14"/>
      <c r="E919" s="13"/>
      <c r="F919" s="16"/>
      <c r="G919" s="14"/>
    </row>
    <row r="920" spans="1:7" ht="14.25" customHeight="1">
      <c r="A920" s="15"/>
      <c r="B920" s="14"/>
      <c r="C920" s="15"/>
      <c r="D920" s="14"/>
      <c r="E920" s="13"/>
      <c r="F920" s="16"/>
      <c r="G920" s="14"/>
    </row>
    <row r="921" spans="1:7" ht="14.25" customHeight="1">
      <c r="A921" s="15"/>
      <c r="B921" s="14"/>
      <c r="C921" s="15"/>
      <c r="D921" s="14"/>
      <c r="E921" s="13"/>
      <c r="F921" s="16"/>
      <c r="G921" s="14"/>
    </row>
    <row r="922" spans="1:7" ht="14.25" customHeight="1">
      <c r="A922" s="15"/>
      <c r="B922" s="14"/>
      <c r="C922" s="15"/>
      <c r="D922" s="14"/>
      <c r="E922" s="13"/>
      <c r="F922" s="16"/>
      <c r="G922" s="14"/>
    </row>
    <row r="923" spans="1:7" ht="14.25" customHeight="1">
      <c r="A923" s="15"/>
      <c r="B923" s="14"/>
      <c r="C923" s="15"/>
      <c r="D923" s="14"/>
      <c r="E923" s="13"/>
      <c r="F923" s="16"/>
      <c r="G923" s="14"/>
    </row>
    <row r="924" spans="1:7" ht="14.25" customHeight="1">
      <c r="A924" s="15"/>
      <c r="B924" s="14"/>
      <c r="C924" s="15"/>
      <c r="D924" s="14"/>
      <c r="E924" s="13"/>
      <c r="F924" s="16"/>
      <c r="G924" s="14"/>
    </row>
    <row r="925" spans="1:7" ht="14.25" customHeight="1">
      <c r="A925" s="15"/>
      <c r="B925" s="14"/>
      <c r="C925" s="15"/>
      <c r="D925" s="14"/>
      <c r="E925" s="13"/>
      <c r="F925" s="16"/>
      <c r="G925" s="14"/>
    </row>
    <row r="926" spans="1:7" ht="14.25" customHeight="1">
      <c r="A926" s="15"/>
      <c r="B926" s="14"/>
      <c r="C926" s="15"/>
      <c r="D926" s="14"/>
      <c r="E926" s="13"/>
      <c r="F926" s="16"/>
      <c r="G926" s="14"/>
    </row>
    <row r="927" spans="1:7" ht="14.25" customHeight="1">
      <c r="A927" s="15"/>
      <c r="B927" s="14"/>
      <c r="C927" s="15"/>
      <c r="D927" s="14"/>
      <c r="E927" s="13"/>
      <c r="F927" s="16"/>
      <c r="G927" s="14"/>
    </row>
    <row r="928" spans="1:7" ht="14.25" customHeight="1">
      <c r="A928" s="15"/>
      <c r="B928" s="14"/>
      <c r="C928" s="15"/>
      <c r="D928" s="14"/>
      <c r="E928" s="13"/>
      <c r="F928" s="16"/>
      <c r="G928" s="14"/>
    </row>
    <row r="929" spans="1:7" ht="14.25" customHeight="1">
      <c r="A929" s="15"/>
      <c r="B929" s="14"/>
      <c r="C929" s="15"/>
      <c r="D929" s="14"/>
      <c r="E929" s="13"/>
      <c r="F929" s="16"/>
      <c r="G929" s="14"/>
    </row>
    <row r="930" spans="1:7" ht="14.25" customHeight="1">
      <c r="A930" s="15"/>
      <c r="B930" s="14"/>
      <c r="C930" s="15"/>
      <c r="D930" s="14"/>
      <c r="E930" s="13"/>
      <c r="F930" s="16"/>
      <c r="G930" s="14"/>
    </row>
    <row r="931" spans="1:7" ht="14.25" customHeight="1">
      <c r="A931" s="15"/>
      <c r="B931" s="14"/>
      <c r="C931" s="15"/>
      <c r="D931" s="14"/>
      <c r="E931" s="13"/>
      <c r="F931" s="16"/>
      <c r="G931" s="14"/>
    </row>
    <row r="932" spans="1:7" ht="14.25" customHeight="1">
      <c r="A932" s="15"/>
      <c r="B932" s="14"/>
      <c r="C932" s="15"/>
      <c r="D932" s="14"/>
      <c r="E932" s="13"/>
      <c r="F932" s="16"/>
      <c r="G932" s="14"/>
    </row>
    <row r="933" spans="1:7" ht="14.25" customHeight="1">
      <c r="A933" s="15"/>
      <c r="B933" s="14"/>
      <c r="C933" s="15"/>
      <c r="D933" s="14"/>
      <c r="E933" s="13"/>
      <c r="F933" s="16"/>
      <c r="G933" s="14"/>
    </row>
    <row r="934" spans="1:7" ht="14.25" customHeight="1">
      <c r="A934" s="15"/>
      <c r="B934" s="14"/>
      <c r="C934" s="15"/>
      <c r="D934" s="14"/>
      <c r="E934" s="13"/>
      <c r="F934" s="16"/>
      <c r="G934" s="14"/>
    </row>
    <row r="935" spans="1:7" ht="14.25" customHeight="1">
      <c r="A935" s="15"/>
      <c r="B935" s="14"/>
      <c r="C935" s="15"/>
      <c r="D935" s="14"/>
      <c r="E935" s="13"/>
      <c r="F935" s="16"/>
      <c r="G935" s="14"/>
    </row>
    <row r="936" spans="1:7" ht="14.25" customHeight="1">
      <c r="A936" s="15"/>
      <c r="B936" s="14"/>
      <c r="C936" s="15"/>
      <c r="D936" s="14"/>
      <c r="E936" s="13"/>
      <c r="F936" s="16"/>
      <c r="G936" s="14"/>
    </row>
    <row r="937" spans="1:7" ht="14.25" customHeight="1">
      <c r="A937" s="15"/>
      <c r="B937" s="14"/>
      <c r="C937" s="15"/>
      <c r="D937" s="14"/>
      <c r="E937" s="13"/>
      <c r="F937" s="16"/>
      <c r="G937" s="14"/>
    </row>
    <row r="938" spans="1:7" ht="14.25" customHeight="1">
      <c r="A938" s="15"/>
      <c r="B938" s="14"/>
      <c r="C938" s="15"/>
      <c r="D938" s="14"/>
      <c r="E938" s="13"/>
      <c r="F938" s="16"/>
      <c r="G938" s="14"/>
    </row>
    <row r="939" spans="1:7" ht="14.25" customHeight="1">
      <c r="A939" s="15"/>
      <c r="B939" s="14"/>
      <c r="C939" s="15"/>
      <c r="D939" s="14"/>
      <c r="E939" s="13"/>
      <c r="F939" s="16"/>
      <c r="G939" s="14"/>
    </row>
    <row r="940" spans="1:7" ht="14.25" customHeight="1">
      <c r="A940" s="15"/>
      <c r="B940" s="14"/>
      <c r="C940" s="15"/>
      <c r="D940" s="14"/>
      <c r="E940" s="13"/>
      <c r="F940" s="16"/>
      <c r="G940" s="14"/>
    </row>
    <row r="941" spans="1:7" ht="14.25" customHeight="1">
      <c r="A941" s="15"/>
      <c r="B941" s="14"/>
      <c r="C941" s="15"/>
      <c r="D941" s="14"/>
      <c r="E941" s="13"/>
      <c r="F941" s="16"/>
      <c r="G941" s="14"/>
    </row>
    <row r="942" spans="1:7" ht="14.25" customHeight="1">
      <c r="A942" s="15"/>
      <c r="B942" s="14"/>
      <c r="C942" s="15"/>
      <c r="D942" s="14"/>
      <c r="E942" s="13"/>
      <c r="F942" s="16"/>
      <c r="G942" s="14"/>
    </row>
    <row r="943" spans="1:7" ht="14.25" customHeight="1">
      <c r="A943" s="15"/>
      <c r="B943" s="14"/>
      <c r="C943" s="15"/>
      <c r="D943" s="14"/>
      <c r="E943" s="13"/>
      <c r="F943" s="16"/>
      <c r="G943" s="14"/>
    </row>
    <row r="944" spans="1:7" ht="14.25" customHeight="1">
      <c r="A944" s="15"/>
      <c r="B944" s="14"/>
      <c r="C944" s="15"/>
      <c r="D944" s="14"/>
      <c r="E944" s="13"/>
      <c r="F944" s="16"/>
      <c r="G944" s="14"/>
    </row>
    <row r="945" spans="1:7" ht="14.25" customHeight="1">
      <c r="A945" s="15"/>
      <c r="B945" s="14"/>
      <c r="C945" s="15"/>
      <c r="D945" s="14"/>
      <c r="E945" s="13"/>
      <c r="F945" s="16"/>
      <c r="G945" s="14"/>
    </row>
    <row r="946" spans="1:7" ht="14.25" customHeight="1">
      <c r="A946" s="15"/>
      <c r="B946" s="14"/>
      <c r="C946" s="15"/>
      <c r="D946" s="14"/>
      <c r="E946" s="13"/>
      <c r="F946" s="16"/>
      <c r="G946" s="14"/>
    </row>
    <row r="947" spans="1:7" ht="14.25" customHeight="1">
      <c r="A947" s="15"/>
      <c r="B947" s="14"/>
      <c r="C947" s="15"/>
      <c r="D947" s="14"/>
      <c r="E947" s="13"/>
      <c r="F947" s="16"/>
      <c r="G947" s="14"/>
    </row>
    <row r="948" spans="1:7" ht="14.25" customHeight="1">
      <c r="A948" s="15"/>
      <c r="B948" s="14"/>
      <c r="C948" s="15"/>
      <c r="D948" s="14"/>
      <c r="E948" s="13"/>
      <c r="F948" s="16"/>
      <c r="G948" s="14"/>
    </row>
    <row r="949" spans="1:7" ht="14.25" customHeight="1">
      <c r="A949" s="15"/>
      <c r="B949" s="14"/>
      <c r="C949" s="15"/>
      <c r="D949" s="14"/>
      <c r="E949" s="13"/>
      <c r="F949" s="16"/>
      <c r="G949" s="14"/>
    </row>
    <row r="950" spans="1:7" ht="14.25" customHeight="1">
      <c r="A950" s="15"/>
      <c r="B950" s="14"/>
      <c r="C950" s="15"/>
      <c r="D950" s="14"/>
      <c r="E950" s="13"/>
      <c r="F950" s="16"/>
      <c r="G950" s="14"/>
    </row>
    <row r="951" spans="1:7" ht="14.25" customHeight="1">
      <c r="A951" s="15"/>
      <c r="B951" s="14"/>
      <c r="C951" s="15"/>
      <c r="D951" s="14"/>
      <c r="E951" s="13"/>
      <c r="F951" s="16"/>
      <c r="G951" s="14"/>
    </row>
    <row r="952" spans="1:7" ht="14.25" customHeight="1">
      <c r="A952" s="15"/>
      <c r="B952" s="14"/>
      <c r="C952" s="15"/>
      <c r="D952" s="14"/>
      <c r="E952" s="13"/>
      <c r="F952" s="16"/>
      <c r="G952" s="14"/>
    </row>
    <row r="953" spans="1:7" ht="14.25" customHeight="1">
      <c r="A953" s="15"/>
      <c r="B953" s="14"/>
      <c r="C953" s="15"/>
      <c r="D953" s="14"/>
      <c r="E953" s="13"/>
      <c r="F953" s="16"/>
      <c r="G953" s="14"/>
    </row>
    <row r="954" spans="1:7" ht="14.25" customHeight="1">
      <c r="A954" s="15"/>
      <c r="B954" s="14"/>
      <c r="C954" s="15"/>
      <c r="D954" s="14"/>
      <c r="E954" s="13"/>
      <c r="F954" s="16"/>
      <c r="G954" s="14"/>
    </row>
    <row r="955" spans="1:7" ht="14.25" customHeight="1">
      <c r="A955" s="15"/>
      <c r="B955" s="14"/>
      <c r="C955" s="15"/>
      <c r="D955" s="14"/>
      <c r="E955" s="13"/>
      <c r="F955" s="16"/>
      <c r="G955" s="14"/>
    </row>
    <row r="956" spans="1:7" ht="14.25" customHeight="1">
      <c r="A956" s="15"/>
      <c r="B956" s="14"/>
      <c r="C956" s="15"/>
      <c r="D956" s="14"/>
      <c r="E956" s="13"/>
      <c r="F956" s="16"/>
      <c r="G956" s="14"/>
    </row>
    <row r="957" spans="1:7" ht="14.25" customHeight="1">
      <c r="A957" s="15"/>
      <c r="B957" s="14"/>
      <c r="C957" s="15"/>
      <c r="D957" s="14"/>
      <c r="E957" s="13"/>
      <c r="F957" s="16"/>
      <c r="G957" s="14"/>
    </row>
    <row r="958" spans="1:7" ht="14.25" customHeight="1">
      <c r="A958" s="15"/>
      <c r="B958" s="14"/>
      <c r="C958" s="15"/>
      <c r="D958" s="14"/>
      <c r="E958" s="13"/>
      <c r="F958" s="16"/>
      <c r="G958" s="14"/>
    </row>
    <row r="959" spans="1:7" ht="14.25" customHeight="1">
      <c r="A959" s="15"/>
      <c r="B959" s="14"/>
      <c r="C959" s="15"/>
      <c r="D959" s="14"/>
      <c r="E959" s="13"/>
      <c r="F959" s="16"/>
      <c r="G959" s="14"/>
    </row>
    <row r="960" spans="1:7" ht="14.25" customHeight="1">
      <c r="A960" s="15"/>
      <c r="B960" s="14"/>
      <c r="C960" s="15"/>
      <c r="D960" s="14"/>
      <c r="E960" s="13"/>
      <c r="F960" s="16"/>
      <c r="G960" s="14"/>
    </row>
    <row r="961" spans="1:7" ht="14.25" customHeight="1">
      <c r="A961" s="15"/>
      <c r="B961" s="14"/>
      <c r="C961" s="15"/>
      <c r="D961" s="14"/>
      <c r="E961" s="13"/>
      <c r="F961" s="16"/>
      <c r="G961" s="14"/>
    </row>
    <row r="962" spans="1:7" ht="14.25" customHeight="1">
      <c r="A962" s="15"/>
      <c r="B962" s="14"/>
      <c r="C962" s="15"/>
      <c r="D962" s="14"/>
      <c r="E962" s="13"/>
      <c r="F962" s="16"/>
      <c r="G962" s="14"/>
    </row>
    <row r="963" spans="1:7" ht="14.25" customHeight="1">
      <c r="A963" s="15"/>
      <c r="B963" s="14"/>
      <c r="C963" s="15"/>
      <c r="D963" s="14"/>
      <c r="E963" s="13"/>
      <c r="F963" s="16"/>
      <c r="G963" s="14"/>
    </row>
    <row r="964" spans="1:7" ht="14.25" customHeight="1">
      <c r="A964" s="15"/>
      <c r="B964" s="14"/>
      <c r="C964" s="15"/>
      <c r="D964" s="14"/>
      <c r="E964" s="13"/>
      <c r="F964" s="16"/>
      <c r="G964" s="14"/>
    </row>
    <row r="965" spans="1:7" ht="14.25" customHeight="1">
      <c r="A965" s="15"/>
      <c r="B965" s="14"/>
      <c r="C965" s="15"/>
      <c r="D965" s="14"/>
      <c r="E965" s="13"/>
      <c r="F965" s="16"/>
      <c r="G965" s="14"/>
    </row>
    <row r="966" spans="1:7" ht="14.25" customHeight="1">
      <c r="A966" s="15"/>
      <c r="B966" s="14"/>
      <c r="C966" s="15"/>
      <c r="D966" s="14"/>
      <c r="E966" s="13"/>
      <c r="F966" s="16"/>
      <c r="G966" s="14"/>
    </row>
    <row r="967" spans="1:7" ht="14.25" customHeight="1">
      <c r="A967" s="15"/>
      <c r="B967" s="14"/>
      <c r="C967" s="15"/>
      <c r="D967" s="14"/>
      <c r="E967" s="13"/>
      <c r="F967" s="16"/>
      <c r="G967" s="14"/>
    </row>
    <row r="968" spans="1:7" ht="14.25" customHeight="1">
      <c r="A968" s="15"/>
      <c r="B968" s="14"/>
      <c r="C968" s="15"/>
      <c r="D968" s="14"/>
      <c r="E968" s="13"/>
      <c r="F968" s="16"/>
      <c r="G968" s="14"/>
    </row>
    <row r="969" spans="1:7" ht="14.25" customHeight="1">
      <c r="A969" s="15"/>
      <c r="B969" s="14"/>
      <c r="C969" s="15"/>
      <c r="D969" s="14"/>
      <c r="E969" s="13"/>
      <c r="F969" s="16"/>
      <c r="G969" s="14"/>
    </row>
    <row r="970" spans="1:7" ht="14.25" customHeight="1">
      <c r="A970" s="15"/>
      <c r="B970" s="14"/>
      <c r="C970" s="15"/>
      <c r="D970" s="14"/>
      <c r="E970" s="13"/>
      <c r="F970" s="16"/>
      <c r="G970" s="14"/>
    </row>
    <row r="971" spans="1:7" ht="14.25" customHeight="1">
      <c r="A971" s="15"/>
      <c r="B971" s="14"/>
      <c r="C971" s="15"/>
      <c r="D971" s="14"/>
      <c r="E971" s="13"/>
      <c r="F971" s="16"/>
      <c r="G971" s="14"/>
    </row>
    <row r="972" spans="1:7" ht="14.25" customHeight="1">
      <c r="A972" s="15"/>
      <c r="B972" s="14"/>
      <c r="C972" s="15"/>
      <c r="D972" s="14"/>
      <c r="E972" s="13"/>
      <c r="F972" s="16"/>
      <c r="G972" s="14"/>
    </row>
    <row r="973" spans="1:7" ht="14.25" customHeight="1">
      <c r="A973" s="15"/>
      <c r="B973" s="14"/>
      <c r="C973" s="15"/>
      <c r="D973" s="14"/>
      <c r="E973" s="13"/>
      <c r="F973" s="16"/>
      <c r="G973" s="14"/>
    </row>
    <row r="974" spans="1:7" ht="14.25" customHeight="1">
      <c r="A974" s="15"/>
      <c r="B974" s="14"/>
      <c r="C974" s="15"/>
      <c r="D974" s="14"/>
      <c r="E974" s="13"/>
      <c r="F974" s="16"/>
      <c r="G974" s="14"/>
    </row>
    <row r="975" spans="1:7" ht="14.25" customHeight="1">
      <c r="A975" s="15"/>
      <c r="B975" s="14"/>
      <c r="C975" s="15"/>
      <c r="D975" s="14"/>
      <c r="E975" s="13"/>
      <c r="F975" s="16"/>
      <c r="G975" s="14"/>
    </row>
    <row r="976" spans="1:7" ht="14.25" customHeight="1">
      <c r="A976" s="15"/>
      <c r="B976" s="14"/>
      <c r="C976" s="15"/>
      <c r="D976" s="14"/>
      <c r="E976" s="13"/>
      <c r="F976" s="16"/>
      <c r="G976" s="14"/>
    </row>
    <row r="977" spans="1:7" ht="14.25" customHeight="1">
      <c r="A977" s="15"/>
      <c r="B977" s="14"/>
      <c r="C977" s="15"/>
      <c r="D977" s="14"/>
      <c r="E977" s="13"/>
      <c r="F977" s="16"/>
      <c r="G977" s="14"/>
    </row>
    <row r="978" spans="1:7" ht="14.25" customHeight="1">
      <c r="A978" s="15"/>
      <c r="B978" s="14"/>
      <c r="C978" s="15"/>
      <c r="D978" s="14"/>
      <c r="E978" s="13"/>
      <c r="F978" s="16"/>
      <c r="G978" s="14"/>
    </row>
    <row r="979" spans="1:7" ht="14.25" customHeight="1">
      <c r="A979" s="15"/>
      <c r="B979" s="14"/>
      <c r="C979" s="15"/>
      <c r="D979" s="14"/>
      <c r="E979" s="13"/>
      <c r="F979" s="16"/>
      <c r="G979" s="14"/>
    </row>
    <row r="980" spans="1:7" ht="14.25" customHeight="1">
      <c r="A980" s="15"/>
      <c r="B980" s="14"/>
      <c r="C980" s="15"/>
      <c r="D980" s="14"/>
      <c r="E980" s="13"/>
      <c r="F980" s="16"/>
      <c r="G980" s="14"/>
    </row>
    <row r="981" spans="1:7" ht="24.75" customHeight="1">
      <c r="A981" s="15"/>
      <c r="B981" s="14"/>
      <c r="C981" s="15"/>
      <c r="D981" s="14"/>
      <c r="E981" s="13"/>
      <c r="F981" s="16"/>
      <c r="G981" s="14"/>
    </row>
    <row r="982" spans="1:7" s="12" customFormat="1" ht="14.25" customHeight="1">
      <c r="A982" s="166"/>
      <c r="B982" s="166"/>
      <c r="C982" s="166"/>
      <c r="D982" s="166"/>
      <c r="E982" s="166"/>
      <c r="F982" s="166"/>
      <c r="G982" s="166"/>
    </row>
    <row r="983" spans="1:7" ht="14.25" customHeight="1">
      <c r="A983" s="10"/>
      <c r="B983" s="105"/>
      <c r="C983" s="176"/>
      <c r="D983" s="1"/>
      <c r="E983" s="177"/>
      <c r="F983" s="1"/>
      <c r="G983" s="1"/>
    </row>
    <row r="984" spans="1:7" ht="14.25" customHeight="1">
      <c r="A984" s="10"/>
      <c r="B984" s="105"/>
      <c r="C984" s="176"/>
      <c r="D984" s="1"/>
      <c r="E984" s="177"/>
      <c r="F984" s="1"/>
      <c r="G984" s="1"/>
    </row>
    <row r="985" spans="1:7" ht="14.25" customHeight="1">
      <c r="A985" s="10"/>
      <c r="B985" s="105"/>
      <c r="C985" s="178"/>
      <c r="D985" s="1"/>
      <c r="E985" s="177"/>
      <c r="F985" s="1"/>
      <c r="G985" s="1"/>
    </row>
    <row r="986" spans="1:7" ht="14.25" customHeight="1">
      <c r="A986" s="10"/>
      <c r="B986" s="105"/>
      <c r="C986" s="176"/>
      <c r="D986" s="1"/>
      <c r="E986" s="177"/>
      <c r="F986" s="1"/>
      <c r="G986" s="1"/>
    </row>
    <row r="987" spans="1:7">
      <c r="A987" s="10"/>
      <c r="B987" s="105"/>
      <c r="C987" s="176"/>
      <c r="D987" s="1"/>
      <c r="E987" s="177"/>
      <c r="F987" s="1"/>
      <c r="G987" s="1"/>
    </row>
    <row r="988" spans="1:7">
      <c r="A988" s="10"/>
      <c r="B988" s="105"/>
      <c r="C988" s="179"/>
      <c r="D988" s="1"/>
      <c r="E988" s="177"/>
      <c r="F988" s="1"/>
      <c r="G988" s="1"/>
    </row>
    <row r="989" spans="1:7">
      <c r="A989" s="10"/>
      <c r="B989" s="105"/>
      <c r="C989" s="176"/>
      <c r="D989" s="1"/>
      <c r="E989" s="177"/>
      <c r="F989" s="1"/>
      <c r="G989" s="1"/>
    </row>
    <row r="990" spans="1:7">
      <c r="A990" s="10"/>
      <c r="B990" s="105"/>
      <c r="C990" s="176"/>
      <c r="D990" s="1"/>
      <c r="E990" s="177"/>
      <c r="F990" s="1"/>
      <c r="G990" s="1"/>
    </row>
    <row r="991" spans="1:7">
      <c r="A991" s="10"/>
      <c r="B991" s="105"/>
      <c r="C991" s="1"/>
      <c r="D991" s="1"/>
      <c r="E991" s="177"/>
      <c r="F991" s="1"/>
      <c r="G991" s="1"/>
    </row>
    <row r="992" spans="1:7">
      <c r="A992" s="10"/>
      <c r="B992" s="105"/>
      <c r="C992" s="1"/>
      <c r="D992" s="1"/>
      <c r="E992" s="177"/>
      <c r="F992" s="1"/>
      <c r="G992" s="1"/>
    </row>
    <row r="993" spans="1:7">
      <c r="A993" s="10"/>
      <c r="B993" s="105"/>
      <c r="C993" s="1"/>
      <c r="D993" s="1"/>
      <c r="E993" s="177"/>
      <c r="F993" s="1"/>
      <c r="G993" s="1"/>
    </row>
    <row r="994" spans="1:7">
      <c r="A994" s="10"/>
      <c r="B994" s="105" t="s">
        <v>606</v>
      </c>
      <c r="C994" s="1"/>
      <c r="D994" s="1"/>
      <c r="E994" s="177"/>
      <c r="F994" s="1"/>
      <c r="G994" s="1"/>
    </row>
    <row r="995" spans="1:7">
      <c r="A995" s="10"/>
      <c r="B995" s="105"/>
      <c r="C995" s="1"/>
      <c r="D995" s="1"/>
      <c r="E995" s="177"/>
      <c r="F995" s="1"/>
      <c r="G995" s="1"/>
    </row>
    <row r="996" spans="1:7">
      <c r="A996" s="10"/>
      <c r="B996" s="105"/>
      <c r="C996" s="1"/>
      <c r="D996" s="1"/>
      <c r="E996" s="177"/>
      <c r="F996" s="1"/>
      <c r="G996" s="1"/>
    </row>
    <row r="997" spans="1:7">
      <c r="A997" s="10"/>
      <c r="B997" s="105"/>
      <c r="C997" s="1"/>
      <c r="D997" s="1"/>
      <c r="E997" s="177"/>
      <c r="F997" s="1"/>
      <c r="G997" s="1"/>
    </row>
    <row r="998" spans="1:7">
      <c r="A998" s="10"/>
      <c r="B998" s="105"/>
      <c r="C998" s="1"/>
      <c r="D998" s="1"/>
      <c r="E998" s="177"/>
      <c r="F998" s="1"/>
      <c r="G998" s="1"/>
    </row>
    <row r="999" spans="1:7">
      <c r="A999" s="10"/>
      <c r="B999" s="105"/>
      <c r="C999" s="1"/>
      <c r="D999" s="1"/>
      <c r="E999" s="177"/>
      <c r="F999" s="1"/>
      <c r="G999" s="1"/>
    </row>
    <row r="1000" spans="1:7">
      <c r="A1000" s="10"/>
      <c r="B1000" s="105"/>
      <c r="C1000" s="1"/>
      <c r="D1000" s="1"/>
      <c r="E1000" s="177"/>
      <c r="F1000" s="1"/>
      <c r="G1000" s="1"/>
    </row>
    <row r="1001" spans="1:7">
      <c r="A1001" s="10"/>
      <c r="B1001" s="105"/>
      <c r="C1001" s="1"/>
      <c r="D1001" s="1"/>
      <c r="E1001" s="177"/>
      <c r="F1001" s="1"/>
      <c r="G1001" s="1"/>
    </row>
    <row r="1002" spans="1:7">
      <c r="A1002" s="10"/>
      <c r="B1002" s="105"/>
      <c r="C1002" s="1"/>
      <c r="D1002" s="1"/>
      <c r="E1002" s="177"/>
      <c r="F1002" s="1"/>
      <c r="G1002" s="1"/>
    </row>
    <row r="1003" spans="1:7">
      <c r="A1003" s="10"/>
      <c r="B1003" s="105"/>
      <c r="C1003" s="1"/>
      <c r="D1003" s="1"/>
      <c r="E1003" s="177"/>
      <c r="F1003" s="1"/>
      <c r="G1003" s="1"/>
    </row>
    <row r="1004" spans="1:7">
      <c r="A1004" s="10"/>
      <c r="B1004" s="105"/>
      <c r="C1004" s="1"/>
      <c r="D1004" s="1"/>
      <c r="E1004" s="177"/>
      <c r="F1004" s="1"/>
      <c r="G1004" s="1"/>
    </row>
    <row r="1005" spans="1:7">
      <c r="A1005" s="10"/>
      <c r="B1005" s="105"/>
      <c r="C1005" s="1"/>
      <c r="D1005" s="1"/>
      <c r="E1005" s="177"/>
      <c r="F1005" s="1"/>
      <c r="G1005" s="1"/>
    </row>
    <row r="1006" spans="1:7">
      <c r="A1006" s="10"/>
      <c r="B1006" s="105"/>
      <c r="C1006" s="1"/>
      <c r="D1006" s="1"/>
      <c r="E1006" s="177"/>
      <c r="F1006" s="1"/>
      <c r="G1006" s="1"/>
    </row>
    <row r="1007" spans="1:7">
      <c r="A1007" s="10"/>
      <c r="B1007" s="105"/>
      <c r="C1007" s="1"/>
      <c r="D1007" s="1"/>
      <c r="E1007" s="1"/>
      <c r="F1007" s="1"/>
      <c r="G1007" s="1"/>
    </row>
    <row r="1008" spans="1:7">
      <c r="A1008" s="10"/>
      <c r="B1008" s="105"/>
      <c r="C1008" s="1"/>
      <c r="D1008" s="1"/>
      <c r="E1008" s="1"/>
      <c r="F1008" s="1"/>
      <c r="G1008" s="1"/>
    </row>
    <row r="1009" spans="1:7">
      <c r="A1009" s="10"/>
      <c r="B1009" s="105"/>
      <c r="C1009" s="176"/>
      <c r="D1009" s="1"/>
      <c r="E1009" s="177"/>
      <c r="F1009" s="1"/>
      <c r="G1009" s="1"/>
    </row>
    <row r="1010" spans="1:7">
      <c r="A1010" s="10"/>
      <c r="B1010" s="105"/>
      <c r="C1010" s="176"/>
      <c r="D1010" s="1"/>
      <c r="E1010" s="177"/>
      <c r="F1010" s="1"/>
      <c r="G1010" s="1"/>
    </row>
    <row r="1011" spans="1:7">
      <c r="A1011" s="10"/>
      <c r="B1011" s="105"/>
      <c r="C1011" s="176"/>
      <c r="D1011" s="1"/>
      <c r="E1011" s="177"/>
      <c r="F1011" s="1"/>
      <c r="G1011" s="1"/>
    </row>
    <row r="1012" spans="1:7">
      <c r="A1012" s="10"/>
      <c r="B1012" s="105"/>
      <c r="C1012" s="176"/>
      <c r="D1012" s="1"/>
      <c r="E1012" s="177"/>
      <c r="F1012" s="1"/>
      <c r="G1012" s="1"/>
    </row>
    <row r="1013" spans="1:7">
      <c r="A1013" s="10"/>
      <c r="B1013" s="105"/>
      <c r="C1013" s="176"/>
      <c r="D1013" s="1"/>
      <c r="E1013" s="177"/>
      <c r="F1013" s="1"/>
      <c r="G1013" s="1"/>
    </row>
    <row r="1014" spans="1:7">
      <c r="A1014" s="10"/>
      <c r="B1014" s="105"/>
      <c r="C1014" s="176"/>
      <c r="D1014" s="1"/>
      <c r="E1014" s="177"/>
      <c r="F1014" s="1"/>
      <c r="G1014" s="1"/>
    </row>
    <row r="1015" spans="1:7">
      <c r="A1015" s="10"/>
      <c r="B1015" s="105"/>
      <c r="C1015" s="176"/>
      <c r="D1015" s="1"/>
      <c r="E1015" s="177"/>
      <c r="F1015" s="1"/>
      <c r="G1015" s="1"/>
    </row>
    <row r="1016" spans="1:7">
      <c r="A1016" s="10"/>
      <c r="B1016" s="105"/>
      <c r="C1016" s="176"/>
      <c r="D1016" s="1"/>
      <c r="E1016" s="177"/>
      <c r="F1016" s="1"/>
      <c r="G1016" s="1"/>
    </row>
    <row r="1017" spans="1:7">
      <c r="A1017" s="10"/>
      <c r="B1017" s="105"/>
      <c r="C1017" s="176"/>
      <c r="D1017" s="1"/>
      <c r="E1017" s="177"/>
      <c r="F1017" s="1"/>
      <c r="G1017" s="1"/>
    </row>
    <row r="1018" spans="1:7">
      <c r="A1018" s="10"/>
      <c r="B1018" s="105"/>
      <c r="C1018" s="176"/>
      <c r="D1018" s="1"/>
      <c r="E1018" s="177"/>
      <c r="F1018" s="1"/>
      <c r="G1018" s="1"/>
    </row>
    <row r="1019" spans="1:7">
      <c r="A1019" s="10"/>
      <c r="B1019" s="105"/>
      <c r="C1019" s="176"/>
      <c r="D1019" s="1"/>
      <c r="E1019" s="177"/>
      <c r="F1019" s="1"/>
      <c r="G1019" s="1"/>
    </row>
    <row r="1020" spans="1:7">
      <c r="A1020" s="10"/>
      <c r="B1020" s="105"/>
      <c r="C1020" s="176"/>
      <c r="D1020" s="1"/>
      <c r="E1020" s="177"/>
      <c r="F1020" s="1"/>
      <c r="G1020" s="1"/>
    </row>
    <row r="1021" spans="1:7">
      <c r="A1021" s="10"/>
      <c r="B1021" s="105"/>
      <c r="C1021" s="176"/>
      <c r="D1021" s="1"/>
      <c r="E1021" s="177"/>
      <c r="F1021" s="1"/>
      <c r="G1021" s="1"/>
    </row>
    <row r="1022" spans="1:7">
      <c r="A1022" s="10"/>
      <c r="B1022" s="105"/>
      <c r="C1022" s="176"/>
      <c r="D1022" s="1"/>
      <c r="E1022" s="177"/>
      <c r="F1022" s="1"/>
      <c r="G1022" s="1"/>
    </row>
    <row r="1023" spans="1:7">
      <c r="A1023" s="10"/>
      <c r="B1023" s="105"/>
      <c r="C1023" s="176"/>
      <c r="D1023" s="1"/>
      <c r="E1023" s="177"/>
      <c r="F1023" s="1"/>
      <c r="G1023" s="1"/>
    </row>
    <row r="1024" spans="1:7">
      <c r="A1024" s="10"/>
      <c r="B1024" s="105"/>
      <c r="C1024" s="176"/>
      <c r="D1024" s="1"/>
      <c r="E1024" s="177"/>
      <c r="F1024" s="1"/>
      <c r="G1024" s="1"/>
    </row>
    <row r="1025" spans="1:7">
      <c r="A1025" s="10"/>
      <c r="B1025" s="105"/>
      <c r="C1025" s="176"/>
      <c r="D1025" s="1"/>
      <c r="E1025" s="177"/>
      <c r="F1025" s="1"/>
      <c r="G1025" s="1"/>
    </row>
    <row r="1026" spans="1:7">
      <c r="A1026" s="10"/>
      <c r="B1026" s="105"/>
      <c r="C1026" s="176"/>
      <c r="D1026" s="1"/>
      <c r="E1026" s="177"/>
      <c r="F1026" s="1"/>
      <c r="G1026" s="1"/>
    </row>
    <row r="1027" spans="1:7">
      <c r="A1027" s="10"/>
      <c r="B1027" s="105"/>
      <c r="C1027" s="176"/>
      <c r="D1027" s="1"/>
      <c r="E1027" s="177"/>
      <c r="F1027" s="1"/>
      <c r="G1027" s="1"/>
    </row>
    <row r="1028" spans="1:7">
      <c r="A1028" s="10"/>
      <c r="B1028" s="105"/>
      <c r="C1028" s="176"/>
      <c r="D1028" s="1"/>
      <c r="E1028" s="177"/>
      <c r="F1028" s="1"/>
      <c r="G1028" s="1"/>
    </row>
    <row r="1029" spans="1:7">
      <c r="A1029" s="10"/>
      <c r="B1029" s="105"/>
      <c r="C1029" s="176"/>
      <c r="D1029" s="1"/>
      <c r="E1029" s="177"/>
      <c r="F1029" s="1"/>
      <c r="G1029" s="1"/>
    </row>
    <row r="1030" spans="1:7">
      <c r="A1030" s="10"/>
      <c r="B1030" s="105"/>
      <c r="C1030" s="176"/>
      <c r="D1030" s="1"/>
      <c r="E1030" s="177"/>
      <c r="F1030" s="1"/>
      <c r="G1030" s="1"/>
    </row>
    <row r="1031" spans="1:7">
      <c r="A1031" s="10"/>
      <c r="B1031" s="105"/>
      <c r="C1031" s="176"/>
      <c r="D1031" s="1"/>
      <c r="E1031" s="177"/>
      <c r="F1031" s="1"/>
      <c r="G1031" s="1"/>
    </row>
    <row r="1032" spans="1:7">
      <c r="A1032" s="10"/>
      <c r="B1032" s="105"/>
      <c r="C1032" s="176"/>
      <c r="D1032" s="1"/>
      <c r="E1032" s="177"/>
      <c r="F1032" s="1"/>
      <c r="G1032" s="1"/>
    </row>
    <row r="1033" spans="1:7">
      <c r="A1033" s="10"/>
      <c r="B1033" s="105"/>
      <c r="C1033" s="176"/>
      <c r="D1033" s="1"/>
      <c r="E1033" s="177"/>
      <c r="F1033" s="1"/>
      <c r="G1033" s="1"/>
    </row>
    <row r="1034" spans="1:7">
      <c r="A1034" s="10"/>
      <c r="B1034" s="105"/>
      <c r="C1034" s="176"/>
      <c r="D1034" s="1"/>
      <c r="E1034" s="177"/>
      <c r="F1034" s="1"/>
      <c r="G1034" s="1"/>
    </row>
    <row r="1035" spans="1:7">
      <c r="A1035" s="10"/>
      <c r="B1035" s="105"/>
      <c r="C1035" s="176"/>
      <c r="D1035" s="1"/>
      <c r="E1035" s="177"/>
      <c r="F1035" s="1"/>
      <c r="G1035" s="1"/>
    </row>
    <row r="1036" spans="1:7">
      <c r="A1036" s="10"/>
      <c r="B1036" s="105"/>
      <c r="C1036" s="176"/>
      <c r="D1036" s="1"/>
      <c r="E1036" s="177"/>
      <c r="F1036" s="1"/>
      <c r="G1036" s="1"/>
    </row>
    <row r="1037" spans="1:7">
      <c r="A1037" s="10"/>
      <c r="B1037" s="105"/>
      <c r="C1037" s="176"/>
      <c r="D1037" s="1"/>
      <c r="E1037" s="177"/>
      <c r="F1037" s="1"/>
      <c r="G1037" s="1"/>
    </row>
    <row r="1038" spans="1:7">
      <c r="A1038" s="10"/>
      <c r="B1038" s="105"/>
      <c r="C1038" s="176"/>
      <c r="D1038" s="1"/>
      <c r="E1038" s="177"/>
      <c r="F1038" s="1"/>
      <c r="G1038" s="1"/>
    </row>
    <row r="1039" spans="1:7">
      <c r="A1039" s="10"/>
      <c r="B1039" s="105"/>
      <c r="C1039" s="176"/>
      <c r="D1039" s="1"/>
      <c r="E1039" s="177"/>
      <c r="F1039" s="1"/>
      <c r="G1039" s="1"/>
    </row>
    <row r="1040" spans="1:7">
      <c r="A1040" s="10"/>
      <c r="B1040" s="105"/>
      <c r="C1040" s="176"/>
      <c r="D1040" s="1"/>
      <c r="E1040" s="177"/>
      <c r="F1040" s="1"/>
      <c r="G1040" s="1"/>
    </row>
    <row r="1041" spans="1:7">
      <c r="A1041" s="10"/>
      <c r="B1041" s="105"/>
      <c r="C1041" s="176"/>
      <c r="D1041" s="1"/>
      <c r="E1041" s="177"/>
      <c r="F1041" s="1"/>
      <c r="G1041" s="1"/>
    </row>
    <row r="1042" spans="1:7">
      <c r="A1042" s="10"/>
      <c r="B1042" s="105"/>
      <c r="C1042" s="176"/>
      <c r="D1042" s="1"/>
      <c r="E1042" s="177"/>
      <c r="F1042" s="1"/>
      <c r="G1042" s="1"/>
    </row>
    <row r="1043" spans="1:7">
      <c r="A1043" s="10"/>
      <c r="B1043" s="105"/>
      <c r="C1043" s="176"/>
      <c r="D1043" s="1"/>
      <c r="E1043" s="177"/>
      <c r="F1043" s="1"/>
      <c r="G1043" s="1"/>
    </row>
    <row r="1044" spans="1:7">
      <c r="A1044" s="10"/>
      <c r="B1044" s="105"/>
      <c r="C1044" s="176"/>
      <c r="D1044" s="1"/>
      <c r="E1044" s="177"/>
      <c r="F1044" s="1"/>
      <c r="G1044" s="1"/>
    </row>
    <row r="1045" spans="1:7">
      <c r="A1045" s="10"/>
      <c r="B1045" s="105"/>
      <c r="C1045" s="176"/>
      <c r="D1045" s="1"/>
      <c r="E1045" s="177"/>
      <c r="F1045" s="1"/>
      <c r="G1045" s="1"/>
    </row>
    <row r="1046" spans="1:7">
      <c r="A1046" s="10"/>
      <c r="B1046" s="105"/>
      <c r="C1046" s="176"/>
      <c r="D1046" s="1"/>
      <c r="E1046" s="177"/>
      <c r="F1046" s="1"/>
      <c r="G1046" s="1"/>
    </row>
    <row r="1047" spans="1:7">
      <c r="A1047" s="10"/>
      <c r="B1047" s="105"/>
      <c r="C1047" s="176"/>
      <c r="D1047" s="1"/>
      <c r="E1047" s="177"/>
      <c r="F1047" s="1"/>
      <c r="G1047" s="1"/>
    </row>
    <row r="1048" spans="1:7">
      <c r="A1048" s="10"/>
      <c r="B1048" s="105"/>
      <c r="C1048" s="176"/>
      <c r="D1048" s="1"/>
      <c r="E1048" s="177"/>
      <c r="F1048" s="1"/>
      <c r="G1048" s="1"/>
    </row>
    <row r="1049" spans="1:7">
      <c r="A1049" s="10"/>
      <c r="B1049" s="105"/>
      <c r="C1049" s="176"/>
      <c r="D1049" s="1"/>
      <c r="E1049" s="177"/>
      <c r="F1049" s="1"/>
      <c r="G1049" s="1"/>
    </row>
    <row r="1050" spans="1:7">
      <c r="A1050" s="10"/>
      <c r="B1050" s="105"/>
      <c r="C1050" s="176"/>
      <c r="D1050" s="1"/>
      <c r="E1050" s="177"/>
      <c r="F1050" s="1"/>
      <c r="G1050" s="1"/>
    </row>
    <row r="1051" spans="1:7">
      <c r="A1051" s="10"/>
      <c r="B1051" s="105"/>
      <c r="C1051" s="176"/>
      <c r="D1051" s="1"/>
      <c r="E1051" s="177"/>
      <c r="F1051" s="1"/>
      <c r="G1051" s="1"/>
    </row>
    <row r="1052" spans="1:7">
      <c r="A1052" s="10"/>
      <c r="B1052" s="105"/>
      <c r="C1052" s="176"/>
      <c r="D1052" s="1"/>
      <c r="E1052" s="177"/>
      <c r="F1052" s="1"/>
      <c r="G1052" s="1"/>
    </row>
    <row r="1053" spans="1:7">
      <c r="A1053" s="10"/>
      <c r="B1053" s="105"/>
      <c r="C1053" s="176"/>
      <c r="D1053" s="1"/>
      <c r="E1053" s="177"/>
      <c r="F1053" s="1"/>
      <c r="G1053" s="1"/>
    </row>
    <row r="1054" spans="1:7">
      <c r="A1054" s="10"/>
      <c r="B1054" s="105"/>
      <c r="C1054" s="176"/>
      <c r="D1054" s="1"/>
      <c r="E1054" s="177"/>
      <c r="F1054" s="1"/>
      <c r="G1054" s="1"/>
    </row>
    <row r="1055" spans="1:7">
      <c r="A1055" s="10"/>
      <c r="B1055" s="105"/>
      <c r="C1055" s="176"/>
      <c r="D1055" s="1"/>
      <c r="E1055" s="177"/>
      <c r="F1055" s="1"/>
      <c r="G1055" s="1"/>
    </row>
    <row r="1056" spans="1:7">
      <c r="A1056" s="10"/>
      <c r="B1056" s="105"/>
      <c r="C1056" s="176"/>
      <c r="D1056" s="1"/>
      <c r="E1056" s="177"/>
      <c r="F1056" s="1"/>
      <c r="G1056" s="1"/>
    </row>
    <row r="1057" spans="1:7">
      <c r="A1057" s="10"/>
      <c r="B1057" s="105"/>
      <c r="C1057" s="176"/>
      <c r="D1057" s="1"/>
      <c r="E1057" s="177"/>
      <c r="F1057" s="1"/>
      <c r="G1057" s="1"/>
    </row>
    <row r="1058" spans="1:7">
      <c r="A1058" s="10"/>
      <c r="B1058" s="105"/>
      <c r="C1058" s="176"/>
      <c r="D1058" s="1"/>
      <c r="E1058" s="177"/>
      <c r="F1058" s="1"/>
      <c r="G1058" s="1"/>
    </row>
    <row r="1059" spans="1:7">
      <c r="A1059" s="10"/>
      <c r="B1059" s="105"/>
      <c r="C1059" s="176"/>
      <c r="D1059" s="1"/>
      <c r="E1059" s="177"/>
      <c r="F1059" s="1"/>
      <c r="G1059" s="1"/>
    </row>
    <row r="1060" spans="1:7">
      <c r="A1060" s="10"/>
      <c r="B1060" s="105"/>
      <c r="C1060" s="176"/>
      <c r="D1060" s="1"/>
      <c r="E1060" s="177"/>
      <c r="F1060" s="1"/>
      <c r="G1060" s="1"/>
    </row>
    <row r="1061" spans="1:7">
      <c r="A1061" s="10"/>
      <c r="B1061" s="105"/>
      <c r="C1061" s="176"/>
      <c r="D1061" s="1"/>
      <c r="E1061" s="177"/>
      <c r="F1061" s="1"/>
      <c r="G1061" s="1"/>
    </row>
    <row r="1062" spans="1:7">
      <c r="A1062" s="10"/>
      <c r="B1062" s="105"/>
      <c r="C1062" s="176"/>
      <c r="D1062" s="1"/>
      <c r="E1062" s="177"/>
      <c r="F1062" s="1"/>
      <c r="G1062" s="1"/>
    </row>
    <row r="1063" spans="1:7">
      <c r="A1063" s="10"/>
      <c r="B1063" s="105"/>
      <c r="C1063" s="176"/>
      <c r="D1063" s="1"/>
      <c r="E1063" s="177"/>
      <c r="F1063" s="1"/>
      <c r="G1063" s="1"/>
    </row>
    <row r="1064" spans="1:7">
      <c r="A1064" s="10"/>
      <c r="B1064" s="105"/>
      <c r="C1064" s="176"/>
      <c r="D1064" s="1"/>
      <c r="E1064" s="177"/>
      <c r="F1064" s="1"/>
      <c r="G1064" s="1"/>
    </row>
    <row r="1065" spans="1:7">
      <c r="A1065" s="10"/>
      <c r="B1065" s="105"/>
      <c r="C1065" s="176"/>
      <c r="D1065" s="1"/>
      <c r="E1065" s="177"/>
      <c r="F1065" s="1"/>
      <c r="G1065" s="1"/>
    </row>
    <row r="1066" spans="1:7">
      <c r="A1066" s="10"/>
      <c r="B1066" s="105"/>
      <c r="C1066" s="176"/>
      <c r="D1066" s="1"/>
      <c r="E1066" s="177"/>
      <c r="F1066" s="1"/>
      <c r="G1066" s="1"/>
    </row>
    <row r="1067" spans="1:7">
      <c r="A1067" s="10"/>
      <c r="B1067" s="105"/>
      <c r="C1067" s="176"/>
      <c r="D1067" s="1"/>
      <c r="E1067" s="177"/>
      <c r="F1067" s="1"/>
      <c r="G1067" s="1"/>
    </row>
    <row r="1068" spans="1:7">
      <c r="A1068" s="10"/>
      <c r="B1068" s="105"/>
      <c r="C1068" s="176"/>
      <c r="D1068" s="1"/>
      <c r="E1068" s="177"/>
      <c r="F1068" s="1"/>
      <c r="G1068" s="1"/>
    </row>
    <row r="1069" spans="1:7">
      <c r="A1069" s="10"/>
      <c r="B1069" s="105"/>
      <c r="C1069" s="176"/>
      <c r="D1069" s="1"/>
      <c r="E1069" s="177"/>
      <c r="F1069" s="1"/>
      <c r="G1069" s="1"/>
    </row>
    <row r="1070" spans="1:7">
      <c r="A1070" s="10"/>
      <c r="B1070" s="105"/>
      <c r="C1070" s="176"/>
      <c r="D1070" s="1"/>
      <c r="E1070" s="177"/>
      <c r="F1070" s="1"/>
      <c r="G1070" s="1"/>
    </row>
    <row r="1071" spans="1:7">
      <c r="A1071" s="10"/>
      <c r="B1071" s="105"/>
      <c r="C1071" s="176"/>
      <c r="D1071" s="1"/>
      <c r="E1071" s="177"/>
      <c r="F1071" s="1"/>
      <c r="G1071" s="1"/>
    </row>
    <row r="1072" spans="1:7">
      <c r="A1072" s="10"/>
      <c r="B1072" s="105"/>
      <c r="C1072" s="176"/>
      <c r="D1072" s="1"/>
      <c r="E1072" s="177"/>
      <c r="F1072" s="1"/>
      <c r="G1072" s="1"/>
    </row>
    <row r="1073" spans="1:7">
      <c r="A1073" s="10"/>
      <c r="B1073" s="105"/>
      <c r="C1073" s="176"/>
      <c r="D1073" s="1"/>
      <c r="E1073" s="177"/>
      <c r="F1073" s="1"/>
      <c r="G1073" s="1"/>
    </row>
    <row r="1074" spans="1:7">
      <c r="A1074" s="10"/>
      <c r="B1074" s="105"/>
      <c r="C1074" s="176"/>
      <c r="D1074" s="1"/>
      <c r="E1074" s="177"/>
      <c r="F1074" s="1"/>
      <c r="G1074" s="1"/>
    </row>
    <row r="1075" spans="1:7">
      <c r="A1075" s="10"/>
      <c r="B1075" s="105"/>
      <c r="C1075" s="176"/>
      <c r="D1075" s="1"/>
      <c r="E1075" s="177"/>
      <c r="F1075" s="1"/>
      <c r="G1075" s="1"/>
    </row>
    <row r="1076" spans="1:7">
      <c r="A1076" s="10"/>
      <c r="B1076" s="105"/>
      <c r="C1076" s="176"/>
      <c r="D1076" s="1"/>
      <c r="E1076" s="177"/>
      <c r="F1076" s="1"/>
      <c r="G1076" s="1"/>
    </row>
    <row r="1077" spans="1:7">
      <c r="A1077" s="10"/>
      <c r="B1077" s="105"/>
      <c r="C1077" s="176"/>
      <c r="D1077" s="1"/>
      <c r="E1077" s="177"/>
      <c r="F1077" s="1"/>
      <c r="G1077" s="1"/>
    </row>
    <row r="1078" spans="1:7">
      <c r="A1078" s="10"/>
      <c r="B1078" s="105"/>
      <c r="C1078" s="176"/>
      <c r="D1078" s="1"/>
      <c r="E1078" s="177"/>
      <c r="F1078" s="1"/>
      <c r="G1078" s="1"/>
    </row>
    <row r="1079" spans="1:7">
      <c r="A1079" s="10"/>
      <c r="B1079" s="105"/>
      <c r="C1079" s="176"/>
      <c r="D1079" s="1"/>
      <c r="E1079" s="177"/>
      <c r="F1079" s="1"/>
      <c r="G1079" s="1"/>
    </row>
    <row r="1080" spans="1:7">
      <c r="A1080" s="10"/>
      <c r="B1080" s="105"/>
      <c r="C1080" s="176"/>
      <c r="D1080" s="1"/>
      <c r="E1080" s="177"/>
      <c r="F1080" s="1"/>
      <c r="G1080" s="1"/>
    </row>
    <row r="1081" spans="1:7">
      <c r="A1081" s="10"/>
      <c r="B1081" s="105"/>
      <c r="C1081" s="176"/>
      <c r="D1081" s="1"/>
      <c r="E1081" s="177"/>
      <c r="F1081" s="1"/>
      <c r="G1081" s="1"/>
    </row>
    <row r="1082" spans="1:7">
      <c r="A1082" s="10"/>
      <c r="B1082" s="105"/>
      <c r="C1082" s="176"/>
      <c r="D1082" s="1"/>
      <c r="E1082" s="177"/>
      <c r="F1082" s="1"/>
      <c r="G1082" s="1"/>
    </row>
    <row r="1083" spans="1:7">
      <c r="A1083" s="10"/>
      <c r="B1083" s="105"/>
      <c r="C1083" s="176"/>
      <c r="D1083" s="1"/>
      <c r="E1083" s="177"/>
      <c r="F1083" s="1"/>
      <c r="G1083" s="1"/>
    </row>
    <row r="1084" spans="1:7">
      <c r="A1084" s="10"/>
      <c r="B1084" s="105"/>
      <c r="C1084" s="176"/>
      <c r="D1084" s="1"/>
      <c r="E1084" s="177"/>
      <c r="F1084" s="1"/>
      <c r="G1084" s="1"/>
    </row>
    <row r="1085" spans="1:7">
      <c r="A1085" s="10"/>
      <c r="B1085" s="105"/>
      <c r="C1085" s="176"/>
      <c r="D1085" s="1"/>
      <c r="E1085" s="177"/>
      <c r="F1085" s="1"/>
      <c r="G1085" s="1"/>
    </row>
    <row r="1086" spans="1:7">
      <c r="A1086" s="10"/>
      <c r="B1086" s="105"/>
      <c r="C1086" s="176"/>
      <c r="D1086" s="1"/>
      <c r="E1086" s="177"/>
      <c r="F1086" s="1"/>
      <c r="G1086" s="1"/>
    </row>
    <row r="1087" spans="1:7">
      <c r="A1087" s="10"/>
      <c r="B1087" s="105"/>
      <c r="C1087" s="176"/>
      <c r="D1087" s="1"/>
      <c r="E1087" s="177"/>
      <c r="F1087" s="1"/>
      <c r="G1087" s="1"/>
    </row>
    <row r="1088" spans="1:7">
      <c r="A1088" s="10"/>
      <c r="B1088" s="105"/>
      <c r="C1088" s="176"/>
      <c r="D1088" s="1"/>
      <c r="E1088" s="177"/>
      <c r="F1088" s="1"/>
      <c r="G1088" s="1"/>
    </row>
    <row r="1089" spans="1:7">
      <c r="A1089" s="10"/>
      <c r="B1089" s="105"/>
      <c r="C1089" s="176"/>
      <c r="D1089" s="1"/>
      <c r="E1089" s="177"/>
      <c r="F1089" s="1"/>
      <c r="G1089" s="1"/>
    </row>
    <row r="1090" spans="1:7">
      <c r="A1090" s="10"/>
      <c r="B1090" s="105"/>
      <c r="C1090" s="176"/>
      <c r="D1090" s="1"/>
      <c r="E1090" s="177"/>
      <c r="F1090" s="1"/>
      <c r="G1090" s="1"/>
    </row>
    <row r="1091" spans="1:7">
      <c r="A1091" s="10"/>
      <c r="B1091" s="105"/>
      <c r="C1091" s="176"/>
      <c r="D1091" s="1"/>
      <c r="E1091" s="177"/>
      <c r="F1091" s="1"/>
      <c r="G1091" s="1"/>
    </row>
    <row r="1092" spans="1:7">
      <c r="A1092" s="10"/>
      <c r="B1092" s="105"/>
      <c r="C1092" s="176"/>
      <c r="D1092" s="1"/>
      <c r="E1092" s="177"/>
      <c r="F1092" s="1"/>
      <c r="G1092" s="1"/>
    </row>
    <row r="1093" spans="1:7">
      <c r="A1093" s="10"/>
      <c r="B1093" s="105"/>
      <c r="C1093" s="176"/>
      <c r="D1093" s="1"/>
      <c r="E1093" s="177"/>
      <c r="F1093" s="1"/>
      <c r="G1093" s="1"/>
    </row>
    <row r="1094" spans="1:7">
      <c r="A1094" s="10"/>
      <c r="B1094" s="105"/>
      <c r="C1094" s="176"/>
      <c r="D1094" s="1"/>
      <c r="E1094" s="177"/>
      <c r="F1094" s="1"/>
      <c r="G1094" s="1"/>
    </row>
    <row r="1095" spans="1:7">
      <c r="A1095" s="10"/>
      <c r="B1095" s="105"/>
      <c r="C1095" s="176"/>
      <c r="D1095" s="1"/>
      <c r="E1095" s="177"/>
      <c r="F1095" s="1"/>
      <c r="G1095" s="1"/>
    </row>
    <row r="1096" spans="1:7">
      <c r="A1096" s="10"/>
      <c r="B1096" s="105"/>
      <c r="C1096" s="176"/>
      <c r="D1096" s="1"/>
      <c r="E1096" s="177"/>
      <c r="F1096" s="1"/>
      <c r="G1096" s="1"/>
    </row>
    <row r="1097" spans="1:7">
      <c r="A1097" s="10"/>
      <c r="B1097" s="105"/>
      <c r="C1097" s="176"/>
      <c r="D1097" s="1"/>
      <c r="E1097" s="177"/>
      <c r="F1097" s="1"/>
      <c r="G1097" s="1"/>
    </row>
    <row r="1098" spans="1:7">
      <c r="A1098" s="10"/>
      <c r="B1098" s="105"/>
      <c r="C1098" s="176"/>
      <c r="D1098" s="1"/>
      <c r="E1098" s="177"/>
      <c r="F1098" s="1"/>
      <c r="G1098" s="1"/>
    </row>
    <row r="1099" spans="1:7">
      <c r="A1099" s="10"/>
      <c r="B1099" s="105"/>
      <c r="C1099" s="176"/>
      <c r="D1099" s="1"/>
      <c r="E1099" s="177"/>
      <c r="F1099" s="1"/>
      <c r="G1099" s="1"/>
    </row>
    <row r="1100" spans="1:7">
      <c r="A1100" s="10"/>
      <c r="B1100" s="105"/>
      <c r="C1100" s="176"/>
      <c r="D1100" s="1"/>
      <c r="E1100" s="177"/>
      <c r="F1100" s="1"/>
      <c r="G1100" s="1"/>
    </row>
    <row r="1101" spans="1:7">
      <c r="A1101" s="10"/>
      <c r="B1101" s="105"/>
      <c r="C1101" s="176"/>
      <c r="D1101" s="1"/>
      <c r="E1101" s="177"/>
      <c r="F1101" s="1"/>
      <c r="G1101" s="1"/>
    </row>
    <row r="1102" spans="1:7">
      <c r="A1102" s="10"/>
      <c r="B1102" s="105"/>
      <c r="C1102" s="176"/>
      <c r="D1102" s="1"/>
      <c r="E1102" s="177"/>
      <c r="F1102" s="1"/>
      <c r="G1102" s="1"/>
    </row>
    <row r="1103" spans="1:7">
      <c r="A1103" s="10"/>
      <c r="B1103" s="105"/>
      <c r="C1103" s="176"/>
      <c r="D1103" s="1"/>
      <c r="E1103" s="177"/>
      <c r="F1103" s="1"/>
      <c r="G1103" s="1"/>
    </row>
    <row r="1104" spans="1:7">
      <c r="A1104" s="10"/>
      <c r="B1104" s="105"/>
      <c r="C1104" s="176"/>
      <c r="D1104" s="1"/>
      <c r="E1104" s="177"/>
      <c r="F1104" s="1"/>
      <c r="G1104" s="1"/>
    </row>
    <row r="1105" spans="1:7">
      <c r="A1105" s="10"/>
      <c r="B1105" s="105"/>
      <c r="C1105" s="176"/>
      <c r="D1105" s="1"/>
      <c r="E1105" s="177"/>
      <c r="F1105" s="1"/>
      <c r="G1105" s="1"/>
    </row>
    <row r="1106" spans="1:7">
      <c r="A1106" s="10"/>
      <c r="B1106" s="105"/>
      <c r="C1106" s="176"/>
      <c r="D1106" s="1"/>
      <c r="E1106" s="177"/>
      <c r="F1106" s="1"/>
      <c r="G1106" s="1"/>
    </row>
    <row r="1107" spans="1:7">
      <c r="A1107" s="10"/>
      <c r="B1107" s="105"/>
      <c r="C1107" s="176"/>
      <c r="D1107" s="1"/>
      <c r="E1107" s="177"/>
      <c r="F1107" s="1"/>
      <c r="G1107" s="1"/>
    </row>
    <row r="1108" spans="1:7">
      <c r="A1108" s="10"/>
      <c r="B1108" s="105"/>
      <c r="C1108" s="176"/>
      <c r="D1108" s="1"/>
      <c r="E1108" s="177"/>
      <c r="F1108" s="1"/>
      <c r="G1108" s="1"/>
    </row>
    <row r="1109" spans="1:7">
      <c r="A1109" s="10"/>
      <c r="B1109" s="105"/>
      <c r="C1109" s="176"/>
      <c r="D1109" s="1"/>
      <c r="E1109" s="177"/>
      <c r="F1109" s="1"/>
      <c r="G1109" s="1"/>
    </row>
    <row r="1110" spans="1:7">
      <c r="A1110" s="10"/>
      <c r="B1110" s="105"/>
      <c r="C1110" s="176"/>
      <c r="D1110" s="1"/>
      <c r="E1110" s="177"/>
      <c r="F1110" s="1"/>
      <c r="G1110" s="1"/>
    </row>
    <row r="1111" spans="1:7">
      <c r="A1111" s="10"/>
      <c r="B1111" s="105"/>
      <c r="C1111" s="176"/>
      <c r="D1111" s="1"/>
      <c r="E1111" s="177"/>
      <c r="F1111" s="1"/>
      <c r="G1111" s="1"/>
    </row>
    <row r="1112" spans="1:7">
      <c r="A1112" s="10"/>
      <c r="B1112" s="105"/>
      <c r="C1112" s="176"/>
      <c r="D1112" s="1"/>
      <c r="E1112" s="177"/>
      <c r="F1112" s="1"/>
      <c r="G1112" s="1"/>
    </row>
    <row r="1113" spans="1:7">
      <c r="A1113" s="10"/>
      <c r="B1113" s="105"/>
      <c r="C1113" s="176"/>
      <c r="D1113" s="1"/>
      <c r="E1113" s="177"/>
      <c r="F1113" s="1"/>
      <c r="G1113" s="1"/>
    </row>
    <row r="1114" spans="1:7">
      <c r="A1114" s="10"/>
      <c r="B1114" s="105"/>
      <c r="C1114" s="176"/>
      <c r="D1114" s="1"/>
      <c r="E1114" s="177"/>
      <c r="F1114" s="1"/>
      <c r="G1114" s="1"/>
    </row>
    <row r="1115" spans="1:7">
      <c r="A1115" s="10"/>
      <c r="B1115" s="105"/>
      <c r="C1115" s="176"/>
      <c r="D1115" s="1"/>
      <c r="E1115" s="177"/>
      <c r="F1115" s="1"/>
      <c r="G1115" s="1"/>
    </row>
    <row r="1116" spans="1:7">
      <c r="A1116" s="10"/>
      <c r="B1116" s="105"/>
      <c r="C1116" s="176"/>
      <c r="D1116" s="1"/>
      <c r="E1116" s="177"/>
      <c r="F1116" s="1"/>
      <c r="G1116" s="1"/>
    </row>
    <row r="1117" spans="1:7">
      <c r="A1117" s="10"/>
      <c r="B1117" s="105"/>
      <c r="C1117" s="176"/>
      <c r="D1117" s="1"/>
      <c r="E1117" s="177"/>
      <c r="F1117" s="1"/>
      <c r="G1117" s="1"/>
    </row>
    <row r="1118" spans="1:7">
      <c r="A1118" s="10"/>
      <c r="B1118" s="105"/>
      <c r="C1118" s="176"/>
      <c r="D1118" s="1"/>
      <c r="E1118" s="177"/>
      <c r="F1118" s="1"/>
      <c r="G1118" s="1"/>
    </row>
    <row r="1119" spans="1:7">
      <c r="A1119" s="10"/>
      <c r="B1119" s="105"/>
      <c r="C1119" s="176"/>
      <c r="D1119" s="1"/>
      <c r="E1119" s="177"/>
      <c r="F1119" s="1"/>
      <c r="G1119" s="1"/>
    </row>
    <row r="1120" spans="1:7">
      <c r="A1120" s="10"/>
      <c r="B1120" s="105"/>
      <c r="C1120" s="176"/>
      <c r="D1120" s="1"/>
      <c r="E1120" s="177"/>
      <c r="F1120" s="1"/>
      <c r="G1120" s="1"/>
    </row>
    <row r="1121" spans="1:7">
      <c r="A1121" s="10"/>
      <c r="B1121" s="105"/>
      <c r="C1121" s="176"/>
      <c r="D1121" s="1"/>
      <c r="E1121" s="177"/>
      <c r="F1121" s="1"/>
      <c r="G1121" s="1"/>
    </row>
    <row r="1122" spans="1:7">
      <c r="A1122" s="10"/>
      <c r="B1122" s="105"/>
      <c r="C1122" s="176"/>
      <c r="D1122" s="1"/>
      <c r="E1122" s="177"/>
      <c r="F1122" s="1"/>
      <c r="G1122" s="1"/>
    </row>
    <row r="1123" spans="1:7">
      <c r="A1123" s="10"/>
      <c r="B1123" s="105"/>
      <c r="C1123" s="176"/>
      <c r="D1123" s="1"/>
      <c r="E1123" s="177"/>
      <c r="F1123" s="1"/>
      <c r="G1123" s="1"/>
    </row>
    <row r="1124" spans="1:7">
      <c r="A1124" s="10"/>
      <c r="B1124" s="105"/>
      <c r="C1124" s="176"/>
      <c r="D1124" s="1"/>
      <c r="E1124" s="177"/>
      <c r="F1124" s="1"/>
      <c r="G1124" s="1"/>
    </row>
    <row r="1125" spans="1:7">
      <c r="A1125" s="10"/>
      <c r="B1125" s="105"/>
      <c r="C1125" s="176"/>
      <c r="D1125" s="1"/>
      <c r="E1125" s="177"/>
      <c r="F1125" s="1"/>
      <c r="G1125" s="1"/>
    </row>
    <row r="1126" spans="1:7">
      <c r="A1126" s="10"/>
      <c r="B1126" s="105"/>
      <c r="C1126" s="176"/>
      <c r="D1126" s="1"/>
      <c r="E1126" s="177"/>
      <c r="F1126" s="1"/>
      <c r="G1126" s="1"/>
    </row>
    <row r="1127" spans="1:7">
      <c r="A1127" s="10"/>
      <c r="B1127" s="105"/>
      <c r="C1127" s="176"/>
      <c r="D1127" s="1"/>
      <c r="E1127" s="177"/>
      <c r="F1127" s="1"/>
      <c r="G1127" s="1"/>
    </row>
    <row r="1128" spans="1:7">
      <c r="A1128" s="10"/>
      <c r="B1128" s="105"/>
      <c r="C1128" s="176"/>
      <c r="D1128" s="1"/>
      <c r="E1128" s="177"/>
      <c r="F1128" s="1"/>
      <c r="G1128" s="1"/>
    </row>
    <row r="1129" spans="1:7">
      <c r="A1129" s="10"/>
      <c r="B1129" s="105"/>
      <c r="C1129" s="176"/>
      <c r="D1129" s="1"/>
      <c r="E1129" s="177"/>
      <c r="F1129" s="1"/>
      <c r="G1129" s="1"/>
    </row>
    <row r="1130" spans="1:7">
      <c r="A1130" s="10"/>
      <c r="B1130" s="105"/>
      <c r="C1130" s="176"/>
      <c r="D1130" s="1"/>
      <c r="E1130" s="177"/>
      <c r="F1130" s="1"/>
      <c r="G1130" s="1"/>
    </row>
    <row r="1131" spans="1:7">
      <c r="A1131" s="10"/>
      <c r="B1131" s="105"/>
      <c r="C1131" s="176"/>
      <c r="D1131" s="1"/>
      <c r="E1131" s="177"/>
      <c r="F1131" s="1"/>
      <c r="G1131" s="1"/>
    </row>
    <row r="1132" spans="1:7">
      <c r="A1132" s="10"/>
      <c r="B1132" s="105"/>
      <c r="C1132" s="176"/>
      <c r="D1132" s="1"/>
      <c r="E1132" s="177"/>
      <c r="F1132" s="1"/>
      <c r="G1132" s="1"/>
    </row>
    <row r="1133" spans="1:7">
      <c r="A1133" s="10"/>
      <c r="B1133" s="105"/>
      <c r="C1133" s="176"/>
      <c r="D1133" s="1"/>
      <c r="E1133" s="177"/>
      <c r="F1133" s="1"/>
      <c r="G1133" s="1"/>
    </row>
    <row r="1134" spans="1:7">
      <c r="A1134" s="10"/>
      <c r="B1134" s="105"/>
      <c r="C1134" s="176"/>
      <c r="D1134" s="1"/>
      <c r="E1134" s="177"/>
      <c r="F1134" s="1"/>
      <c r="G1134" s="1"/>
    </row>
    <row r="1135" spans="1:7">
      <c r="A1135" s="10"/>
      <c r="B1135" s="105"/>
      <c r="C1135" s="176"/>
      <c r="D1135" s="1"/>
      <c r="E1135" s="177"/>
      <c r="F1135" s="1"/>
      <c r="G1135" s="1"/>
    </row>
    <row r="1136" spans="1:7">
      <c r="A1136" s="10"/>
      <c r="B1136" s="105"/>
      <c r="C1136" s="176"/>
      <c r="D1136" s="1"/>
      <c r="E1136" s="177"/>
      <c r="F1136" s="1"/>
      <c r="G1136" s="1"/>
    </row>
    <row r="1137" spans="1:7">
      <c r="A1137" s="10"/>
      <c r="B1137" s="105"/>
      <c r="C1137" s="176"/>
      <c r="D1137" s="1"/>
      <c r="E1137" s="177"/>
      <c r="F1137" s="1"/>
      <c r="G1137" s="1"/>
    </row>
    <row r="1138" spans="1:7">
      <c r="A1138" s="10"/>
      <c r="B1138" s="105"/>
      <c r="C1138" s="176"/>
      <c r="D1138" s="1"/>
      <c r="E1138" s="177"/>
      <c r="F1138" s="1"/>
      <c r="G1138" s="1"/>
    </row>
    <row r="1139" spans="1:7">
      <c r="A1139" s="10"/>
      <c r="B1139" s="105"/>
      <c r="C1139" s="176"/>
      <c r="D1139" s="1"/>
      <c r="E1139" s="177"/>
      <c r="F1139" s="1"/>
      <c r="G1139" s="1"/>
    </row>
    <row r="1140" spans="1:7">
      <c r="A1140" s="10"/>
      <c r="B1140" s="105"/>
      <c r="C1140" s="176"/>
      <c r="D1140" s="1"/>
      <c r="E1140" s="177"/>
      <c r="F1140" s="1"/>
      <c r="G1140" s="1"/>
    </row>
    <row r="1141" spans="1:7">
      <c r="A1141" s="10"/>
      <c r="B1141" s="105"/>
      <c r="C1141" s="176"/>
      <c r="D1141" s="1"/>
      <c r="E1141" s="177"/>
      <c r="F1141" s="1"/>
      <c r="G1141" s="1"/>
    </row>
    <row r="1142" spans="1:7">
      <c r="A1142" s="10"/>
      <c r="B1142" s="105"/>
      <c r="C1142" s="176"/>
      <c r="D1142" s="1"/>
      <c r="E1142" s="177"/>
      <c r="F1142" s="1"/>
      <c r="G1142" s="1"/>
    </row>
    <row r="1143" spans="1:7">
      <c r="A1143" s="10"/>
      <c r="B1143" s="105"/>
      <c r="C1143" s="176"/>
      <c r="D1143" s="1"/>
      <c r="E1143" s="177"/>
      <c r="F1143" s="1"/>
      <c r="G1143" s="1"/>
    </row>
    <row r="1144" spans="1:7">
      <c r="A1144" s="10"/>
      <c r="B1144" s="105"/>
      <c r="C1144" s="176"/>
      <c r="D1144" s="1"/>
      <c r="E1144" s="177"/>
      <c r="F1144" s="1"/>
      <c r="G1144" s="1"/>
    </row>
    <row r="1145" spans="1:7">
      <c r="A1145" s="10"/>
      <c r="B1145" s="105"/>
      <c r="C1145" s="176"/>
      <c r="D1145" s="1"/>
      <c r="E1145" s="177"/>
      <c r="F1145" s="1"/>
      <c r="G1145" s="1"/>
    </row>
    <row r="1146" spans="1:7">
      <c r="A1146" s="10"/>
      <c r="B1146" s="105"/>
      <c r="C1146" s="176"/>
      <c r="D1146" s="1"/>
      <c r="E1146" s="177"/>
      <c r="F1146" s="1"/>
      <c r="G1146" s="1"/>
    </row>
    <row r="1147" spans="1:7">
      <c r="A1147" s="10"/>
      <c r="B1147" s="105"/>
      <c r="C1147" s="176"/>
      <c r="D1147" s="1"/>
      <c r="E1147" s="177"/>
      <c r="F1147" s="1"/>
      <c r="G1147" s="1"/>
    </row>
    <row r="1148" spans="1:7">
      <c r="A1148" s="10"/>
      <c r="B1148" s="105"/>
      <c r="C1148" s="176"/>
      <c r="D1148" s="1"/>
      <c r="E1148" s="177"/>
      <c r="F1148" s="1"/>
      <c r="G1148" s="1"/>
    </row>
    <row r="1149" spans="1:7">
      <c r="A1149" s="10"/>
      <c r="B1149" s="105"/>
      <c r="C1149" s="176"/>
      <c r="D1149" s="1"/>
      <c r="E1149" s="177"/>
      <c r="F1149" s="1"/>
      <c r="G1149" s="1"/>
    </row>
    <row r="1150" spans="1:7">
      <c r="A1150" s="10"/>
      <c r="B1150" s="105"/>
      <c r="C1150" s="176"/>
      <c r="D1150" s="1"/>
      <c r="E1150" s="177"/>
      <c r="F1150" s="1"/>
      <c r="G1150" s="1"/>
    </row>
    <row r="1151" spans="1:7">
      <c r="A1151" s="10"/>
      <c r="B1151" s="105"/>
      <c r="C1151" s="176"/>
      <c r="D1151" s="1"/>
      <c r="E1151" s="177"/>
      <c r="F1151" s="1"/>
      <c r="G1151" s="1"/>
    </row>
    <row r="1152" spans="1:7">
      <c r="A1152" s="10"/>
      <c r="B1152" s="105"/>
      <c r="C1152" s="176"/>
      <c r="D1152" s="1"/>
      <c r="E1152" s="177"/>
      <c r="F1152" s="1"/>
      <c r="G1152" s="1"/>
    </row>
    <row r="1153" spans="1:7">
      <c r="A1153" s="10"/>
      <c r="B1153" s="105"/>
      <c r="C1153" s="176"/>
      <c r="D1153" s="1"/>
      <c r="E1153" s="177"/>
      <c r="F1153" s="1"/>
      <c r="G1153" s="1"/>
    </row>
    <row r="1154" spans="1:7">
      <c r="A1154" s="10"/>
      <c r="B1154" s="105"/>
      <c r="C1154" s="176"/>
      <c r="D1154" s="1"/>
      <c r="E1154" s="177"/>
      <c r="F1154" s="1"/>
      <c r="G1154" s="1"/>
    </row>
    <row r="1155" spans="1:7">
      <c r="A1155" s="10"/>
      <c r="B1155" s="105"/>
      <c r="C1155" s="176"/>
      <c r="D1155" s="1"/>
      <c r="E1155" s="177"/>
      <c r="F1155" s="1"/>
      <c r="G1155" s="1"/>
    </row>
    <row r="1156" spans="1:7">
      <c r="A1156" s="10"/>
      <c r="B1156" s="105"/>
      <c r="C1156" s="176"/>
      <c r="D1156" s="1"/>
      <c r="E1156" s="177"/>
      <c r="F1156" s="1"/>
      <c r="G1156" s="1"/>
    </row>
    <row r="1157" spans="1:7">
      <c r="A1157" s="10"/>
      <c r="B1157" s="105"/>
      <c r="C1157" s="176"/>
      <c r="D1157" s="1"/>
      <c r="E1157" s="177"/>
      <c r="F1157" s="1"/>
      <c r="G1157" s="1"/>
    </row>
    <row r="1158" spans="1:7">
      <c r="A1158" s="10"/>
      <c r="B1158" s="105"/>
      <c r="C1158" s="176"/>
      <c r="D1158" s="1"/>
      <c r="E1158" s="177"/>
      <c r="F1158" s="1"/>
      <c r="G1158" s="1"/>
    </row>
    <row r="1159" spans="1:7">
      <c r="A1159" s="10"/>
      <c r="B1159" s="105"/>
      <c r="C1159" s="176"/>
      <c r="D1159" s="1"/>
      <c r="E1159" s="177"/>
      <c r="F1159" s="1"/>
      <c r="G1159" s="1"/>
    </row>
    <row r="1160" spans="1:7">
      <c r="A1160" s="10"/>
      <c r="B1160" s="105"/>
      <c r="C1160" s="176"/>
      <c r="D1160" s="1"/>
      <c r="E1160" s="177"/>
      <c r="F1160" s="1"/>
      <c r="G1160" s="1"/>
    </row>
    <row r="1161" spans="1:7">
      <c r="A1161" s="10"/>
      <c r="B1161" s="105"/>
      <c r="C1161" s="176"/>
      <c r="D1161" s="1"/>
      <c r="E1161" s="177"/>
      <c r="F1161" s="1"/>
      <c r="G1161" s="1"/>
    </row>
    <row r="1162" spans="1:7">
      <c r="A1162" s="10"/>
      <c r="B1162" s="105"/>
      <c r="C1162" s="176"/>
      <c r="D1162" s="1"/>
      <c r="E1162" s="177"/>
      <c r="F1162" s="1"/>
      <c r="G1162" s="1"/>
    </row>
    <row r="1163" spans="1:7">
      <c r="A1163" s="10"/>
      <c r="B1163" s="105"/>
      <c r="C1163" s="176"/>
      <c r="D1163" s="1"/>
      <c r="E1163" s="177"/>
      <c r="F1163" s="1"/>
      <c r="G1163" s="1"/>
    </row>
    <row r="1164" spans="1:7">
      <c r="A1164" s="10"/>
      <c r="B1164" s="105"/>
      <c r="C1164" s="176"/>
      <c r="D1164" s="1"/>
      <c r="E1164" s="177"/>
      <c r="F1164" s="1"/>
      <c r="G1164" s="1"/>
    </row>
    <row r="1165" spans="1:7">
      <c r="A1165" s="10"/>
      <c r="B1165" s="105"/>
      <c r="C1165" s="176"/>
      <c r="D1165" s="1"/>
      <c r="E1165" s="177"/>
      <c r="F1165" s="1"/>
      <c r="G1165" s="1"/>
    </row>
    <row r="1166" spans="1:7">
      <c r="A1166" s="10"/>
      <c r="B1166" s="105"/>
      <c r="C1166" s="176"/>
      <c r="D1166" s="1"/>
      <c r="E1166" s="177"/>
      <c r="F1166" s="1"/>
      <c r="G1166" s="1"/>
    </row>
    <row r="1167" spans="1:7">
      <c r="A1167" s="10"/>
      <c r="B1167" s="105"/>
      <c r="C1167" s="176"/>
      <c r="D1167" s="1"/>
      <c r="E1167" s="177"/>
      <c r="F1167" s="1"/>
      <c r="G1167" s="1"/>
    </row>
    <row r="1168" spans="1:7">
      <c r="A1168" s="10"/>
      <c r="B1168" s="105"/>
      <c r="C1168" s="176"/>
      <c r="D1168" s="1"/>
      <c r="E1168" s="177"/>
      <c r="F1168" s="1"/>
      <c r="G1168" s="1"/>
    </row>
    <row r="1169" spans="1:7">
      <c r="A1169" s="10"/>
      <c r="B1169" s="105"/>
      <c r="C1169" s="176"/>
      <c r="D1169" s="1"/>
      <c r="E1169" s="177"/>
      <c r="F1169" s="1"/>
      <c r="G1169" s="1"/>
    </row>
    <row r="1170" spans="1:7">
      <c r="A1170" s="10"/>
      <c r="B1170" s="105"/>
      <c r="C1170" s="176"/>
      <c r="D1170" s="1"/>
      <c r="E1170" s="177"/>
      <c r="F1170" s="1"/>
      <c r="G1170" s="1"/>
    </row>
    <row r="1171" spans="1:7">
      <c r="A1171" s="10"/>
      <c r="B1171" s="105"/>
      <c r="C1171" s="176"/>
      <c r="D1171" s="1"/>
      <c r="E1171" s="177"/>
      <c r="F1171" s="1"/>
      <c r="G1171" s="1"/>
    </row>
    <row r="1172" spans="1:7">
      <c r="A1172" s="10"/>
      <c r="B1172" s="105"/>
      <c r="C1172" s="176"/>
      <c r="D1172" s="1"/>
      <c r="E1172" s="177"/>
      <c r="F1172" s="1"/>
      <c r="G1172" s="1"/>
    </row>
    <row r="1173" spans="1:7">
      <c r="A1173" s="10"/>
      <c r="B1173" s="105"/>
      <c r="C1173" s="176"/>
      <c r="D1173" s="1"/>
      <c r="E1173" s="177"/>
      <c r="F1173" s="1"/>
      <c r="G1173" s="1"/>
    </row>
    <row r="1174" spans="1:7">
      <c r="A1174" s="10"/>
      <c r="B1174" s="105"/>
      <c r="C1174" s="176"/>
      <c r="D1174" s="1"/>
      <c r="E1174" s="177"/>
      <c r="F1174" s="1"/>
      <c r="G1174" s="1"/>
    </row>
    <row r="1175" spans="1:7">
      <c r="A1175" s="10"/>
      <c r="B1175" s="105"/>
      <c r="C1175" s="176"/>
      <c r="D1175" s="1"/>
      <c r="E1175" s="177"/>
      <c r="F1175" s="1"/>
      <c r="G1175" s="1"/>
    </row>
    <row r="1176" spans="1:7">
      <c r="A1176" s="10"/>
      <c r="B1176" s="105"/>
      <c r="C1176" s="176"/>
      <c r="D1176" s="1"/>
      <c r="E1176" s="177"/>
      <c r="F1176" s="1"/>
      <c r="G1176" s="1"/>
    </row>
    <row r="1177" spans="1:7">
      <c r="A1177" s="10"/>
      <c r="B1177" s="105"/>
      <c r="C1177" s="176"/>
      <c r="D1177" s="1"/>
      <c r="E1177" s="177"/>
      <c r="F1177" s="1"/>
      <c r="G1177" s="1"/>
    </row>
    <row r="1178" spans="1:7">
      <c r="A1178" s="10"/>
      <c r="B1178" s="105"/>
      <c r="C1178" s="176"/>
      <c r="D1178" s="1"/>
      <c r="E1178" s="177"/>
      <c r="F1178" s="1"/>
      <c r="G1178" s="1"/>
    </row>
    <row r="1179" spans="1:7">
      <c r="A1179" s="10"/>
      <c r="B1179" s="105"/>
      <c r="C1179" s="176"/>
      <c r="D1179" s="1"/>
      <c r="E1179" s="177"/>
      <c r="F1179" s="1"/>
      <c r="G1179" s="1"/>
    </row>
    <row r="1180" spans="1:7">
      <c r="A1180" s="10"/>
      <c r="B1180" s="105"/>
      <c r="C1180" s="176"/>
      <c r="D1180" s="1"/>
      <c r="E1180" s="177"/>
      <c r="F1180" s="1"/>
      <c r="G1180" s="1"/>
    </row>
    <row r="1181" spans="1:7">
      <c r="A1181" s="10"/>
      <c r="B1181" s="105"/>
      <c r="C1181" s="176"/>
      <c r="D1181" s="1"/>
      <c r="E1181" s="177"/>
      <c r="F1181" s="1"/>
      <c r="G1181" s="1"/>
    </row>
    <row r="1182" spans="1:7">
      <c r="A1182" s="10"/>
      <c r="B1182" s="105"/>
      <c r="C1182" s="176"/>
      <c r="D1182" s="1"/>
      <c r="E1182" s="177"/>
      <c r="F1182" s="1"/>
      <c r="G1182" s="1"/>
    </row>
    <row r="1183" spans="1:7">
      <c r="A1183" s="10"/>
      <c r="B1183" s="105"/>
      <c r="C1183" s="176"/>
      <c r="D1183" s="1"/>
      <c r="E1183" s="177"/>
      <c r="F1183" s="1"/>
      <c r="G1183" s="1"/>
    </row>
    <row r="1184" spans="1:7">
      <c r="A1184" s="10"/>
      <c r="B1184" s="105"/>
      <c r="C1184" s="176"/>
      <c r="D1184" s="1"/>
      <c r="E1184" s="177"/>
      <c r="F1184" s="1"/>
      <c r="G1184" s="1"/>
    </row>
    <row r="1185" spans="1:7">
      <c r="A1185" s="10"/>
      <c r="B1185" s="105"/>
      <c r="C1185" s="176"/>
      <c r="D1185" s="1"/>
      <c r="E1185" s="177"/>
      <c r="F1185" s="1"/>
      <c r="G1185" s="1"/>
    </row>
    <row r="1186" spans="1:7">
      <c r="A1186" s="10"/>
      <c r="B1186" s="105"/>
      <c r="C1186" s="176"/>
      <c r="D1186" s="1"/>
      <c r="E1186" s="177"/>
      <c r="F1186" s="1"/>
      <c r="G1186" s="1"/>
    </row>
    <row r="1187" spans="1:7">
      <c r="A1187" s="10"/>
      <c r="B1187" s="105"/>
      <c r="C1187" s="176"/>
      <c r="D1187" s="1"/>
      <c r="E1187" s="177"/>
      <c r="F1187" s="1"/>
      <c r="G1187" s="1"/>
    </row>
    <row r="1188" spans="1:7">
      <c r="A1188" s="10"/>
      <c r="B1188" s="105"/>
      <c r="C1188" s="176"/>
      <c r="D1188" s="1"/>
      <c r="E1188" s="177"/>
      <c r="F1188" s="1"/>
      <c r="G1188" s="1"/>
    </row>
    <row r="1189" spans="1:7">
      <c r="A1189" s="10"/>
      <c r="B1189" s="105"/>
      <c r="C1189" s="176"/>
      <c r="D1189" s="1"/>
      <c r="E1189" s="177"/>
      <c r="F1189" s="1"/>
      <c r="G1189" s="1"/>
    </row>
    <row r="1190" spans="1:7">
      <c r="A1190" s="10"/>
      <c r="B1190" s="105"/>
      <c r="C1190" s="176"/>
      <c r="D1190" s="1"/>
      <c r="E1190" s="177"/>
      <c r="F1190" s="1"/>
      <c r="G1190" s="1"/>
    </row>
    <row r="1191" spans="1:7">
      <c r="A1191" s="10"/>
      <c r="B1191" s="105"/>
      <c r="C1191" s="176"/>
      <c r="D1191" s="1"/>
      <c r="E1191" s="177"/>
      <c r="F1191" s="1"/>
      <c r="G1191" s="1"/>
    </row>
    <row r="1192" spans="1:7">
      <c r="A1192" s="10"/>
      <c r="B1192" s="105"/>
      <c r="C1192" s="176"/>
      <c r="D1192" s="1"/>
      <c r="E1192" s="177"/>
      <c r="F1192" s="1"/>
      <c r="G1192" s="1"/>
    </row>
    <row r="1193" spans="1:7">
      <c r="A1193" s="10"/>
      <c r="B1193" s="105"/>
      <c r="C1193" s="176"/>
      <c r="D1193" s="1"/>
      <c r="E1193" s="177"/>
      <c r="F1193" s="1"/>
      <c r="G1193" s="1"/>
    </row>
    <row r="1194" spans="1:7">
      <c r="A1194" s="10"/>
      <c r="B1194" s="105"/>
      <c r="C1194" s="176"/>
      <c r="D1194" s="1"/>
      <c r="E1194" s="177"/>
      <c r="F1194" s="1"/>
      <c r="G1194" s="1"/>
    </row>
    <row r="1195" spans="1:7">
      <c r="A1195" s="10"/>
      <c r="B1195" s="105"/>
      <c r="C1195" s="176"/>
      <c r="D1195" s="1"/>
      <c r="E1195" s="177"/>
      <c r="F1195" s="1"/>
      <c r="G1195" s="1"/>
    </row>
    <row r="1196" spans="1:7">
      <c r="A1196" s="10"/>
      <c r="B1196" s="105"/>
      <c r="C1196" s="176"/>
      <c r="D1196" s="1"/>
      <c r="E1196" s="177"/>
      <c r="F1196" s="1"/>
      <c r="G1196" s="1"/>
    </row>
    <row r="1197" spans="1:7">
      <c r="A1197" s="10"/>
      <c r="B1197" s="105"/>
      <c r="C1197" s="176"/>
      <c r="D1197" s="1"/>
      <c r="E1197" s="177"/>
      <c r="F1197" s="1"/>
      <c r="G1197" s="1"/>
    </row>
    <row r="1198" spans="1:7">
      <c r="A1198" s="10"/>
      <c r="B1198" s="105"/>
      <c r="C1198" s="176"/>
      <c r="D1198" s="1"/>
      <c r="E1198" s="177"/>
      <c r="F1198" s="1"/>
      <c r="G1198" s="1"/>
    </row>
    <row r="1199" spans="1:7">
      <c r="A1199" s="10"/>
      <c r="B1199" s="105"/>
      <c r="C1199" s="176"/>
      <c r="D1199" s="1"/>
      <c r="E1199" s="177"/>
      <c r="F1199" s="1"/>
      <c r="G1199" s="1"/>
    </row>
    <row r="1200" spans="1:7">
      <c r="A1200" s="10"/>
      <c r="B1200" s="105"/>
      <c r="C1200" s="176"/>
      <c r="D1200" s="1"/>
      <c r="E1200" s="177"/>
      <c r="F1200" s="1"/>
      <c r="G1200" s="1"/>
    </row>
    <row r="1201" spans="1:7">
      <c r="A1201" s="10"/>
      <c r="B1201" s="105"/>
      <c r="C1201" s="176"/>
      <c r="D1201" s="1"/>
      <c r="E1201" s="177"/>
      <c r="F1201" s="1"/>
      <c r="G1201" s="1"/>
    </row>
    <row r="1202" spans="1:7">
      <c r="A1202" s="10"/>
      <c r="B1202" s="105"/>
      <c r="C1202" s="176"/>
      <c r="D1202" s="1"/>
      <c r="E1202" s="177"/>
      <c r="F1202" s="1"/>
      <c r="G1202" s="1"/>
    </row>
    <row r="1203" spans="1:7">
      <c r="A1203" s="10"/>
      <c r="B1203" s="105"/>
      <c r="C1203" s="176"/>
      <c r="D1203" s="1"/>
      <c r="E1203" s="177"/>
      <c r="F1203" s="1"/>
      <c r="G1203" s="1"/>
    </row>
    <row r="1204" spans="1:7">
      <c r="A1204" s="10"/>
      <c r="B1204" s="105"/>
      <c r="C1204" s="176"/>
      <c r="D1204" s="1"/>
      <c r="E1204" s="177"/>
      <c r="F1204" s="1"/>
      <c r="G1204" s="1"/>
    </row>
    <row r="1205" spans="1:7">
      <c r="A1205" s="10"/>
      <c r="B1205" s="105"/>
      <c r="C1205" s="176"/>
      <c r="D1205" s="1"/>
      <c r="E1205" s="177"/>
      <c r="F1205" s="1"/>
      <c r="G1205" s="1"/>
    </row>
    <row r="1206" spans="1:7">
      <c r="A1206" s="10"/>
      <c r="B1206" s="105"/>
      <c r="C1206" s="176"/>
      <c r="D1206" s="1"/>
      <c r="E1206" s="177"/>
      <c r="F1206" s="1"/>
      <c r="G1206" s="1"/>
    </row>
    <row r="1207" spans="1:7">
      <c r="A1207" s="10"/>
      <c r="B1207" s="105"/>
      <c r="C1207" s="176"/>
      <c r="D1207" s="1"/>
      <c r="E1207" s="177"/>
      <c r="F1207" s="1"/>
      <c r="G1207" s="1"/>
    </row>
    <row r="1208" spans="1:7">
      <c r="A1208" s="10"/>
      <c r="B1208" s="105"/>
      <c r="C1208" s="176"/>
      <c r="D1208" s="1"/>
      <c r="E1208" s="177"/>
      <c r="F1208" s="1"/>
      <c r="G1208" s="1"/>
    </row>
    <row r="1209" spans="1:7">
      <c r="A1209" s="10"/>
      <c r="B1209" s="105"/>
      <c r="C1209" s="176"/>
      <c r="D1209" s="1"/>
      <c r="E1209" s="177"/>
      <c r="F1209" s="1"/>
      <c r="G1209" s="1"/>
    </row>
    <row r="1210" spans="1:7">
      <c r="A1210" s="10"/>
      <c r="B1210" s="105"/>
      <c r="C1210" s="176"/>
      <c r="D1210" s="1"/>
      <c r="E1210" s="177"/>
      <c r="F1210" s="1"/>
      <c r="G1210" s="1"/>
    </row>
    <row r="1211" spans="1:7">
      <c r="A1211" s="10"/>
      <c r="B1211" s="105"/>
      <c r="C1211" s="176"/>
      <c r="D1211" s="1"/>
      <c r="E1211" s="177"/>
      <c r="F1211" s="1"/>
      <c r="G1211" s="1"/>
    </row>
    <row r="1212" spans="1:7">
      <c r="A1212" s="10"/>
      <c r="B1212" s="105"/>
      <c r="C1212" s="176"/>
      <c r="D1212" s="1"/>
      <c r="E1212" s="177"/>
      <c r="F1212" s="1"/>
      <c r="G1212" s="1"/>
    </row>
    <row r="1213" spans="1:7">
      <c r="A1213" s="10"/>
      <c r="B1213" s="105"/>
      <c r="C1213" s="176"/>
      <c r="D1213" s="1"/>
      <c r="E1213" s="177"/>
      <c r="F1213" s="1"/>
      <c r="G1213" s="1"/>
    </row>
    <row r="1214" spans="1:7">
      <c r="A1214" s="10"/>
      <c r="B1214" s="105"/>
      <c r="C1214" s="176"/>
      <c r="D1214" s="1"/>
      <c r="E1214" s="177"/>
      <c r="F1214" s="1"/>
      <c r="G1214" s="1"/>
    </row>
    <row r="1215" spans="1:7">
      <c r="A1215" s="10"/>
      <c r="B1215" s="105"/>
      <c r="C1215" s="176"/>
      <c r="D1215" s="1"/>
      <c r="E1215" s="177"/>
      <c r="F1215" s="1"/>
      <c r="G1215" s="1"/>
    </row>
    <row r="1216" spans="1:7">
      <c r="A1216" s="10"/>
      <c r="B1216" s="105"/>
      <c r="C1216" s="176"/>
      <c r="D1216" s="1"/>
      <c r="E1216" s="177"/>
      <c r="F1216" s="1"/>
      <c r="G1216" s="1"/>
    </row>
    <row r="1217" spans="1:7">
      <c r="A1217" s="10"/>
      <c r="B1217" s="105"/>
      <c r="C1217" s="176"/>
      <c r="D1217" s="1"/>
      <c r="E1217" s="177"/>
      <c r="F1217" s="1"/>
      <c r="G1217" s="1"/>
    </row>
    <row r="1218" spans="1:7">
      <c r="A1218" s="10"/>
      <c r="B1218" s="105"/>
      <c r="C1218" s="176"/>
      <c r="D1218" s="1"/>
      <c r="E1218" s="177"/>
      <c r="F1218" s="1"/>
      <c r="G1218" s="1"/>
    </row>
    <row r="1219" spans="1:7">
      <c r="A1219" s="10"/>
      <c r="B1219" s="105"/>
      <c r="C1219" s="176"/>
      <c r="D1219" s="1"/>
      <c r="E1219" s="177"/>
      <c r="F1219" s="1"/>
      <c r="G1219" s="1"/>
    </row>
    <row r="1220" spans="1:7">
      <c r="A1220" s="10"/>
      <c r="B1220" s="105"/>
      <c r="C1220" s="176"/>
      <c r="D1220" s="1"/>
      <c r="E1220" s="177"/>
      <c r="F1220" s="1"/>
      <c r="G1220" s="1"/>
    </row>
    <row r="1221" spans="1:7">
      <c r="A1221" s="10"/>
      <c r="B1221" s="105"/>
      <c r="C1221" s="176"/>
      <c r="D1221" s="1"/>
      <c r="E1221" s="177"/>
      <c r="F1221" s="1"/>
      <c r="G1221" s="1"/>
    </row>
    <row r="1222" spans="1:7">
      <c r="A1222" s="10"/>
      <c r="B1222" s="105"/>
      <c r="C1222" s="176"/>
      <c r="D1222" s="1"/>
      <c r="E1222" s="177"/>
      <c r="F1222" s="1"/>
      <c r="G1222" s="1"/>
    </row>
    <row r="1223" spans="1:7">
      <c r="A1223" s="10"/>
      <c r="B1223" s="105"/>
      <c r="C1223" s="176"/>
      <c r="D1223" s="1"/>
      <c r="E1223" s="177"/>
      <c r="F1223" s="1"/>
      <c r="G1223" s="1"/>
    </row>
    <row r="1224" spans="1:7">
      <c r="A1224" s="10"/>
      <c r="B1224" s="105"/>
      <c r="C1224" s="176"/>
      <c r="D1224" s="1"/>
      <c r="E1224" s="177"/>
      <c r="F1224" s="1"/>
      <c r="G1224" s="1"/>
    </row>
    <row r="1225" spans="1:7">
      <c r="A1225" s="10"/>
      <c r="B1225" s="105"/>
      <c r="C1225" s="176"/>
      <c r="D1225" s="1"/>
      <c r="E1225" s="177"/>
      <c r="F1225" s="1"/>
      <c r="G1225" s="1"/>
    </row>
    <row r="1226" spans="1:7">
      <c r="A1226" s="10"/>
      <c r="B1226" s="105"/>
      <c r="C1226" s="176"/>
      <c r="D1226" s="1"/>
      <c r="E1226" s="177"/>
      <c r="F1226" s="1"/>
      <c r="G1226" s="1"/>
    </row>
    <row r="1227" spans="1:7">
      <c r="A1227" s="10"/>
      <c r="B1227" s="105"/>
      <c r="C1227" s="176"/>
      <c r="D1227" s="1"/>
      <c r="E1227" s="177"/>
      <c r="F1227" s="1"/>
      <c r="G1227" s="1"/>
    </row>
    <row r="1228" spans="1:7">
      <c r="A1228" s="10"/>
      <c r="B1228" s="105"/>
      <c r="C1228" s="176"/>
      <c r="D1228" s="1"/>
      <c r="E1228" s="177"/>
      <c r="F1228" s="1"/>
      <c r="G1228" s="1"/>
    </row>
    <row r="1229" spans="1:7">
      <c r="A1229" s="10"/>
      <c r="B1229" s="105"/>
      <c r="C1229" s="176"/>
      <c r="D1229" s="1"/>
      <c r="E1229" s="177"/>
      <c r="F1229" s="1"/>
      <c r="G1229" s="1"/>
    </row>
    <row r="1230" spans="1:7">
      <c r="A1230" s="10"/>
      <c r="B1230" s="105"/>
      <c r="C1230" s="176"/>
      <c r="D1230" s="1"/>
      <c r="E1230" s="177"/>
      <c r="F1230" s="1"/>
      <c r="G1230" s="1"/>
    </row>
    <row r="1231" spans="1:7">
      <c r="A1231" s="10"/>
      <c r="B1231" s="105"/>
      <c r="C1231" s="176"/>
      <c r="D1231" s="1"/>
      <c r="E1231" s="177"/>
      <c r="F1231" s="1"/>
      <c r="G1231" s="1"/>
    </row>
    <row r="1232" spans="1:7">
      <c r="A1232" s="10"/>
      <c r="B1232" s="105"/>
      <c r="C1232" s="176"/>
      <c r="D1232" s="1"/>
      <c r="E1232" s="177"/>
      <c r="F1232" s="1"/>
      <c r="G1232" s="1"/>
    </row>
    <row r="1233" spans="1:7">
      <c r="A1233" s="10"/>
      <c r="B1233" s="105"/>
      <c r="C1233" s="176"/>
      <c r="D1233" s="1"/>
      <c r="E1233" s="177"/>
      <c r="F1233" s="1"/>
      <c r="G1233" s="1"/>
    </row>
    <row r="1234" spans="1:7">
      <c r="A1234" s="10"/>
      <c r="B1234" s="105"/>
      <c r="C1234" s="176"/>
      <c r="D1234" s="1"/>
      <c r="E1234" s="177"/>
      <c r="F1234" s="1"/>
      <c r="G1234" s="1"/>
    </row>
    <row r="1235" spans="1:7">
      <c r="A1235" s="10"/>
      <c r="B1235" s="105"/>
      <c r="C1235" s="176"/>
      <c r="D1235" s="1"/>
      <c r="E1235" s="177"/>
      <c r="F1235" s="1"/>
      <c r="G1235" s="1"/>
    </row>
    <row r="1236" spans="1:7">
      <c r="A1236" s="10"/>
      <c r="B1236" s="105"/>
      <c r="C1236" s="176"/>
      <c r="D1236" s="1"/>
      <c r="E1236" s="177"/>
      <c r="F1236" s="1"/>
      <c r="G1236" s="1"/>
    </row>
    <row r="1237" spans="1:7">
      <c r="A1237" s="10"/>
      <c r="B1237" s="105"/>
      <c r="C1237" s="176"/>
      <c r="D1237" s="1"/>
      <c r="E1237" s="177"/>
      <c r="F1237" s="1"/>
      <c r="G1237" s="1"/>
    </row>
    <row r="1238" spans="1:7">
      <c r="A1238" s="10"/>
      <c r="B1238" s="105"/>
      <c r="C1238" s="176"/>
      <c r="D1238" s="1"/>
      <c r="E1238" s="177"/>
      <c r="F1238" s="1"/>
      <c r="G1238" s="1"/>
    </row>
    <row r="1239" spans="1:7">
      <c r="A1239" s="10"/>
      <c r="B1239" s="105"/>
      <c r="C1239" s="176"/>
      <c r="D1239" s="1"/>
      <c r="E1239" s="177"/>
      <c r="F1239" s="1"/>
      <c r="G1239" s="1"/>
    </row>
    <row r="1240" spans="1:7">
      <c r="A1240" s="10"/>
      <c r="B1240" s="105"/>
      <c r="C1240" s="176"/>
      <c r="D1240" s="1"/>
      <c r="E1240" s="177"/>
      <c r="F1240" s="1"/>
      <c r="G1240" s="1"/>
    </row>
    <row r="1241" spans="1:7">
      <c r="A1241" s="10"/>
      <c r="B1241" s="105"/>
      <c r="C1241" s="176"/>
      <c r="D1241" s="1"/>
      <c r="E1241" s="177"/>
      <c r="F1241" s="1"/>
      <c r="G1241" s="1"/>
    </row>
    <row r="1242" spans="1:7">
      <c r="A1242" s="10"/>
      <c r="B1242" s="105"/>
      <c r="C1242" s="176"/>
      <c r="D1242" s="1"/>
      <c r="E1242" s="177"/>
      <c r="F1242" s="1"/>
      <c r="G1242" s="1"/>
    </row>
    <row r="1243" spans="1:7">
      <c r="A1243" s="10"/>
      <c r="B1243" s="105"/>
      <c r="C1243" s="176"/>
      <c r="D1243" s="1"/>
      <c r="E1243" s="177"/>
      <c r="F1243" s="1"/>
      <c r="G1243" s="1"/>
    </row>
    <row r="1244" spans="1:7">
      <c r="A1244" s="10"/>
      <c r="B1244" s="105"/>
      <c r="C1244" s="176"/>
      <c r="D1244" s="1"/>
      <c r="E1244" s="177"/>
      <c r="F1244" s="1"/>
      <c r="G1244" s="1"/>
    </row>
    <row r="1245" spans="1:7">
      <c r="A1245" s="10"/>
      <c r="B1245" s="105"/>
      <c r="C1245" s="176"/>
      <c r="D1245" s="1"/>
      <c r="E1245" s="177"/>
      <c r="F1245" s="1"/>
      <c r="G1245" s="1"/>
    </row>
    <row r="1246" spans="1:7">
      <c r="A1246" s="10"/>
      <c r="B1246" s="105"/>
      <c r="C1246" s="176"/>
      <c r="D1246" s="1"/>
      <c r="E1246" s="177"/>
      <c r="F1246" s="1"/>
      <c r="G1246" s="1"/>
    </row>
    <row r="1247" spans="1:7">
      <c r="A1247" s="10"/>
      <c r="B1247" s="105"/>
      <c r="C1247" s="176"/>
      <c r="D1247" s="1"/>
      <c r="E1247" s="177"/>
      <c r="F1247" s="1"/>
      <c r="G1247" s="1"/>
    </row>
    <row r="1248" spans="1:7">
      <c r="A1248" s="10"/>
      <c r="B1248" s="105"/>
      <c r="C1248" s="176"/>
      <c r="D1248" s="1"/>
      <c r="E1248" s="177"/>
      <c r="F1248" s="1"/>
      <c r="G1248" s="1"/>
    </row>
    <row r="1249" spans="1:7">
      <c r="A1249" s="10"/>
      <c r="B1249" s="105"/>
      <c r="C1249" s="176"/>
      <c r="D1249" s="1"/>
      <c r="E1249" s="177"/>
      <c r="F1249" s="1"/>
      <c r="G1249" s="1"/>
    </row>
    <row r="1250" spans="1:7">
      <c r="A1250" s="10"/>
      <c r="B1250" s="105"/>
      <c r="C1250" s="176"/>
      <c r="D1250" s="1"/>
      <c r="E1250" s="177"/>
      <c r="F1250" s="1"/>
      <c r="G1250" s="1"/>
    </row>
    <row r="1251" spans="1:7">
      <c r="A1251" s="10"/>
      <c r="B1251" s="105"/>
      <c r="C1251" s="176"/>
      <c r="D1251" s="1"/>
      <c r="E1251" s="177"/>
      <c r="F1251" s="1"/>
      <c r="G1251" s="1"/>
    </row>
    <row r="1252" spans="1:7">
      <c r="A1252" s="10"/>
      <c r="B1252" s="105"/>
      <c r="C1252" s="176"/>
      <c r="D1252" s="1"/>
      <c r="E1252" s="177"/>
      <c r="F1252" s="1"/>
      <c r="G1252" s="1"/>
    </row>
    <row r="1253" spans="1:7">
      <c r="A1253" s="10"/>
      <c r="B1253" s="105"/>
      <c r="C1253" s="176"/>
      <c r="D1253" s="1"/>
      <c r="E1253" s="177"/>
      <c r="F1253" s="1"/>
      <c r="G1253" s="1"/>
    </row>
    <row r="1254" spans="1:7">
      <c r="A1254" s="10"/>
      <c r="B1254" s="105"/>
      <c r="C1254" s="176"/>
      <c r="D1254" s="1"/>
      <c r="E1254" s="177"/>
      <c r="F1254" s="1"/>
      <c r="G1254" s="1"/>
    </row>
    <row r="1255" spans="1:7">
      <c r="A1255" s="10"/>
      <c r="B1255" s="105"/>
      <c r="C1255" s="176"/>
      <c r="D1255" s="1"/>
      <c r="E1255" s="177"/>
      <c r="F1255" s="1"/>
      <c r="G1255" s="1"/>
    </row>
    <row r="1256" spans="1:7">
      <c r="A1256" s="10"/>
      <c r="B1256" s="105"/>
      <c r="C1256" s="176"/>
      <c r="D1256" s="1"/>
      <c r="E1256" s="177"/>
      <c r="F1256" s="1"/>
      <c r="G1256" s="1"/>
    </row>
    <row r="1257" spans="1:7">
      <c r="A1257" s="10"/>
      <c r="B1257" s="105"/>
      <c r="C1257" s="176"/>
      <c r="D1257" s="1"/>
      <c r="E1257" s="177"/>
      <c r="F1257" s="1"/>
      <c r="G1257" s="1"/>
    </row>
    <row r="1258" spans="1:7">
      <c r="A1258" s="10"/>
      <c r="B1258" s="105"/>
      <c r="C1258" s="176"/>
      <c r="D1258" s="1"/>
      <c r="E1258" s="177"/>
      <c r="F1258" s="1"/>
      <c r="G1258" s="1"/>
    </row>
    <row r="1259" spans="1:7">
      <c r="A1259" s="10"/>
      <c r="B1259" s="105"/>
      <c r="C1259" s="176"/>
      <c r="D1259" s="1"/>
      <c r="E1259" s="177"/>
      <c r="F1259" s="1"/>
      <c r="G1259" s="1"/>
    </row>
    <row r="1260" spans="1:7">
      <c r="A1260" s="10"/>
      <c r="B1260" s="105"/>
      <c r="C1260" s="176"/>
      <c r="D1260" s="1"/>
      <c r="E1260" s="177"/>
      <c r="F1260" s="1"/>
      <c r="G1260" s="1"/>
    </row>
    <row r="1261" spans="1:7">
      <c r="A1261" s="10"/>
      <c r="B1261" s="105"/>
      <c r="C1261" s="176"/>
      <c r="D1261" s="1"/>
      <c r="E1261" s="177"/>
      <c r="F1261" s="1"/>
      <c r="G1261" s="1"/>
    </row>
    <row r="1262" spans="1:7">
      <c r="A1262" s="10"/>
      <c r="B1262" s="105"/>
      <c r="C1262" s="176"/>
      <c r="D1262" s="1"/>
      <c r="E1262" s="177"/>
      <c r="F1262" s="1"/>
      <c r="G1262" s="1"/>
    </row>
    <row r="1263" spans="1:7">
      <c r="A1263" s="10"/>
      <c r="B1263" s="105"/>
      <c r="C1263" s="176"/>
      <c r="D1263" s="1"/>
      <c r="E1263" s="177"/>
      <c r="F1263" s="1"/>
      <c r="G1263" s="1"/>
    </row>
    <row r="1264" spans="1:7">
      <c r="A1264" s="10"/>
      <c r="B1264" s="105"/>
      <c r="C1264" s="176"/>
      <c r="D1264" s="1"/>
      <c r="E1264" s="177"/>
      <c r="F1264" s="1"/>
      <c r="G1264" s="1"/>
    </row>
    <row r="1265" spans="1:7">
      <c r="A1265" s="10"/>
      <c r="B1265" s="105"/>
      <c r="C1265" s="176"/>
      <c r="D1265" s="1"/>
      <c r="E1265" s="177"/>
      <c r="F1265" s="1"/>
      <c r="G1265" s="1"/>
    </row>
    <row r="1266" spans="1:7">
      <c r="A1266" s="10"/>
      <c r="B1266" s="105"/>
      <c r="C1266" s="176"/>
      <c r="D1266" s="1"/>
      <c r="E1266" s="177"/>
      <c r="F1266" s="1"/>
      <c r="G1266" s="1"/>
    </row>
    <row r="1267" spans="1:7">
      <c r="A1267" s="10"/>
      <c r="B1267" s="105"/>
      <c r="C1267" s="176"/>
      <c r="D1267" s="1"/>
      <c r="E1267" s="177"/>
      <c r="F1267" s="1"/>
      <c r="G1267" s="1"/>
    </row>
    <row r="1268" spans="1:7">
      <c r="A1268" s="10"/>
      <c r="B1268" s="105"/>
      <c r="C1268" s="176"/>
      <c r="D1268" s="1"/>
      <c r="E1268" s="177"/>
      <c r="F1268" s="1"/>
      <c r="G1268" s="1"/>
    </row>
    <row r="1269" spans="1:7">
      <c r="A1269" s="10"/>
      <c r="B1269" s="105"/>
      <c r="C1269" s="176"/>
      <c r="D1269" s="1"/>
      <c r="E1269" s="177"/>
      <c r="F1269" s="1"/>
      <c r="G1269" s="1"/>
    </row>
    <row r="1270" spans="1:7">
      <c r="A1270" s="10"/>
      <c r="B1270" s="105"/>
      <c r="C1270" s="176"/>
      <c r="D1270" s="1"/>
      <c r="E1270" s="177"/>
      <c r="F1270" s="1"/>
      <c r="G1270" s="1"/>
    </row>
    <row r="1271" spans="1:7">
      <c r="A1271" s="10"/>
      <c r="B1271" s="105"/>
      <c r="C1271" s="176"/>
      <c r="D1271" s="1"/>
      <c r="E1271" s="177"/>
      <c r="F1271" s="1"/>
      <c r="G1271" s="1"/>
    </row>
    <row r="1272" spans="1:7">
      <c r="A1272" s="10"/>
      <c r="B1272" s="105"/>
      <c r="C1272" s="176"/>
      <c r="D1272" s="1"/>
      <c r="E1272" s="177"/>
      <c r="F1272" s="1"/>
      <c r="G1272" s="1"/>
    </row>
    <row r="1273" spans="1:7">
      <c r="A1273" s="10"/>
      <c r="B1273" s="105"/>
      <c r="C1273" s="176"/>
      <c r="D1273" s="1"/>
      <c r="E1273" s="177"/>
      <c r="F1273" s="1"/>
      <c r="G1273" s="1"/>
    </row>
    <row r="1274" spans="1:7">
      <c r="A1274" s="10"/>
      <c r="B1274" s="105"/>
      <c r="C1274" s="176"/>
      <c r="D1274" s="1"/>
      <c r="E1274" s="177"/>
      <c r="F1274" s="1"/>
      <c r="G1274" s="1"/>
    </row>
    <row r="1275" spans="1:7">
      <c r="A1275" s="10"/>
      <c r="B1275" s="105"/>
      <c r="C1275" s="176"/>
      <c r="D1275" s="1"/>
      <c r="E1275" s="177"/>
      <c r="F1275" s="1"/>
      <c r="G1275" s="1"/>
    </row>
    <row r="1276" spans="1:7">
      <c r="A1276" s="10"/>
      <c r="B1276" s="105"/>
      <c r="C1276" s="176"/>
      <c r="D1276" s="1"/>
      <c r="E1276" s="177"/>
      <c r="F1276" s="1"/>
      <c r="G1276" s="1"/>
    </row>
    <row r="1277" spans="1:7">
      <c r="A1277" s="10"/>
      <c r="B1277" s="105"/>
      <c r="C1277" s="176"/>
      <c r="D1277" s="1"/>
      <c r="E1277" s="177"/>
      <c r="F1277" s="1"/>
      <c r="G1277" s="1"/>
    </row>
    <row r="1278" spans="1:7">
      <c r="A1278" s="10"/>
      <c r="B1278" s="105"/>
      <c r="C1278" s="176"/>
      <c r="D1278" s="1"/>
      <c r="E1278" s="177"/>
      <c r="F1278" s="1"/>
      <c r="G1278" s="1"/>
    </row>
    <row r="1279" spans="1:7">
      <c r="A1279" s="10"/>
      <c r="B1279" s="105"/>
      <c r="C1279" s="176"/>
      <c r="D1279" s="1"/>
      <c r="E1279" s="177"/>
      <c r="F1279" s="1"/>
      <c r="G1279" s="1"/>
    </row>
    <row r="1280" spans="1:7">
      <c r="A1280" s="10"/>
      <c r="B1280" s="105"/>
      <c r="C1280" s="176"/>
      <c r="D1280" s="1"/>
      <c r="E1280" s="177"/>
      <c r="F1280" s="1"/>
      <c r="G1280" s="1"/>
    </row>
    <row r="1281" spans="1:7">
      <c r="A1281" s="10"/>
      <c r="B1281" s="105"/>
      <c r="C1281" s="176"/>
      <c r="D1281" s="1"/>
      <c r="E1281" s="177"/>
      <c r="F1281" s="1"/>
      <c r="G1281" s="1"/>
    </row>
    <row r="1282" spans="1:7">
      <c r="A1282" s="10"/>
      <c r="B1282" s="105"/>
      <c r="C1282" s="176"/>
      <c r="D1282" s="1"/>
      <c r="E1282" s="177"/>
      <c r="F1282" s="1"/>
      <c r="G1282" s="1"/>
    </row>
    <row r="1283" spans="1:7">
      <c r="A1283" s="10"/>
      <c r="B1283" s="105"/>
      <c r="C1283" s="176"/>
      <c r="D1283" s="1"/>
      <c r="E1283" s="177"/>
      <c r="F1283" s="1"/>
      <c r="G1283" s="1"/>
    </row>
    <row r="1284" spans="1:7">
      <c r="A1284" s="10"/>
      <c r="B1284" s="105"/>
      <c r="C1284" s="176"/>
      <c r="D1284" s="1"/>
      <c r="E1284" s="177"/>
      <c r="F1284" s="1"/>
      <c r="G1284" s="1"/>
    </row>
    <row r="1285" spans="1:7">
      <c r="A1285" s="10"/>
      <c r="B1285" s="105"/>
      <c r="C1285" s="176"/>
      <c r="D1285" s="1"/>
      <c r="E1285" s="177"/>
      <c r="F1285" s="1"/>
      <c r="G1285" s="1"/>
    </row>
    <row r="1286" spans="1:7">
      <c r="A1286" s="10"/>
      <c r="B1286" s="105"/>
      <c r="C1286" s="176"/>
      <c r="D1286" s="1"/>
      <c r="E1286" s="177"/>
      <c r="F1286" s="1"/>
      <c r="G1286" s="1"/>
    </row>
    <row r="1287" spans="1:7">
      <c r="A1287" s="10"/>
      <c r="B1287" s="105"/>
      <c r="C1287" s="176"/>
      <c r="D1287" s="1"/>
      <c r="E1287" s="177"/>
      <c r="F1287" s="1"/>
      <c r="G1287" s="1"/>
    </row>
    <row r="1288" spans="1:7">
      <c r="A1288" s="10"/>
      <c r="B1288" s="105"/>
      <c r="C1288" s="176"/>
      <c r="D1288" s="1"/>
      <c r="E1288" s="177"/>
      <c r="F1288" s="1"/>
      <c r="G1288" s="1"/>
    </row>
    <row r="1289" spans="1:7">
      <c r="A1289" s="10"/>
      <c r="B1289" s="105"/>
      <c r="C1289" s="176"/>
      <c r="D1289" s="1"/>
      <c r="E1289" s="177"/>
      <c r="F1289" s="1"/>
      <c r="G1289" s="1"/>
    </row>
    <row r="1290" spans="1:7">
      <c r="A1290" s="10"/>
      <c r="B1290" s="105"/>
      <c r="C1290" s="176"/>
      <c r="D1290" s="1"/>
      <c r="E1290" s="177"/>
      <c r="F1290" s="1"/>
      <c r="G1290" s="1"/>
    </row>
    <row r="1291" spans="1:7">
      <c r="A1291" s="10"/>
      <c r="B1291" s="105"/>
      <c r="C1291" s="176"/>
      <c r="D1291" s="1"/>
      <c r="E1291" s="177"/>
      <c r="F1291" s="1"/>
      <c r="G1291" s="1"/>
    </row>
    <row r="1292" spans="1:7">
      <c r="A1292" s="10"/>
      <c r="B1292" s="105"/>
      <c r="C1292" s="176"/>
      <c r="D1292" s="1"/>
      <c r="E1292" s="177"/>
      <c r="F1292" s="1"/>
      <c r="G1292" s="1"/>
    </row>
    <row r="1293" spans="1:7">
      <c r="A1293" s="10"/>
      <c r="B1293" s="105"/>
      <c r="C1293" s="176"/>
      <c r="D1293" s="1"/>
      <c r="E1293" s="177"/>
      <c r="F1293" s="1"/>
      <c r="G1293" s="1"/>
    </row>
    <row r="1294" spans="1:7">
      <c r="A1294" s="10"/>
      <c r="B1294" s="105"/>
      <c r="C1294" s="176"/>
      <c r="D1294" s="1"/>
      <c r="E1294" s="177"/>
      <c r="F1294" s="1"/>
      <c r="G1294" s="1"/>
    </row>
    <row r="1295" spans="1:7">
      <c r="A1295" s="10"/>
      <c r="B1295" s="105"/>
      <c r="C1295" s="176"/>
      <c r="D1295" s="1"/>
      <c r="E1295" s="177"/>
      <c r="F1295" s="1"/>
      <c r="G1295" s="1"/>
    </row>
    <row r="1296" spans="1:7">
      <c r="A1296" s="10"/>
      <c r="B1296" s="105"/>
      <c r="C1296" s="176"/>
      <c r="D1296" s="1"/>
      <c r="E1296" s="177"/>
      <c r="F1296" s="1"/>
      <c r="G1296" s="1"/>
    </row>
    <row r="1297" spans="1:7">
      <c r="A1297" s="10"/>
      <c r="B1297" s="105"/>
      <c r="C1297" s="176"/>
      <c r="D1297" s="1"/>
      <c r="E1297" s="177"/>
      <c r="F1297" s="1"/>
      <c r="G1297" s="1"/>
    </row>
    <row r="1298" spans="1:7">
      <c r="A1298" s="10"/>
      <c r="B1298" s="105"/>
      <c r="C1298" s="176"/>
      <c r="D1298" s="1"/>
      <c r="E1298" s="177"/>
      <c r="F1298" s="1"/>
      <c r="G1298" s="1"/>
    </row>
    <row r="1299" spans="1:7">
      <c r="A1299" s="10"/>
      <c r="B1299" s="105"/>
      <c r="C1299" s="176"/>
      <c r="D1299" s="1"/>
      <c r="E1299" s="177"/>
      <c r="F1299" s="1"/>
      <c r="G1299" s="1"/>
    </row>
    <row r="1300" spans="1:7">
      <c r="A1300" s="10"/>
      <c r="B1300" s="105"/>
      <c r="C1300" s="176"/>
      <c r="D1300" s="1"/>
      <c r="E1300" s="177"/>
      <c r="F1300" s="1"/>
      <c r="G1300" s="1"/>
    </row>
    <row r="1301" spans="1:7">
      <c r="A1301" s="10"/>
      <c r="B1301" s="105"/>
      <c r="C1301" s="176"/>
      <c r="D1301" s="1"/>
      <c r="E1301" s="177"/>
      <c r="F1301" s="1"/>
      <c r="G1301" s="1"/>
    </row>
    <row r="1302" spans="1:7">
      <c r="A1302" s="10"/>
      <c r="B1302" s="105"/>
      <c r="C1302" s="176"/>
      <c r="D1302" s="1"/>
      <c r="E1302" s="177"/>
      <c r="F1302" s="1"/>
      <c r="G1302" s="1"/>
    </row>
    <row r="1303" spans="1:7">
      <c r="A1303" s="10"/>
      <c r="B1303" s="105"/>
      <c r="C1303" s="176"/>
      <c r="D1303" s="1"/>
      <c r="E1303" s="177"/>
      <c r="F1303" s="1"/>
      <c r="G1303" s="1"/>
    </row>
    <row r="1304" spans="1:7">
      <c r="A1304" s="10"/>
      <c r="B1304" s="105"/>
      <c r="C1304" s="176"/>
      <c r="D1304" s="1"/>
      <c r="E1304" s="177"/>
      <c r="F1304" s="1"/>
      <c r="G1304" s="1"/>
    </row>
    <row r="1305" spans="1:7">
      <c r="A1305" s="10"/>
      <c r="B1305" s="105"/>
      <c r="C1305" s="176"/>
      <c r="D1305" s="1"/>
      <c r="E1305" s="177"/>
      <c r="F1305" s="1"/>
      <c r="G1305" s="1"/>
    </row>
    <row r="1306" spans="1:7">
      <c r="A1306" s="10"/>
      <c r="B1306" s="105"/>
      <c r="C1306" s="176"/>
      <c r="D1306" s="1"/>
      <c r="E1306" s="177"/>
      <c r="F1306" s="1"/>
      <c r="G1306" s="1"/>
    </row>
    <row r="1307" spans="1:7">
      <c r="A1307" s="10"/>
      <c r="B1307" s="105"/>
      <c r="C1307" s="176"/>
      <c r="D1307" s="1"/>
      <c r="E1307" s="177"/>
      <c r="F1307" s="1"/>
      <c r="G1307" s="1"/>
    </row>
    <row r="1308" spans="1:7">
      <c r="A1308" s="10"/>
      <c r="B1308" s="105"/>
      <c r="C1308" s="176"/>
      <c r="D1308" s="1"/>
      <c r="E1308" s="177"/>
      <c r="F1308" s="1"/>
      <c r="G1308" s="1"/>
    </row>
    <row r="1309" spans="1:7">
      <c r="A1309" s="10"/>
      <c r="B1309" s="105"/>
      <c r="C1309" s="176"/>
      <c r="D1309" s="1"/>
      <c r="E1309" s="177"/>
      <c r="F1309" s="1"/>
      <c r="G1309" s="1"/>
    </row>
    <row r="1310" spans="1:7">
      <c r="A1310" s="10"/>
      <c r="B1310" s="105"/>
      <c r="C1310" s="176"/>
      <c r="D1310" s="1"/>
      <c r="E1310" s="177"/>
      <c r="F1310" s="1"/>
      <c r="G1310" s="1"/>
    </row>
    <row r="1311" spans="1:7">
      <c r="A1311" s="10"/>
      <c r="B1311" s="105"/>
      <c r="C1311" s="176"/>
      <c r="D1311" s="1"/>
      <c r="E1311" s="177"/>
      <c r="F1311" s="1"/>
      <c r="G1311" s="1"/>
    </row>
    <row r="1312" spans="1:7">
      <c r="A1312" s="10"/>
      <c r="B1312" s="105"/>
      <c r="C1312" s="176"/>
      <c r="D1312" s="1"/>
      <c r="E1312" s="177"/>
      <c r="F1312" s="1"/>
      <c r="G1312" s="1"/>
    </row>
    <row r="1313" spans="1:7">
      <c r="A1313" s="10"/>
      <c r="B1313" s="105"/>
      <c r="C1313" s="176"/>
      <c r="D1313" s="1"/>
      <c r="E1313" s="177"/>
      <c r="F1313" s="1"/>
      <c r="G1313" s="1"/>
    </row>
    <row r="1314" spans="1:7">
      <c r="A1314" s="10"/>
      <c r="B1314" s="105"/>
      <c r="C1314" s="176"/>
      <c r="D1314" s="1"/>
      <c r="E1314" s="177"/>
      <c r="F1314" s="1"/>
      <c r="G1314" s="1"/>
    </row>
    <row r="1315" spans="1:7">
      <c r="A1315" s="10"/>
      <c r="B1315" s="105"/>
      <c r="C1315" s="176"/>
      <c r="D1315" s="1"/>
      <c r="E1315" s="177"/>
      <c r="F1315" s="1"/>
      <c r="G1315" s="1"/>
    </row>
    <row r="1316" spans="1:7">
      <c r="A1316" s="10"/>
      <c r="B1316" s="105"/>
      <c r="C1316" s="176"/>
      <c r="D1316" s="1"/>
      <c r="E1316" s="177"/>
      <c r="F1316" s="1"/>
      <c r="G1316" s="1"/>
    </row>
    <row r="1317" spans="1:7">
      <c r="A1317" s="10"/>
      <c r="B1317" s="105"/>
      <c r="C1317" s="176"/>
      <c r="D1317" s="1"/>
      <c r="E1317" s="177"/>
      <c r="F1317" s="1"/>
      <c r="G1317" s="1"/>
    </row>
    <row r="1318" spans="1:7">
      <c r="A1318" s="10"/>
      <c r="B1318" s="105"/>
      <c r="C1318" s="176"/>
      <c r="D1318" s="1"/>
      <c r="E1318" s="177"/>
      <c r="F1318" s="1"/>
      <c r="G1318" s="1"/>
    </row>
    <row r="1319" spans="1:7">
      <c r="A1319" s="10"/>
      <c r="B1319" s="105"/>
      <c r="C1319" s="176"/>
      <c r="D1319" s="1"/>
      <c r="E1319" s="177"/>
      <c r="F1319" s="1"/>
      <c r="G1319" s="1"/>
    </row>
    <row r="1320" spans="1:7">
      <c r="A1320" s="10"/>
      <c r="B1320" s="105"/>
      <c r="C1320" s="176"/>
      <c r="D1320" s="1"/>
      <c r="E1320" s="177"/>
      <c r="F1320" s="1"/>
      <c r="G1320" s="1"/>
    </row>
    <row r="1321" spans="1:7">
      <c r="A1321" s="10"/>
      <c r="B1321" s="105"/>
      <c r="C1321" s="176"/>
      <c r="D1321" s="1"/>
      <c r="E1321" s="177"/>
      <c r="F1321" s="1"/>
      <c r="G1321" s="1"/>
    </row>
    <row r="1322" spans="1:7">
      <c r="A1322" s="10"/>
      <c r="B1322" s="105"/>
      <c r="C1322" s="176"/>
      <c r="D1322" s="1"/>
      <c r="E1322" s="177"/>
      <c r="F1322" s="1"/>
      <c r="G1322" s="1"/>
    </row>
    <row r="1323" spans="1:7">
      <c r="A1323" s="10"/>
      <c r="B1323" s="105"/>
      <c r="C1323" s="176"/>
      <c r="D1323" s="1"/>
      <c r="E1323" s="177"/>
      <c r="F1323" s="1"/>
      <c r="G1323" s="1"/>
    </row>
    <row r="1324" spans="1:7">
      <c r="A1324" s="10"/>
      <c r="B1324" s="105"/>
      <c r="C1324" s="176"/>
      <c r="D1324" s="1"/>
      <c r="E1324" s="177"/>
      <c r="F1324" s="1"/>
      <c r="G1324" s="1"/>
    </row>
    <row r="1325" spans="1:7">
      <c r="A1325" s="10"/>
      <c r="B1325" s="105"/>
      <c r="C1325" s="176"/>
      <c r="D1325" s="1"/>
      <c r="E1325" s="177"/>
      <c r="F1325" s="1"/>
      <c r="G1325" s="1"/>
    </row>
    <row r="1326" spans="1:7">
      <c r="A1326" s="10"/>
      <c r="B1326" s="105"/>
      <c r="C1326" s="176"/>
      <c r="D1326" s="1"/>
      <c r="E1326" s="177"/>
      <c r="F1326" s="1"/>
      <c r="G1326" s="1"/>
    </row>
    <row r="1327" spans="1:7">
      <c r="A1327" s="10"/>
      <c r="B1327" s="105"/>
      <c r="C1327" s="176"/>
      <c r="D1327" s="1"/>
      <c r="E1327" s="177"/>
      <c r="F1327" s="1"/>
      <c r="G1327" s="1"/>
    </row>
    <row r="1328" spans="1:7">
      <c r="A1328" s="10"/>
      <c r="B1328" s="105"/>
      <c r="C1328" s="176"/>
      <c r="D1328" s="1"/>
      <c r="E1328" s="177"/>
      <c r="F1328" s="1"/>
      <c r="G1328" s="1"/>
    </row>
    <row r="1329" spans="1:7">
      <c r="A1329" s="10"/>
      <c r="B1329" s="105"/>
      <c r="C1329" s="176"/>
      <c r="D1329" s="1"/>
      <c r="E1329" s="177"/>
      <c r="F1329" s="1"/>
      <c r="G1329" s="1"/>
    </row>
    <row r="1330" spans="1:7">
      <c r="A1330" s="10"/>
      <c r="B1330" s="105"/>
      <c r="C1330" s="176"/>
      <c r="D1330" s="1"/>
      <c r="E1330" s="177"/>
      <c r="F1330" s="1"/>
      <c r="G1330" s="1"/>
    </row>
    <row r="1331" spans="1:7">
      <c r="A1331" s="10"/>
      <c r="B1331" s="105"/>
      <c r="C1331" s="176"/>
      <c r="D1331" s="1"/>
      <c r="E1331" s="177"/>
      <c r="F1331" s="1"/>
      <c r="G1331" s="1"/>
    </row>
    <row r="1332" spans="1:7">
      <c r="A1332" s="10"/>
      <c r="B1332" s="105"/>
      <c r="C1332" s="176"/>
      <c r="D1332" s="1"/>
      <c r="E1332" s="177"/>
      <c r="F1332" s="1"/>
      <c r="G1332" s="1"/>
    </row>
    <row r="1333" spans="1:7">
      <c r="A1333" s="10"/>
      <c r="B1333" s="105"/>
      <c r="C1333" s="176"/>
      <c r="D1333" s="1"/>
      <c r="E1333" s="177"/>
      <c r="F1333" s="1"/>
      <c r="G1333" s="1"/>
    </row>
    <row r="1334" spans="1:7">
      <c r="A1334" s="10"/>
      <c r="B1334" s="105"/>
      <c r="C1334" s="176"/>
      <c r="D1334" s="1"/>
      <c r="E1334" s="177"/>
      <c r="F1334" s="1"/>
      <c r="G1334" s="1"/>
    </row>
    <row r="1335" spans="1:7">
      <c r="A1335" s="10"/>
      <c r="B1335" s="105"/>
      <c r="C1335" s="176"/>
      <c r="D1335" s="1"/>
      <c r="E1335" s="177"/>
      <c r="F1335" s="1"/>
      <c r="G1335" s="1"/>
    </row>
    <row r="1336" spans="1:7">
      <c r="A1336" s="10"/>
      <c r="B1336" s="105"/>
      <c r="C1336" s="176"/>
      <c r="D1336" s="1"/>
      <c r="E1336" s="177"/>
      <c r="F1336" s="1"/>
      <c r="G1336" s="1"/>
    </row>
    <row r="1337" spans="1:7">
      <c r="A1337" s="10"/>
      <c r="B1337" s="105"/>
      <c r="C1337" s="176"/>
      <c r="D1337" s="1"/>
      <c r="E1337" s="177"/>
      <c r="F1337" s="1"/>
      <c r="G1337" s="1"/>
    </row>
    <row r="1338" spans="1:7">
      <c r="A1338" s="10"/>
      <c r="B1338" s="105"/>
      <c r="C1338" s="176"/>
      <c r="D1338" s="1"/>
      <c r="E1338" s="177"/>
      <c r="F1338" s="1"/>
      <c r="G1338" s="1"/>
    </row>
    <row r="1339" spans="1:7">
      <c r="A1339" s="10"/>
      <c r="B1339" s="105"/>
      <c r="C1339" s="176"/>
      <c r="D1339" s="1"/>
      <c r="E1339" s="177"/>
      <c r="F1339" s="1"/>
      <c r="G1339" s="1"/>
    </row>
    <row r="1340" spans="1:7">
      <c r="A1340" s="10"/>
      <c r="B1340" s="105"/>
      <c r="C1340" s="176"/>
      <c r="D1340" s="1"/>
      <c r="E1340" s="177"/>
      <c r="F1340" s="1"/>
      <c r="G1340" s="1"/>
    </row>
    <row r="1341" spans="1:7">
      <c r="A1341" s="10"/>
      <c r="B1341" s="105"/>
      <c r="C1341" s="176"/>
      <c r="D1341" s="1"/>
      <c r="E1341" s="177"/>
      <c r="F1341" s="1"/>
      <c r="G1341" s="1"/>
    </row>
    <row r="1342" spans="1:7">
      <c r="A1342" s="10"/>
      <c r="B1342" s="105"/>
      <c r="C1342" s="176"/>
      <c r="D1342" s="1"/>
      <c r="E1342" s="177"/>
      <c r="F1342" s="1"/>
      <c r="G1342" s="1"/>
    </row>
    <row r="1343" spans="1:7">
      <c r="A1343" s="10"/>
      <c r="B1343" s="105"/>
      <c r="C1343" s="176"/>
      <c r="D1343" s="1"/>
      <c r="E1343" s="177"/>
      <c r="F1343" s="1"/>
      <c r="G1343" s="1"/>
    </row>
    <row r="1344" spans="1:7">
      <c r="A1344" s="10"/>
      <c r="B1344" s="105"/>
      <c r="C1344" s="176"/>
      <c r="D1344" s="1"/>
      <c r="E1344" s="177"/>
      <c r="F1344" s="1"/>
      <c r="G1344" s="1"/>
    </row>
    <row r="1345" spans="1:7">
      <c r="A1345" s="10"/>
      <c r="B1345" s="105"/>
      <c r="C1345" s="176"/>
      <c r="D1345" s="1"/>
      <c r="E1345" s="177"/>
      <c r="F1345" s="1"/>
      <c r="G1345" s="1"/>
    </row>
    <row r="1346" spans="1:7">
      <c r="A1346" s="10"/>
      <c r="B1346" s="105"/>
      <c r="C1346" s="176"/>
      <c r="D1346" s="1"/>
      <c r="E1346" s="177"/>
      <c r="F1346" s="1"/>
      <c r="G1346" s="1"/>
    </row>
    <row r="1347" spans="1:7">
      <c r="A1347" s="10"/>
      <c r="B1347" s="105"/>
      <c r="C1347" s="176"/>
      <c r="D1347" s="1"/>
      <c r="E1347" s="177"/>
      <c r="F1347" s="1"/>
      <c r="G1347" s="1"/>
    </row>
    <row r="1348" spans="1:7">
      <c r="A1348" s="10"/>
      <c r="B1348" s="105"/>
      <c r="C1348" s="176"/>
      <c r="D1348" s="1"/>
      <c r="E1348" s="177"/>
      <c r="F1348" s="1"/>
      <c r="G1348" s="1"/>
    </row>
    <row r="1349" spans="1:7">
      <c r="A1349" s="10"/>
      <c r="B1349" s="105"/>
      <c r="C1349" s="176"/>
      <c r="D1349" s="1"/>
      <c r="E1349" s="177"/>
      <c r="F1349" s="1"/>
      <c r="G1349" s="1"/>
    </row>
    <row r="1350" spans="1:7">
      <c r="A1350" s="10"/>
      <c r="B1350" s="105"/>
      <c r="C1350" s="176"/>
      <c r="D1350" s="1"/>
      <c r="E1350" s="177"/>
      <c r="F1350" s="1"/>
      <c r="G1350" s="1"/>
    </row>
    <row r="1351" spans="1:7">
      <c r="A1351" s="10"/>
      <c r="B1351" s="105"/>
      <c r="C1351" s="176"/>
      <c r="D1351" s="1"/>
      <c r="E1351" s="177"/>
      <c r="F1351" s="1"/>
      <c r="G1351" s="1"/>
    </row>
    <row r="1352" spans="1:7">
      <c r="A1352" s="10"/>
      <c r="B1352" s="105"/>
      <c r="C1352" s="176"/>
      <c r="D1352" s="1"/>
      <c r="E1352" s="177"/>
      <c r="F1352" s="1"/>
      <c r="G1352" s="1"/>
    </row>
    <row r="1353" spans="1:7">
      <c r="A1353" s="10"/>
      <c r="B1353" s="105"/>
      <c r="C1353" s="176"/>
      <c r="D1353" s="1"/>
      <c r="E1353" s="177"/>
      <c r="F1353" s="1"/>
      <c r="G1353" s="1"/>
    </row>
    <row r="1354" spans="1:7">
      <c r="A1354" s="10"/>
      <c r="B1354" s="105"/>
      <c r="C1354" s="176"/>
      <c r="D1354" s="1"/>
      <c r="E1354" s="177"/>
      <c r="F1354" s="1"/>
      <c r="G1354" s="1"/>
    </row>
    <row r="1355" spans="1:7">
      <c r="A1355" s="10"/>
      <c r="B1355" s="105"/>
      <c r="C1355" s="176"/>
      <c r="D1355" s="1"/>
      <c r="E1355" s="177"/>
      <c r="F1355" s="1"/>
      <c r="G1355" s="1"/>
    </row>
    <row r="1356" spans="1:7">
      <c r="A1356" s="10"/>
      <c r="B1356" s="105"/>
      <c r="C1356" s="176"/>
      <c r="D1356" s="1"/>
      <c r="E1356" s="177"/>
      <c r="F1356" s="1"/>
      <c r="G1356" s="1"/>
    </row>
    <row r="1357" spans="1:7">
      <c r="A1357" s="10"/>
      <c r="B1357" s="105"/>
      <c r="C1357" s="176"/>
      <c r="D1357" s="1"/>
      <c r="E1357" s="177"/>
      <c r="F1357" s="1"/>
      <c r="G1357" s="1"/>
    </row>
    <row r="1358" spans="1:7">
      <c r="A1358" s="10"/>
      <c r="B1358" s="105"/>
      <c r="C1358" s="176"/>
      <c r="D1358" s="1"/>
      <c r="E1358" s="177"/>
      <c r="F1358" s="1"/>
      <c r="G1358" s="1"/>
    </row>
    <row r="1359" spans="1:7">
      <c r="A1359" s="10"/>
      <c r="B1359" s="105"/>
      <c r="C1359" s="176"/>
      <c r="D1359" s="1"/>
      <c r="E1359" s="177"/>
      <c r="F1359" s="1"/>
      <c r="G1359" s="1"/>
    </row>
    <row r="1360" spans="1:7">
      <c r="A1360" s="10"/>
      <c r="B1360" s="105"/>
      <c r="C1360" s="176"/>
      <c r="D1360" s="1"/>
      <c r="E1360" s="177"/>
      <c r="F1360" s="1"/>
      <c r="G1360" s="1"/>
    </row>
    <row r="1361" spans="1:7">
      <c r="A1361" s="10"/>
      <c r="B1361" s="105"/>
      <c r="C1361" s="176"/>
      <c r="D1361" s="1"/>
      <c r="E1361" s="177"/>
      <c r="F1361" s="1"/>
      <c r="G1361" s="1"/>
    </row>
    <row r="1362" spans="1:7">
      <c r="A1362" s="10"/>
      <c r="B1362" s="105"/>
      <c r="C1362" s="176"/>
      <c r="D1362" s="1"/>
      <c r="E1362" s="177"/>
      <c r="F1362" s="1"/>
      <c r="G1362" s="1"/>
    </row>
    <row r="1363" spans="1:7">
      <c r="A1363" s="10"/>
      <c r="B1363" s="105"/>
      <c r="C1363" s="176"/>
      <c r="D1363" s="1"/>
      <c r="E1363" s="177"/>
      <c r="F1363" s="1"/>
      <c r="G1363" s="1"/>
    </row>
    <row r="1364" spans="1:7">
      <c r="A1364" s="10"/>
      <c r="B1364" s="105"/>
      <c r="C1364" s="176"/>
      <c r="D1364" s="1"/>
      <c r="E1364" s="177"/>
      <c r="F1364" s="1"/>
      <c r="G1364" s="1"/>
    </row>
    <row r="1365" spans="1:7">
      <c r="A1365" s="10"/>
      <c r="B1365" s="105"/>
      <c r="C1365" s="176"/>
      <c r="D1365" s="1"/>
      <c r="E1365" s="177"/>
      <c r="F1365" s="1"/>
      <c r="G1365" s="1"/>
    </row>
    <row r="1366" spans="1:7">
      <c r="A1366" s="10"/>
      <c r="B1366" s="105"/>
      <c r="C1366" s="176"/>
      <c r="D1366" s="1"/>
      <c r="E1366" s="177"/>
      <c r="F1366" s="1"/>
      <c r="G1366" s="1"/>
    </row>
    <row r="1367" spans="1:7">
      <c r="A1367" s="10"/>
      <c r="B1367" s="105"/>
      <c r="C1367" s="176"/>
      <c r="D1367" s="1"/>
      <c r="E1367" s="177"/>
      <c r="F1367" s="1"/>
      <c r="G1367" s="1"/>
    </row>
    <row r="1368" spans="1:7">
      <c r="A1368" s="10"/>
      <c r="B1368" s="105"/>
      <c r="C1368" s="176"/>
      <c r="D1368" s="1"/>
      <c r="E1368" s="177"/>
      <c r="F1368" s="1"/>
      <c r="G1368" s="1"/>
    </row>
    <row r="1369" spans="1:7">
      <c r="A1369" s="10"/>
      <c r="B1369" s="105"/>
      <c r="C1369" s="176"/>
      <c r="D1369" s="1"/>
      <c r="E1369" s="177"/>
      <c r="F1369" s="1"/>
      <c r="G1369" s="1"/>
    </row>
    <row r="1370" spans="1:7">
      <c r="A1370" s="10"/>
      <c r="B1370" s="105"/>
      <c r="C1370" s="176"/>
      <c r="D1370" s="1"/>
      <c r="E1370" s="177"/>
      <c r="F1370" s="1"/>
      <c r="G1370" s="1"/>
    </row>
    <row r="1371" spans="1:7">
      <c r="A1371" s="10"/>
      <c r="B1371" s="105"/>
      <c r="C1371" s="176"/>
      <c r="D1371" s="1"/>
      <c r="E1371" s="177"/>
      <c r="F1371" s="1"/>
      <c r="G1371" s="1"/>
    </row>
    <row r="1372" spans="1:7">
      <c r="A1372" s="10"/>
      <c r="B1372" s="105"/>
      <c r="C1372" s="176"/>
      <c r="D1372" s="1"/>
      <c r="E1372" s="177"/>
      <c r="F1372" s="1"/>
      <c r="G1372" s="1"/>
    </row>
    <row r="1373" spans="1:7">
      <c r="A1373" s="10"/>
      <c r="B1373" s="105"/>
      <c r="C1373" s="176"/>
      <c r="D1373" s="1"/>
      <c r="E1373" s="177"/>
      <c r="F1373" s="1"/>
      <c r="G1373" s="1"/>
    </row>
    <row r="1374" spans="1:7">
      <c r="A1374" s="10"/>
      <c r="B1374" s="105"/>
      <c r="C1374" s="176"/>
      <c r="D1374" s="1"/>
      <c r="E1374" s="177"/>
      <c r="F1374" s="1"/>
      <c r="G1374" s="1"/>
    </row>
    <row r="1375" spans="1:7">
      <c r="A1375" s="10"/>
      <c r="B1375" s="105"/>
      <c r="C1375" s="176"/>
      <c r="D1375" s="1"/>
      <c r="E1375" s="177"/>
      <c r="F1375" s="1"/>
      <c r="G1375" s="1"/>
    </row>
    <row r="1376" spans="1:7">
      <c r="A1376" s="10"/>
      <c r="B1376" s="105"/>
      <c r="C1376" s="176"/>
      <c r="D1376" s="1"/>
      <c r="E1376" s="177"/>
      <c r="F1376" s="1"/>
      <c r="G1376" s="1"/>
    </row>
    <row r="1377" spans="1:7">
      <c r="A1377" s="10"/>
      <c r="B1377" s="105"/>
      <c r="C1377" s="176"/>
      <c r="D1377" s="1"/>
      <c r="E1377" s="177"/>
      <c r="F1377" s="1"/>
      <c r="G1377" s="1"/>
    </row>
    <row r="1378" spans="1:7">
      <c r="A1378" s="10"/>
      <c r="B1378" s="105"/>
      <c r="C1378" s="176"/>
      <c r="D1378" s="1"/>
      <c r="E1378" s="177"/>
      <c r="F1378" s="1"/>
      <c r="G1378" s="1"/>
    </row>
    <row r="1379" spans="1:7">
      <c r="A1379" s="10"/>
      <c r="B1379" s="105"/>
      <c r="C1379" s="176"/>
      <c r="D1379" s="1"/>
      <c r="E1379" s="177"/>
      <c r="F1379" s="1"/>
      <c r="G1379" s="1"/>
    </row>
    <row r="1380" spans="1:7">
      <c r="A1380" s="10"/>
      <c r="B1380" s="105"/>
      <c r="C1380" s="176"/>
      <c r="D1380" s="1"/>
      <c r="E1380" s="177"/>
      <c r="F1380" s="1"/>
      <c r="G1380" s="1"/>
    </row>
    <row r="1381" spans="1:7">
      <c r="A1381" s="10"/>
      <c r="B1381" s="105"/>
      <c r="C1381" s="176"/>
      <c r="D1381" s="1"/>
      <c r="E1381" s="177"/>
      <c r="F1381" s="1"/>
      <c r="G1381" s="1"/>
    </row>
    <row r="1382" spans="1:7">
      <c r="A1382" s="10"/>
      <c r="B1382" s="105"/>
      <c r="C1382" s="176"/>
      <c r="D1382" s="1"/>
      <c r="E1382" s="177"/>
      <c r="F1382" s="1"/>
      <c r="G1382" s="1"/>
    </row>
    <row r="1383" spans="1:7">
      <c r="A1383" s="10"/>
      <c r="B1383" s="105"/>
      <c r="C1383" s="176"/>
      <c r="D1383" s="1"/>
      <c r="E1383" s="177"/>
      <c r="F1383" s="1"/>
      <c r="G1383" s="1"/>
    </row>
    <row r="1384" spans="1:7">
      <c r="A1384" s="10"/>
      <c r="B1384" s="105"/>
      <c r="C1384" s="176"/>
      <c r="D1384" s="1"/>
      <c r="E1384" s="177"/>
      <c r="F1384" s="1"/>
      <c r="G1384" s="1"/>
    </row>
    <row r="1385" spans="1:7">
      <c r="A1385" s="10"/>
      <c r="B1385" s="105"/>
      <c r="C1385" s="176"/>
      <c r="D1385" s="1"/>
      <c r="E1385" s="177"/>
      <c r="F1385" s="1"/>
      <c r="G1385" s="1"/>
    </row>
    <row r="1386" spans="1:7">
      <c r="A1386" s="10"/>
      <c r="B1386" s="105"/>
      <c r="C1386" s="176"/>
      <c r="D1386" s="1"/>
      <c r="E1386" s="177"/>
      <c r="F1386" s="1"/>
      <c r="G1386" s="1"/>
    </row>
    <row r="1387" spans="1:7">
      <c r="A1387" s="10"/>
      <c r="B1387" s="105"/>
      <c r="C1387" s="176"/>
      <c r="D1387" s="1"/>
      <c r="E1387" s="177"/>
      <c r="F1387" s="1"/>
      <c r="G1387" s="1"/>
    </row>
    <row r="1388" spans="1:7">
      <c r="A1388" s="10"/>
      <c r="B1388" s="105"/>
      <c r="C1388" s="176"/>
      <c r="D1388" s="1"/>
      <c r="E1388" s="177"/>
      <c r="F1388" s="1"/>
      <c r="G1388" s="1"/>
    </row>
    <row r="1389" spans="1:7">
      <c r="A1389" s="10"/>
      <c r="B1389" s="105"/>
      <c r="C1389" s="176"/>
      <c r="D1389" s="1"/>
      <c r="E1389" s="177"/>
      <c r="F1389" s="1"/>
      <c r="G1389" s="1"/>
    </row>
    <row r="1390" spans="1:7">
      <c r="A1390" s="10"/>
      <c r="B1390" s="105"/>
      <c r="C1390" s="176"/>
      <c r="D1390" s="1"/>
      <c r="E1390" s="177"/>
      <c r="F1390" s="1"/>
      <c r="G1390" s="1"/>
    </row>
    <row r="1391" spans="1:7">
      <c r="A1391" s="10"/>
      <c r="B1391" s="105"/>
      <c r="C1391" s="176"/>
      <c r="D1391" s="1"/>
      <c r="E1391" s="177"/>
      <c r="F1391" s="1"/>
      <c r="G1391" s="1"/>
    </row>
    <row r="1392" spans="1:7">
      <c r="A1392" s="10"/>
      <c r="B1392" s="105"/>
      <c r="C1392" s="176"/>
      <c r="D1392" s="1"/>
      <c r="E1392" s="177"/>
      <c r="F1392" s="1"/>
      <c r="G1392" s="1"/>
    </row>
    <row r="1393" spans="1:7">
      <c r="A1393" s="10"/>
      <c r="B1393" s="105"/>
      <c r="C1393" s="176"/>
      <c r="D1393" s="1"/>
      <c r="E1393" s="177"/>
      <c r="F1393" s="1"/>
      <c r="G1393" s="1"/>
    </row>
    <row r="1394" spans="1:7">
      <c r="A1394" s="10"/>
      <c r="B1394" s="105"/>
      <c r="C1394" s="176"/>
      <c r="D1394" s="1"/>
      <c r="E1394" s="177"/>
      <c r="F1394" s="1"/>
      <c r="G1394" s="1"/>
    </row>
    <row r="1395" spans="1:7">
      <c r="A1395" s="10"/>
      <c r="B1395" s="105"/>
      <c r="C1395" s="176"/>
      <c r="D1395" s="1"/>
      <c r="E1395" s="177"/>
      <c r="F1395" s="1"/>
      <c r="G1395" s="1"/>
    </row>
    <row r="1396" spans="1:7">
      <c r="A1396" s="10"/>
      <c r="B1396" s="105"/>
      <c r="C1396" s="176"/>
      <c r="D1396" s="1"/>
      <c r="E1396" s="177"/>
      <c r="F1396" s="1"/>
      <c r="G1396" s="1"/>
    </row>
    <row r="1397" spans="1:7">
      <c r="A1397" s="10"/>
      <c r="B1397" s="105"/>
      <c r="C1397" s="176"/>
      <c r="D1397" s="1"/>
      <c r="E1397" s="177"/>
      <c r="F1397" s="1"/>
      <c r="G1397" s="1"/>
    </row>
    <row r="1398" spans="1:7">
      <c r="A1398" s="10"/>
      <c r="B1398" s="105"/>
      <c r="C1398" s="176"/>
      <c r="D1398" s="1"/>
      <c r="E1398" s="177"/>
      <c r="F1398" s="1"/>
      <c r="G1398" s="1"/>
    </row>
    <row r="1399" spans="1:7">
      <c r="A1399" s="10"/>
      <c r="B1399" s="105"/>
      <c r="C1399" s="176"/>
      <c r="D1399" s="1"/>
      <c r="E1399" s="177"/>
      <c r="F1399" s="1"/>
      <c r="G1399" s="1"/>
    </row>
    <row r="1400" spans="1:7">
      <c r="A1400" s="10"/>
      <c r="B1400" s="105"/>
      <c r="C1400" s="176"/>
      <c r="D1400" s="1"/>
      <c r="E1400" s="177"/>
      <c r="F1400" s="1"/>
      <c r="G1400" s="1"/>
    </row>
    <row r="1401" spans="1:7">
      <c r="A1401" s="10"/>
      <c r="B1401" s="105"/>
      <c r="C1401" s="176"/>
      <c r="D1401" s="1"/>
      <c r="E1401" s="177"/>
      <c r="F1401" s="1"/>
      <c r="G1401" s="1"/>
    </row>
    <row r="1402" spans="1:7">
      <c r="A1402" s="10"/>
      <c r="B1402" s="105"/>
      <c r="C1402" s="176"/>
      <c r="D1402" s="1"/>
      <c r="E1402" s="177"/>
      <c r="F1402" s="1"/>
      <c r="G1402" s="1"/>
    </row>
    <row r="1403" spans="1:7">
      <c r="A1403" s="10"/>
      <c r="B1403" s="105"/>
      <c r="C1403" s="176"/>
      <c r="D1403" s="1"/>
      <c r="E1403" s="177"/>
      <c r="F1403" s="1"/>
      <c r="G1403" s="1"/>
    </row>
    <row r="1404" spans="1:7">
      <c r="A1404" s="10"/>
      <c r="B1404" s="105"/>
      <c r="C1404" s="176"/>
      <c r="D1404" s="1"/>
      <c r="E1404" s="177"/>
      <c r="F1404" s="1"/>
      <c r="G1404" s="1"/>
    </row>
    <row r="1405" spans="1:7">
      <c r="A1405" s="10"/>
      <c r="B1405" s="105"/>
      <c r="C1405" s="176"/>
      <c r="D1405" s="1"/>
      <c r="E1405" s="177"/>
      <c r="F1405" s="1"/>
      <c r="G1405" s="1"/>
    </row>
    <row r="1406" spans="1:7">
      <c r="A1406" s="10"/>
      <c r="B1406" s="105"/>
      <c r="C1406" s="176"/>
      <c r="D1406" s="1"/>
      <c r="E1406" s="177"/>
      <c r="F1406" s="1"/>
      <c r="G1406" s="1"/>
    </row>
    <row r="1407" spans="1:7">
      <c r="A1407" s="10"/>
      <c r="B1407" s="105"/>
      <c r="C1407" s="176"/>
      <c r="D1407" s="1"/>
      <c r="E1407" s="177"/>
      <c r="F1407" s="1"/>
      <c r="G1407" s="1"/>
    </row>
    <row r="1408" spans="1:7">
      <c r="A1408" s="10"/>
      <c r="B1408" s="105"/>
      <c r="C1408" s="176"/>
      <c r="D1408" s="1"/>
      <c r="E1408" s="177"/>
      <c r="F1408" s="1"/>
      <c r="G1408" s="1"/>
    </row>
    <row r="1409" spans="1:7">
      <c r="A1409" s="10"/>
      <c r="B1409" s="105"/>
      <c r="C1409" s="176"/>
      <c r="D1409" s="1"/>
      <c r="E1409" s="177"/>
      <c r="F1409" s="1"/>
      <c r="G1409" s="1"/>
    </row>
    <row r="1410" spans="1:7">
      <c r="A1410" s="10"/>
      <c r="B1410" s="105"/>
      <c r="C1410" s="176"/>
      <c r="D1410" s="1"/>
      <c r="E1410" s="177"/>
      <c r="F1410" s="1"/>
      <c r="G1410" s="1"/>
    </row>
    <row r="1411" spans="1:7">
      <c r="A1411" s="10"/>
      <c r="B1411" s="105"/>
      <c r="C1411" s="176"/>
      <c r="D1411" s="1"/>
      <c r="E1411" s="177"/>
      <c r="F1411" s="1"/>
      <c r="G1411" s="1"/>
    </row>
    <row r="1412" spans="1:7">
      <c r="A1412" s="10"/>
      <c r="B1412" s="105"/>
      <c r="C1412" s="176"/>
      <c r="D1412" s="1"/>
      <c r="E1412" s="177"/>
      <c r="F1412" s="1"/>
      <c r="G1412" s="1"/>
    </row>
    <row r="1413" spans="1:7">
      <c r="A1413" s="10"/>
      <c r="B1413" s="105"/>
      <c r="C1413" s="176"/>
      <c r="D1413" s="1"/>
      <c r="E1413" s="177"/>
      <c r="F1413" s="1"/>
      <c r="G1413" s="1"/>
    </row>
    <row r="1414" spans="1:7">
      <c r="A1414" s="10"/>
      <c r="B1414" s="105"/>
      <c r="C1414" s="176"/>
      <c r="D1414" s="1"/>
      <c r="E1414" s="177"/>
      <c r="F1414" s="1"/>
      <c r="G1414" s="1"/>
    </row>
    <row r="1415" spans="1:7">
      <c r="A1415" s="10"/>
      <c r="B1415" s="105"/>
      <c r="C1415" s="176"/>
      <c r="D1415" s="1"/>
      <c r="E1415" s="177"/>
      <c r="F1415" s="1"/>
      <c r="G1415" s="1"/>
    </row>
    <row r="1416" spans="1:7">
      <c r="A1416" s="10"/>
      <c r="B1416" s="105"/>
      <c r="C1416" s="176"/>
      <c r="D1416" s="1"/>
      <c r="E1416" s="177"/>
      <c r="F1416" s="1"/>
      <c r="G1416" s="1"/>
    </row>
    <row r="1417" spans="1:7">
      <c r="A1417" s="10"/>
      <c r="B1417" s="105"/>
      <c r="C1417" s="176"/>
      <c r="D1417" s="1"/>
      <c r="E1417" s="177"/>
      <c r="F1417" s="1"/>
      <c r="G1417" s="1"/>
    </row>
    <row r="1418" spans="1:7">
      <c r="A1418" s="10"/>
      <c r="B1418" s="105"/>
      <c r="C1418" s="176"/>
      <c r="D1418" s="1"/>
      <c r="E1418" s="177"/>
      <c r="F1418" s="1"/>
      <c r="G1418" s="1"/>
    </row>
    <row r="1419" spans="1:7">
      <c r="A1419" s="10"/>
      <c r="B1419" s="105"/>
      <c r="C1419" s="176"/>
      <c r="D1419" s="1"/>
      <c r="E1419" s="177"/>
      <c r="F1419" s="1"/>
      <c r="G1419" s="1"/>
    </row>
    <row r="1420" spans="1:7">
      <c r="A1420" s="10"/>
      <c r="B1420" s="105"/>
      <c r="C1420" s="176"/>
      <c r="D1420" s="1"/>
      <c r="E1420" s="177"/>
      <c r="F1420" s="1"/>
      <c r="G1420" s="1"/>
    </row>
    <row r="1421" spans="1:7">
      <c r="A1421" s="10"/>
      <c r="B1421" s="105"/>
      <c r="C1421" s="176"/>
      <c r="D1421" s="1"/>
      <c r="E1421" s="177"/>
      <c r="F1421" s="1"/>
      <c r="G1421" s="1"/>
    </row>
    <row r="1422" spans="1:7">
      <c r="A1422" s="10"/>
      <c r="B1422" s="105"/>
      <c r="C1422" s="176"/>
      <c r="D1422" s="1"/>
      <c r="E1422" s="177"/>
      <c r="F1422" s="1"/>
      <c r="G1422" s="1"/>
    </row>
    <row r="1423" spans="1:7">
      <c r="A1423" s="10"/>
      <c r="B1423" s="105"/>
      <c r="C1423" s="176"/>
      <c r="D1423" s="1"/>
      <c r="E1423" s="177"/>
      <c r="F1423" s="1"/>
      <c r="G1423" s="1"/>
    </row>
    <row r="1424" spans="1:7">
      <c r="A1424" s="10"/>
      <c r="B1424" s="105"/>
      <c r="C1424" s="176"/>
      <c r="D1424" s="1"/>
      <c r="E1424" s="177"/>
      <c r="F1424" s="1"/>
      <c r="G1424" s="1"/>
    </row>
    <row r="1425" spans="1:7">
      <c r="A1425" s="10"/>
      <c r="B1425" s="105"/>
      <c r="C1425" s="176"/>
      <c r="D1425" s="1"/>
      <c r="E1425" s="177"/>
      <c r="F1425" s="1"/>
      <c r="G1425" s="1"/>
    </row>
    <row r="1426" spans="1:7">
      <c r="A1426" s="10"/>
      <c r="B1426" s="105"/>
      <c r="C1426" s="176"/>
      <c r="D1426" s="1"/>
      <c r="E1426" s="177"/>
      <c r="F1426" s="1"/>
      <c r="G1426" s="1"/>
    </row>
    <row r="1427" spans="1:7">
      <c r="A1427" s="10"/>
      <c r="B1427" s="105"/>
      <c r="C1427" s="176"/>
      <c r="D1427" s="1"/>
      <c r="E1427" s="177"/>
      <c r="F1427" s="1"/>
      <c r="G1427" s="1"/>
    </row>
    <row r="1428" spans="1:7">
      <c r="A1428" s="10"/>
      <c r="B1428" s="105"/>
      <c r="C1428" s="176"/>
      <c r="D1428" s="1"/>
      <c r="E1428" s="177"/>
      <c r="F1428" s="1"/>
      <c r="G1428" s="1"/>
    </row>
    <row r="1429" spans="1:7">
      <c r="A1429" s="10"/>
      <c r="B1429" s="105"/>
      <c r="C1429" s="176"/>
      <c r="D1429" s="1"/>
      <c r="E1429" s="177"/>
      <c r="F1429" s="1"/>
      <c r="G1429" s="1"/>
    </row>
    <row r="1430" spans="1:7">
      <c r="A1430" s="10"/>
      <c r="B1430" s="105"/>
      <c r="C1430" s="176"/>
      <c r="D1430" s="1"/>
      <c r="E1430" s="177"/>
      <c r="F1430" s="1"/>
      <c r="G1430" s="1"/>
    </row>
    <row r="1431" spans="1:7">
      <c r="A1431" s="10"/>
      <c r="B1431" s="105"/>
      <c r="C1431" s="176"/>
      <c r="D1431" s="1"/>
      <c r="E1431" s="177"/>
      <c r="F1431" s="1"/>
      <c r="G1431" s="1"/>
    </row>
    <row r="1432" spans="1:7">
      <c r="A1432" s="10"/>
      <c r="B1432" s="105"/>
      <c r="C1432" s="176"/>
      <c r="D1432" s="1"/>
      <c r="E1432" s="177"/>
      <c r="F1432" s="1"/>
      <c r="G1432" s="1"/>
    </row>
    <row r="1433" spans="1:7">
      <c r="A1433" s="10"/>
      <c r="B1433" s="105"/>
      <c r="C1433" s="176"/>
      <c r="D1433" s="1"/>
      <c r="E1433" s="177"/>
      <c r="F1433" s="1"/>
      <c r="G1433" s="1"/>
    </row>
    <row r="1434" spans="1:7">
      <c r="A1434" s="10"/>
      <c r="B1434" s="105"/>
      <c r="C1434" s="176"/>
      <c r="D1434" s="1"/>
      <c r="E1434" s="177"/>
      <c r="F1434" s="1"/>
      <c r="G1434" s="1"/>
    </row>
    <row r="1435" spans="1:7">
      <c r="A1435" s="10"/>
      <c r="B1435" s="105"/>
      <c r="C1435" s="176"/>
      <c r="D1435" s="1"/>
      <c r="E1435" s="177"/>
      <c r="F1435" s="1"/>
      <c r="G1435" s="1"/>
    </row>
    <row r="1436" spans="1:7">
      <c r="A1436" s="10"/>
      <c r="B1436" s="105"/>
      <c r="C1436" s="176"/>
      <c r="D1436" s="1"/>
      <c r="E1436" s="177"/>
      <c r="F1436" s="1"/>
      <c r="G1436" s="1"/>
    </row>
    <row r="1437" spans="1:7">
      <c r="A1437" s="10"/>
      <c r="B1437" s="105"/>
      <c r="C1437" s="176"/>
      <c r="D1437" s="1"/>
      <c r="E1437" s="177"/>
      <c r="F1437" s="1"/>
      <c r="G1437" s="1"/>
    </row>
    <row r="1438" spans="1:7">
      <c r="A1438" s="10"/>
      <c r="B1438" s="105"/>
      <c r="C1438" s="176"/>
      <c r="D1438" s="1"/>
      <c r="E1438" s="177"/>
      <c r="F1438" s="1"/>
      <c r="G1438" s="1"/>
    </row>
    <row r="1439" spans="1:7">
      <c r="A1439" s="10"/>
      <c r="B1439" s="105"/>
      <c r="C1439" s="176"/>
      <c r="D1439" s="1"/>
      <c r="E1439" s="177"/>
      <c r="F1439" s="1"/>
      <c r="G1439" s="1"/>
    </row>
    <row r="1440" spans="1:7">
      <c r="A1440" s="10"/>
      <c r="B1440" s="105"/>
      <c r="C1440" s="176"/>
      <c r="D1440" s="1"/>
      <c r="E1440" s="177"/>
      <c r="F1440" s="1"/>
      <c r="G1440" s="1"/>
    </row>
    <row r="1441" spans="1:7">
      <c r="A1441" s="10"/>
      <c r="B1441" s="105"/>
      <c r="C1441" s="176"/>
      <c r="D1441" s="1"/>
      <c r="E1441" s="177"/>
      <c r="F1441" s="1"/>
      <c r="G1441" s="1"/>
    </row>
    <row r="1442" spans="1:7">
      <c r="A1442" s="10"/>
      <c r="B1442" s="105"/>
      <c r="C1442" s="176"/>
      <c r="D1442" s="1"/>
      <c r="E1442" s="177"/>
      <c r="F1442" s="1"/>
      <c r="G1442" s="1"/>
    </row>
    <row r="1443" spans="1:7">
      <c r="A1443" s="10"/>
      <c r="B1443" s="105"/>
      <c r="C1443" s="176"/>
      <c r="D1443" s="1"/>
      <c r="E1443" s="177"/>
      <c r="F1443" s="1"/>
      <c r="G1443" s="1"/>
    </row>
    <row r="1444" spans="1:7">
      <c r="A1444" s="10"/>
      <c r="B1444" s="105"/>
      <c r="C1444" s="176"/>
      <c r="D1444" s="1"/>
      <c r="E1444" s="177"/>
      <c r="F1444" s="1"/>
      <c r="G1444" s="1"/>
    </row>
    <row r="1445" spans="1:7">
      <c r="A1445" s="10"/>
      <c r="B1445" s="105"/>
      <c r="C1445" s="176"/>
      <c r="D1445" s="1"/>
      <c r="E1445" s="177"/>
      <c r="F1445" s="1"/>
      <c r="G1445" s="1"/>
    </row>
    <row r="1446" spans="1:7">
      <c r="A1446" s="10"/>
      <c r="B1446" s="105"/>
      <c r="C1446" s="176"/>
      <c r="D1446" s="1"/>
      <c r="E1446" s="177"/>
      <c r="F1446" s="1"/>
      <c r="G1446" s="1"/>
    </row>
    <row r="1447" spans="1:7">
      <c r="A1447" s="10"/>
      <c r="B1447" s="105"/>
      <c r="C1447" s="176"/>
      <c r="D1447" s="1"/>
      <c r="E1447" s="177"/>
      <c r="F1447" s="1"/>
      <c r="G1447" s="1"/>
    </row>
    <row r="1448" spans="1:7">
      <c r="A1448" s="10"/>
      <c r="B1448" s="105"/>
      <c r="C1448" s="176"/>
      <c r="D1448" s="1"/>
      <c r="E1448" s="177"/>
      <c r="F1448" s="1"/>
      <c r="G1448" s="1"/>
    </row>
    <row r="1449" spans="1:7">
      <c r="A1449" s="10"/>
      <c r="B1449" s="105"/>
      <c r="C1449" s="176"/>
      <c r="D1449" s="1"/>
      <c r="E1449" s="177"/>
      <c r="F1449" s="1"/>
      <c r="G1449" s="1"/>
    </row>
    <row r="1450" spans="1:7">
      <c r="A1450" s="10"/>
      <c r="B1450" s="105"/>
      <c r="C1450" s="176"/>
      <c r="D1450" s="1"/>
      <c r="E1450" s="177"/>
      <c r="F1450" s="1"/>
      <c r="G1450" s="1"/>
    </row>
    <row r="1451" spans="1:7">
      <c r="A1451" s="10"/>
      <c r="B1451" s="105"/>
      <c r="C1451" s="176"/>
      <c r="D1451" s="1"/>
      <c r="E1451" s="177"/>
      <c r="F1451" s="1"/>
      <c r="G1451" s="1"/>
    </row>
    <row r="1452" spans="1:7">
      <c r="A1452" s="10"/>
      <c r="B1452" s="105"/>
      <c r="C1452" s="176"/>
      <c r="D1452" s="1"/>
      <c r="E1452" s="177"/>
      <c r="F1452" s="1"/>
      <c r="G1452" s="1"/>
    </row>
    <row r="1453" spans="1:7">
      <c r="A1453" s="10"/>
      <c r="B1453" s="105"/>
      <c r="C1453" s="176"/>
      <c r="D1453" s="1"/>
      <c r="E1453" s="177"/>
      <c r="F1453" s="1"/>
      <c r="G1453" s="1"/>
    </row>
    <row r="1454" spans="1:7">
      <c r="A1454" s="10"/>
      <c r="B1454" s="105"/>
      <c r="C1454" s="176"/>
      <c r="D1454" s="1"/>
      <c r="E1454" s="177"/>
      <c r="F1454" s="1"/>
      <c r="G1454" s="1"/>
    </row>
    <row r="1455" spans="1:7">
      <c r="A1455" s="10"/>
      <c r="B1455" s="105"/>
      <c r="C1455" s="176"/>
      <c r="D1455" s="1"/>
      <c r="E1455" s="177"/>
      <c r="F1455" s="1"/>
      <c r="G1455" s="1"/>
    </row>
    <row r="1456" spans="1:7">
      <c r="A1456" s="10"/>
      <c r="B1456" s="105"/>
      <c r="C1456" s="176"/>
      <c r="D1456" s="1"/>
      <c r="E1456" s="177"/>
      <c r="F1456" s="1"/>
      <c r="G1456" s="1"/>
    </row>
    <row r="1457" spans="1:7">
      <c r="A1457" s="10"/>
      <c r="B1457" s="105"/>
      <c r="C1457" s="176"/>
      <c r="D1457" s="1"/>
      <c r="E1457" s="177"/>
      <c r="F1457" s="1"/>
      <c r="G1457" s="1"/>
    </row>
    <row r="1458" spans="1:7">
      <c r="A1458" s="10"/>
      <c r="B1458" s="105"/>
      <c r="C1458" s="176"/>
      <c r="D1458" s="1"/>
      <c r="E1458" s="177"/>
      <c r="F1458" s="1"/>
      <c r="G1458" s="1"/>
    </row>
    <row r="1459" spans="1:7">
      <c r="A1459" s="10"/>
      <c r="B1459" s="105"/>
      <c r="C1459" s="176"/>
      <c r="D1459" s="1"/>
      <c r="E1459" s="177"/>
      <c r="F1459" s="1"/>
      <c r="G1459" s="1"/>
    </row>
    <row r="1460" spans="1:7">
      <c r="A1460" s="10"/>
      <c r="B1460" s="105"/>
      <c r="C1460" s="176"/>
      <c r="D1460" s="1"/>
      <c r="E1460" s="177"/>
      <c r="F1460" s="1"/>
      <c r="G1460" s="1"/>
    </row>
    <row r="1461" spans="1:7">
      <c r="A1461" s="10"/>
      <c r="B1461" s="105"/>
      <c r="C1461" s="176"/>
      <c r="D1461" s="1"/>
      <c r="E1461" s="177"/>
      <c r="F1461" s="1"/>
      <c r="G1461" s="1"/>
    </row>
    <row r="1462" spans="1:7">
      <c r="A1462" s="10"/>
      <c r="B1462" s="105"/>
      <c r="C1462" s="176"/>
      <c r="D1462" s="1"/>
      <c r="E1462" s="177"/>
      <c r="F1462" s="1"/>
      <c r="G1462" s="1"/>
    </row>
    <row r="1463" spans="1:7">
      <c r="A1463" s="10"/>
      <c r="B1463" s="105"/>
      <c r="C1463" s="176"/>
      <c r="D1463" s="1"/>
      <c r="E1463" s="177"/>
      <c r="F1463" s="1"/>
      <c r="G1463" s="1"/>
    </row>
    <row r="1464" spans="1:7">
      <c r="A1464" s="10"/>
      <c r="B1464" s="105"/>
      <c r="C1464" s="176"/>
      <c r="D1464" s="1"/>
      <c r="E1464" s="177"/>
      <c r="F1464" s="1"/>
      <c r="G1464" s="1"/>
    </row>
    <row r="1465" spans="1:7">
      <c r="A1465" s="10"/>
      <c r="B1465" s="105"/>
      <c r="C1465" s="176"/>
      <c r="D1465" s="1"/>
      <c r="E1465" s="177"/>
      <c r="F1465" s="1"/>
      <c r="G1465" s="1"/>
    </row>
    <row r="1466" spans="1:7">
      <c r="A1466" s="10"/>
      <c r="B1466" s="105"/>
      <c r="C1466" s="176"/>
      <c r="D1466" s="1"/>
      <c r="E1466" s="177"/>
      <c r="F1466" s="1"/>
      <c r="G1466" s="1"/>
    </row>
    <row r="1467" spans="1:7">
      <c r="A1467" s="10"/>
      <c r="B1467" s="105"/>
      <c r="C1467" s="176"/>
      <c r="D1467" s="1"/>
      <c r="E1467" s="177"/>
      <c r="F1467" s="1"/>
      <c r="G1467" s="1"/>
    </row>
    <row r="1468" spans="1:7">
      <c r="A1468" s="10"/>
      <c r="B1468" s="105"/>
      <c r="C1468" s="176"/>
      <c r="D1468" s="1"/>
      <c r="E1468" s="177"/>
      <c r="F1468" s="1"/>
      <c r="G1468" s="1"/>
    </row>
    <row r="1469" spans="1:7">
      <c r="A1469" s="10"/>
      <c r="B1469" s="105"/>
      <c r="C1469" s="176"/>
      <c r="D1469" s="1"/>
      <c r="E1469" s="177"/>
      <c r="F1469" s="1"/>
      <c r="G1469" s="1"/>
    </row>
    <row r="1470" spans="1:7">
      <c r="A1470" s="10"/>
      <c r="B1470" s="105"/>
      <c r="C1470" s="176"/>
      <c r="D1470" s="1"/>
      <c r="E1470" s="177"/>
      <c r="F1470" s="1"/>
      <c r="G1470" s="1"/>
    </row>
    <row r="1471" spans="1:7">
      <c r="A1471" s="10"/>
      <c r="B1471" s="105"/>
      <c r="C1471" s="176"/>
      <c r="D1471" s="1"/>
      <c r="E1471" s="177"/>
      <c r="F1471" s="1"/>
      <c r="G1471" s="1"/>
    </row>
    <row r="1472" spans="1:7">
      <c r="A1472" s="10"/>
      <c r="B1472" s="105"/>
      <c r="C1472" s="176"/>
      <c r="D1472" s="1"/>
      <c r="E1472" s="177"/>
      <c r="F1472" s="1"/>
      <c r="G1472" s="1"/>
    </row>
    <row r="1473" spans="1:7">
      <c r="A1473" s="10"/>
      <c r="B1473" s="105"/>
      <c r="C1473" s="176"/>
      <c r="D1473" s="1"/>
      <c r="E1473" s="177"/>
      <c r="F1473" s="1"/>
      <c r="G1473" s="1"/>
    </row>
    <row r="1474" spans="1:7">
      <c r="A1474" s="10"/>
      <c r="B1474" s="105"/>
      <c r="C1474" s="176"/>
      <c r="D1474" s="1"/>
      <c r="E1474" s="177"/>
      <c r="F1474" s="1"/>
      <c r="G1474" s="1"/>
    </row>
    <row r="1475" spans="1:7">
      <c r="A1475" s="10"/>
      <c r="B1475" s="105"/>
      <c r="C1475" s="176"/>
      <c r="D1475" s="1"/>
      <c r="E1475" s="177"/>
      <c r="F1475" s="1"/>
      <c r="G1475" s="1"/>
    </row>
    <row r="1476" spans="1:7">
      <c r="A1476" s="10"/>
      <c r="B1476" s="105"/>
      <c r="C1476" s="176"/>
      <c r="D1476" s="1"/>
      <c r="E1476" s="177"/>
      <c r="F1476" s="1"/>
      <c r="G1476" s="1"/>
    </row>
    <row r="1477" spans="1:7">
      <c r="A1477" s="10"/>
      <c r="B1477" s="105"/>
      <c r="C1477" s="176"/>
      <c r="D1477" s="1"/>
      <c r="E1477" s="177"/>
      <c r="F1477" s="1"/>
      <c r="G1477" s="1"/>
    </row>
    <row r="1478" spans="1:7">
      <c r="A1478" s="10"/>
      <c r="B1478" s="105"/>
      <c r="C1478" s="176"/>
      <c r="D1478" s="1"/>
      <c r="E1478" s="177"/>
      <c r="F1478" s="1"/>
      <c r="G1478" s="1"/>
    </row>
    <row r="1479" spans="1:7">
      <c r="A1479" s="10"/>
      <c r="B1479" s="105"/>
      <c r="C1479" s="176"/>
      <c r="D1479" s="1"/>
      <c r="E1479" s="177"/>
      <c r="F1479" s="1"/>
      <c r="G1479" s="1"/>
    </row>
    <row r="1480" spans="1:7">
      <c r="A1480" s="10"/>
      <c r="B1480" s="105"/>
      <c r="C1480" s="176"/>
      <c r="D1480" s="1"/>
      <c r="E1480" s="177"/>
      <c r="F1480" s="1"/>
      <c r="G1480" s="1"/>
    </row>
    <row r="1481" spans="1:7">
      <c r="A1481" s="10"/>
      <c r="B1481" s="105"/>
      <c r="C1481" s="176"/>
      <c r="D1481" s="1"/>
      <c r="E1481" s="177"/>
      <c r="F1481" s="1"/>
      <c r="G1481" s="1"/>
    </row>
    <row r="1482" spans="1:7">
      <c r="A1482" s="10"/>
      <c r="B1482" s="105"/>
      <c r="C1482" s="176"/>
      <c r="D1482" s="1"/>
      <c r="E1482" s="177"/>
      <c r="F1482" s="1"/>
      <c r="G1482" s="1"/>
    </row>
    <row r="1483" spans="1:7">
      <c r="A1483" s="10"/>
      <c r="B1483" s="105"/>
      <c r="C1483" s="176"/>
      <c r="D1483" s="1"/>
      <c r="E1483" s="177"/>
      <c r="F1483" s="1"/>
      <c r="G1483" s="1"/>
    </row>
    <row r="1484" spans="1:7">
      <c r="A1484" s="10"/>
      <c r="B1484" s="105"/>
      <c r="C1484" s="176"/>
      <c r="D1484" s="1"/>
      <c r="E1484" s="177"/>
      <c r="F1484" s="1"/>
      <c r="G1484" s="1"/>
    </row>
    <row r="1485" spans="1:7">
      <c r="A1485" s="10"/>
      <c r="B1485" s="105"/>
      <c r="C1485" s="176"/>
      <c r="D1485" s="1"/>
      <c r="E1485" s="177"/>
      <c r="F1485" s="1"/>
      <c r="G1485" s="1"/>
    </row>
    <row r="1486" spans="1:7">
      <c r="A1486" s="10"/>
      <c r="B1486" s="105"/>
      <c r="C1486" s="176"/>
      <c r="D1486" s="1"/>
      <c r="E1486" s="177"/>
      <c r="F1486" s="1"/>
      <c r="G1486" s="1"/>
    </row>
    <row r="1487" spans="1:7">
      <c r="A1487" s="10"/>
      <c r="B1487" s="105"/>
      <c r="C1487" s="176"/>
      <c r="D1487" s="1"/>
      <c r="E1487" s="177"/>
      <c r="F1487" s="1"/>
      <c r="G1487" s="1"/>
    </row>
    <row r="1488" spans="1:7">
      <c r="A1488" s="10"/>
      <c r="B1488" s="105"/>
      <c r="C1488" s="176"/>
      <c r="D1488" s="1"/>
      <c r="E1488" s="177"/>
      <c r="F1488" s="1"/>
      <c r="G1488" s="1"/>
    </row>
    <row r="1489" spans="1:7">
      <c r="A1489" s="10"/>
      <c r="B1489" s="105"/>
      <c r="C1489" s="176"/>
      <c r="D1489" s="1"/>
      <c r="E1489" s="177"/>
      <c r="F1489" s="1"/>
      <c r="G1489" s="1"/>
    </row>
    <row r="1490" spans="1:7">
      <c r="A1490" s="10"/>
      <c r="B1490" s="105"/>
      <c r="C1490" s="176"/>
      <c r="D1490" s="1"/>
      <c r="E1490" s="177"/>
      <c r="F1490" s="1"/>
      <c r="G1490" s="1"/>
    </row>
    <row r="1491" spans="1:7">
      <c r="A1491" s="10"/>
      <c r="B1491" s="105"/>
      <c r="C1491" s="176"/>
      <c r="D1491" s="1"/>
      <c r="E1491" s="177"/>
      <c r="F1491" s="1"/>
      <c r="G1491" s="1"/>
    </row>
    <row r="1492" spans="1:7">
      <c r="A1492" s="10"/>
      <c r="B1492" s="105"/>
      <c r="C1492" s="176"/>
      <c r="D1492" s="1"/>
      <c r="E1492" s="177"/>
      <c r="F1492" s="1"/>
      <c r="G1492" s="1"/>
    </row>
    <row r="1493" spans="1:7">
      <c r="A1493" s="10"/>
      <c r="B1493" s="105"/>
      <c r="C1493" s="176"/>
      <c r="D1493" s="1"/>
      <c r="E1493" s="177"/>
      <c r="F1493" s="1"/>
      <c r="G1493" s="1"/>
    </row>
    <row r="1494" spans="1:7">
      <c r="A1494" s="10"/>
      <c r="B1494" s="105"/>
      <c r="C1494" s="176"/>
      <c r="D1494" s="1"/>
      <c r="E1494" s="177"/>
      <c r="F1494" s="1"/>
      <c r="G1494" s="1"/>
    </row>
    <row r="1495" spans="1:7">
      <c r="A1495" s="10"/>
      <c r="B1495" s="105"/>
      <c r="C1495" s="176"/>
      <c r="D1495" s="1"/>
      <c r="E1495" s="177"/>
      <c r="F1495" s="1"/>
      <c r="G1495" s="1"/>
    </row>
    <row r="1496" spans="1:7">
      <c r="A1496" s="10"/>
      <c r="B1496" s="105"/>
      <c r="C1496" s="176"/>
      <c r="D1496" s="1"/>
      <c r="E1496" s="177"/>
      <c r="F1496" s="1"/>
      <c r="G1496" s="1"/>
    </row>
    <row r="1497" spans="1:7">
      <c r="A1497" s="10"/>
      <c r="B1497" s="105"/>
      <c r="C1497" s="176"/>
      <c r="D1497" s="1"/>
      <c r="E1497" s="177"/>
      <c r="F1497" s="1"/>
      <c r="G1497" s="1"/>
    </row>
    <row r="1498" spans="1:7">
      <c r="A1498" s="10"/>
      <c r="B1498" s="105"/>
      <c r="C1498" s="176"/>
      <c r="D1498" s="1"/>
      <c r="E1498" s="177"/>
      <c r="F1498" s="1"/>
      <c r="G1498" s="1"/>
    </row>
    <row r="1499" spans="1:7">
      <c r="A1499" s="10"/>
      <c r="B1499" s="105"/>
      <c r="C1499" s="176"/>
      <c r="D1499" s="1"/>
      <c r="E1499" s="177"/>
      <c r="F1499" s="1"/>
      <c r="G1499" s="1"/>
    </row>
    <row r="1500" spans="1:7">
      <c r="A1500" s="10"/>
      <c r="B1500" s="105"/>
      <c r="C1500" s="176"/>
      <c r="D1500" s="1"/>
      <c r="E1500" s="177"/>
      <c r="F1500" s="1"/>
      <c r="G1500" s="1"/>
    </row>
    <row r="1501" spans="1:7">
      <c r="A1501" s="10"/>
      <c r="B1501" s="105"/>
      <c r="C1501" s="176"/>
      <c r="D1501" s="1"/>
      <c r="E1501" s="177"/>
      <c r="F1501" s="1"/>
      <c r="G1501" s="1"/>
    </row>
    <row r="1502" spans="1:7">
      <c r="A1502" s="10"/>
      <c r="B1502" s="105"/>
      <c r="C1502" s="176"/>
      <c r="D1502" s="1"/>
      <c r="E1502" s="177"/>
      <c r="F1502" s="1"/>
      <c r="G1502" s="1"/>
    </row>
    <row r="1503" spans="1:7">
      <c r="A1503" s="10"/>
      <c r="B1503" s="105"/>
      <c r="C1503" s="176"/>
      <c r="D1503" s="1"/>
      <c r="E1503" s="177"/>
      <c r="F1503" s="1"/>
      <c r="G1503" s="1"/>
    </row>
    <row r="1504" spans="1:7">
      <c r="A1504" s="10"/>
      <c r="B1504" s="105"/>
      <c r="C1504" s="176"/>
      <c r="D1504" s="1"/>
      <c r="E1504" s="177"/>
      <c r="F1504" s="1"/>
      <c r="G1504" s="1"/>
    </row>
    <row r="1505" spans="1:7">
      <c r="A1505" s="10"/>
      <c r="B1505" s="105"/>
      <c r="C1505" s="176"/>
      <c r="D1505" s="1"/>
      <c r="E1505" s="177"/>
      <c r="F1505" s="1"/>
      <c r="G1505" s="1"/>
    </row>
    <row r="1506" spans="1:7">
      <c r="A1506" s="10"/>
      <c r="B1506" s="105"/>
      <c r="C1506" s="176"/>
      <c r="D1506" s="1"/>
      <c r="E1506" s="177"/>
      <c r="F1506" s="1"/>
      <c r="G1506" s="1"/>
    </row>
    <row r="1507" spans="1:7">
      <c r="A1507" s="10"/>
      <c r="B1507" s="105"/>
      <c r="C1507" s="176"/>
      <c r="D1507" s="1"/>
      <c r="E1507" s="177"/>
      <c r="F1507" s="1"/>
      <c r="G1507" s="1"/>
    </row>
    <row r="1508" spans="1:7">
      <c r="A1508" s="10"/>
      <c r="B1508" s="105"/>
      <c r="C1508" s="176"/>
      <c r="D1508" s="1"/>
      <c r="E1508" s="177"/>
      <c r="F1508" s="1"/>
      <c r="G1508" s="1"/>
    </row>
    <row r="1509" spans="1:7">
      <c r="A1509" s="10"/>
      <c r="B1509" s="105"/>
      <c r="C1509" s="176"/>
      <c r="D1509" s="1"/>
      <c r="E1509" s="177"/>
      <c r="F1509" s="1"/>
      <c r="G1509" s="1"/>
    </row>
    <row r="1510" spans="1:7">
      <c r="A1510" s="10"/>
      <c r="B1510" s="105"/>
      <c r="C1510" s="176"/>
      <c r="D1510" s="1"/>
      <c r="E1510" s="177"/>
      <c r="F1510" s="1"/>
      <c r="G1510" s="1"/>
    </row>
    <row r="1511" spans="1:7">
      <c r="A1511" s="10"/>
      <c r="B1511" s="105"/>
      <c r="C1511" s="176"/>
      <c r="D1511" s="1"/>
      <c r="E1511" s="177"/>
      <c r="F1511" s="1"/>
      <c r="G1511" s="1"/>
    </row>
    <row r="1512" spans="1:7">
      <c r="A1512" s="10"/>
      <c r="B1512" s="105"/>
      <c r="C1512" s="176"/>
      <c r="D1512" s="1"/>
      <c r="E1512" s="177"/>
      <c r="F1512" s="1"/>
      <c r="G1512" s="1"/>
    </row>
    <row r="1513" spans="1:7">
      <c r="A1513" s="10"/>
      <c r="B1513" s="105"/>
      <c r="C1513" s="176"/>
      <c r="D1513" s="1"/>
      <c r="E1513" s="177"/>
      <c r="F1513" s="1"/>
      <c r="G1513" s="1"/>
    </row>
    <row r="1514" spans="1:7">
      <c r="A1514" s="10"/>
      <c r="B1514" s="105"/>
      <c r="C1514" s="176"/>
      <c r="D1514" s="1"/>
      <c r="E1514" s="177"/>
      <c r="F1514" s="1"/>
      <c r="G1514" s="1"/>
    </row>
    <row r="1515" spans="1:7">
      <c r="A1515" s="10"/>
      <c r="B1515" s="105"/>
      <c r="C1515" s="176"/>
      <c r="D1515" s="1"/>
      <c r="E1515" s="177"/>
      <c r="F1515" s="1"/>
      <c r="G1515" s="1"/>
    </row>
    <row r="1516" spans="1:7">
      <c r="A1516" s="10"/>
      <c r="B1516" s="105"/>
      <c r="C1516" s="176"/>
      <c r="D1516" s="1"/>
      <c r="E1516" s="177"/>
      <c r="F1516" s="1"/>
      <c r="G1516" s="1"/>
    </row>
    <row r="1517" spans="1:7">
      <c r="A1517" s="10"/>
      <c r="B1517" s="105"/>
      <c r="C1517" s="176"/>
      <c r="D1517" s="1"/>
      <c r="E1517" s="177"/>
      <c r="F1517" s="1"/>
      <c r="G1517" s="1"/>
    </row>
    <row r="1518" spans="1:7">
      <c r="A1518" s="10"/>
      <c r="B1518" s="105"/>
      <c r="C1518" s="176"/>
      <c r="D1518" s="1"/>
      <c r="E1518" s="177"/>
      <c r="F1518" s="1"/>
      <c r="G1518" s="1"/>
    </row>
    <row r="1519" spans="1:7">
      <c r="A1519" s="10"/>
      <c r="B1519" s="105"/>
      <c r="C1519" s="176"/>
      <c r="D1519" s="1"/>
      <c r="E1519" s="177"/>
      <c r="F1519" s="1"/>
      <c r="G1519" s="1"/>
    </row>
    <row r="1520" spans="1:7">
      <c r="A1520" s="10"/>
      <c r="B1520" s="105"/>
      <c r="C1520" s="176"/>
      <c r="D1520" s="1"/>
      <c r="E1520" s="177"/>
      <c r="F1520" s="1"/>
      <c r="G1520" s="1"/>
    </row>
    <row r="1521" spans="1:7">
      <c r="A1521" s="10"/>
      <c r="B1521" s="105"/>
      <c r="C1521" s="176"/>
      <c r="D1521" s="1"/>
      <c r="E1521" s="177"/>
      <c r="F1521" s="1"/>
      <c r="G1521" s="1"/>
    </row>
    <row r="1522" spans="1:7">
      <c r="A1522" s="10"/>
      <c r="B1522" s="105"/>
      <c r="C1522" s="176"/>
      <c r="D1522" s="1"/>
      <c r="E1522" s="177"/>
      <c r="F1522" s="1"/>
      <c r="G1522" s="1"/>
    </row>
    <row r="1523" spans="1:7">
      <c r="A1523" s="10"/>
      <c r="B1523" s="105"/>
      <c r="C1523" s="176"/>
      <c r="D1523" s="1"/>
      <c r="E1523" s="177"/>
      <c r="F1523" s="1"/>
      <c r="G1523" s="1"/>
    </row>
    <row r="1524" spans="1:7">
      <c r="A1524" s="10"/>
      <c r="B1524" s="105"/>
      <c r="C1524" s="176"/>
      <c r="D1524" s="1"/>
      <c r="E1524" s="177"/>
      <c r="F1524" s="1"/>
      <c r="G1524" s="1"/>
    </row>
    <row r="1525" spans="1:7">
      <c r="A1525" s="10"/>
      <c r="B1525" s="105"/>
      <c r="C1525" s="176"/>
      <c r="D1525" s="1"/>
      <c r="E1525" s="177"/>
      <c r="F1525" s="1"/>
      <c r="G1525" s="1"/>
    </row>
    <row r="1526" spans="1:7">
      <c r="A1526" s="10"/>
      <c r="B1526" s="105"/>
      <c r="C1526" s="176"/>
      <c r="D1526" s="1"/>
      <c r="E1526" s="177"/>
      <c r="F1526" s="1"/>
      <c r="G1526" s="1"/>
    </row>
    <row r="1527" spans="1:7">
      <c r="A1527" s="10"/>
      <c r="B1527" s="105"/>
      <c r="C1527" s="176"/>
      <c r="D1527" s="1"/>
      <c r="E1527" s="177"/>
      <c r="F1527" s="1"/>
      <c r="G1527" s="1"/>
    </row>
    <row r="1528" spans="1:7">
      <c r="A1528" s="10"/>
      <c r="B1528" s="105"/>
      <c r="C1528" s="176"/>
      <c r="D1528" s="1"/>
      <c r="E1528" s="177"/>
      <c r="F1528" s="1"/>
      <c r="G1528" s="1"/>
    </row>
    <row r="1529" spans="1:7">
      <c r="A1529" s="10"/>
      <c r="B1529" s="105"/>
      <c r="C1529" s="176"/>
      <c r="D1529" s="1"/>
      <c r="E1529" s="177"/>
      <c r="F1529" s="1"/>
      <c r="G1529" s="1"/>
    </row>
    <row r="1530" spans="1:7">
      <c r="A1530" s="10"/>
      <c r="B1530" s="105"/>
      <c r="C1530" s="176"/>
      <c r="D1530" s="1"/>
      <c r="E1530" s="177"/>
      <c r="F1530" s="1"/>
      <c r="G1530" s="1"/>
    </row>
    <row r="1531" spans="1:7">
      <c r="A1531" s="10"/>
      <c r="B1531" s="105"/>
      <c r="C1531" s="176"/>
      <c r="D1531" s="1"/>
      <c r="E1531" s="177"/>
      <c r="F1531" s="1"/>
      <c r="G1531" s="1"/>
    </row>
    <row r="1532" spans="1:7">
      <c r="A1532" s="10"/>
      <c r="B1532" s="105"/>
      <c r="C1532" s="176"/>
      <c r="D1532" s="1"/>
      <c r="E1532" s="177"/>
      <c r="F1532" s="1"/>
      <c r="G1532" s="1"/>
    </row>
    <row r="1533" spans="1:7">
      <c r="A1533" s="10"/>
      <c r="B1533" s="105"/>
      <c r="C1533" s="176"/>
      <c r="D1533" s="1"/>
      <c r="E1533" s="177"/>
      <c r="F1533" s="1"/>
      <c r="G1533" s="1"/>
    </row>
    <row r="1534" spans="1:7">
      <c r="A1534" s="10"/>
      <c r="B1534" s="105"/>
      <c r="C1534" s="176"/>
      <c r="D1534" s="1"/>
      <c r="E1534" s="177"/>
      <c r="F1534" s="1"/>
      <c r="G1534" s="1"/>
    </row>
    <row r="1535" spans="1:7">
      <c r="A1535" s="10"/>
      <c r="B1535" s="105"/>
      <c r="C1535" s="176"/>
      <c r="D1535" s="1"/>
      <c r="E1535" s="177"/>
      <c r="F1535" s="1"/>
      <c r="G1535" s="1"/>
    </row>
    <row r="1536" spans="1:7">
      <c r="A1536" s="10"/>
      <c r="B1536" s="105"/>
      <c r="C1536" s="176"/>
      <c r="D1536" s="1"/>
      <c r="E1536" s="177"/>
      <c r="F1536" s="1"/>
      <c r="G1536" s="1"/>
    </row>
    <row r="1537" spans="1:7">
      <c r="A1537" s="10"/>
      <c r="B1537" s="105"/>
      <c r="C1537" s="176"/>
      <c r="D1537" s="1"/>
      <c r="E1537" s="177"/>
      <c r="F1537" s="1"/>
      <c r="G1537" s="1"/>
    </row>
    <row r="1538" spans="1:7">
      <c r="A1538" s="10"/>
      <c r="B1538" s="105"/>
      <c r="C1538" s="176"/>
      <c r="D1538" s="1"/>
      <c r="E1538" s="177"/>
      <c r="F1538" s="1"/>
      <c r="G1538" s="1"/>
    </row>
    <row r="1539" spans="1:7">
      <c r="A1539" s="10"/>
      <c r="B1539" s="105"/>
      <c r="C1539" s="176"/>
      <c r="D1539" s="1"/>
      <c r="E1539" s="177"/>
      <c r="F1539" s="1"/>
      <c r="G1539" s="1"/>
    </row>
    <row r="1540" spans="1:7">
      <c r="A1540" s="10"/>
      <c r="B1540" s="105"/>
      <c r="C1540" s="176"/>
      <c r="D1540" s="1"/>
      <c r="E1540" s="177"/>
      <c r="F1540" s="1"/>
      <c r="G1540" s="1"/>
    </row>
    <row r="1541" spans="1:7">
      <c r="A1541" s="10"/>
      <c r="B1541" s="105"/>
      <c r="C1541" s="176"/>
      <c r="D1541" s="1"/>
      <c r="E1541" s="177"/>
      <c r="F1541" s="1"/>
      <c r="G1541" s="1"/>
    </row>
    <row r="1542" spans="1:7">
      <c r="A1542" s="10"/>
      <c r="B1542" s="105"/>
      <c r="C1542" s="176"/>
      <c r="D1542" s="1"/>
      <c r="E1542" s="177"/>
      <c r="F1542" s="1"/>
      <c r="G1542" s="1"/>
    </row>
    <row r="1543" spans="1:7">
      <c r="A1543" s="10"/>
      <c r="B1543" s="105"/>
      <c r="C1543" s="176"/>
      <c r="D1543" s="1"/>
      <c r="E1543" s="177"/>
      <c r="F1543" s="1"/>
      <c r="G1543" s="1"/>
    </row>
    <row r="1544" spans="1:7">
      <c r="A1544" s="10"/>
      <c r="B1544" s="105"/>
      <c r="C1544" s="176"/>
      <c r="D1544" s="1"/>
      <c r="E1544" s="177"/>
      <c r="F1544" s="1"/>
      <c r="G1544" s="1"/>
    </row>
    <row r="1545" spans="1:7">
      <c r="A1545" s="10"/>
      <c r="B1545" s="105"/>
      <c r="C1545" s="176"/>
      <c r="D1545" s="1"/>
      <c r="E1545" s="177"/>
      <c r="F1545" s="1"/>
      <c r="G1545" s="1"/>
    </row>
    <row r="1546" spans="1:7">
      <c r="A1546" s="10"/>
      <c r="B1546" s="105"/>
      <c r="C1546" s="176"/>
      <c r="D1546" s="1"/>
      <c r="E1546" s="177"/>
      <c r="F1546" s="1"/>
      <c r="G1546" s="1"/>
    </row>
    <row r="1547" spans="1:7">
      <c r="A1547" s="10"/>
      <c r="B1547" s="105"/>
      <c r="C1547" s="176"/>
      <c r="D1547" s="1"/>
      <c r="E1547" s="177"/>
      <c r="F1547" s="1"/>
      <c r="G1547" s="1"/>
    </row>
    <row r="1548" spans="1:7">
      <c r="A1548" s="10"/>
      <c r="B1548" s="105"/>
      <c r="C1548" s="176"/>
      <c r="D1548" s="1"/>
      <c r="E1548" s="177"/>
      <c r="F1548" s="1"/>
      <c r="G1548" s="1"/>
    </row>
    <row r="1549" spans="1:7">
      <c r="A1549" s="10"/>
      <c r="B1549" s="105"/>
      <c r="C1549" s="176"/>
      <c r="D1549" s="1"/>
      <c r="E1549" s="177"/>
      <c r="F1549" s="1"/>
      <c r="G1549" s="1"/>
    </row>
    <row r="1550" spans="1:7">
      <c r="A1550" s="10"/>
      <c r="B1550" s="105"/>
      <c r="C1550" s="176"/>
      <c r="D1550" s="1"/>
      <c r="E1550" s="177"/>
      <c r="F1550" s="1"/>
      <c r="G1550" s="1"/>
    </row>
    <row r="1551" spans="1:7">
      <c r="A1551" s="10"/>
      <c r="B1551" s="105"/>
      <c r="C1551" s="176"/>
      <c r="D1551" s="1"/>
      <c r="E1551" s="177"/>
      <c r="F1551" s="1"/>
      <c r="G1551" s="1"/>
    </row>
    <row r="1552" spans="1:7">
      <c r="A1552" s="10"/>
      <c r="B1552" s="105"/>
      <c r="C1552" s="176"/>
      <c r="D1552" s="1"/>
      <c r="E1552" s="177"/>
      <c r="F1552" s="1"/>
      <c r="G1552" s="1"/>
    </row>
    <row r="1553" spans="1:7">
      <c r="A1553" s="10"/>
      <c r="B1553" s="105"/>
      <c r="C1553" s="176"/>
      <c r="D1553" s="1"/>
      <c r="E1553" s="177"/>
      <c r="F1553" s="1"/>
      <c r="G1553" s="1"/>
    </row>
    <row r="1554" spans="1:7">
      <c r="A1554" s="10"/>
      <c r="B1554" s="105"/>
      <c r="C1554" s="176"/>
      <c r="D1554" s="1"/>
      <c r="E1554" s="177"/>
      <c r="F1554" s="1"/>
      <c r="G1554" s="1"/>
    </row>
    <row r="1555" spans="1:7">
      <c r="A1555" s="10"/>
      <c r="B1555" s="105"/>
      <c r="C1555" s="176"/>
      <c r="D1555" s="1"/>
      <c r="E1555" s="177"/>
      <c r="F1555" s="1"/>
      <c r="G1555" s="1"/>
    </row>
    <row r="1556" spans="1:7">
      <c r="A1556" s="10"/>
      <c r="B1556" s="105"/>
      <c r="C1556" s="176"/>
      <c r="D1556" s="1"/>
      <c r="E1556" s="177"/>
      <c r="F1556" s="1"/>
      <c r="G1556" s="1"/>
    </row>
    <row r="1557" spans="1:7">
      <c r="A1557" s="10"/>
      <c r="B1557" s="105"/>
      <c r="C1557" s="176"/>
      <c r="D1557" s="1"/>
      <c r="E1557" s="177"/>
      <c r="F1557" s="1"/>
      <c r="G1557" s="1"/>
    </row>
    <row r="1558" spans="1:7">
      <c r="A1558" s="10"/>
      <c r="B1558" s="105"/>
      <c r="C1558" s="176"/>
      <c r="D1558" s="1"/>
      <c r="E1558" s="177"/>
      <c r="F1558" s="1"/>
      <c r="G1558" s="1"/>
    </row>
    <row r="1559" spans="1:7">
      <c r="A1559" s="10"/>
      <c r="B1559" s="105"/>
      <c r="C1559" s="176"/>
      <c r="D1559" s="1"/>
      <c r="E1559" s="177"/>
      <c r="F1559" s="1"/>
      <c r="G1559" s="1"/>
    </row>
    <row r="1560" spans="1:7">
      <c r="A1560" s="10"/>
      <c r="B1560" s="105"/>
      <c r="C1560" s="176"/>
      <c r="D1560" s="1"/>
      <c r="E1560" s="177"/>
      <c r="F1560" s="1"/>
      <c r="G1560" s="1"/>
    </row>
    <row r="1561" spans="1:7">
      <c r="A1561" s="10"/>
      <c r="B1561" s="105"/>
      <c r="C1561" s="176"/>
      <c r="D1561" s="1"/>
      <c r="E1561" s="177"/>
      <c r="F1561" s="1"/>
      <c r="G1561" s="1"/>
    </row>
    <row r="1562" spans="1:7">
      <c r="A1562" s="10"/>
      <c r="B1562" s="105"/>
      <c r="C1562" s="176"/>
      <c r="D1562" s="1"/>
      <c r="E1562" s="177"/>
      <c r="F1562" s="1"/>
      <c r="G1562" s="1"/>
    </row>
    <row r="1563" spans="1:7">
      <c r="A1563" s="10"/>
      <c r="B1563" s="105"/>
      <c r="C1563" s="176"/>
      <c r="D1563" s="1"/>
      <c r="E1563" s="177"/>
      <c r="F1563" s="1"/>
      <c r="G1563" s="1"/>
    </row>
    <row r="1564" spans="1:7">
      <c r="A1564" s="10"/>
      <c r="B1564" s="105"/>
      <c r="C1564" s="176"/>
      <c r="D1564" s="1"/>
      <c r="E1564" s="177"/>
      <c r="F1564" s="1"/>
      <c r="G1564" s="1"/>
    </row>
    <row r="1565" spans="1:7">
      <c r="A1565" s="10"/>
      <c r="B1565" s="105"/>
      <c r="C1565" s="176"/>
      <c r="D1565" s="1"/>
      <c r="E1565" s="177"/>
      <c r="F1565" s="1"/>
      <c r="G1565" s="1"/>
    </row>
    <row r="1566" spans="1:7">
      <c r="A1566" s="10"/>
      <c r="B1566" s="105"/>
      <c r="C1566" s="176"/>
      <c r="D1566" s="1"/>
      <c r="E1566" s="177"/>
      <c r="F1566" s="1"/>
      <c r="G1566" s="1"/>
    </row>
    <row r="1567" spans="1:7">
      <c r="A1567" s="10"/>
      <c r="B1567" s="105"/>
      <c r="C1567" s="176"/>
      <c r="D1567" s="1"/>
      <c r="E1567" s="177"/>
      <c r="F1567" s="1"/>
      <c r="G1567" s="1"/>
    </row>
    <row r="1568" spans="1:7">
      <c r="A1568" s="10"/>
      <c r="B1568" s="105"/>
      <c r="C1568" s="176"/>
      <c r="D1568" s="1"/>
      <c r="E1568" s="177"/>
      <c r="F1568" s="1"/>
      <c r="G1568" s="1"/>
    </row>
    <row r="1569" spans="1:7">
      <c r="A1569" s="10"/>
      <c r="B1569" s="105"/>
      <c r="C1569" s="176"/>
      <c r="D1569" s="1"/>
      <c r="E1569" s="177"/>
      <c r="F1569" s="1"/>
      <c r="G1569" s="1"/>
    </row>
    <row r="1570" spans="1:7">
      <c r="A1570" s="10"/>
      <c r="B1570" s="105"/>
      <c r="C1570" s="176"/>
      <c r="D1570" s="1"/>
      <c r="E1570" s="177"/>
      <c r="F1570" s="1"/>
      <c r="G1570" s="1"/>
    </row>
    <row r="1571" spans="1:7">
      <c r="A1571" s="10"/>
      <c r="B1571" s="105"/>
      <c r="C1571" s="176"/>
      <c r="D1571" s="1"/>
      <c r="E1571" s="177"/>
      <c r="F1571" s="1"/>
      <c r="G1571" s="1"/>
    </row>
    <row r="1572" spans="1:7">
      <c r="A1572" s="10"/>
      <c r="B1572" s="105"/>
      <c r="C1572" s="176"/>
      <c r="D1572" s="1"/>
      <c r="E1572" s="177"/>
      <c r="F1572" s="1"/>
      <c r="G1572" s="1"/>
    </row>
    <row r="1573" spans="1:7">
      <c r="A1573" s="10"/>
      <c r="B1573" s="105"/>
      <c r="C1573" s="176"/>
      <c r="D1573" s="1"/>
      <c r="E1573" s="177"/>
      <c r="F1573" s="1"/>
      <c r="G1573" s="1"/>
    </row>
    <row r="1574" spans="1:7">
      <c r="A1574" s="10"/>
      <c r="B1574" s="105"/>
      <c r="C1574" s="176"/>
      <c r="D1574" s="1"/>
      <c r="E1574" s="177"/>
      <c r="F1574" s="1"/>
      <c r="G1574" s="1"/>
    </row>
    <row r="1575" spans="1:7">
      <c r="A1575" s="10"/>
      <c r="B1575" s="105"/>
      <c r="C1575" s="176"/>
      <c r="D1575" s="1"/>
      <c r="E1575" s="177"/>
      <c r="F1575" s="1"/>
      <c r="G1575" s="1"/>
    </row>
    <row r="1576" spans="1:7">
      <c r="A1576" s="10"/>
      <c r="B1576" s="105"/>
      <c r="C1576" s="176"/>
      <c r="D1576" s="1"/>
      <c r="E1576" s="177"/>
      <c r="F1576" s="1"/>
      <c r="G1576" s="1"/>
    </row>
    <row r="1577" spans="1:7">
      <c r="A1577" s="10"/>
      <c r="B1577" s="105"/>
      <c r="C1577" s="176"/>
      <c r="D1577" s="1"/>
      <c r="E1577" s="177"/>
      <c r="F1577" s="1"/>
      <c r="G1577" s="1"/>
    </row>
    <row r="1578" spans="1:7">
      <c r="A1578" s="10"/>
      <c r="B1578" s="105"/>
      <c r="C1578" s="176"/>
      <c r="D1578" s="1"/>
      <c r="E1578" s="177"/>
      <c r="F1578" s="1"/>
      <c r="G1578" s="1"/>
    </row>
    <row r="1579" spans="1:7">
      <c r="A1579" s="10"/>
      <c r="B1579" s="105"/>
      <c r="C1579" s="176"/>
      <c r="D1579" s="1"/>
      <c r="E1579" s="177"/>
      <c r="F1579" s="1"/>
      <c r="G1579" s="1"/>
    </row>
    <row r="1580" spans="1:7">
      <c r="A1580" s="10"/>
      <c r="B1580" s="105"/>
      <c r="C1580" s="176"/>
      <c r="D1580" s="1"/>
      <c r="E1580" s="177"/>
      <c r="F1580" s="1"/>
      <c r="G1580" s="1"/>
    </row>
    <row r="1581" spans="1:7">
      <c r="A1581" s="10"/>
      <c r="B1581" s="105"/>
      <c r="C1581" s="176"/>
      <c r="D1581" s="1"/>
      <c r="E1581" s="177"/>
      <c r="F1581" s="1"/>
      <c r="G1581" s="1"/>
    </row>
    <row r="1582" spans="1:7">
      <c r="A1582" s="10"/>
      <c r="B1582" s="105"/>
      <c r="C1582" s="176"/>
      <c r="D1582" s="1"/>
      <c r="E1582" s="177"/>
      <c r="F1582" s="1"/>
      <c r="G1582" s="1"/>
    </row>
    <row r="1583" spans="1:7">
      <c r="A1583" s="10"/>
      <c r="B1583" s="105"/>
      <c r="C1583" s="176"/>
      <c r="D1583" s="1"/>
      <c r="E1583" s="177"/>
      <c r="F1583" s="1"/>
      <c r="G1583" s="1"/>
    </row>
    <row r="1584" spans="1:7">
      <c r="A1584" s="10"/>
      <c r="B1584" s="105"/>
      <c r="C1584" s="176"/>
      <c r="D1584" s="1"/>
      <c r="E1584" s="177"/>
      <c r="F1584" s="1"/>
      <c r="G1584" s="1"/>
    </row>
    <row r="1585" spans="1:7">
      <c r="A1585" s="10"/>
      <c r="B1585" s="105"/>
      <c r="C1585" s="176"/>
      <c r="D1585" s="1"/>
      <c r="E1585" s="177"/>
      <c r="F1585" s="1"/>
      <c r="G1585" s="1"/>
    </row>
    <row r="1586" spans="1:7">
      <c r="A1586" s="10"/>
      <c r="B1586" s="105"/>
      <c r="C1586" s="176"/>
      <c r="D1586" s="1"/>
      <c r="E1586" s="177"/>
      <c r="F1586" s="1"/>
      <c r="G1586" s="1"/>
    </row>
    <row r="1587" spans="1:7">
      <c r="A1587" s="10"/>
      <c r="B1587" s="105"/>
      <c r="C1587" s="176"/>
      <c r="D1587" s="1"/>
      <c r="E1587" s="177"/>
      <c r="F1587" s="1"/>
      <c r="G1587" s="1"/>
    </row>
    <row r="1588" spans="1:7">
      <c r="A1588" s="10"/>
      <c r="B1588" s="105"/>
      <c r="C1588" s="176"/>
      <c r="D1588" s="1"/>
      <c r="E1588" s="177"/>
      <c r="F1588" s="1"/>
      <c r="G1588" s="1"/>
    </row>
    <row r="1589" spans="1:7">
      <c r="A1589" s="10"/>
      <c r="B1589" s="105"/>
      <c r="C1589" s="176"/>
      <c r="D1589" s="1"/>
      <c r="E1589" s="177"/>
      <c r="F1589" s="1"/>
      <c r="G1589" s="1"/>
    </row>
    <row r="1590" spans="1:7">
      <c r="A1590" s="10"/>
      <c r="B1590" s="105"/>
      <c r="C1590" s="176"/>
      <c r="D1590" s="1"/>
      <c r="E1590" s="177"/>
      <c r="F1590" s="1"/>
      <c r="G1590" s="1"/>
    </row>
    <row r="1591" spans="1:7">
      <c r="A1591" s="10"/>
      <c r="B1591" s="105"/>
      <c r="C1591" s="176"/>
      <c r="D1591" s="1"/>
      <c r="E1591" s="177"/>
      <c r="F1591" s="1"/>
      <c r="G1591" s="1"/>
    </row>
    <row r="1592" spans="1:7">
      <c r="A1592" s="10"/>
      <c r="B1592" s="105"/>
      <c r="C1592" s="176"/>
      <c r="D1592" s="1"/>
      <c r="E1592" s="177"/>
      <c r="F1592" s="1"/>
      <c r="G1592" s="1"/>
    </row>
    <row r="1593" spans="1:7">
      <c r="A1593" s="10"/>
      <c r="B1593" s="105"/>
      <c r="C1593" s="176"/>
      <c r="D1593" s="1"/>
      <c r="E1593" s="177"/>
      <c r="F1593" s="1"/>
      <c r="G1593" s="1"/>
    </row>
    <row r="1594" spans="1:7">
      <c r="A1594" s="10"/>
      <c r="B1594" s="105"/>
      <c r="C1594" s="176"/>
      <c r="D1594" s="1"/>
      <c r="E1594" s="177"/>
      <c r="F1594" s="1"/>
      <c r="G1594" s="1"/>
    </row>
    <row r="1595" spans="1:7">
      <c r="A1595" s="10"/>
      <c r="B1595" s="105"/>
      <c r="C1595" s="176"/>
      <c r="D1595" s="1"/>
      <c r="E1595" s="177"/>
      <c r="F1595" s="1"/>
      <c r="G1595" s="1"/>
    </row>
    <row r="1596" spans="1:7">
      <c r="A1596" s="10"/>
      <c r="B1596" s="105"/>
      <c r="C1596" s="176"/>
      <c r="D1596" s="1"/>
      <c r="E1596" s="177"/>
      <c r="F1596" s="1"/>
      <c r="G1596" s="1"/>
    </row>
    <row r="1597" spans="1:7">
      <c r="A1597" s="10"/>
      <c r="B1597" s="105"/>
      <c r="C1597" s="176"/>
      <c r="D1597" s="1"/>
      <c r="E1597" s="177"/>
      <c r="F1597" s="1"/>
      <c r="G1597" s="1"/>
    </row>
    <row r="1598" spans="1:7">
      <c r="A1598" s="10"/>
      <c r="B1598" s="105"/>
      <c r="C1598" s="176"/>
      <c r="D1598" s="1"/>
      <c r="E1598" s="177"/>
      <c r="F1598" s="1"/>
      <c r="G1598" s="1"/>
    </row>
    <row r="1599" spans="1:7">
      <c r="A1599" s="10"/>
      <c r="B1599" s="105"/>
      <c r="C1599" s="176"/>
      <c r="D1599" s="1"/>
      <c r="E1599" s="177"/>
      <c r="F1599" s="1"/>
      <c r="G1599" s="1"/>
    </row>
    <row r="1600" spans="1:7">
      <c r="A1600" s="10"/>
      <c r="B1600" s="105"/>
      <c r="C1600" s="176"/>
      <c r="D1600" s="1"/>
      <c r="E1600" s="177"/>
      <c r="F1600" s="1"/>
      <c r="G1600" s="1"/>
    </row>
    <row r="1601" spans="1:7">
      <c r="A1601" s="10"/>
      <c r="B1601" s="105"/>
      <c r="C1601" s="176"/>
      <c r="D1601" s="1"/>
      <c r="E1601" s="177"/>
      <c r="F1601" s="1"/>
      <c r="G1601" s="1"/>
    </row>
    <row r="1602" spans="1:7">
      <c r="A1602" s="10"/>
      <c r="B1602" s="105"/>
      <c r="C1602" s="176"/>
      <c r="D1602" s="1"/>
      <c r="E1602" s="177"/>
      <c r="F1602" s="1"/>
      <c r="G1602" s="1"/>
    </row>
    <row r="1603" spans="1:7">
      <c r="A1603" s="10"/>
      <c r="B1603" s="105"/>
      <c r="C1603" s="176"/>
      <c r="D1603" s="1"/>
      <c r="E1603" s="177"/>
      <c r="F1603" s="1"/>
      <c r="G1603" s="1"/>
    </row>
    <row r="1604" spans="1:7">
      <c r="A1604" s="10"/>
      <c r="B1604" s="105"/>
      <c r="C1604" s="176"/>
      <c r="D1604" s="1"/>
      <c r="E1604" s="177"/>
      <c r="F1604" s="1"/>
      <c r="G1604" s="1"/>
    </row>
    <row r="1605" spans="1:7">
      <c r="A1605" s="10"/>
      <c r="B1605" s="105"/>
      <c r="C1605" s="176"/>
      <c r="D1605" s="1"/>
      <c r="E1605" s="177"/>
      <c r="F1605" s="1"/>
      <c r="G1605" s="1"/>
    </row>
    <row r="1606" spans="1:7">
      <c r="A1606" s="10"/>
      <c r="B1606" s="105"/>
      <c r="C1606" s="176"/>
      <c r="D1606" s="1"/>
      <c r="E1606" s="177"/>
      <c r="F1606" s="1"/>
      <c r="G1606" s="1"/>
    </row>
    <row r="1607" spans="1:7">
      <c r="A1607" s="10"/>
      <c r="B1607" s="105"/>
      <c r="C1607" s="176"/>
      <c r="D1607" s="1"/>
      <c r="E1607" s="177"/>
      <c r="F1607" s="1"/>
      <c r="G1607" s="1"/>
    </row>
    <row r="1608" spans="1:7">
      <c r="A1608" s="10"/>
      <c r="B1608" s="105"/>
      <c r="C1608" s="176"/>
      <c r="D1608" s="1"/>
      <c r="E1608" s="177"/>
      <c r="F1608" s="1"/>
      <c r="G1608" s="1"/>
    </row>
    <row r="1609" spans="1:7">
      <c r="A1609" s="10"/>
      <c r="B1609" s="105"/>
      <c r="C1609" s="176"/>
      <c r="D1609" s="1"/>
      <c r="E1609" s="177"/>
      <c r="F1609" s="1"/>
      <c r="G1609" s="1"/>
    </row>
    <row r="1610" spans="1:7">
      <c r="A1610" s="10"/>
      <c r="B1610" s="105"/>
      <c r="C1610" s="176"/>
      <c r="D1610" s="1"/>
      <c r="E1610" s="177"/>
      <c r="F1610" s="1"/>
      <c r="G1610" s="1"/>
    </row>
    <row r="1611" spans="1:7">
      <c r="A1611" s="10"/>
      <c r="B1611" s="105"/>
      <c r="C1611" s="176"/>
      <c r="D1611" s="1"/>
      <c r="E1611" s="177"/>
      <c r="F1611" s="1"/>
      <c r="G1611" s="1"/>
    </row>
    <row r="1612" spans="1:7">
      <c r="A1612" s="10"/>
      <c r="B1612" s="105"/>
      <c r="C1612" s="176"/>
      <c r="D1612" s="1"/>
      <c r="E1612" s="177"/>
      <c r="F1612" s="1"/>
      <c r="G1612" s="1"/>
    </row>
    <row r="1613" spans="1:7">
      <c r="A1613" s="10"/>
      <c r="B1613" s="105"/>
      <c r="C1613" s="176"/>
      <c r="D1613" s="1"/>
      <c r="E1613" s="177"/>
      <c r="F1613" s="1"/>
      <c r="G1613" s="1"/>
    </row>
    <row r="1614" spans="1:7">
      <c r="A1614" s="10"/>
      <c r="B1614" s="105"/>
      <c r="C1614" s="176"/>
      <c r="D1614" s="1"/>
      <c r="E1614" s="177"/>
      <c r="F1614" s="1"/>
      <c r="G1614" s="1"/>
    </row>
    <row r="1615" spans="1:7">
      <c r="A1615" s="10"/>
      <c r="B1615" s="105"/>
      <c r="C1615" s="176"/>
      <c r="D1615" s="1"/>
      <c r="E1615" s="177"/>
      <c r="F1615" s="1"/>
      <c r="G1615" s="1"/>
    </row>
    <row r="1616" spans="1:7">
      <c r="A1616" s="10"/>
      <c r="B1616" s="105"/>
      <c r="C1616" s="176"/>
      <c r="D1616" s="1"/>
      <c r="E1616" s="177"/>
      <c r="F1616" s="1"/>
      <c r="G1616" s="1"/>
    </row>
    <row r="1617" spans="1:7">
      <c r="A1617" s="10"/>
      <c r="B1617" s="105"/>
      <c r="C1617" s="176"/>
      <c r="D1617" s="1"/>
      <c r="E1617" s="177"/>
      <c r="F1617" s="1"/>
      <c r="G1617" s="1"/>
    </row>
    <row r="1618" spans="1:7">
      <c r="A1618" s="10"/>
      <c r="B1618" s="105"/>
      <c r="C1618" s="176"/>
      <c r="D1618" s="1"/>
      <c r="E1618" s="177"/>
      <c r="F1618" s="1"/>
      <c r="G1618" s="1"/>
    </row>
    <row r="1619" spans="1:7">
      <c r="A1619" s="10"/>
      <c r="B1619" s="105"/>
      <c r="C1619" s="176"/>
      <c r="D1619" s="1"/>
      <c r="E1619" s="177"/>
      <c r="F1619" s="1"/>
      <c r="G1619" s="1"/>
    </row>
    <row r="1620" spans="1:7">
      <c r="A1620" s="10"/>
      <c r="B1620" s="105"/>
      <c r="C1620" s="176"/>
      <c r="D1620" s="1"/>
      <c r="E1620" s="177"/>
      <c r="F1620" s="1"/>
      <c r="G1620" s="1"/>
    </row>
    <row r="1621" spans="1:7">
      <c r="A1621" s="10"/>
      <c r="B1621" s="105"/>
      <c r="C1621" s="176"/>
      <c r="D1621" s="1"/>
      <c r="E1621" s="177"/>
      <c r="F1621" s="1"/>
      <c r="G1621" s="1"/>
    </row>
    <row r="1622" spans="1:7">
      <c r="A1622" s="10"/>
      <c r="B1622" s="105"/>
      <c r="C1622" s="176"/>
      <c r="D1622" s="1"/>
      <c r="E1622" s="177"/>
      <c r="F1622" s="1"/>
      <c r="G1622" s="1"/>
    </row>
    <row r="1623" spans="1:7">
      <c r="A1623" s="10"/>
      <c r="B1623" s="105"/>
      <c r="C1623" s="176"/>
      <c r="D1623" s="1"/>
      <c r="E1623" s="177"/>
      <c r="F1623" s="1"/>
      <c r="G1623" s="1"/>
    </row>
    <row r="1624" spans="1:7">
      <c r="A1624" s="10"/>
      <c r="B1624" s="105"/>
      <c r="C1624" s="176"/>
      <c r="D1624" s="1"/>
      <c r="E1624" s="177"/>
      <c r="F1624" s="1"/>
      <c r="G1624" s="1"/>
    </row>
    <row r="1625" spans="1:7">
      <c r="A1625" s="10"/>
      <c r="B1625" s="105"/>
      <c r="C1625" s="176"/>
      <c r="D1625" s="1"/>
      <c r="E1625" s="177"/>
      <c r="F1625" s="1"/>
      <c r="G1625" s="1"/>
    </row>
    <row r="1626" spans="1:7">
      <c r="A1626" s="10"/>
      <c r="B1626" s="105"/>
      <c r="C1626" s="176"/>
      <c r="D1626" s="1"/>
      <c r="E1626" s="177"/>
      <c r="F1626" s="1"/>
      <c r="G1626" s="1"/>
    </row>
    <row r="1627" spans="1:7">
      <c r="A1627" s="10"/>
      <c r="B1627" s="105"/>
      <c r="C1627" s="176"/>
      <c r="D1627" s="1"/>
      <c r="E1627" s="177"/>
      <c r="F1627" s="1"/>
      <c r="G1627" s="1"/>
    </row>
    <row r="1628" spans="1:7">
      <c r="A1628" s="10"/>
      <c r="B1628" s="105"/>
      <c r="C1628" s="176"/>
      <c r="D1628" s="1"/>
      <c r="E1628" s="177"/>
      <c r="F1628" s="1"/>
      <c r="G1628" s="1"/>
    </row>
    <row r="1629" spans="1:7">
      <c r="A1629" s="10"/>
      <c r="B1629" s="105"/>
      <c r="C1629" s="176"/>
      <c r="D1629" s="1"/>
      <c r="E1629" s="177"/>
      <c r="F1629" s="1"/>
      <c r="G1629" s="1"/>
    </row>
    <row r="1630" spans="1:7">
      <c r="A1630" s="10"/>
      <c r="B1630" s="105"/>
      <c r="C1630" s="176"/>
      <c r="D1630" s="1"/>
      <c r="E1630" s="177"/>
      <c r="F1630" s="1"/>
      <c r="G1630" s="1"/>
    </row>
    <row r="1631" spans="1:7">
      <c r="A1631" s="10"/>
      <c r="B1631" s="105"/>
      <c r="C1631" s="176"/>
      <c r="D1631" s="1"/>
      <c r="E1631" s="177"/>
      <c r="F1631" s="1"/>
      <c r="G1631" s="1"/>
    </row>
    <row r="1632" spans="1:7">
      <c r="A1632" s="10"/>
      <c r="B1632" s="105"/>
      <c r="C1632" s="176"/>
      <c r="D1632" s="1"/>
      <c r="E1632" s="177"/>
      <c r="F1632" s="1"/>
      <c r="G1632" s="1"/>
    </row>
    <row r="1633" spans="1:7">
      <c r="A1633" s="10"/>
      <c r="B1633" s="105"/>
      <c r="C1633" s="176"/>
      <c r="D1633" s="1"/>
      <c r="E1633" s="177"/>
      <c r="F1633" s="1"/>
      <c r="G1633" s="1"/>
    </row>
    <row r="1634" spans="1:7">
      <c r="A1634" s="10"/>
      <c r="B1634" s="105"/>
      <c r="C1634" s="176"/>
      <c r="D1634" s="1"/>
      <c r="E1634" s="177"/>
      <c r="F1634" s="1"/>
      <c r="G1634" s="1"/>
    </row>
    <row r="1635" spans="1:7">
      <c r="A1635" s="10"/>
      <c r="B1635" s="105"/>
      <c r="C1635" s="176"/>
      <c r="D1635" s="1"/>
      <c r="E1635" s="177"/>
      <c r="F1635" s="1"/>
      <c r="G1635" s="1"/>
    </row>
    <row r="1636" spans="1:7">
      <c r="A1636" s="10"/>
      <c r="B1636" s="105"/>
      <c r="C1636" s="176"/>
      <c r="D1636" s="1"/>
      <c r="E1636" s="177"/>
      <c r="F1636" s="1"/>
      <c r="G1636" s="1"/>
    </row>
    <row r="1637" spans="1:7">
      <c r="A1637" s="10"/>
      <c r="B1637" s="105"/>
      <c r="C1637" s="176"/>
      <c r="D1637" s="1"/>
      <c r="E1637" s="177"/>
      <c r="F1637" s="1"/>
      <c r="G1637" s="1"/>
    </row>
    <row r="1638" spans="1:7">
      <c r="A1638" s="10"/>
      <c r="B1638" s="105"/>
      <c r="C1638" s="176"/>
      <c r="D1638" s="1"/>
      <c r="E1638" s="177"/>
      <c r="F1638" s="1"/>
      <c r="G1638" s="1"/>
    </row>
    <row r="1639" spans="1:7">
      <c r="A1639" s="10"/>
      <c r="B1639" s="105"/>
      <c r="C1639" s="176"/>
      <c r="D1639" s="1"/>
      <c r="E1639" s="177"/>
      <c r="F1639" s="1"/>
      <c r="G1639" s="1"/>
    </row>
    <row r="1640" spans="1:7">
      <c r="A1640" s="10"/>
      <c r="B1640" s="105"/>
      <c r="C1640" s="176"/>
      <c r="D1640" s="1"/>
      <c r="E1640" s="177"/>
      <c r="F1640" s="1"/>
      <c r="G1640" s="1"/>
    </row>
    <row r="1641" spans="1:7">
      <c r="A1641" s="10"/>
      <c r="B1641" s="105"/>
      <c r="C1641" s="176"/>
      <c r="D1641" s="1"/>
      <c r="E1641" s="177"/>
      <c r="F1641" s="1"/>
      <c r="G1641" s="1"/>
    </row>
    <row r="1642" spans="1:7">
      <c r="A1642" s="10"/>
      <c r="B1642" s="105"/>
      <c r="C1642" s="176"/>
      <c r="D1642" s="1"/>
      <c r="E1642" s="177"/>
      <c r="F1642" s="1"/>
      <c r="G1642" s="1"/>
    </row>
    <row r="1643" spans="1:7">
      <c r="A1643" s="10"/>
      <c r="B1643" s="105"/>
      <c r="C1643" s="176"/>
      <c r="D1643" s="1"/>
      <c r="E1643" s="177"/>
      <c r="F1643" s="1"/>
      <c r="G1643" s="1"/>
    </row>
    <row r="1644" spans="1:7">
      <c r="A1644" s="10"/>
      <c r="B1644" s="105"/>
      <c r="C1644" s="176"/>
      <c r="D1644" s="1"/>
      <c r="E1644" s="177"/>
      <c r="F1644" s="1"/>
      <c r="G1644" s="1"/>
    </row>
    <row r="1645" spans="1:7">
      <c r="A1645" s="10"/>
      <c r="B1645" s="105"/>
      <c r="C1645" s="176"/>
      <c r="D1645" s="1"/>
      <c r="E1645" s="177"/>
      <c r="F1645" s="1"/>
      <c r="G1645" s="1"/>
    </row>
    <row r="1646" spans="1:7">
      <c r="A1646" s="10"/>
      <c r="B1646" s="105"/>
      <c r="C1646" s="176"/>
      <c r="D1646" s="1"/>
      <c r="E1646" s="177"/>
      <c r="F1646" s="1"/>
      <c r="G1646" s="1"/>
    </row>
    <row r="1647" spans="1:7">
      <c r="A1647" s="10"/>
      <c r="B1647" s="105"/>
      <c r="C1647" s="176"/>
      <c r="D1647" s="1"/>
      <c r="E1647" s="177"/>
      <c r="F1647" s="1"/>
      <c r="G1647" s="1"/>
    </row>
    <row r="1648" spans="1:7">
      <c r="A1648" s="10"/>
      <c r="B1648" s="105"/>
      <c r="C1648" s="176"/>
      <c r="D1648" s="1"/>
      <c r="E1648" s="177"/>
      <c r="F1648" s="1"/>
      <c r="G1648" s="1"/>
    </row>
    <row r="1649" spans="1:7">
      <c r="A1649" s="10"/>
      <c r="B1649" s="105"/>
      <c r="C1649" s="176"/>
      <c r="D1649" s="1"/>
      <c r="E1649" s="177"/>
      <c r="F1649" s="1"/>
      <c r="G1649" s="1"/>
    </row>
    <row r="1650" spans="1:7">
      <c r="A1650" s="10"/>
      <c r="B1650" s="105"/>
      <c r="C1650" s="176"/>
      <c r="D1650" s="1"/>
      <c r="E1650" s="177"/>
      <c r="F1650" s="1"/>
      <c r="G1650" s="1"/>
    </row>
    <row r="1651" spans="1:7">
      <c r="A1651" s="10"/>
      <c r="B1651" s="105"/>
      <c r="C1651" s="176"/>
      <c r="D1651" s="1"/>
      <c r="E1651" s="177"/>
      <c r="F1651" s="1"/>
      <c r="G1651" s="1"/>
    </row>
    <row r="1652" spans="1:7">
      <c r="A1652" s="10"/>
      <c r="B1652" s="105"/>
      <c r="C1652" s="176"/>
      <c r="D1652" s="1"/>
      <c r="E1652" s="177"/>
      <c r="F1652" s="1"/>
      <c r="G1652" s="1"/>
    </row>
    <row r="1653" spans="1:7">
      <c r="A1653" s="10"/>
      <c r="B1653" s="105"/>
      <c r="C1653" s="176"/>
      <c r="D1653" s="1"/>
      <c r="E1653" s="177"/>
      <c r="F1653" s="1"/>
      <c r="G1653" s="1"/>
    </row>
    <row r="1654" spans="1:7">
      <c r="A1654" s="10"/>
      <c r="B1654" s="105"/>
      <c r="C1654" s="176"/>
      <c r="D1654" s="1"/>
      <c r="E1654" s="177"/>
      <c r="F1654" s="1"/>
      <c r="G1654" s="1"/>
    </row>
    <row r="1655" spans="1:7">
      <c r="A1655" s="10"/>
      <c r="B1655" s="105"/>
      <c r="C1655" s="176"/>
      <c r="D1655" s="1"/>
      <c r="E1655" s="177"/>
      <c r="F1655" s="1"/>
      <c r="G1655" s="1"/>
    </row>
    <row r="1656" spans="1:7">
      <c r="A1656" s="10"/>
      <c r="B1656" s="105"/>
      <c r="C1656" s="176"/>
      <c r="D1656" s="1"/>
      <c r="E1656" s="177"/>
      <c r="F1656" s="1"/>
      <c r="G1656" s="1"/>
    </row>
    <row r="1657" spans="1:7">
      <c r="A1657" s="10"/>
      <c r="B1657" s="105"/>
      <c r="C1657" s="176"/>
      <c r="D1657" s="1"/>
      <c r="E1657" s="177"/>
      <c r="F1657" s="1"/>
      <c r="G1657" s="1"/>
    </row>
    <row r="1658" spans="1:7">
      <c r="A1658" s="10"/>
      <c r="B1658" s="105"/>
      <c r="C1658" s="176"/>
      <c r="D1658" s="1"/>
      <c r="E1658" s="177"/>
      <c r="F1658" s="1"/>
      <c r="G1658" s="1"/>
    </row>
    <row r="1659" spans="1:7">
      <c r="A1659" s="10"/>
      <c r="B1659" s="105"/>
      <c r="C1659" s="176"/>
      <c r="D1659" s="1"/>
      <c r="E1659" s="177"/>
      <c r="F1659" s="1"/>
      <c r="G1659" s="1"/>
    </row>
    <row r="1660" spans="1:7">
      <c r="A1660" s="10"/>
      <c r="B1660" s="105"/>
      <c r="C1660" s="176"/>
      <c r="D1660" s="1"/>
      <c r="E1660" s="177"/>
      <c r="F1660" s="1"/>
      <c r="G1660" s="1"/>
    </row>
    <row r="1661" spans="1:7">
      <c r="A1661" s="10"/>
      <c r="B1661" s="105"/>
      <c r="C1661" s="176"/>
      <c r="D1661" s="1"/>
      <c r="E1661" s="177"/>
      <c r="F1661" s="1"/>
      <c r="G1661" s="1"/>
    </row>
    <row r="1662" spans="1:7">
      <c r="A1662" s="10"/>
      <c r="B1662" s="105"/>
      <c r="C1662" s="176"/>
      <c r="D1662" s="1"/>
      <c r="E1662" s="177"/>
      <c r="F1662" s="1"/>
      <c r="G1662" s="1"/>
    </row>
    <row r="1663" spans="1:7">
      <c r="A1663" s="10"/>
      <c r="B1663" s="105"/>
      <c r="C1663" s="176"/>
      <c r="D1663" s="1"/>
      <c r="E1663" s="177"/>
      <c r="F1663" s="1"/>
      <c r="G1663" s="1"/>
    </row>
    <row r="1664" spans="1:7">
      <c r="A1664" s="10"/>
      <c r="B1664" s="105"/>
      <c r="C1664" s="176"/>
      <c r="D1664" s="1"/>
      <c r="E1664" s="177"/>
      <c r="F1664" s="1"/>
      <c r="G1664" s="1"/>
    </row>
    <row r="1665" spans="1:7">
      <c r="A1665" s="10"/>
      <c r="B1665" s="105"/>
      <c r="C1665" s="176"/>
      <c r="D1665" s="1"/>
      <c r="E1665" s="177"/>
      <c r="F1665" s="1"/>
      <c r="G1665" s="1"/>
    </row>
    <row r="1666" spans="1:7">
      <c r="A1666" s="10"/>
      <c r="B1666" s="105"/>
      <c r="C1666" s="176"/>
      <c r="D1666" s="1"/>
      <c r="E1666" s="177"/>
      <c r="F1666" s="1"/>
      <c r="G1666" s="1"/>
    </row>
    <row r="1667" spans="1:7">
      <c r="A1667" s="10"/>
      <c r="B1667" s="105"/>
      <c r="C1667" s="176"/>
      <c r="D1667" s="1"/>
      <c r="E1667" s="177"/>
      <c r="F1667" s="1"/>
      <c r="G1667" s="1"/>
    </row>
    <row r="1668" spans="1:7">
      <c r="A1668" s="10"/>
      <c r="B1668" s="105"/>
      <c r="C1668" s="176"/>
      <c r="D1668" s="1"/>
      <c r="E1668" s="177"/>
      <c r="F1668" s="1"/>
      <c r="G1668" s="1"/>
    </row>
    <row r="1669" spans="1:7">
      <c r="A1669" s="10"/>
      <c r="B1669" s="105"/>
      <c r="C1669" s="176"/>
      <c r="D1669" s="1"/>
      <c r="E1669" s="177"/>
      <c r="F1669" s="1"/>
      <c r="G1669" s="1"/>
    </row>
    <row r="1670" spans="1:7">
      <c r="A1670" s="10"/>
      <c r="B1670" s="105"/>
      <c r="C1670" s="176"/>
      <c r="D1670" s="1"/>
      <c r="E1670" s="177"/>
      <c r="F1670" s="1"/>
      <c r="G1670" s="1"/>
    </row>
    <row r="1671" spans="1:7">
      <c r="A1671" s="10"/>
      <c r="B1671" s="105"/>
      <c r="C1671" s="176"/>
      <c r="D1671" s="1"/>
      <c r="E1671" s="177"/>
      <c r="F1671" s="1"/>
      <c r="G1671" s="1"/>
    </row>
    <row r="1672" spans="1:7">
      <c r="A1672" s="10"/>
      <c r="B1672" s="105"/>
      <c r="C1672" s="176"/>
      <c r="D1672" s="1"/>
      <c r="E1672" s="177"/>
      <c r="F1672" s="1"/>
      <c r="G1672" s="1"/>
    </row>
    <row r="1673" spans="1:7">
      <c r="A1673" s="10"/>
      <c r="B1673" s="105"/>
      <c r="C1673" s="176"/>
      <c r="D1673" s="1"/>
      <c r="E1673" s="177"/>
      <c r="F1673" s="1"/>
      <c r="G1673" s="1"/>
    </row>
    <row r="1674" spans="1:7">
      <c r="A1674" s="10"/>
      <c r="B1674" s="105"/>
      <c r="C1674" s="176"/>
      <c r="D1674" s="1"/>
      <c r="E1674" s="177"/>
      <c r="F1674" s="1"/>
      <c r="G1674" s="1"/>
    </row>
    <row r="1675" spans="1:7">
      <c r="A1675" s="10"/>
      <c r="B1675" s="105"/>
      <c r="C1675" s="176"/>
      <c r="D1675" s="1"/>
      <c r="E1675" s="177"/>
      <c r="F1675" s="1"/>
      <c r="G1675" s="1"/>
    </row>
    <row r="1676" spans="1:7">
      <c r="A1676" s="10"/>
      <c r="B1676" s="105"/>
      <c r="C1676" s="176"/>
      <c r="D1676" s="1"/>
      <c r="E1676" s="177"/>
      <c r="F1676" s="1"/>
      <c r="G1676" s="1"/>
    </row>
    <row r="1677" spans="1:7">
      <c r="A1677" s="10"/>
      <c r="B1677" s="105"/>
      <c r="C1677" s="176"/>
      <c r="D1677" s="1"/>
      <c r="E1677" s="177"/>
      <c r="F1677" s="1"/>
      <c r="G1677" s="1"/>
    </row>
    <row r="1678" spans="1:7">
      <c r="A1678" s="10"/>
      <c r="B1678" s="105"/>
      <c r="C1678" s="176"/>
      <c r="D1678" s="1"/>
      <c r="E1678" s="177"/>
      <c r="F1678" s="1"/>
      <c r="G1678" s="1"/>
    </row>
    <row r="1679" spans="1:7">
      <c r="A1679" s="10"/>
      <c r="B1679" s="105"/>
      <c r="C1679" s="176"/>
      <c r="D1679" s="1"/>
      <c r="E1679" s="177"/>
      <c r="F1679" s="1"/>
      <c r="G1679" s="1"/>
    </row>
    <row r="1680" spans="1:7">
      <c r="A1680" s="10"/>
      <c r="B1680" s="105"/>
      <c r="C1680" s="176"/>
      <c r="D1680" s="1"/>
      <c r="E1680" s="177"/>
      <c r="F1680" s="1"/>
      <c r="G1680" s="1"/>
    </row>
    <row r="1681" spans="1:7">
      <c r="A1681" s="10"/>
      <c r="B1681" s="105"/>
      <c r="C1681" s="176"/>
      <c r="D1681" s="1"/>
      <c r="E1681" s="177"/>
      <c r="F1681" s="1"/>
      <c r="G1681" s="1"/>
    </row>
    <row r="1682" spans="1:7">
      <c r="A1682" s="10"/>
      <c r="B1682" s="105"/>
      <c r="C1682" s="176"/>
      <c r="D1682" s="1"/>
      <c r="E1682" s="177"/>
      <c r="F1682" s="1"/>
      <c r="G1682" s="1"/>
    </row>
    <row r="1683" spans="1:7">
      <c r="A1683" s="10"/>
      <c r="B1683" s="105"/>
      <c r="C1683" s="176"/>
      <c r="D1683" s="1"/>
      <c r="E1683" s="177"/>
      <c r="F1683" s="1"/>
      <c r="G1683" s="1"/>
    </row>
    <row r="1684" spans="1:7">
      <c r="A1684" s="10"/>
      <c r="B1684" s="105"/>
      <c r="C1684" s="176"/>
      <c r="D1684" s="1"/>
      <c r="E1684" s="177"/>
      <c r="F1684" s="1"/>
      <c r="G1684" s="1"/>
    </row>
    <row r="1685" spans="1:7">
      <c r="A1685" s="10"/>
      <c r="B1685" s="105"/>
      <c r="C1685" s="176"/>
      <c r="D1685" s="1"/>
      <c r="E1685" s="177"/>
      <c r="F1685" s="1"/>
      <c r="G1685" s="1"/>
    </row>
    <row r="1686" spans="1:7">
      <c r="A1686" s="10"/>
      <c r="B1686" s="105"/>
      <c r="C1686" s="176"/>
      <c r="D1686" s="1"/>
      <c r="E1686" s="177"/>
      <c r="F1686" s="1"/>
      <c r="G1686" s="1"/>
    </row>
    <row r="1687" spans="1:7">
      <c r="A1687" s="10"/>
      <c r="B1687" s="105"/>
      <c r="C1687" s="176"/>
      <c r="D1687" s="1"/>
      <c r="E1687" s="177"/>
      <c r="F1687" s="1"/>
      <c r="G1687" s="1"/>
    </row>
    <row r="1688" spans="1:7">
      <c r="A1688" s="10"/>
      <c r="B1688" s="105"/>
      <c r="C1688" s="176"/>
      <c r="D1688" s="1"/>
      <c r="E1688" s="177"/>
      <c r="F1688" s="1"/>
      <c r="G1688" s="1"/>
    </row>
    <row r="1689" spans="1:7">
      <c r="A1689" s="10"/>
      <c r="B1689" s="105"/>
      <c r="C1689" s="176"/>
      <c r="D1689" s="1"/>
      <c r="E1689" s="177"/>
      <c r="F1689" s="1"/>
      <c r="G1689" s="1"/>
    </row>
    <row r="1690" spans="1:7">
      <c r="A1690" s="10"/>
      <c r="B1690" s="105"/>
      <c r="C1690" s="176"/>
      <c r="D1690" s="1"/>
      <c r="E1690" s="177"/>
      <c r="F1690" s="1"/>
      <c r="G1690" s="1"/>
    </row>
    <row r="1691" spans="1:7">
      <c r="A1691" s="10"/>
      <c r="B1691" s="105"/>
      <c r="C1691" s="176"/>
      <c r="D1691" s="1"/>
      <c r="E1691" s="177"/>
      <c r="F1691" s="1"/>
      <c r="G1691" s="1"/>
    </row>
    <row r="1692" spans="1:7">
      <c r="A1692" s="10"/>
      <c r="B1692" s="105"/>
      <c r="C1692" s="176"/>
      <c r="D1692" s="1"/>
      <c r="E1692" s="177"/>
      <c r="F1692" s="1"/>
      <c r="G1692" s="1"/>
    </row>
    <row r="1693" spans="1:7">
      <c r="A1693" s="10"/>
      <c r="B1693" s="105"/>
      <c r="C1693" s="176"/>
      <c r="D1693" s="1"/>
      <c r="E1693" s="177"/>
      <c r="F1693" s="1"/>
      <c r="G1693" s="1"/>
    </row>
    <row r="1694" spans="1:7">
      <c r="A1694" s="10"/>
      <c r="B1694" s="105"/>
      <c r="C1694" s="176"/>
      <c r="D1694" s="1"/>
      <c r="E1694" s="177"/>
      <c r="F1694" s="1"/>
      <c r="G1694" s="1"/>
    </row>
    <row r="1695" spans="1:7">
      <c r="A1695" s="10"/>
      <c r="B1695" s="105"/>
      <c r="C1695" s="176"/>
      <c r="D1695" s="1"/>
      <c r="E1695" s="177"/>
      <c r="F1695" s="1"/>
      <c r="G1695" s="1"/>
    </row>
    <row r="1696" spans="1:7">
      <c r="A1696" s="10"/>
      <c r="B1696" s="105"/>
      <c r="C1696" s="176"/>
      <c r="D1696" s="1"/>
      <c r="E1696" s="177"/>
      <c r="F1696" s="1"/>
      <c r="G1696" s="1"/>
    </row>
    <row r="1697" spans="1:7">
      <c r="A1697" s="10"/>
      <c r="B1697" s="105"/>
      <c r="C1697" s="176"/>
      <c r="D1697" s="1"/>
      <c r="E1697" s="177"/>
      <c r="F1697" s="1"/>
      <c r="G1697" s="1"/>
    </row>
    <row r="1698" spans="1:7">
      <c r="A1698" s="10"/>
      <c r="B1698" s="105"/>
      <c r="C1698" s="176"/>
      <c r="D1698" s="1"/>
      <c r="E1698" s="177"/>
      <c r="F1698" s="1"/>
      <c r="G1698" s="1"/>
    </row>
    <row r="1699" spans="1:7">
      <c r="A1699" s="10"/>
      <c r="B1699" s="105"/>
      <c r="C1699" s="176"/>
      <c r="D1699" s="1"/>
      <c r="E1699" s="177"/>
      <c r="F1699" s="1"/>
      <c r="G1699" s="1"/>
    </row>
    <row r="1700" spans="1:7">
      <c r="A1700" s="10"/>
      <c r="B1700" s="105"/>
      <c r="C1700" s="176"/>
      <c r="D1700" s="1"/>
      <c r="E1700" s="177"/>
      <c r="F1700" s="1"/>
      <c r="G1700" s="1"/>
    </row>
    <row r="1701" spans="1:7">
      <c r="A1701" s="10"/>
      <c r="B1701" s="105"/>
      <c r="C1701" s="176"/>
      <c r="D1701" s="1"/>
      <c r="E1701" s="177"/>
      <c r="F1701" s="1"/>
      <c r="G1701" s="1"/>
    </row>
    <row r="1702" spans="1:7">
      <c r="A1702" s="10"/>
      <c r="B1702" s="105"/>
      <c r="C1702" s="176"/>
      <c r="D1702" s="1"/>
      <c r="E1702" s="177"/>
      <c r="F1702" s="1"/>
      <c r="G1702" s="1"/>
    </row>
    <row r="1703" spans="1:7">
      <c r="A1703" s="10"/>
      <c r="B1703" s="105"/>
      <c r="C1703" s="176"/>
      <c r="D1703" s="1"/>
      <c r="E1703" s="177"/>
      <c r="F1703" s="1"/>
      <c r="G1703" s="1"/>
    </row>
    <row r="1704" spans="1:7">
      <c r="A1704" s="10"/>
      <c r="B1704" s="105"/>
      <c r="C1704" s="176"/>
      <c r="D1704" s="1"/>
      <c r="E1704" s="177"/>
      <c r="F1704" s="1"/>
      <c r="G1704" s="1"/>
    </row>
    <row r="1705" spans="1:7">
      <c r="A1705" s="10"/>
      <c r="B1705" s="105"/>
      <c r="C1705" s="176"/>
      <c r="D1705" s="1"/>
      <c r="E1705" s="177"/>
      <c r="F1705" s="1"/>
      <c r="G1705" s="1"/>
    </row>
    <row r="1706" spans="1:7">
      <c r="A1706" s="10"/>
      <c r="B1706" s="105"/>
      <c r="C1706" s="176"/>
      <c r="D1706" s="1"/>
      <c r="E1706" s="177"/>
      <c r="F1706" s="1"/>
      <c r="G1706" s="1"/>
    </row>
    <row r="1707" spans="1:7">
      <c r="A1707" s="10"/>
      <c r="B1707" s="105"/>
      <c r="C1707" s="176"/>
      <c r="D1707" s="1"/>
      <c r="E1707" s="177"/>
      <c r="F1707" s="1"/>
      <c r="G1707" s="1"/>
    </row>
    <row r="1708" spans="1:7">
      <c r="A1708" s="10"/>
      <c r="B1708" s="105"/>
      <c r="C1708" s="176"/>
      <c r="D1708" s="1"/>
      <c r="E1708" s="177"/>
      <c r="F1708" s="1"/>
      <c r="G1708" s="1"/>
    </row>
    <row r="1709" spans="1:7">
      <c r="A1709" s="10"/>
      <c r="B1709" s="105"/>
      <c r="C1709" s="176"/>
      <c r="D1709" s="1"/>
      <c r="E1709" s="177"/>
      <c r="F1709" s="1"/>
      <c r="G1709" s="1"/>
    </row>
    <row r="1710" spans="1:7">
      <c r="A1710" s="10"/>
      <c r="B1710" s="105"/>
      <c r="C1710" s="176"/>
      <c r="D1710" s="1"/>
      <c r="E1710" s="177"/>
      <c r="F1710" s="1"/>
      <c r="G1710" s="1"/>
    </row>
    <row r="1711" spans="1:7">
      <c r="A1711" s="10"/>
      <c r="B1711" s="105"/>
      <c r="C1711" s="176"/>
      <c r="D1711" s="1"/>
      <c r="E1711" s="177"/>
      <c r="F1711" s="1"/>
      <c r="G1711" s="1"/>
    </row>
    <row r="1712" spans="1:7">
      <c r="A1712" s="10"/>
      <c r="B1712" s="105"/>
      <c r="C1712" s="176"/>
      <c r="D1712" s="1"/>
      <c r="E1712" s="177"/>
      <c r="F1712" s="1"/>
      <c r="G1712" s="1"/>
    </row>
    <row r="1713" spans="1:7">
      <c r="A1713" s="10"/>
      <c r="B1713" s="105"/>
      <c r="C1713" s="176"/>
      <c r="D1713" s="1"/>
      <c r="E1713" s="177"/>
      <c r="F1713" s="1"/>
      <c r="G1713" s="1"/>
    </row>
    <row r="1714" spans="1:7">
      <c r="A1714" s="10"/>
      <c r="B1714" s="105"/>
      <c r="C1714" s="176"/>
      <c r="D1714" s="1"/>
      <c r="E1714" s="177"/>
      <c r="F1714" s="1"/>
      <c r="G1714" s="1"/>
    </row>
    <row r="1715" spans="1:7">
      <c r="A1715" s="10"/>
      <c r="B1715" s="105"/>
      <c r="C1715" s="176"/>
      <c r="D1715" s="1"/>
      <c r="E1715" s="177"/>
      <c r="F1715" s="1"/>
      <c r="G1715" s="1"/>
    </row>
    <row r="1716" spans="1:7">
      <c r="A1716" s="10"/>
      <c r="B1716" s="105"/>
      <c r="C1716" s="176"/>
      <c r="D1716" s="1"/>
      <c r="E1716" s="177"/>
      <c r="F1716" s="1"/>
      <c r="G1716" s="1"/>
    </row>
    <row r="1717" spans="1:7">
      <c r="A1717" s="10"/>
      <c r="B1717" s="105"/>
      <c r="C1717" s="176"/>
      <c r="D1717" s="1"/>
      <c r="E1717" s="177"/>
      <c r="F1717" s="1"/>
      <c r="G1717" s="1"/>
    </row>
    <row r="1718" spans="1:7">
      <c r="A1718" s="10"/>
      <c r="B1718" s="105"/>
      <c r="C1718" s="176"/>
      <c r="D1718" s="1"/>
      <c r="E1718" s="177"/>
      <c r="F1718" s="1"/>
      <c r="G1718" s="1"/>
    </row>
    <row r="1719" spans="1:7">
      <c r="A1719" s="10"/>
      <c r="B1719" s="105"/>
      <c r="C1719" s="176"/>
      <c r="D1719" s="1"/>
      <c r="E1719" s="177"/>
      <c r="F1719" s="1"/>
      <c r="G1719" s="1"/>
    </row>
    <row r="1720" spans="1:7">
      <c r="A1720" s="10"/>
      <c r="B1720" s="105"/>
      <c r="C1720" s="176"/>
      <c r="D1720" s="1"/>
      <c r="E1720" s="177"/>
      <c r="F1720" s="1"/>
      <c r="G1720" s="1"/>
    </row>
    <row r="1721" spans="1:7">
      <c r="A1721" s="10"/>
      <c r="B1721" s="105"/>
      <c r="C1721" s="176"/>
      <c r="D1721" s="1"/>
      <c r="E1721" s="177"/>
      <c r="F1721" s="1"/>
      <c r="G1721" s="1"/>
    </row>
    <row r="1722" spans="1:7">
      <c r="A1722" s="10"/>
      <c r="B1722" s="105"/>
      <c r="C1722" s="176"/>
      <c r="D1722" s="1"/>
      <c r="E1722" s="177"/>
      <c r="F1722" s="1"/>
      <c r="G1722" s="1"/>
    </row>
    <row r="1723" spans="1:7">
      <c r="A1723" s="10"/>
      <c r="B1723" s="105"/>
      <c r="C1723" s="176"/>
      <c r="D1723" s="1"/>
      <c r="E1723" s="177"/>
      <c r="F1723" s="1"/>
      <c r="G1723" s="1"/>
    </row>
    <row r="1724" spans="1:7">
      <c r="A1724" s="10"/>
      <c r="B1724" s="105"/>
      <c r="C1724" s="176"/>
      <c r="D1724" s="1"/>
      <c r="E1724" s="177"/>
      <c r="F1724" s="1"/>
      <c r="G1724" s="1"/>
    </row>
    <row r="1725" spans="1:7">
      <c r="A1725" s="10"/>
      <c r="B1725" s="105"/>
      <c r="C1725" s="176"/>
      <c r="D1725" s="1"/>
      <c r="E1725" s="177"/>
      <c r="F1725" s="1"/>
      <c r="G1725" s="1"/>
    </row>
    <row r="1726" spans="1:7">
      <c r="A1726" s="10"/>
      <c r="B1726" s="105"/>
      <c r="C1726" s="176"/>
      <c r="D1726" s="1"/>
      <c r="E1726" s="177"/>
      <c r="F1726" s="1"/>
      <c r="G1726" s="1"/>
    </row>
    <row r="1727" spans="1:7">
      <c r="A1727" s="10"/>
      <c r="B1727" s="105"/>
      <c r="C1727" s="176"/>
      <c r="D1727" s="1"/>
      <c r="E1727" s="177"/>
      <c r="F1727" s="1"/>
      <c r="G1727" s="1"/>
    </row>
    <row r="1728" spans="1:7">
      <c r="A1728" s="10"/>
      <c r="B1728" s="105"/>
      <c r="C1728" s="176"/>
      <c r="D1728" s="1"/>
      <c r="E1728" s="177"/>
      <c r="F1728" s="1"/>
      <c r="G1728" s="1"/>
    </row>
    <row r="1729" spans="1:7">
      <c r="A1729" s="10"/>
      <c r="B1729" s="105"/>
      <c r="C1729" s="176"/>
      <c r="D1729" s="1"/>
      <c r="E1729" s="177"/>
      <c r="F1729" s="1"/>
      <c r="G1729" s="1"/>
    </row>
    <row r="1730" spans="1:7">
      <c r="A1730" s="10"/>
      <c r="B1730" s="105"/>
      <c r="C1730" s="176"/>
      <c r="D1730" s="1"/>
      <c r="E1730" s="177"/>
      <c r="F1730" s="1"/>
      <c r="G1730" s="1"/>
    </row>
    <row r="1731" spans="1:7">
      <c r="A1731" s="10"/>
      <c r="B1731" s="105"/>
      <c r="C1731" s="176"/>
      <c r="D1731" s="1"/>
      <c r="E1731" s="177"/>
      <c r="F1731" s="1"/>
      <c r="G1731" s="1"/>
    </row>
    <row r="1732" spans="1:7">
      <c r="A1732" s="10"/>
      <c r="B1732" s="105"/>
      <c r="C1732" s="176"/>
      <c r="D1732" s="1"/>
      <c r="E1732" s="177"/>
      <c r="F1732" s="1"/>
      <c r="G1732" s="1"/>
    </row>
    <row r="1733" spans="1:7">
      <c r="A1733" s="10"/>
      <c r="B1733" s="105"/>
      <c r="C1733" s="176"/>
      <c r="D1733" s="1"/>
      <c r="E1733" s="177"/>
      <c r="F1733" s="1"/>
      <c r="G1733" s="1"/>
    </row>
    <row r="1734" spans="1:7">
      <c r="A1734" s="10"/>
      <c r="B1734" s="105"/>
      <c r="C1734" s="176"/>
      <c r="D1734" s="1"/>
      <c r="E1734" s="177"/>
      <c r="F1734" s="1"/>
      <c r="G1734" s="1"/>
    </row>
    <row r="1735" spans="1:7">
      <c r="A1735" s="10"/>
      <c r="B1735" s="105"/>
      <c r="C1735" s="176"/>
      <c r="D1735" s="1"/>
      <c r="E1735" s="177"/>
      <c r="F1735" s="1"/>
      <c r="G1735" s="1"/>
    </row>
    <row r="1736" spans="1:7">
      <c r="A1736" s="10"/>
      <c r="B1736" s="105"/>
      <c r="C1736" s="176"/>
      <c r="D1736" s="1"/>
      <c r="E1736" s="177"/>
      <c r="F1736" s="1"/>
      <c r="G1736" s="1"/>
    </row>
    <row r="1737" spans="1:7">
      <c r="A1737" s="10"/>
      <c r="B1737" s="105"/>
      <c r="C1737" s="176"/>
      <c r="D1737" s="1"/>
      <c r="E1737" s="177"/>
      <c r="F1737" s="1"/>
      <c r="G1737" s="1"/>
    </row>
    <row r="1738" spans="1:7">
      <c r="A1738" s="10"/>
      <c r="B1738" s="105"/>
      <c r="C1738" s="176"/>
      <c r="D1738" s="1"/>
      <c r="E1738" s="177"/>
      <c r="F1738" s="1"/>
      <c r="G1738" s="1"/>
    </row>
    <row r="1739" spans="1:7">
      <c r="A1739" s="10"/>
      <c r="B1739" s="105"/>
      <c r="C1739" s="176"/>
      <c r="D1739" s="1"/>
      <c r="E1739" s="177"/>
      <c r="F1739" s="1"/>
      <c r="G1739" s="1"/>
    </row>
    <row r="1740" spans="1:7">
      <c r="A1740" s="10"/>
      <c r="B1740" s="105"/>
      <c r="C1740" s="176"/>
      <c r="D1740" s="1"/>
      <c r="E1740" s="177"/>
      <c r="F1740" s="1"/>
      <c r="G1740" s="1"/>
    </row>
    <row r="1741" spans="1:7">
      <c r="A1741" s="10"/>
      <c r="B1741" s="105"/>
      <c r="C1741" s="176"/>
      <c r="D1741" s="1"/>
      <c r="E1741" s="177"/>
      <c r="F1741" s="1"/>
      <c r="G1741" s="1"/>
    </row>
    <row r="1742" spans="1:7">
      <c r="A1742" s="10"/>
      <c r="B1742" s="105"/>
      <c r="C1742" s="176"/>
      <c r="D1742" s="1"/>
      <c r="E1742" s="177"/>
      <c r="F1742" s="1"/>
      <c r="G1742" s="1"/>
    </row>
    <row r="1743" spans="1:7">
      <c r="A1743" s="10"/>
      <c r="B1743" s="105"/>
      <c r="C1743" s="176"/>
      <c r="D1743" s="1"/>
      <c r="E1743" s="177"/>
      <c r="F1743" s="1"/>
      <c r="G1743" s="1"/>
    </row>
    <row r="1744" spans="1:7">
      <c r="A1744" s="10"/>
      <c r="B1744" s="105"/>
      <c r="C1744" s="176"/>
      <c r="D1744" s="1"/>
      <c r="E1744" s="177"/>
      <c r="F1744" s="1"/>
      <c r="G1744" s="1"/>
    </row>
    <row r="1745" spans="1:7">
      <c r="A1745" s="10"/>
      <c r="B1745" s="105"/>
      <c r="C1745" s="176"/>
      <c r="D1745" s="1"/>
      <c r="E1745" s="177"/>
      <c r="F1745" s="1"/>
      <c r="G1745" s="1"/>
    </row>
    <row r="1746" spans="1:7">
      <c r="A1746" s="10"/>
      <c r="B1746" s="105"/>
      <c r="C1746" s="176"/>
      <c r="D1746" s="1"/>
      <c r="E1746" s="177"/>
      <c r="F1746" s="1"/>
      <c r="G1746" s="1"/>
    </row>
    <row r="1747" spans="1:7">
      <c r="A1747" s="10"/>
      <c r="B1747" s="105"/>
      <c r="C1747" s="176"/>
      <c r="D1747" s="1"/>
      <c r="E1747" s="177"/>
      <c r="F1747" s="1"/>
      <c r="G1747" s="1"/>
    </row>
    <row r="1748" spans="1:7">
      <c r="A1748" s="10"/>
      <c r="B1748" s="105"/>
      <c r="C1748" s="176"/>
      <c r="D1748" s="1"/>
      <c r="E1748" s="177"/>
      <c r="F1748" s="1"/>
      <c r="G1748" s="1"/>
    </row>
    <row r="1749" spans="1:7">
      <c r="A1749" s="10"/>
      <c r="B1749" s="105"/>
      <c r="C1749" s="176"/>
      <c r="D1749" s="1"/>
      <c r="E1749" s="177"/>
      <c r="F1749" s="1"/>
      <c r="G1749" s="1"/>
    </row>
    <row r="1750" spans="1:7">
      <c r="A1750" s="10"/>
      <c r="B1750" s="105"/>
      <c r="C1750" s="176"/>
      <c r="D1750" s="1"/>
      <c r="E1750" s="177"/>
      <c r="F1750" s="1"/>
      <c r="G1750" s="1"/>
    </row>
    <row r="1751" spans="1:7">
      <c r="A1751" s="10"/>
      <c r="B1751" s="105"/>
      <c r="C1751" s="176"/>
      <c r="D1751" s="1"/>
      <c r="E1751" s="177"/>
      <c r="F1751" s="1"/>
      <c r="G1751" s="1"/>
    </row>
    <row r="1752" spans="1:7">
      <c r="A1752" s="10"/>
      <c r="B1752" s="105"/>
      <c r="C1752" s="176"/>
      <c r="D1752" s="1"/>
      <c r="E1752" s="177"/>
      <c r="F1752" s="1"/>
      <c r="G1752" s="1"/>
    </row>
    <row r="1753" spans="1:7">
      <c r="A1753" s="10"/>
      <c r="B1753" s="105"/>
      <c r="C1753" s="176"/>
      <c r="D1753" s="1"/>
      <c r="E1753" s="177"/>
      <c r="F1753" s="1"/>
      <c r="G1753" s="1"/>
    </row>
    <row r="1754" spans="1:7">
      <c r="A1754" s="10"/>
      <c r="B1754" s="105"/>
      <c r="C1754" s="176"/>
      <c r="D1754" s="1"/>
      <c r="E1754" s="177"/>
      <c r="F1754" s="1"/>
      <c r="G1754" s="1"/>
    </row>
    <row r="1755" spans="1:7">
      <c r="A1755" s="10"/>
      <c r="B1755" s="105"/>
      <c r="C1755" s="176"/>
      <c r="D1755" s="1"/>
      <c r="E1755" s="177"/>
      <c r="F1755" s="1"/>
      <c r="G1755" s="1"/>
    </row>
    <row r="1756" spans="1:7">
      <c r="A1756" s="10"/>
      <c r="B1756" s="105"/>
      <c r="C1756" s="176"/>
      <c r="D1756" s="1"/>
      <c r="E1756" s="177"/>
      <c r="F1756" s="1"/>
      <c r="G1756" s="1"/>
    </row>
    <row r="1757" spans="1:7">
      <c r="A1757" s="10"/>
      <c r="B1757" s="105"/>
      <c r="C1757" s="176"/>
      <c r="D1757" s="1"/>
      <c r="E1757" s="177"/>
      <c r="F1757" s="1"/>
      <c r="G1757" s="1"/>
    </row>
    <row r="1758" spans="1:7">
      <c r="A1758" s="10"/>
      <c r="B1758" s="105"/>
      <c r="C1758" s="176"/>
      <c r="D1758" s="1"/>
      <c r="E1758" s="177"/>
      <c r="F1758" s="1"/>
      <c r="G1758" s="1"/>
    </row>
    <row r="1759" spans="1:7">
      <c r="A1759" s="10"/>
      <c r="B1759" s="105"/>
      <c r="C1759" s="176"/>
      <c r="D1759" s="1"/>
      <c r="E1759" s="177"/>
      <c r="F1759" s="1"/>
      <c r="G1759" s="1"/>
    </row>
    <row r="1760" spans="1:7">
      <c r="A1760" s="10"/>
      <c r="B1760" s="105"/>
      <c r="C1760" s="176"/>
      <c r="D1760" s="1"/>
      <c r="E1760" s="177"/>
      <c r="F1760" s="1"/>
      <c r="G1760" s="1"/>
    </row>
    <row r="1761" spans="1:7">
      <c r="A1761" s="10"/>
      <c r="B1761" s="105"/>
      <c r="C1761" s="176"/>
      <c r="D1761" s="1"/>
      <c r="E1761" s="177"/>
      <c r="F1761" s="1"/>
      <c r="G1761" s="1"/>
    </row>
    <row r="1762" spans="1:7">
      <c r="A1762" s="10"/>
      <c r="B1762" s="105"/>
      <c r="C1762" s="176"/>
      <c r="D1762" s="1"/>
      <c r="E1762" s="177"/>
      <c r="F1762" s="1"/>
      <c r="G1762" s="1"/>
    </row>
    <row r="1763" spans="1:7">
      <c r="A1763" s="10"/>
      <c r="B1763" s="105"/>
      <c r="C1763" s="176"/>
      <c r="D1763" s="1"/>
      <c r="E1763" s="177"/>
      <c r="F1763" s="1"/>
      <c r="G1763" s="1"/>
    </row>
    <row r="1764" spans="1:7">
      <c r="A1764" s="10"/>
      <c r="B1764" s="105"/>
      <c r="C1764" s="176"/>
      <c r="D1764" s="1"/>
      <c r="E1764" s="177"/>
      <c r="F1764" s="1"/>
      <c r="G1764" s="1"/>
    </row>
    <row r="1765" spans="1:7">
      <c r="A1765" s="10"/>
      <c r="B1765" s="105"/>
      <c r="C1765" s="176"/>
      <c r="D1765" s="1"/>
      <c r="E1765" s="177"/>
      <c r="F1765" s="1"/>
      <c r="G1765" s="1"/>
    </row>
    <row r="1766" spans="1:7">
      <c r="A1766" s="10"/>
      <c r="B1766" s="105"/>
      <c r="C1766" s="176"/>
      <c r="D1766" s="1"/>
      <c r="E1766" s="177"/>
      <c r="F1766" s="1"/>
      <c r="G1766" s="1"/>
    </row>
    <row r="1767" spans="1:7">
      <c r="A1767" s="10"/>
      <c r="B1767" s="105"/>
      <c r="C1767" s="176"/>
      <c r="D1767" s="1"/>
      <c r="E1767" s="177"/>
      <c r="F1767" s="1"/>
      <c r="G1767" s="1"/>
    </row>
    <row r="1768" spans="1:7">
      <c r="A1768" s="10"/>
      <c r="B1768" s="105"/>
      <c r="C1768" s="176"/>
      <c r="D1768" s="1"/>
      <c r="E1768" s="177"/>
      <c r="F1768" s="1"/>
      <c r="G1768" s="1"/>
    </row>
    <row r="1769" spans="1:7">
      <c r="A1769" s="10"/>
      <c r="B1769" s="105"/>
      <c r="C1769" s="176"/>
      <c r="D1769" s="1"/>
      <c r="E1769" s="177"/>
      <c r="F1769" s="1"/>
      <c r="G1769" s="1"/>
    </row>
    <row r="1770" spans="1:7">
      <c r="A1770" s="10"/>
      <c r="B1770" s="105"/>
      <c r="C1770" s="176"/>
      <c r="D1770" s="1"/>
      <c r="E1770" s="177"/>
      <c r="F1770" s="1"/>
      <c r="G1770" s="1"/>
    </row>
    <row r="1771" spans="1:7">
      <c r="A1771" s="10"/>
      <c r="B1771" s="105"/>
      <c r="C1771" s="176"/>
      <c r="D1771" s="1"/>
      <c r="E1771" s="177"/>
      <c r="F1771" s="1"/>
      <c r="G1771" s="1"/>
    </row>
    <row r="1772" spans="1:7">
      <c r="A1772" s="10"/>
      <c r="B1772" s="105"/>
      <c r="C1772" s="176"/>
      <c r="D1772" s="1"/>
      <c r="E1772" s="177"/>
      <c r="F1772" s="1"/>
      <c r="G1772" s="1"/>
    </row>
    <row r="1773" spans="1:7">
      <c r="A1773" s="10"/>
      <c r="B1773" s="105"/>
      <c r="C1773" s="176"/>
      <c r="D1773" s="1"/>
      <c r="E1773" s="177"/>
      <c r="F1773" s="1"/>
      <c r="G1773" s="1"/>
    </row>
    <row r="1774" spans="1:7">
      <c r="A1774" s="10"/>
      <c r="B1774" s="105"/>
      <c r="C1774" s="176"/>
      <c r="D1774" s="1"/>
      <c r="E1774" s="177"/>
      <c r="F1774" s="1"/>
      <c r="G1774" s="1"/>
    </row>
    <row r="1775" spans="1:7">
      <c r="A1775" s="10"/>
      <c r="B1775" s="105"/>
      <c r="C1775" s="176"/>
      <c r="D1775" s="1"/>
      <c r="E1775" s="177"/>
      <c r="F1775" s="1"/>
      <c r="G1775" s="1"/>
    </row>
    <row r="1776" spans="1:7">
      <c r="A1776" s="10"/>
      <c r="B1776" s="105"/>
      <c r="C1776" s="176"/>
      <c r="D1776" s="1"/>
      <c r="E1776" s="177"/>
      <c r="F1776" s="1"/>
      <c r="G1776" s="1"/>
    </row>
    <row r="1777" spans="1:7">
      <c r="A1777" s="10"/>
      <c r="B1777" s="105"/>
      <c r="C1777" s="176"/>
      <c r="D1777" s="1"/>
      <c r="E1777" s="177"/>
      <c r="F1777" s="1"/>
      <c r="G1777" s="1"/>
    </row>
    <row r="1778" spans="1:7">
      <c r="A1778" s="10"/>
      <c r="B1778" s="105"/>
      <c r="C1778" s="176"/>
      <c r="D1778" s="1"/>
      <c r="E1778" s="177"/>
      <c r="F1778" s="1"/>
      <c r="G1778" s="1"/>
    </row>
    <row r="1779" spans="1:7">
      <c r="A1779" s="10"/>
      <c r="B1779" s="105"/>
      <c r="C1779" s="176"/>
      <c r="D1779" s="1"/>
      <c r="E1779" s="177"/>
      <c r="F1779" s="1"/>
      <c r="G1779" s="1"/>
    </row>
    <row r="1780" spans="1:7">
      <c r="A1780" s="10"/>
      <c r="B1780" s="105"/>
      <c r="C1780" s="176"/>
      <c r="D1780" s="1"/>
      <c r="E1780" s="177"/>
      <c r="F1780" s="1"/>
      <c r="G1780" s="1"/>
    </row>
    <row r="1781" spans="1:7">
      <c r="A1781" s="10"/>
      <c r="B1781" s="105"/>
      <c r="C1781" s="176"/>
      <c r="D1781" s="1"/>
      <c r="E1781" s="177"/>
      <c r="F1781" s="1"/>
      <c r="G1781" s="1"/>
    </row>
    <row r="1782" spans="1:7">
      <c r="A1782" s="10"/>
      <c r="B1782" s="105"/>
      <c r="C1782" s="176"/>
      <c r="D1782" s="1"/>
      <c r="E1782" s="177"/>
      <c r="F1782" s="1"/>
      <c r="G1782" s="1"/>
    </row>
    <row r="1783" spans="1:7">
      <c r="A1783" s="10"/>
      <c r="B1783" s="105"/>
      <c r="C1783" s="176"/>
      <c r="D1783" s="1"/>
      <c r="E1783" s="177"/>
      <c r="F1783" s="1"/>
      <c r="G1783" s="1"/>
    </row>
    <row r="1784" spans="1:7">
      <c r="A1784" s="10"/>
      <c r="B1784" s="105"/>
      <c r="C1784" s="176"/>
      <c r="D1784" s="1"/>
      <c r="E1784" s="177"/>
      <c r="F1784" s="1"/>
      <c r="G1784" s="1"/>
    </row>
    <row r="1785" spans="1:7">
      <c r="A1785" s="10"/>
      <c r="B1785" s="105"/>
      <c r="C1785" s="176"/>
      <c r="D1785" s="1"/>
      <c r="E1785" s="177"/>
      <c r="F1785" s="1"/>
      <c r="G1785" s="1"/>
    </row>
    <row r="1786" spans="1:7">
      <c r="A1786" s="10"/>
      <c r="B1786" s="105"/>
      <c r="C1786" s="176"/>
      <c r="D1786" s="1"/>
      <c r="E1786" s="177"/>
      <c r="F1786" s="1"/>
      <c r="G1786" s="1"/>
    </row>
    <row r="1787" spans="1:7">
      <c r="A1787" s="10"/>
      <c r="B1787" s="105"/>
      <c r="C1787" s="176"/>
      <c r="D1787" s="1"/>
      <c r="E1787" s="177"/>
      <c r="F1787" s="1"/>
      <c r="G1787" s="1"/>
    </row>
    <row r="1788" spans="1:7">
      <c r="A1788" s="10"/>
      <c r="B1788" s="105"/>
      <c r="C1788" s="176"/>
      <c r="D1788" s="1"/>
      <c r="E1788" s="177"/>
      <c r="F1788" s="1"/>
      <c r="G1788" s="1"/>
    </row>
    <row r="1789" spans="1:7">
      <c r="A1789" s="10"/>
      <c r="B1789" s="105"/>
      <c r="C1789" s="176"/>
      <c r="D1789" s="1"/>
      <c r="E1789" s="177"/>
      <c r="F1789" s="1"/>
      <c r="G1789" s="1"/>
    </row>
    <row r="1790" spans="1:7">
      <c r="A1790" s="10"/>
      <c r="B1790" s="105"/>
      <c r="C1790" s="176"/>
      <c r="D1790" s="1"/>
      <c r="E1790" s="177"/>
      <c r="F1790" s="1"/>
      <c r="G1790" s="1"/>
    </row>
    <row r="1791" spans="1:7">
      <c r="A1791" s="10"/>
      <c r="B1791" s="105"/>
      <c r="C1791" s="176"/>
      <c r="D1791" s="1"/>
      <c r="E1791" s="177"/>
      <c r="F1791" s="1"/>
      <c r="G1791" s="1"/>
    </row>
    <row r="1792" spans="1:7">
      <c r="A1792" s="10"/>
      <c r="B1792" s="105"/>
      <c r="C1792" s="176"/>
      <c r="D1792" s="1"/>
      <c r="E1792" s="177"/>
      <c r="F1792" s="1"/>
      <c r="G1792" s="1"/>
    </row>
    <row r="1793" spans="1:7">
      <c r="A1793" s="10"/>
      <c r="B1793" s="105"/>
      <c r="C1793" s="176"/>
      <c r="D1793" s="1"/>
      <c r="E1793" s="177"/>
      <c r="F1793" s="1"/>
      <c r="G1793" s="1"/>
    </row>
    <row r="1794" spans="1:7">
      <c r="A1794" s="10"/>
      <c r="B1794" s="105"/>
      <c r="C1794" s="176"/>
      <c r="D1794" s="1"/>
      <c r="E1794" s="177"/>
      <c r="F1794" s="1"/>
      <c r="G1794" s="1"/>
    </row>
    <row r="1795" spans="1:7">
      <c r="A1795" s="10"/>
      <c r="B1795" s="105"/>
      <c r="C1795" s="176"/>
      <c r="D1795" s="1"/>
      <c r="E1795" s="177"/>
      <c r="F1795" s="1"/>
      <c r="G1795" s="1"/>
    </row>
    <row r="1796" spans="1:7">
      <c r="A1796" s="10"/>
      <c r="B1796" s="105"/>
      <c r="C1796" s="176"/>
      <c r="D1796" s="1"/>
      <c r="E1796" s="177"/>
      <c r="F1796" s="1"/>
      <c r="G1796" s="1"/>
    </row>
    <row r="1797" spans="1:7">
      <c r="A1797" s="10"/>
      <c r="B1797" s="105"/>
      <c r="C1797" s="176"/>
      <c r="D1797" s="1"/>
      <c r="E1797" s="177"/>
      <c r="F1797" s="1"/>
      <c r="G1797" s="1"/>
    </row>
    <row r="1798" spans="1:7">
      <c r="A1798" s="10"/>
      <c r="B1798" s="105"/>
      <c r="C1798" s="176"/>
      <c r="D1798" s="1"/>
      <c r="E1798" s="177"/>
      <c r="F1798" s="1"/>
      <c r="G1798" s="1"/>
    </row>
    <row r="1799" spans="1:7">
      <c r="A1799" s="10"/>
      <c r="B1799" s="105"/>
      <c r="C1799" s="176"/>
      <c r="D1799" s="1"/>
      <c r="E1799" s="177"/>
      <c r="F1799" s="1"/>
      <c r="G1799" s="1"/>
    </row>
    <row r="1800" spans="1:7">
      <c r="A1800" s="10"/>
      <c r="B1800" s="105"/>
      <c r="C1800" s="176"/>
      <c r="D1800" s="1"/>
      <c r="E1800" s="177"/>
      <c r="F1800" s="1"/>
      <c r="G1800" s="1"/>
    </row>
    <row r="1801" spans="1:7">
      <c r="A1801" s="10"/>
      <c r="B1801" s="105"/>
      <c r="C1801" s="176"/>
      <c r="D1801" s="1"/>
      <c r="E1801" s="177"/>
      <c r="F1801" s="1"/>
      <c r="G1801" s="1"/>
    </row>
    <row r="1802" spans="1:7">
      <c r="A1802" s="10"/>
      <c r="B1802" s="105"/>
      <c r="C1802" s="176"/>
      <c r="D1802" s="1"/>
      <c r="E1802" s="177"/>
      <c r="F1802" s="1"/>
      <c r="G1802" s="1"/>
    </row>
    <row r="1803" spans="1:7">
      <c r="A1803" s="10"/>
      <c r="B1803" s="105"/>
      <c r="C1803" s="176"/>
      <c r="D1803" s="1"/>
      <c r="E1803" s="177"/>
      <c r="F1803" s="1"/>
      <c r="G1803" s="1"/>
    </row>
    <row r="1804" spans="1:7">
      <c r="A1804" s="10"/>
      <c r="B1804" s="105"/>
      <c r="C1804" s="176"/>
      <c r="D1804" s="1"/>
      <c r="E1804" s="177"/>
      <c r="F1804" s="1"/>
      <c r="G1804" s="1"/>
    </row>
    <row r="1805" spans="1:7">
      <c r="A1805" s="10"/>
      <c r="B1805" s="105"/>
      <c r="C1805" s="176"/>
      <c r="D1805" s="1"/>
      <c r="E1805" s="177"/>
      <c r="F1805" s="1"/>
      <c r="G1805" s="1"/>
    </row>
    <row r="1806" spans="1:7">
      <c r="A1806" s="10"/>
      <c r="B1806" s="105"/>
      <c r="C1806" s="176"/>
      <c r="D1806" s="1"/>
      <c r="E1806" s="177"/>
      <c r="F1806" s="1"/>
      <c r="G1806" s="1"/>
    </row>
    <row r="1807" spans="1:7">
      <c r="A1807" s="10"/>
      <c r="B1807" s="105"/>
      <c r="C1807" s="176"/>
      <c r="D1807" s="1"/>
      <c r="E1807" s="177"/>
      <c r="F1807" s="1"/>
      <c r="G1807" s="1"/>
    </row>
    <row r="1808" spans="1:7">
      <c r="A1808" s="10"/>
      <c r="B1808" s="105"/>
      <c r="C1808" s="176"/>
      <c r="D1808" s="1"/>
      <c r="E1808" s="177"/>
      <c r="F1808" s="1"/>
      <c r="G1808" s="1"/>
    </row>
    <row r="1809" spans="1:7">
      <c r="A1809" s="10"/>
      <c r="B1809" s="105"/>
      <c r="C1809" s="176"/>
      <c r="D1809" s="1"/>
      <c r="E1809" s="177"/>
      <c r="F1809" s="1"/>
      <c r="G1809" s="1"/>
    </row>
    <row r="1810" spans="1:7">
      <c r="A1810" s="10"/>
      <c r="B1810" s="105"/>
      <c r="C1810" s="176"/>
      <c r="D1810" s="1"/>
      <c r="E1810" s="177"/>
      <c r="F1810" s="1"/>
      <c r="G1810" s="1"/>
    </row>
    <row r="1811" spans="1:7">
      <c r="A1811" s="10"/>
      <c r="B1811" s="105"/>
      <c r="C1811" s="176"/>
      <c r="D1811" s="1"/>
      <c r="E1811" s="177"/>
      <c r="F1811" s="1"/>
      <c r="G1811" s="1"/>
    </row>
    <row r="1812" spans="1:7">
      <c r="A1812" s="10"/>
      <c r="B1812" s="105"/>
      <c r="C1812" s="176"/>
      <c r="D1812" s="1"/>
      <c r="E1812" s="177"/>
      <c r="F1812" s="1"/>
      <c r="G1812" s="1"/>
    </row>
    <row r="1813" spans="1:7">
      <c r="A1813" s="10"/>
      <c r="B1813" s="105"/>
      <c r="C1813" s="176"/>
      <c r="D1813" s="1"/>
      <c r="E1813" s="177"/>
      <c r="F1813" s="1"/>
      <c r="G1813" s="1"/>
    </row>
    <row r="1814" spans="1:7">
      <c r="A1814" s="10"/>
      <c r="B1814" s="105"/>
      <c r="C1814" s="176"/>
      <c r="D1814" s="1"/>
      <c r="E1814" s="177"/>
      <c r="F1814" s="1"/>
      <c r="G1814" s="1"/>
    </row>
    <row r="1815" spans="1:7">
      <c r="A1815" s="10"/>
      <c r="B1815" s="105"/>
      <c r="C1815" s="176"/>
      <c r="D1815" s="1"/>
      <c r="E1815" s="177"/>
      <c r="F1815" s="1"/>
      <c r="G1815" s="1"/>
    </row>
    <row r="1816" spans="1:7">
      <c r="A1816" s="10"/>
      <c r="B1816" s="105"/>
      <c r="C1816" s="176"/>
      <c r="D1816" s="1"/>
      <c r="E1816" s="177"/>
      <c r="F1816" s="1"/>
      <c r="G1816" s="1"/>
    </row>
    <row r="1817" spans="1:7">
      <c r="A1817" s="10"/>
      <c r="B1817" s="105"/>
      <c r="C1817" s="176"/>
      <c r="D1817" s="1"/>
      <c r="E1817" s="177"/>
      <c r="F1817" s="1"/>
      <c r="G1817" s="1"/>
    </row>
    <row r="1818" spans="1:7">
      <c r="A1818" s="10"/>
      <c r="B1818" s="105"/>
      <c r="C1818" s="176"/>
      <c r="D1818" s="1"/>
      <c r="E1818" s="177"/>
      <c r="F1818" s="1"/>
      <c r="G1818" s="1"/>
    </row>
    <row r="1819" spans="1:7">
      <c r="A1819" s="10"/>
      <c r="B1819" s="105"/>
      <c r="C1819" s="176"/>
      <c r="D1819" s="1"/>
      <c r="E1819" s="177"/>
      <c r="F1819" s="1"/>
      <c r="G1819" s="1"/>
    </row>
    <row r="1820" spans="1:7">
      <c r="A1820" s="10"/>
      <c r="B1820" s="105"/>
      <c r="C1820" s="176"/>
      <c r="D1820" s="1"/>
      <c r="E1820" s="177"/>
      <c r="F1820" s="1"/>
      <c r="G1820" s="1"/>
    </row>
    <row r="1821" spans="1:7">
      <c r="A1821" s="10"/>
      <c r="B1821" s="105"/>
      <c r="C1821" s="176"/>
      <c r="D1821" s="1"/>
      <c r="E1821" s="177"/>
      <c r="F1821" s="1"/>
      <c r="G1821" s="1"/>
    </row>
    <row r="1822" spans="1:7">
      <c r="A1822" s="10"/>
      <c r="B1822" s="105"/>
      <c r="C1822" s="176"/>
      <c r="D1822" s="1"/>
      <c r="E1822" s="177"/>
      <c r="F1822" s="1"/>
      <c r="G1822" s="1"/>
    </row>
    <row r="1823" spans="1:7">
      <c r="A1823" s="10"/>
      <c r="B1823" s="105"/>
      <c r="C1823" s="176"/>
      <c r="D1823" s="1"/>
      <c r="E1823" s="177"/>
      <c r="F1823" s="1"/>
      <c r="G1823" s="1"/>
    </row>
    <row r="1824" spans="1:7">
      <c r="A1824" s="10"/>
      <c r="B1824" s="105"/>
      <c r="C1824" s="176"/>
      <c r="D1824" s="1"/>
      <c r="E1824" s="177"/>
      <c r="F1824" s="1"/>
      <c r="G1824" s="1"/>
    </row>
    <row r="1825" spans="1:7">
      <c r="A1825" s="10"/>
      <c r="B1825" s="105"/>
      <c r="C1825" s="176"/>
      <c r="D1825" s="1"/>
      <c r="E1825" s="177"/>
      <c r="F1825" s="1"/>
      <c r="G1825" s="1"/>
    </row>
    <row r="1826" spans="1:7">
      <c r="A1826" s="10"/>
      <c r="B1826" s="105"/>
      <c r="C1826" s="176"/>
      <c r="D1826" s="1"/>
      <c r="E1826" s="177"/>
      <c r="F1826" s="1"/>
      <c r="G1826" s="1"/>
    </row>
    <row r="1827" spans="1:7">
      <c r="A1827" s="10"/>
      <c r="B1827" s="105"/>
      <c r="C1827" s="176"/>
      <c r="D1827" s="1"/>
      <c r="E1827" s="177"/>
      <c r="F1827" s="1"/>
      <c r="G1827" s="1"/>
    </row>
    <row r="1828" spans="1:7">
      <c r="A1828" s="10"/>
      <c r="B1828" s="105"/>
      <c r="C1828" s="176"/>
      <c r="D1828" s="1"/>
      <c r="E1828" s="177"/>
      <c r="F1828" s="1"/>
      <c r="G1828" s="1"/>
    </row>
    <row r="1829" spans="1:7">
      <c r="A1829" s="10"/>
      <c r="B1829" s="105"/>
      <c r="C1829" s="176"/>
      <c r="D1829" s="1"/>
      <c r="E1829" s="177"/>
      <c r="F1829" s="1"/>
      <c r="G1829" s="1"/>
    </row>
    <row r="1830" spans="1:7">
      <c r="A1830" s="10"/>
      <c r="B1830" s="105"/>
      <c r="C1830" s="176"/>
      <c r="D1830" s="1"/>
      <c r="E1830" s="177"/>
      <c r="F1830" s="1"/>
      <c r="G1830" s="1"/>
    </row>
    <row r="1831" spans="1:7">
      <c r="A1831" s="10"/>
      <c r="B1831" s="105"/>
      <c r="C1831" s="176"/>
      <c r="D1831" s="1"/>
      <c r="E1831" s="177"/>
      <c r="F1831" s="1"/>
      <c r="G1831" s="1"/>
    </row>
    <row r="1832" spans="1:7">
      <c r="A1832" s="10"/>
      <c r="B1832" s="105"/>
      <c r="C1832" s="176"/>
      <c r="D1832" s="1"/>
      <c r="E1832" s="177"/>
      <c r="F1832" s="1"/>
      <c r="G1832" s="1"/>
    </row>
    <row r="1833" spans="1:7">
      <c r="A1833" s="10"/>
      <c r="B1833" s="105"/>
      <c r="C1833" s="176"/>
      <c r="D1833" s="1"/>
      <c r="E1833" s="177"/>
      <c r="F1833" s="1"/>
      <c r="G1833" s="1"/>
    </row>
    <row r="1834" spans="1:7">
      <c r="A1834" s="10"/>
      <c r="B1834" s="105"/>
      <c r="C1834" s="176"/>
      <c r="D1834" s="1"/>
      <c r="E1834" s="177"/>
      <c r="F1834" s="1"/>
      <c r="G1834" s="1"/>
    </row>
    <row r="1835" spans="1:7">
      <c r="A1835" s="10"/>
      <c r="B1835" s="105"/>
      <c r="C1835" s="176"/>
      <c r="D1835" s="1"/>
      <c r="E1835" s="177"/>
      <c r="F1835" s="1"/>
      <c r="G1835" s="1"/>
    </row>
    <row r="1836" spans="1:7">
      <c r="A1836" s="10"/>
      <c r="B1836" s="105"/>
      <c r="C1836" s="176"/>
      <c r="D1836" s="1"/>
      <c r="E1836" s="177"/>
      <c r="F1836" s="1"/>
      <c r="G1836" s="1"/>
    </row>
    <row r="1837" spans="1:7">
      <c r="A1837" s="10"/>
      <c r="B1837" s="105"/>
      <c r="C1837" s="176"/>
      <c r="D1837" s="1"/>
      <c r="E1837" s="177"/>
      <c r="F1837" s="1"/>
      <c r="G1837" s="1"/>
    </row>
    <row r="1838" spans="1:7">
      <c r="A1838" s="10"/>
      <c r="B1838" s="105"/>
      <c r="C1838" s="176"/>
      <c r="D1838" s="1"/>
      <c r="E1838" s="177"/>
      <c r="F1838" s="1"/>
      <c r="G1838" s="1"/>
    </row>
    <row r="1839" spans="1:7">
      <c r="A1839" s="10"/>
      <c r="B1839" s="105"/>
      <c r="C1839" s="176"/>
      <c r="D1839" s="1"/>
      <c r="E1839" s="177"/>
      <c r="F1839" s="1"/>
      <c r="G1839" s="1"/>
    </row>
    <row r="1840" spans="1:7">
      <c r="A1840" s="10"/>
      <c r="B1840" s="105"/>
      <c r="C1840" s="176"/>
      <c r="D1840" s="1"/>
      <c r="E1840" s="177"/>
      <c r="F1840" s="1"/>
      <c r="G1840" s="1"/>
    </row>
    <row r="1841" spans="1:7">
      <c r="A1841" s="10"/>
      <c r="B1841" s="105"/>
      <c r="C1841" s="176"/>
      <c r="D1841" s="1"/>
      <c r="E1841" s="177"/>
      <c r="F1841" s="1"/>
      <c r="G1841" s="1"/>
    </row>
    <row r="1842" spans="1:7">
      <c r="A1842" s="10"/>
      <c r="B1842" s="105"/>
      <c r="C1842" s="176"/>
      <c r="D1842" s="1"/>
      <c r="E1842" s="177"/>
      <c r="F1842" s="1"/>
      <c r="G1842" s="1"/>
    </row>
    <row r="1843" spans="1:7">
      <c r="A1843" s="10"/>
      <c r="B1843" s="105"/>
      <c r="C1843" s="176"/>
      <c r="D1843" s="1"/>
      <c r="E1843" s="177"/>
      <c r="F1843" s="1"/>
      <c r="G1843" s="1"/>
    </row>
    <row r="1844" spans="1:7">
      <c r="A1844" s="10"/>
      <c r="B1844" s="105"/>
      <c r="C1844" s="176"/>
      <c r="D1844" s="1"/>
      <c r="E1844" s="177"/>
      <c r="F1844" s="1"/>
      <c r="G1844" s="1"/>
    </row>
    <row r="1845" spans="1:7">
      <c r="A1845" s="10"/>
      <c r="B1845" s="105"/>
      <c r="C1845" s="176"/>
      <c r="D1845" s="1"/>
      <c r="E1845" s="177"/>
      <c r="F1845" s="1"/>
      <c r="G1845" s="1"/>
    </row>
    <row r="1846" spans="1:7">
      <c r="A1846" s="10"/>
      <c r="B1846" s="105"/>
      <c r="C1846" s="176"/>
      <c r="D1846" s="1"/>
      <c r="E1846" s="177"/>
      <c r="F1846" s="1"/>
      <c r="G1846" s="1"/>
    </row>
    <row r="1847" spans="1:7">
      <c r="A1847" s="10"/>
      <c r="B1847" s="105"/>
      <c r="C1847" s="176"/>
      <c r="D1847" s="1"/>
      <c r="E1847" s="177"/>
      <c r="F1847" s="1"/>
      <c r="G1847" s="1"/>
    </row>
    <row r="1848" spans="1:7">
      <c r="A1848" s="10"/>
      <c r="B1848" s="105"/>
      <c r="C1848" s="176"/>
      <c r="D1848" s="1"/>
      <c r="E1848" s="177"/>
      <c r="F1848" s="1"/>
      <c r="G1848" s="1"/>
    </row>
    <row r="1849" spans="1:7">
      <c r="A1849" s="10"/>
      <c r="B1849" s="105"/>
      <c r="C1849" s="176"/>
      <c r="D1849" s="1"/>
      <c r="E1849" s="177"/>
      <c r="F1849" s="1"/>
      <c r="G1849" s="1"/>
    </row>
    <row r="1850" spans="1:7">
      <c r="A1850" s="10"/>
      <c r="B1850" s="105"/>
      <c r="C1850" s="176"/>
      <c r="D1850" s="1"/>
      <c r="E1850" s="177"/>
      <c r="F1850" s="1"/>
      <c r="G1850" s="1"/>
    </row>
    <row r="1851" spans="1:7">
      <c r="A1851" s="10"/>
      <c r="B1851" s="105"/>
      <c r="C1851" s="176"/>
      <c r="D1851" s="1"/>
      <c r="E1851" s="177"/>
      <c r="F1851" s="1"/>
      <c r="G1851" s="1"/>
    </row>
    <row r="1852" spans="1:7">
      <c r="A1852" s="10"/>
      <c r="B1852" s="105"/>
      <c r="C1852" s="176"/>
      <c r="D1852" s="1"/>
      <c r="E1852" s="177"/>
      <c r="F1852" s="1"/>
      <c r="G1852" s="1"/>
    </row>
    <row r="1853" spans="1:7">
      <c r="A1853" s="10"/>
      <c r="B1853" s="105"/>
      <c r="C1853" s="176"/>
      <c r="D1853" s="1"/>
      <c r="E1853" s="177"/>
      <c r="F1853" s="1"/>
      <c r="G1853" s="1"/>
    </row>
    <row r="1854" spans="1:7">
      <c r="A1854" s="10"/>
      <c r="B1854" s="105"/>
      <c r="C1854" s="176"/>
      <c r="D1854" s="1"/>
      <c r="E1854" s="177"/>
      <c r="F1854" s="1"/>
      <c r="G1854" s="1"/>
    </row>
    <row r="1855" spans="1:7">
      <c r="A1855" s="10"/>
      <c r="B1855" s="105"/>
      <c r="C1855" s="176"/>
      <c r="D1855" s="1"/>
      <c r="E1855" s="177"/>
      <c r="F1855" s="1"/>
      <c r="G1855" s="1"/>
    </row>
    <row r="1856" spans="1:7">
      <c r="A1856" s="10"/>
      <c r="B1856" s="105"/>
      <c r="C1856" s="176"/>
      <c r="D1856" s="1"/>
      <c r="E1856" s="177"/>
      <c r="F1856" s="1"/>
      <c r="G1856" s="1"/>
    </row>
    <row r="1857" spans="1:7">
      <c r="A1857" s="10"/>
      <c r="B1857" s="105"/>
      <c r="C1857" s="176"/>
      <c r="D1857" s="1"/>
      <c r="E1857" s="177"/>
      <c r="F1857" s="1"/>
      <c r="G1857" s="1"/>
    </row>
    <row r="1858" spans="1:7">
      <c r="A1858" s="10"/>
      <c r="B1858" s="105"/>
      <c r="C1858" s="176"/>
      <c r="D1858" s="1"/>
      <c r="E1858" s="177"/>
      <c r="F1858" s="1"/>
      <c r="G1858" s="1"/>
    </row>
    <row r="1859" spans="1:7">
      <c r="A1859" s="10"/>
      <c r="B1859" s="105"/>
      <c r="C1859" s="176"/>
      <c r="D1859" s="1"/>
      <c r="E1859" s="177"/>
      <c r="F1859" s="1"/>
      <c r="G1859" s="1"/>
    </row>
    <row r="1860" spans="1:7">
      <c r="A1860" s="10"/>
      <c r="B1860" s="105"/>
      <c r="C1860" s="176"/>
      <c r="D1860" s="1"/>
      <c r="E1860" s="177"/>
      <c r="F1860" s="1"/>
      <c r="G1860" s="1"/>
    </row>
    <row r="1861" spans="1:7">
      <c r="A1861" s="10"/>
      <c r="B1861" s="105"/>
      <c r="C1861" s="176"/>
      <c r="D1861" s="1"/>
      <c r="E1861" s="177"/>
      <c r="F1861" s="1"/>
      <c r="G1861" s="1"/>
    </row>
    <row r="1862" spans="1:7">
      <c r="A1862" s="10"/>
      <c r="B1862" s="105"/>
      <c r="C1862" s="176"/>
      <c r="D1862" s="1"/>
      <c r="E1862" s="177"/>
      <c r="F1862" s="1"/>
      <c r="G1862" s="1"/>
    </row>
    <row r="1863" spans="1:7">
      <c r="A1863" s="10"/>
      <c r="B1863" s="105"/>
      <c r="C1863" s="176"/>
      <c r="D1863" s="1"/>
      <c r="E1863" s="177"/>
      <c r="F1863" s="1"/>
      <c r="G1863" s="1"/>
    </row>
    <row r="1864" spans="1:7">
      <c r="A1864" s="10"/>
      <c r="B1864" s="105"/>
      <c r="C1864" s="176"/>
      <c r="D1864" s="1"/>
      <c r="E1864" s="177"/>
      <c r="F1864" s="1"/>
      <c r="G1864" s="1"/>
    </row>
    <row r="1865" spans="1:7">
      <c r="A1865" s="10"/>
      <c r="B1865" s="105"/>
      <c r="C1865" s="176"/>
      <c r="D1865" s="1"/>
      <c r="E1865" s="177"/>
      <c r="F1865" s="1"/>
      <c r="G1865" s="1"/>
    </row>
    <row r="1866" spans="1:7">
      <c r="A1866" s="10"/>
      <c r="B1866" s="105"/>
      <c r="C1866" s="176"/>
      <c r="D1866" s="1"/>
      <c r="E1866" s="177"/>
      <c r="F1866" s="1"/>
      <c r="G1866" s="1"/>
    </row>
    <row r="1867" spans="1:7">
      <c r="A1867" s="10"/>
      <c r="B1867" s="105"/>
      <c r="C1867" s="176"/>
      <c r="D1867" s="1"/>
      <c r="E1867" s="177"/>
      <c r="F1867" s="1"/>
      <c r="G1867" s="1"/>
    </row>
    <row r="1868" spans="1:7">
      <c r="A1868" s="10"/>
      <c r="B1868" s="105"/>
      <c r="C1868" s="176"/>
      <c r="D1868" s="1"/>
      <c r="E1868" s="177"/>
      <c r="F1868" s="1"/>
      <c r="G1868" s="1"/>
    </row>
    <row r="1869" spans="1:7">
      <c r="A1869" s="10"/>
      <c r="B1869" s="105"/>
      <c r="C1869" s="176"/>
      <c r="D1869" s="1"/>
      <c r="E1869" s="177"/>
      <c r="F1869" s="1"/>
      <c r="G1869" s="1"/>
    </row>
    <row r="1870" spans="1:7">
      <c r="A1870" s="10"/>
      <c r="B1870" s="105"/>
      <c r="C1870" s="176"/>
      <c r="D1870" s="1"/>
      <c r="E1870" s="177"/>
      <c r="F1870" s="1"/>
      <c r="G1870" s="1"/>
    </row>
    <row r="1871" spans="1:7">
      <c r="A1871" s="10"/>
      <c r="B1871" s="105"/>
      <c r="C1871" s="176"/>
      <c r="D1871" s="1"/>
      <c r="E1871" s="177"/>
      <c r="F1871" s="1"/>
      <c r="G1871" s="1"/>
    </row>
    <row r="1872" spans="1:7">
      <c r="A1872" s="10"/>
      <c r="B1872" s="105"/>
      <c r="C1872" s="176"/>
      <c r="D1872" s="1"/>
      <c r="E1872" s="177"/>
      <c r="F1872" s="1"/>
      <c r="G1872" s="1"/>
    </row>
    <row r="1873" spans="1:7">
      <c r="A1873" s="10"/>
      <c r="B1873" s="105"/>
      <c r="C1873" s="176"/>
      <c r="D1873" s="1"/>
      <c r="E1873" s="177"/>
      <c r="F1873" s="1"/>
      <c r="G1873" s="1"/>
    </row>
    <row r="1874" spans="1:7">
      <c r="A1874" s="10"/>
      <c r="B1874" s="105"/>
      <c r="C1874" s="176"/>
      <c r="D1874" s="1"/>
      <c r="E1874" s="177"/>
      <c r="F1874" s="1"/>
      <c r="G1874" s="1"/>
    </row>
    <row r="1875" spans="1:7">
      <c r="A1875" s="10"/>
      <c r="B1875" s="105"/>
      <c r="C1875" s="176"/>
      <c r="D1875" s="1"/>
      <c r="E1875" s="177"/>
      <c r="F1875" s="1"/>
      <c r="G1875" s="1"/>
    </row>
    <row r="1876" spans="1:7">
      <c r="A1876" s="10"/>
      <c r="B1876" s="105"/>
      <c r="C1876" s="176"/>
      <c r="D1876" s="1"/>
      <c r="E1876" s="177"/>
      <c r="F1876" s="1"/>
      <c r="G1876" s="1"/>
    </row>
    <row r="1877" spans="1:7">
      <c r="A1877" s="10"/>
      <c r="B1877" s="105"/>
      <c r="C1877" s="176"/>
      <c r="D1877" s="1"/>
      <c r="E1877" s="177"/>
      <c r="F1877" s="1"/>
      <c r="G1877" s="1"/>
    </row>
    <row r="1878" spans="1:7">
      <c r="A1878" s="10"/>
      <c r="B1878" s="105"/>
      <c r="C1878" s="176"/>
      <c r="D1878" s="1"/>
      <c r="E1878" s="177"/>
      <c r="F1878" s="1"/>
      <c r="G1878" s="1"/>
    </row>
    <row r="1879" spans="1:7">
      <c r="A1879" s="10"/>
      <c r="B1879" s="105"/>
      <c r="C1879" s="176"/>
      <c r="D1879" s="1"/>
      <c r="E1879" s="177"/>
      <c r="F1879" s="1"/>
      <c r="G1879" s="1"/>
    </row>
    <row r="1880" spans="1:7">
      <c r="A1880" s="10"/>
      <c r="B1880" s="105"/>
      <c r="C1880" s="176"/>
      <c r="D1880" s="1"/>
      <c r="E1880" s="177"/>
      <c r="F1880" s="1"/>
      <c r="G1880" s="1"/>
    </row>
    <row r="1881" spans="1:7">
      <c r="A1881" s="10"/>
      <c r="B1881" s="105"/>
      <c r="C1881" s="176"/>
      <c r="D1881" s="1"/>
      <c r="E1881" s="177"/>
      <c r="F1881" s="1"/>
      <c r="G1881" s="1"/>
    </row>
    <row r="1882" spans="1:7">
      <c r="A1882" s="10"/>
      <c r="B1882" s="105"/>
      <c r="C1882" s="176"/>
      <c r="D1882" s="1"/>
      <c r="E1882" s="177"/>
      <c r="F1882" s="1"/>
      <c r="G1882" s="1"/>
    </row>
    <row r="1883" spans="1:7">
      <c r="A1883" s="10"/>
      <c r="B1883" s="105"/>
      <c r="C1883" s="176"/>
      <c r="D1883" s="1"/>
      <c r="E1883" s="177"/>
      <c r="F1883" s="1"/>
      <c r="G1883" s="1"/>
    </row>
    <row r="1884" spans="1:7">
      <c r="A1884" s="10"/>
      <c r="B1884" s="105"/>
      <c r="C1884" s="176"/>
      <c r="D1884" s="1"/>
      <c r="E1884" s="177"/>
      <c r="F1884" s="1"/>
      <c r="G1884" s="1"/>
    </row>
    <row r="1885" spans="1:7">
      <c r="A1885" s="10"/>
      <c r="B1885" s="105"/>
      <c r="C1885" s="176"/>
      <c r="D1885" s="1"/>
      <c r="E1885" s="177"/>
      <c r="F1885" s="1"/>
      <c r="G1885" s="1"/>
    </row>
    <row r="1886" spans="1:7">
      <c r="A1886" s="10"/>
      <c r="B1886" s="105"/>
      <c r="C1886" s="176"/>
      <c r="D1886" s="1"/>
      <c r="E1886" s="177"/>
      <c r="F1886" s="1"/>
      <c r="G1886" s="1"/>
    </row>
    <row r="1887" spans="1:7">
      <c r="A1887" s="10"/>
      <c r="B1887" s="105"/>
      <c r="C1887" s="176"/>
      <c r="D1887" s="1"/>
      <c r="E1887" s="177"/>
      <c r="F1887" s="1"/>
      <c r="G1887" s="1"/>
    </row>
    <row r="1888" spans="1:7">
      <c r="A1888" s="10"/>
      <c r="B1888" s="105"/>
      <c r="C1888" s="176"/>
      <c r="D1888" s="1"/>
      <c r="E1888" s="177"/>
      <c r="F1888" s="1"/>
      <c r="G1888" s="1"/>
    </row>
    <row r="1889" spans="1:7">
      <c r="A1889" s="10"/>
      <c r="B1889" s="105"/>
      <c r="C1889" s="176"/>
      <c r="D1889" s="1"/>
      <c r="E1889" s="177"/>
      <c r="F1889" s="1"/>
      <c r="G1889" s="1"/>
    </row>
    <row r="1890" spans="1:7">
      <c r="A1890" s="10"/>
      <c r="B1890" s="105"/>
      <c r="C1890" s="176"/>
      <c r="D1890" s="1"/>
      <c r="E1890" s="177"/>
      <c r="F1890" s="1"/>
      <c r="G1890" s="1"/>
    </row>
    <row r="1891" spans="1:7">
      <c r="A1891" s="10"/>
      <c r="B1891" s="105"/>
      <c r="C1891" s="176"/>
      <c r="D1891" s="1"/>
      <c r="E1891" s="177"/>
      <c r="F1891" s="1"/>
      <c r="G1891" s="1"/>
    </row>
    <row r="1892" spans="1:7">
      <c r="A1892" s="10"/>
      <c r="B1892" s="105"/>
      <c r="C1892" s="176"/>
      <c r="D1892" s="1"/>
      <c r="E1892" s="177"/>
      <c r="F1892" s="1"/>
      <c r="G1892" s="1"/>
    </row>
    <row r="1893" spans="1:7">
      <c r="A1893" s="10"/>
      <c r="B1893" s="105"/>
      <c r="C1893" s="176"/>
      <c r="D1893" s="1"/>
      <c r="E1893" s="177"/>
      <c r="F1893" s="1"/>
      <c r="G1893" s="1"/>
    </row>
    <row r="1894" spans="1:7">
      <c r="A1894" s="10"/>
      <c r="B1894" s="105"/>
      <c r="C1894" s="176"/>
      <c r="D1894" s="1"/>
      <c r="E1894" s="177"/>
      <c r="F1894" s="1"/>
      <c r="G1894" s="1"/>
    </row>
    <row r="1895" spans="1:7">
      <c r="A1895" s="10"/>
      <c r="B1895" s="105"/>
      <c r="C1895" s="176"/>
      <c r="D1895" s="1"/>
      <c r="E1895" s="177"/>
      <c r="F1895" s="1"/>
      <c r="G1895" s="1"/>
    </row>
    <row r="1896" spans="1:7">
      <c r="A1896" s="10"/>
      <c r="B1896" s="105"/>
      <c r="C1896" s="176"/>
      <c r="D1896" s="1"/>
      <c r="E1896" s="177"/>
      <c r="F1896" s="1"/>
      <c r="G1896" s="1"/>
    </row>
    <row r="1897" spans="1:7">
      <c r="A1897" s="10"/>
      <c r="B1897" s="105"/>
      <c r="C1897" s="176"/>
      <c r="D1897" s="1"/>
      <c r="E1897" s="177"/>
      <c r="F1897" s="1"/>
      <c r="G1897" s="1"/>
    </row>
    <row r="1898" spans="1:7">
      <c r="A1898" s="10"/>
      <c r="B1898" s="105"/>
      <c r="C1898" s="176"/>
      <c r="D1898" s="1"/>
      <c r="E1898" s="177"/>
      <c r="F1898" s="1"/>
      <c r="G1898" s="1"/>
    </row>
    <row r="1899" spans="1:7">
      <c r="A1899" s="10"/>
      <c r="B1899" s="105"/>
      <c r="C1899" s="176"/>
      <c r="D1899" s="1"/>
      <c r="E1899" s="177"/>
      <c r="F1899" s="1"/>
      <c r="G1899" s="1"/>
    </row>
    <row r="1900" spans="1:7">
      <c r="A1900" s="10"/>
      <c r="B1900" s="105"/>
      <c r="C1900" s="176"/>
      <c r="D1900" s="1"/>
      <c r="E1900" s="177"/>
      <c r="F1900" s="1"/>
      <c r="G1900" s="1"/>
    </row>
    <row r="1901" spans="1:7">
      <c r="A1901" s="10"/>
      <c r="B1901" s="105"/>
      <c r="C1901" s="176"/>
      <c r="D1901" s="1"/>
      <c r="E1901" s="177"/>
      <c r="F1901" s="1"/>
      <c r="G1901" s="1"/>
    </row>
    <row r="1902" spans="1:7">
      <c r="A1902" s="10"/>
      <c r="B1902" s="105"/>
      <c r="C1902" s="176"/>
      <c r="D1902" s="1"/>
      <c r="E1902" s="177"/>
      <c r="F1902" s="1"/>
      <c r="G1902" s="1"/>
    </row>
    <row r="1903" spans="1:7">
      <c r="A1903" s="10"/>
      <c r="B1903" s="105"/>
      <c r="C1903" s="176"/>
      <c r="D1903" s="1"/>
      <c r="E1903" s="177"/>
      <c r="F1903" s="1"/>
      <c r="G1903" s="1"/>
    </row>
    <row r="1904" spans="1:7">
      <c r="A1904" s="10"/>
      <c r="B1904" s="105"/>
      <c r="C1904" s="176"/>
      <c r="D1904" s="1"/>
      <c r="E1904" s="177"/>
      <c r="F1904" s="1"/>
      <c r="G1904" s="1"/>
    </row>
    <row r="1905" spans="1:7">
      <c r="A1905" s="10"/>
      <c r="B1905" s="105"/>
      <c r="C1905" s="176"/>
      <c r="D1905" s="1"/>
      <c r="E1905" s="177"/>
      <c r="F1905" s="1"/>
      <c r="G1905" s="1"/>
    </row>
    <row r="1906" spans="1:7">
      <c r="A1906" s="10"/>
      <c r="B1906" s="105"/>
      <c r="C1906" s="176"/>
      <c r="D1906" s="1"/>
      <c r="E1906" s="177"/>
      <c r="F1906" s="1"/>
      <c r="G1906" s="1"/>
    </row>
    <row r="1907" spans="1:7">
      <c r="A1907" s="10"/>
      <c r="B1907" s="105"/>
      <c r="C1907" s="176"/>
      <c r="D1907" s="1"/>
      <c r="E1907" s="177"/>
      <c r="F1907" s="1"/>
      <c r="G1907" s="1"/>
    </row>
    <row r="1908" spans="1:7">
      <c r="A1908" s="10"/>
      <c r="B1908" s="105"/>
      <c r="C1908" s="176"/>
      <c r="D1908" s="1"/>
      <c r="E1908" s="177"/>
      <c r="F1908" s="1"/>
      <c r="G1908" s="1"/>
    </row>
    <row r="1909" spans="1:7">
      <c r="A1909" s="10"/>
      <c r="B1909" s="105"/>
      <c r="C1909" s="176"/>
      <c r="D1909" s="1"/>
      <c r="E1909" s="177"/>
      <c r="F1909" s="1"/>
      <c r="G1909" s="1"/>
    </row>
    <row r="1910" spans="1:7">
      <c r="A1910" s="10"/>
      <c r="B1910" s="105"/>
      <c r="C1910" s="176"/>
      <c r="D1910" s="1"/>
      <c r="E1910" s="177"/>
      <c r="F1910" s="1"/>
      <c r="G1910" s="1"/>
    </row>
    <row r="1911" spans="1:7">
      <c r="A1911" s="10"/>
      <c r="B1911" s="105"/>
      <c r="C1911" s="176"/>
      <c r="D1911" s="1"/>
      <c r="E1911" s="177"/>
      <c r="F1911" s="1"/>
      <c r="G1911" s="1"/>
    </row>
    <row r="1912" spans="1:7">
      <c r="A1912" s="10"/>
      <c r="B1912" s="105"/>
      <c r="C1912" s="176"/>
      <c r="D1912" s="1"/>
      <c r="E1912" s="177"/>
      <c r="F1912" s="1"/>
      <c r="G1912" s="1"/>
    </row>
    <row r="1913" spans="1:7">
      <c r="A1913" s="10"/>
      <c r="B1913" s="105"/>
      <c r="C1913" s="176"/>
      <c r="D1913" s="1"/>
      <c r="E1913" s="177"/>
      <c r="F1913" s="1"/>
      <c r="G1913" s="1"/>
    </row>
    <row r="1914" spans="1:7">
      <c r="A1914" s="10"/>
      <c r="B1914" s="105"/>
      <c r="C1914" s="176"/>
      <c r="D1914" s="1"/>
      <c r="E1914" s="177"/>
      <c r="F1914" s="1"/>
      <c r="G1914" s="1"/>
    </row>
    <row r="1915" spans="1:7">
      <c r="A1915" s="10"/>
      <c r="B1915" s="105"/>
      <c r="C1915" s="176"/>
      <c r="D1915" s="1"/>
      <c r="E1915" s="177"/>
      <c r="F1915" s="1"/>
      <c r="G1915" s="1"/>
    </row>
    <row r="1916" spans="1:7">
      <c r="A1916" s="10"/>
      <c r="B1916" s="105"/>
      <c r="C1916" s="176"/>
      <c r="D1916" s="1"/>
      <c r="E1916" s="177"/>
      <c r="F1916" s="1"/>
      <c r="G1916" s="1"/>
    </row>
    <row r="1917" spans="1:7">
      <c r="A1917" s="10"/>
      <c r="B1917" s="105"/>
      <c r="C1917" s="176"/>
      <c r="D1917" s="1"/>
      <c r="E1917" s="177"/>
      <c r="F1917" s="1"/>
      <c r="G1917" s="1"/>
    </row>
    <row r="1918" spans="1:7">
      <c r="A1918" s="10"/>
      <c r="B1918" s="105"/>
      <c r="C1918" s="176"/>
      <c r="D1918" s="1"/>
      <c r="E1918" s="177"/>
      <c r="F1918" s="1"/>
      <c r="G1918" s="1"/>
    </row>
    <row r="1919" spans="1:7">
      <c r="A1919" s="10"/>
      <c r="B1919" s="105"/>
      <c r="C1919" s="176"/>
      <c r="D1919" s="1"/>
      <c r="E1919" s="177"/>
      <c r="F1919" s="1"/>
      <c r="G1919" s="1"/>
    </row>
    <row r="1920" spans="1:7">
      <c r="A1920" s="10"/>
      <c r="B1920" s="105"/>
      <c r="C1920" s="176"/>
      <c r="D1920" s="1"/>
      <c r="E1920" s="177"/>
      <c r="F1920" s="1"/>
      <c r="G1920" s="1"/>
    </row>
    <row r="1921" spans="1:7">
      <c r="A1921" s="10"/>
      <c r="B1921" s="105"/>
      <c r="C1921" s="176"/>
      <c r="D1921" s="1"/>
      <c r="E1921" s="177"/>
      <c r="F1921" s="1"/>
      <c r="G1921" s="1"/>
    </row>
    <row r="1922" spans="1:7">
      <c r="A1922" s="10"/>
      <c r="B1922" s="105"/>
      <c r="C1922" s="176"/>
      <c r="D1922" s="1"/>
      <c r="E1922" s="177"/>
      <c r="F1922" s="1"/>
      <c r="G1922" s="1"/>
    </row>
    <row r="1923" spans="1:7">
      <c r="A1923" s="10"/>
      <c r="B1923" s="105"/>
      <c r="C1923" s="176"/>
      <c r="D1923" s="1"/>
      <c r="E1923" s="177"/>
      <c r="F1923" s="1"/>
      <c r="G1923" s="1"/>
    </row>
    <row r="1924" spans="1:7">
      <c r="A1924" s="10"/>
      <c r="B1924" s="105"/>
      <c r="C1924" s="176"/>
      <c r="D1924" s="1"/>
      <c r="E1924" s="177"/>
      <c r="F1924" s="1"/>
      <c r="G1924" s="1"/>
    </row>
    <row r="1925" spans="1:7">
      <c r="A1925" s="10"/>
      <c r="B1925" s="105"/>
      <c r="C1925" s="176"/>
      <c r="D1925" s="1"/>
      <c r="E1925" s="177"/>
      <c r="F1925" s="1"/>
      <c r="G1925" s="1"/>
    </row>
    <row r="1926" spans="1:7">
      <c r="A1926" s="10"/>
      <c r="B1926" s="105"/>
      <c r="C1926" s="176"/>
      <c r="D1926" s="1"/>
      <c r="E1926" s="177"/>
      <c r="F1926" s="1"/>
      <c r="G1926" s="1"/>
    </row>
    <row r="1927" spans="1:7">
      <c r="A1927" s="10"/>
      <c r="B1927" s="105"/>
      <c r="C1927" s="176"/>
      <c r="D1927" s="1"/>
      <c r="E1927" s="177"/>
      <c r="F1927" s="1"/>
      <c r="G1927" s="1"/>
    </row>
    <row r="1928" spans="1:7">
      <c r="A1928" s="10"/>
      <c r="B1928" s="105"/>
      <c r="C1928" s="176"/>
      <c r="D1928" s="1"/>
      <c r="E1928" s="177"/>
      <c r="F1928" s="1"/>
      <c r="G1928" s="1"/>
    </row>
    <row r="1929" spans="1:7">
      <c r="A1929" s="10"/>
      <c r="B1929" s="105"/>
      <c r="C1929" s="176"/>
      <c r="D1929" s="1"/>
      <c r="E1929" s="177"/>
      <c r="F1929" s="1"/>
      <c r="G1929" s="1"/>
    </row>
    <row r="1930" spans="1:7">
      <c r="A1930" s="10"/>
      <c r="B1930" s="105"/>
      <c r="C1930" s="176"/>
      <c r="D1930" s="1"/>
      <c r="E1930" s="177"/>
      <c r="F1930" s="1"/>
      <c r="G1930" s="1"/>
    </row>
    <row r="1931" spans="1:7">
      <c r="A1931" s="10"/>
      <c r="B1931" s="105"/>
      <c r="C1931" s="176"/>
      <c r="D1931" s="1"/>
      <c r="E1931" s="177"/>
      <c r="F1931" s="1"/>
      <c r="G1931" s="1"/>
    </row>
    <row r="1932" spans="1:7">
      <c r="A1932" s="10"/>
      <c r="B1932" s="105"/>
      <c r="C1932" s="176"/>
      <c r="D1932" s="1"/>
      <c r="E1932" s="177"/>
      <c r="F1932" s="1"/>
      <c r="G1932" s="1"/>
    </row>
    <row r="1933" spans="1:7">
      <c r="A1933" s="10"/>
      <c r="B1933" s="105"/>
      <c r="C1933" s="176"/>
      <c r="D1933" s="1"/>
      <c r="E1933" s="177"/>
      <c r="F1933" s="1"/>
      <c r="G1933" s="1"/>
    </row>
    <row r="1934" spans="1:7">
      <c r="A1934" s="10"/>
      <c r="B1934" s="105"/>
      <c r="C1934" s="176"/>
      <c r="D1934" s="1"/>
      <c r="E1934" s="177"/>
      <c r="F1934" s="1"/>
      <c r="G1934" s="1"/>
    </row>
    <row r="1935" spans="1:7">
      <c r="A1935" s="10"/>
      <c r="B1935" s="105"/>
      <c r="C1935" s="176"/>
      <c r="D1935" s="1"/>
      <c r="E1935" s="177"/>
      <c r="F1935" s="1"/>
      <c r="G1935" s="1"/>
    </row>
    <row r="1936" spans="1:7">
      <c r="A1936" s="10"/>
      <c r="B1936" s="105"/>
      <c r="C1936" s="176"/>
      <c r="D1936" s="1"/>
      <c r="E1936" s="177"/>
      <c r="F1936" s="1"/>
      <c r="G1936" s="1"/>
    </row>
    <row r="1937" spans="1:7">
      <c r="A1937" s="10"/>
      <c r="B1937" s="105"/>
      <c r="C1937" s="176"/>
      <c r="D1937" s="1"/>
      <c r="E1937" s="177"/>
      <c r="F1937" s="1"/>
      <c r="G1937" s="1"/>
    </row>
    <row r="1938" spans="1:7">
      <c r="A1938" s="10"/>
      <c r="B1938" s="105"/>
      <c r="C1938" s="176"/>
      <c r="D1938" s="1"/>
      <c r="E1938" s="177"/>
      <c r="F1938" s="1"/>
      <c r="G1938" s="1"/>
    </row>
    <row r="1939" spans="1:7">
      <c r="A1939" s="10"/>
      <c r="B1939" s="105"/>
      <c r="C1939" s="176"/>
      <c r="D1939" s="1"/>
      <c r="E1939" s="177"/>
      <c r="F1939" s="1"/>
      <c r="G1939" s="1"/>
    </row>
    <row r="1940" spans="1:7">
      <c r="A1940" s="10"/>
      <c r="B1940" s="105"/>
      <c r="C1940" s="176"/>
      <c r="D1940" s="1"/>
      <c r="E1940" s="177"/>
      <c r="F1940" s="1"/>
      <c r="G1940" s="1"/>
    </row>
    <row r="1941" spans="1:7">
      <c r="A1941" s="10"/>
      <c r="B1941" s="105"/>
      <c r="C1941" s="176"/>
      <c r="D1941" s="1"/>
      <c r="E1941" s="177"/>
      <c r="F1941" s="1"/>
      <c r="G1941" s="1"/>
    </row>
    <row r="1942" spans="1:7">
      <c r="A1942" s="10"/>
      <c r="B1942" s="105"/>
      <c r="C1942" s="176"/>
      <c r="D1942" s="1"/>
      <c r="E1942" s="177"/>
      <c r="F1942" s="1"/>
      <c r="G1942" s="1"/>
    </row>
    <row r="1943" spans="1:7">
      <c r="A1943" s="10"/>
      <c r="B1943" s="105"/>
      <c r="C1943" s="176"/>
      <c r="D1943" s="1"/>
      <c r="E1943" s="177"/>
      <c r="F1943" s="1"/>
      <c r="G1943" s="1"/>
    </row>
    <row r="1944" spans="1:7">
      <c r="A1944" s="10"/>
      <c r="B1944" s="105"/>
      <c r="C1944" s="176"/>
      <c r="D1944" s="1"/>
      <c r="E1944" s="177"/>
      <c r="F1944" s="1"/>
      <c r="G1944" s="1"/>
    </row>
    <row r="1945" spans="1:7">
      <c r="A1945" s="10"/>
      <c r="B1945" s="105"/>
      <c r="C1945" s="176"/>
      <c r="D1945" s="1"/>
      <c r="E1945" s="177"/>
      <c r="F1945" s="1"/>
      <c r="G1945" s="1"/>
    </row>
    <row r="1946" spans="1:7">
      <c r="A1946" s="10"/>
      <c r="B1946" s="105"/>
      <c r="C1946" s="176"/>
      <c r="D1946" s="1"/>
      <c r="E1946" s="177"/>
      <c r="F1946" s="1"/>
      <c r="G1946" s="1"/>
    </row>
    <row r="1947" spans="1:7">
      <c r="A1947" s="10"/>
      <c r="B1947" s="105"/>
      <c r="C1947" s="176"/>
      <c r="D1947" s="1"/>
      <c r="E1947" s="177"/>
      <c r="F1947" s="1"/>
      <c r="G1947" s="1"/>
    </row>
    <row r="1948" spans="1:7">
      <c r="A1948" s="10"/>
      <c r="B1948" s="105"/>
      <c r="C1948" s="176"/>
      <c r="D1948" s="1"/>
      <c r="E1948" s="177"/>
      <c r="F1948" s="1"/>
      <c r="G1948" s="1"/>
    </row>
    <row r="1949" spans="1:7">
      <c r="A1949" s="10"/>
      <c r="B1949" s="105"/>
      <c r="C1949" s="176"/>
      <c r="D1949" s="1"/>
      <c r="E1949" s="177"/>
      <c r="F1949" s="1"/>
      <c r="G1949" s="1"/>
    </row>
    <row r="1950" spans="1:7">
      <c r="A1950" s="10"/>
      <c r="B1950" s="105"/>
      <c r="C1950" s="176"/>
      <c r="D1950" s="1"/>
      <c r="E1950" s="177"/>
      <c r="F1950" s="1"/>
      <c r="G1950" s="1"/>
    </row>
    <row r="1951" spans="1:7">
      <c r="A1951" s="10"/>
      <c r="B1951" s="105"/>
      <c r="C1951" s="176"/>
      <c r="D1951" s="1"/>
      <c r="E1951" s="177"/>
      <c r="F1951" s="1"/>
      <c r="G1951" s="1"/>
    </row>
    <row r="1952" spans="1:7">
      <c r="A1952" s="10"/>
      <c r="B1952" s="105"/>
      <c r="C1952" s="176"/>
      <c r="D1952" s="1"/>
      <c r="E1952" s="177"/>
      <c r="F1952" s="1"/>
      <c r="G1952" s="1"/>
    </row>
    <row r="1953" spans="1:7">
      <c r="A1953" s="10"/>
      <c r="B1953" s="105"/>
      <c r="C1953" s="176"/>
      <c r="D1953" s="1"/>
      <c r="E1953" s="177"/>
      <c r="F1953" s="1"/>
      <c r="G1953" s="1"/>
    </row>
    <row r="1954" spans="1:7">
      <c r="A1954" s="10"/>
      <c r="B1954" s="105"/>
      <c r="C1954" s="176"/>
      <c r="D1954" s="1"/>
      <c r="E1954" s="177"/>
      <c r="F1954" s="1"/>
      <c r="G1954" s="1"/>
    </row>
    <row r="1955" spans="1:7">
      <c r="A1955" s="10"/>
      <c r="B1955" s="105"/>
      <c r="C1955" s="176"/>
      <c r="D1955" s="1"/>
      <c r="E1955" s="177"/>
      <c r="F1955" s="1"/>
      <c r="G1955" s="1"/>
    </row>
    <row r="1956" spans="1:7">
      <c r="A1956" s="10"/>
      <c r="B1956" s="105"/>
      <c r="C1956" s="176"/>
      <c r="D1956" s="1"/>
      <c r="E1956" s="177"/>
      <c r="F1956" s="1"/>
      <c r="G1956" s="1"/>
    </row>
    <row r="1957" spans="1:7">
      <c r="A1957" s="10"/>
      <c r="B1957" s="105"/>
      <c r="C1957" s="176"/>
      <c r="D1957" s="1"/>
      <c r="E1957" s="177"/>
      <c r="F1957" s="1"/>
      <c r="G1957" s="1"/>
    </row>
    <row r="1958" spans="1:7">
      <c r="A1958" s="10"/>
      <c r="B1958" s="105"/>
      <c r="C1958" s="176"/>
      <c r="D1958" s="1"/>
      <c r="E1958" s="177"/>
      <c r="F1958" s="1"/>
      <c r="G1958" s="1"/>
    </row>
    <row r="1959" spans="1:7">
      <c r="A1959" s="10"/>
      <c r="B1959" s="105"/>
      <c r="C1959" s="176"/>
      <c r="D1959" s="1"/>
      <c r="E1959" s="177"/>
      <c r="F1959" s="1"/>
      <c r="G1959" s="1"/>
    </row>
    <row r="1960" spans="1:7">
      <c r="A1960" s="10"/>
      <c r="B1960" s="105"/>
      <c r="C1960" s="176"/>
      <c r="D1960" s="1"/>
      <c r="E1960" s="177"/>
      <c r="F1960" s="1"/>
      <c r="G1960" s="1"/>
    </row>
    <row r="1961" spans="1:7">
      <c r="A1961" s="10"/>
      <c r="B1961" s="105"/>
      <c r="C1961" s="176"/>
      <c r="D1961" s="1"/>
      <c r="E1961" s="177"/>
      <c r="F1961" s="1"/>
      <c r="G1961" s="1"/>
    </row>
    <row r="1962" spans="1:7">
      <c r="A1962" s="10"/>
      <c r="B1962" s="105"/>
      <c r="C1962" s="176"/>
      <c r="D1962" s="1"/>
      <c r="E1962" s="177"/>
      <c r="F1962" s="1"/>
      <c r="G1962" s="1"/>
    </row>
    <row r="1963" spans="1:7">
      <c r="A1963" s="10"/>
      <c r="B1963" s="105"/>
      <c r="C1963" s="176"/>
      <c r="D1963" s="1"/>
      <c r="E1963" s="177"/>
      <c r="F1963" s="1"/>
      <c r="G1963" s="1"/>
    </row>
    <row r="1964" spans="1:7">
      <c r="A1964" s="10"/>
      <c r="B1964" s="105"/>
      <c r="C1964" s="176"/>
      <c r="D1964" s="1"/>
      <c r="E1964" s="177"/>
      <c r="F1964" s="1"/>
      <c r="G1964" s="1"/>
    </row>
    <row r="1965" spans="1:7">
      <c r="A1965" s="10"/>
      <c r="B1965" s="105"/>
      <c r="C1965" s="176"/>
      <c r="D1965" s="1"/>
      <c r="E1965" s="177"/>
      <c r="F1965" s="1"/>
      <c r="G1965" s="1"/>
    </row>
    <row r="1966" spans="1:7">
      <c r="A1966" s="10"/>
      <c r="B1966" s="105"/>
      <c r="C1966" s="176"/>
      <c r="D1966" s="1"/>
      <c r="E1966" s="177"/>
      <c r="F1966" s="1"/>
      <c r="G1966" s="1"/>
    </row>
    <row r="1967" spans="1:7">
      <c r="A1967" s="10"/>
      <c r="B1967" s="105"/>
      <c r="C1967" s="176"/>
      <c r="D1967" s="1"/>
      <c r="E1967" s="177"/>
      <c r="F1967" s="1"/>
      <c r="G1967" s="1"/>
    </row>
    <row r="1968" spans="1:7">
      <c r="A1968" s="10"/>
      <c r="B1968" s="105"/>
      <c r="C1968" s="176"/>
      <c r="D1968" s="1"/>
      <c r="E1968" s="177"/>
      <c r="F1968" s="1"/>
      <c r="G1968" s="1"/>
    </row>
    <row r="1969" spans="1:7">
      <c r="A1969" s="10"/>
      <c r="B1969" s="105"/>
      <c r="C1969" s="176"/>
      <c r="D1969" s="1"/>
      <c r="E1969" s="177"/>
      <c r="F1969" s="1"/>
      <c r="G1969" s="1"/>
    </row>
    <row r="1970" spans="1:7">
      <c r="A1970" s="10"/>
      <c r="B1970" s="105"/>
      <c r="C1970" s="176"/>
      <c r="D1970" s="1"/>
      <c r="E1970" s="177"/>
      <c r="F1970" s="1"/>
      <c r="G1970" s="1"/>
    </row>
    <row r="1971" spans="1:7">
      <c r="A1971" s="10"/>
      <c r="B1971" s="105"/>
      <c r="C1971" s="176"/>
      <c r="D1971" s="1"/>
      <c r="E1971" s="177"/>
      <c r="F1971" s="1"/>
      <c r="G1971" s="1"/>
    </row>
    <row r="1972" spans="1:7">
      <c r="A1972" s="10"/>
      <c r="B1972" s="105"/>
      <c r="C1972" s="176"/>
      <c r="D1972" s="1"/>
      <c r="E1972" s="177"/>
      <c r="F1972" s="1"/>
      <c r="G1972" s="1"/>
    </row>
    <row r="1973" spans="1:7">
      <c r="A1973" s="10"/>
      <c r="B1973" s="105"/>
      <c r="C1973" s="176"/>
      <c r="D1973" s="1"/>
      <c r="E1973" s="177"/>
      <c r="F1973" s="1"/>
      <c r="G1973" s="1"/>
    </row>
    <row r="1974" spans="1:7">
      <c r="A1974" s="10"/>
      <c r="B1974" s="105"/>
      <c r="C1974" s="176"/>
      <c r="D1974" s="1"/>
      <c r="E1974" s="177"/>
      <c r="F1974" s="1"/>
      <c r="G1974" s="1"/>
    </row>
    <row r="1975" spans="1:7">
      <c r="A1975" s="10"/>
      <c r="B1975" s="105"/>
      <c r="C1975" s="176"/>
      <c r="D1975" s="1"/>
      <c r="E1975" s="177"/>
      <c r="F1975" s="1"/>
      <c r="G1975" s="1"/>
    </row>
    <row r="1976" spans="1:7">
      <c r="A1976" s="10"/>
      <c r="B1976" s="105"/>
      <c r="C1976" s="176"/>
      <c r="D1976" s="1"/>
      <c r="E1976" s="177"/>
      <c r="F1976" s="1"/>
      <c r="G1976" s="1"/>
    </row>
    <row r="1977" spans="1:7">
      <c r="A1977" s="10"/>
      <c r="B1977" s="105"/>
      <c r="C1977" s="176"/>
      <c r="D1977" s="1"/>
      <c r="E1977" s="177"/>
      <c r="F1977" s="1"/>
      <c r="G1977" s="1"/>
    </row>
    <row r="1978" spans="1:7">
      <c r="A1978" s="10"/>
      <c r="B1978" s="105"/>
      <c r="C1978" s="176"/>
      <c r="D1978" s="1"/>
      <c r="E1978" s="177"/>
      <c r="F1978" s="1"/>
      <c r="G1978" s="1"/>
    </row>
    <row r="1979" spans="1:7">
      <c r="A1979" s="10"/>
      <c r="B1979" s="105"/>
      <c r="C1979" s="176"/>
      <c r="D1979" s="1"/>
      <c r="E1979" s="177"/>
      <c r="F1979" s="1"/>
      <c r="G1979" s="1"/>
    </row>
    <row r="1980" spans="1:7">
      <c r="A1980" s="10"/>
      <c r="B1980" s="105"/>
      <c r="C1980" s="176"/>
      <c r="D1980" s="1"/>
      <c r="E1980" s="177"/>
      <c r="F1980" s="1"/>
      <c r="G1980" s="1"/>
    </row>
    <row r="1981" spans="1:7">
      <c r="A1981" s="10"/>
      <c r="B1981" s="105"/>
      <c r="C1981" s="176"/>
      <c r="D1981" s="1"/>
      <c r="E1981" s="177"/>
      <c r="F1981" s="1"/>
      <c r="G1981" s="1"/>
    </row>
    <row r="1982" spans="1:7">
      <c r="A1982" s="10"/>
      <c r="B1982" s="105"/>
      <c r="C1982" s="176"/>
      <c r="D1982" s="1"/>
      <c r="E1982" s="177"/>
      <c r="F1982" s="1"/>
      <c r="G1982" s="1"/>
    </row>
    <row r="1983" spans="1:7">
      <c r="A1983" s="10"/>
      <c r="B1983" s="105"/>
      <c r="C1983" s="176"/>
      <c r="D1983" s="1"/>
      <c r="E1983" s="177"/>
      <c r="F1983" s="1"/>
      <c r="G1983" s="1"/>
    </row>
    <row r="1984" spans="1:7">
      <c r="A1984" s="10"/>
      <c r="B1984" s="105"/>
      <c r="C1984" s="176"/>
      <c r="D1984" s="1"/>
      <c r="E1984" s="177"/>
      <c r="F1984" s="1"/>
      <c r="G1984" s="1"/>
    </row>
    <row r="1985" spans="1:7">
      <c r="A1985" s="10"/>
      <c r="B1985" s="105"/>
      <c r="C1985" s="176"/>
      <c r="D1985" s="1"/>
      <c r="E1985" s="177"/>
      <c r="F1985" s="1"/>
      <c r="G1985" s="1"/>
    </row>
    <row r="1986" spans="1:7">
      <c r="A1986" s="10"/>
      <c r="B1986" s="105"/>
      <c r="C1986" s="176"/>
      <c r="D1986" s="1"/>
      <c r="E1986" s="177"/>
      <c r="F1986" s="1"/>
      <c r="G1986" s="1"/>
    </row>
    <row r="1987" spans="1:7">
      <c r="A1987" s="10"/>
      <c r="B1987" s="105"/>
      <c r="C1987" s="176"/>
      <c r="D1987" s="1"/>
      <c r="E1987" s="177"/>
      <c r="F1987" s="1"/>
      <c r="G1987" s="1"/>
    </row>
    <row r="1988" spans="1:7">
      <c r="A1988" s="10"/>
      <c r="B1988" s="105"/>
      <c r="C1988" s="176"/>
      <c r="D1988" s="1"/>
      <c r="E1988" s="177"/>
      <c r="F1988" s="1"/>
      <c r="G1988" s="1"/>
    </row>
    <row r="1989" spans="1:7">
      <c r="A1989" s="10"/>
      <c r="B1989" s="105"/>
      <c r="C1989" s="176"/>
      <c r="D1989" s="1"/>
      <c r="E1989" s="177"/>
      <c r="F1989" s="1"/>
      <c r="G1989" s="1"/>
    </row>
    <row r="1990" spans="1:7">
      <c r="A1990" s="10"/>
      <c r="B1990" s="105"/>
      <c r="C1990" s="176"/>
      <c r="D1990" s="1"/>
      <c r="E1990" s="177"/>
      <c r="F1990" s="1"/>
      <c r="G1990" s="1"/>
    </row>
    <row r="1991" spans="1:7">
      <c r="A1991" s="10"/>
      <c r="B1991" s="105"/>
      <c r="C1991" s="176"/>
      <c r="D1991" s="1"/>
      <c r="E1991" s="177"/>
      <c r="F1991" s="1"/>
      <c r="G1991" s="1"/>
    </row>
    <row r="1992" spans="1:7">
      <c r="A1992" s="10"/>
      <c r="B1992" s="105"/>
      <c r="C1992" s="176"/>
      <c r="D1992" s="1"/>
      <c r="E1992" s="177"/>
      <c r="F1992" s="1"/>
      <c r="G1992" s="1"/>
    </row>
    <row r="1993" spans="1:7">
      <c r="A1993" s="10"/>
      <c r="B1993" s="105"/>
      <c r="C1993" s="176"/>
      <c r="D1993" s="1"/>
      <c r="E1993" s="177"/>
      <c r="F1993" s="1"/>
      <c r="G1993" s="1"/>
    </row>
    <row r="1994" spans="1:7">
      <c r="A1994" s="10"/>
      <c r="B1994" s="105"/>
      <c r="C1994" s="176"/>
      <c r="D1994" s="1"/>
      <c r="E1994" s="177"/>
      <c r="F1994" s="1"/>
      <c r="G1994" s="1"/>
    </row>
    <row r="1995" spans="1:7">
      <c r="A1995" s="10"/>
      <c r="B1995" s="105"/>
      <c r="C1995" s="176"/>
      <c r="D1995" s="1"/>
      <c r="E1995" s="177"/>
      <c r="F1995" s="1"/>
      <c r="G1995" s="1"/>
    </row>
    <row r="1996" spans="1:7">
      <c r="A1996" s="10"/>
      <c r="B1996" s="105"/>
      <c r="C1996" s="176"/>
      <c r="D1996" s="1"/>
      <c r="E1996" s="177"/>
      <c r="F1996" s="1"/>
      <c r="G1996" s="1"/>
    </row>
    <row r="1997" spans="1:7">
      <c r="A1997" s="10"/>
      <c r="B1997" s="105"/>
      <c r="C1997" s="176"/>
      <c r="D1997" s="1"/>
      <c r="E1997" s="177"/>
      <c r="F1997" s="1"/>
      <c r="G1997" s="1"/>
    </row>
    <row r="1998" spans="1:7">
      <c r="A1998" s="10"/>
      <c r="B1998" s="105"/>
      <c r="C1998" s="176"/>
      <c r="D1998" s="1"/>
      <c r="E1998" s="177"/>
      <c r="F1998" s="1"/>
      <c r="G1998" s="1"/>
    </row>
    <row r="1999" spans="1:7">
      <c r="A1999" s="10"/>
      <c r="B1999" s="105"/>
      <c r="C1999" s="176"/>
      <c r="D1999" s="1"/>
      <c r="E1999" s="177"/>
      <c r="F1999" s="1"/>
      <c r="G1999" s="1"/>
    </row>
    <row r="2000" spans="1:7">
      <c r="A2000" s="10"/>
      <c r="B2000" s="105"/>
      <c r="C2000" s="176"/>
      <c r="D2000" s="1"/>
      <c r="E2000" s="177"/>
      <c r="F2000" s="1"/>
      <c r="G2000" s="1"/>
    </row>
    <row r="2001" spans="1:7">
      <c r="A2001" s="10"/>
      <c r="B2001" s="105"/>
      <c r="C2001" s="176"/>
      <c r="D2001" s="1"/>
      <c r="E2001" s="177"/>
      <c r="F2001" s="1"/>
      <c r="G2001" s="1"/>
    </row>
    <row r="2002" spans="1:7">
      <c r="A2002" s="10"/>
      <c r="B2002" s="105"/>
      <c r="C2002" s="176"/>
      <c r="D2002" s="1"/>
      <c r="E2002" s="177"/>
      <c r="F2002" s="1"/>
      <c r="G2002" s="1"/>
    </row>
    <row r="2003" spans="1:7">
      <c r="A2003" s="10"/>
      <c r="B2003" s="105"/>
      <c r="C2003" s="176"/>
      <c r="D2003" s="1"/>
      <c r="E2003" s="177"/>
      <c r="F2003" s="1"/>
      <c r="G2003" s="1"/>
    </row>
    <row r="2004" spans="1:7">
      <c r="A2004" s="10"/>
      <c r="B2004" s="105"/>
      <c r="C2004" s="176"/>
      <c r="D2004" s="1"/>
      <c r="E2004" s="177"/>
      <c r="F2004" s="1"/>
      <c r="G2004" s="1"/>
    </row>
    <row r="2005" spans="1:7">
      <c r="A2005" s="10"/>
      <c r="B2005" s="105"/>
      <c r="C2005" s="176"/>
      <c r="D2005" s="1"/>
      <c r="E2005" s="177"/>
      <c r="F2005" s="1"/>
      <c r="G2005" s="1"/>
    </row>
    <row r="2006" spans="1:7">
      <c r="A2006" s="10"/>
      <c r="B2006" s="105"/>
      <c r="C2006" s="176"/>
      <c r="D2006" s="1"/>
      <c r="E2006" s="177"/>
      <c r="F2006" s="1"/>
      <c r="G2006" s="1"/>
    </row>
    <row r="2007" spans="1:7">
      <c r="A2007" s="10"/>
      <c r="B2007" s="105"/>
      <c r="C2007" s="176"/>
      <c r="D2007" s="1"/>
      <c r="E2007" s="177"/>
      <c r="F2007" s="1"/>
      <c r="G2007" s="1"/>
    </row>
    <row r="2008" spans="1:7">
      <c r="A2008" s="10"/>
      <c r="B2008" s="105"/>
      <c r="C2008" s="176"/>
      <c r="D2008" s="1"/>
      <c r="E2008" s="177"/>
      <c r="F2008" s="1"/>
      <c r="G2008" s="1"/>
    </row>
    <row r="2009" spans="1:7">
      <c r="A2009" s="10"/>
      <c r="B2009" s="105"/>
      <c r="C2009" s="176"/>
      <c r="D2009" s="1"/>
      <c r="E2009" s="177"/>
      <c r="F2009" s="1"/>
      <c r="G2009" s="1"/>
    </row>
    <row r="2010" spans="1:7">
      <c r="A2010" s="10"/>
      <c r="B2010" s="105"/>
      <c r="C2010" s="176"/>
      <c r="D2010" s="1"/>
      <c r="E2010" s="177"/>
      <c r="F2010" s="1"/>
      <c r="G2010" s="1"/>
    </row>
    <row r="2011" spans="1:7">
      <c r="A2011" s="10"/>
      <c r="B2011" s="105"/>
      <c r="C2011" s="176"/>
      <c r="D2011" s="1"/>
      <c r="E2011" s="177"/>
      <c r="F2011" s="1"/>
      <c r="G2011" s="1"/>
    </row>
    <row r="2012" spans="1:7">
      <c r="A2012" s="10"/>
      <c r="B2012" s="105"/>
      <c r="C2012" s="176"/>
      <c r="D2012" s="1"/>
      <c r="E2012" s="177"/>
      <c r="F2012" s="1"/>
      <c r="G2012" s="1"/>
    </row>
    <row r="2013" spans="1:7">
      <c r="A2013" s="10"/>
      <c r="B2013" s="105"/>
      <c r="C2013" s="176"/>
      <c r="D2013" s="1"/>
      <c r="E2013" s="177"/>
      <c r="F2013" s="1"/>
      <c r="G2013" s="1"/>
    </row>
    <row r="2014" spans="1:7">
      <c r="A2014" s="10"/>
      <c r="B2014" s="105"/>
      <c r="C2014" s="176"/>
      <c r="D2014" s="1"/>
      <c r="E2014" s="177"/>
      <c r="F2014" s="1"/>
      <c r="G2014" s="1"/>
    </row>
    <row r="2015" spans="1:7">
      <c r="A2015" s="10"/>
      <c r="B2015" s="105"/>
      <c r="C2015" s="176"/>
      <c r="D2015" s="1"/>
      <c r="E2015" s="177"/>
      <c r="F2015" s="1"/>
      <c r="G2015" s="1"/>
    </row>
    <row r="2016" spans="1:7">
      <c r="A2016" s="10"/>
      <c r="B2016" s="105"/>
      <c r="C2016" s="176"/>
      <c r="D2016" s="1"/>
      <c r="E2016" s="177"/>
      <c r="F2016" s="1"/>
      <c r="G2016" s="1"/>
    </row>
    <row r="2017" spans="1:7">
      <c r="A2017" s="10"/>
      <c r="B2017" s="105"/>
      <c r="C2017" s="176"/>
      <c r="D2017" s="1"/>
      <c r="E2017" s="177"/>
      <c r="F2017" s="1"/>
      <c r="G2017" s="1"/>
    </row>
    <row r="2018" spans="1:7">
      <c r="A2018" s="10"/>
      <c r="B2018" s="105"/>
      <c r="C2018" s="176"/>
      <c r="D2018" s="1"/>
      <c r="E2018" s="177"/>
      <c r="F2018" s="1"/>
      <c r="G2018" s="1"/>
    </row>
    <row r="2019" spans="1:7">
      <c r="A2019" s="10"/>
      <c r="B2019" s="105"/>
      <c r="C2019" s="176"/>
      <c r="D2019" s="1"/>
      <c r="E2019" s="177"/>
      <c r="F2019" s="1"/>
      <c r="G2019" s="1"/>
    </row>
    <row r="2020" spans="1:7">
      <c r="A2020" s="10"/>
      <c r="B2020" s="105"/>
      <c r="C2020" s="176"/>
      <c r="D2020" s="1"/>
      <c r="E2020" s="177"/>
      <c r="F2020" s="1"/>
      <c r="G2020" s="1"/>
    </row>
    <row r="2021" spans="1:7">
      <c r="A2021" s="10"/>
      <c r="B2021" s="105"/>
      <c r="C2021" s="176"/>
      <c r="D2021" s="1"/>
      <c r="E2021" s="177"/>
      <c r="F2021" s="1"/>
      <c r="G2021" s="1"/>
    </row>
    <row r="2022" spans="1:7">
      <c r="A2022" s="10"/>
      <c r="B2022" s="105"/>
      <c r="C2022" s="176"/>
      <c r="D2022" s="1"/>
      <c r="E2022" s="177"/>
      <c r="F2022" s="1"/>
      <c r="G2022" s="1"/>
    </row>
    <row r="2023" spans="1:7">
      <c r="A2023" s="10"/>
      <c r="B2023" s="105"/>
      <c r="C2023" s="176"/>
      <c r="D2023" s="1"/>
      <c r="E2023" s="177"/>
      <c r="F2023" s="1"/>
      <c r="G2023" s="1"/>
    </row>
    <row r="2024" spans="1:7">
      <c r="A2024" s="10"/>
      <c r="B2024" s="105"/>
      <c r="C2024" s="176"/>
      <c r="D2024" s="1"/>
      <c r="E2024" s="177"/>
      <c r="F2024" s="1"/>
      <c r="G2024" s="1"/>
    </row>
    <row r="2025" spans="1:7">
      <c r="A2025" s="10"/>
      <c r="B2025" s="105"/>
      <c r="C2025" s="176"/>
      <c r="D2025" s="1"/>
      <c r="E2025" s="177"/>
      <c r="F2025" s="1"/>
      <c r="G2025" s="1"/>
    </row>
    <row r="2026" spans="1:7">
      <c r="A2026" s="10"/>
      <c r="B2026" s="105"/>
      <c r="C2026" s="176"/>
      <c r="D2026" s="1"/>
      <c r="E2026" s="177"/>
      <c r="F2026" s="1"/>
      <c r="G2026" s="1"/>
    </row>
    <row r="2027" spans="1:7">
      <c r="A2027" s="10"/>
      <c r="B2027" s="105"/>
      <c r="C2027" s="176"/>
      <c r="D2027" s="1"/>
      <c r="E2027" s="177"/>
      <c r="F2027" s="1"/>
      <c r="G2027" s="1"/>
    </row>
    <row r="2028" spans="1:7">
      <c r="A2028" s="10"/>
      <c r="B2028" s="105"/>
      <c r="C2028" s="176"/>
      <c r="D2028" s="1"/>
      <c r="E2028" s="177"/>
      <c r="F2028" s="1"/>
      <c r="G2028" s="1"/>
    </row>
    <row r="2029" spans="1:7">
      <c r="A2029" s="10"/>
      <c r="B2029" s="105"/>
      <c r="C2029" s="176"/>
      <c r="D2029" s="1"/>
      <c r="E2029" s="177"/>
      <c r="F2029" s="1"/>
      <c r="G2029" s="1"/>
    </row>
    <row r="2030" spans="1:7">
      <c r="A2030" s="10"/>
      <c r="B2030" s="105"/>
      <c r="C2030" s="176"/>
      <c r="D2030" s="1"/>
      <c r="E2030" s="177"/>
      <c r="F2030" s="1"/>
      <c r="G2030" s="1"/>
    </row>
    <row r="2031" spans="1:7">
      <c r="A2031" s="10"/>
      <c r="B2031" s="105"/>
      <c r="C2031" s="176"/>
      <c r="D2031" s="1"/>
      <c r="E2031" s="177"/>
      <c r="F2031" s="1"/>
      <c r="G2031" s="1"/>
    </row>
    <row r="2032" spans="1:7">
      <c r="A2032" s="10"/>
      <c r="B2032" s="105"/>
      <c r="C2032" s="176"/>
      <c r="D2032" s="1"/>
      <c r="E2032" s="177"/>
      <c r="F2032" s="1"/>
      <c r="G2032" s="1"/>
    </row>
    <row r="2033" spans="1:7">
      <c r="A2033" s="10"/>
      <c r="B2033" s="105"/>
      <c r="C2033" s="176"/>
      <c r="D2033" s="1"/>
      <c r="E2033" s="177"/>
      <c r="F2033" s="1"/>
      <c r="G2033" s="1"/>
    </row>
    <row r="2034" spans="1:7">
      <c r="A2034" s="10"/>
      <c r="B2034" s="105"/>
      <c r="C2034" s="176"/>
      <c r="D2034" s="1"/>
      <c r="E2034" s="177"/>
      <c r="F2034" s="1"/>
      <c r="G2034" s="1"/>
    </row>
    <row r="2035" spans="1:7">
      <c r="A2035" s="10"/>
      <c r="B2035" s="105"/>
      <c r="C2035" s="176"/>
      <c r="D2035" s="1"/>
      <c r="E2035" s="177"/>
      <c r="F2035" s="1"/>
      <c r="G2035" s="1"/>
    </row>
    <row r="2036" spans="1:7">
      <c r="A2036" s="10"/>
      <c r="B2036" s="105"/>
      <c r="C2036" s="176"/>
      <c r="D2036" s="1"/>
      <c r="E2036" s="177"/>
      <c r="F2036" s="1"/>
      <c r="G2036" s="1"/>
    </row>
    <row r="2037" spans="1:7">
      <c r="A2037" s="10"/>
      <c r="B2037" s="105"/>
      <c r="C2037" s="176"/>
      <c r="D2037" s="1"/>
      <c r="E2037" s="177"/>
      <c r="F2037" s="1"/>
      <c r="G2037" s="1"/>
    </row>
    <row r="2038" spans="1:7">
      <c r="A2038" s="10"/>
      <c r="B2038" s="105"/>
      <c r="C2038" s="176"/>
      <c r="D2038" s="1"/>
      <c r="E2038" s="177"/>
      <c r="F2038" s="1"/>
      <c r="G2038" s="1"/>
    </row>
    <row r="2039" spans="1:7">
      <c r="A2039" s="10"/>
      <c r="B2039" s="105"/>
      <c r="C2039" s="176"/>
      <c r="D2039" s="1"/>
      <c r="E2039" s="177"/>
      <c r="F2039" s="1"/>
      <c r="G2039" s="1"/>
    </row>
    <row r="2040" spans="1:7">
      <c r="A2040" s="10"/>
      <c r="B2040" s="105"/>
      <c r="C2040" s="176"/>
      <c r="D2040" s="1"/>
      <c r="E2040" s="177"/>
      <c r="F2040" s="1"/>
      <c r="G2040" s="1"/>
    </row>
    <row r="2041" spans="1:7">
      <c r="A2041" s="10"/>
      <c r="B2041" s="105"/>
      <c r="C2041" s="176"/>
      <c r="D2041" s="1"/>
      <c r="E2041" s="177"/>
      <c r="F2041" s="1"/>
      <c r="G2041" s="1"/>
    </row>
    <row r="2042" spans="1:7">
      <c r="A2042" s="10"/>
      <c r="B2042" s="105"/>
      <c r="C2042" s="176"/>
      <c r="D2042" s="1"/>
      <c r="E2042" s="177"/>
      <c r="F2042" s="1"/>
      <c r="G2042" s="1"/>
    </row>
    <row r="2043" spans="1:7">
      <c r="A2043" s="10"/>
      <c r="B2043" s="105"/>
      <c r="C2043" s="176"/>
      <c r="D2043" s="1"/>
      <c r="E2043" s="177"/>
      <c r="F2043" s="1"/>
      <c r="G2043" s="1"/>
    </row>
    <row r="2044" spans="1:7">
      <c r="A2044" s="10"/>
      <c r="B2044" s="105"/>
      <c r="C2044" s="176"/>
      <c r="D2044" s="1"/>
      <c r="E2044" s="177"/>
      <c r="F2044" s="1"/>
      <c r="G2044" s="1"/>
    </row>
    <row r="2045" spans="1:7">
      <c r="A2045" s="10"/>
      <c r="B2045" s="105"/>
      <c r="C2045" s="176"/>
      <c r="D2045" s="1"/>
      <c r="E2045" s="177"/>
      <c r="F2045" s="1"/>
      <c r="G2045" s="1"/>
    </row>
    <row r="2046" spans="1:7">
      <c r="A2046" s="10"/>
      <c r="B2046" s="105"/>
      <c r="C2046" s="176"/>
      <c r="D2046" s="1"/>
      <c r="E2046" s="177"/>
      <c r="F2046" s="1"/>
      <c r="G2046" s="1"/>
    </row>
    <row r="2047" spans="1:7">
      <c r="A2047" s="10"/>
      <c r="B2047" s="105"/>
      <c r="C2047" s="176"/>
      <c r="D2047" s="1"/>
      <c r="E2047" s="177"/>
      <c r="F2047" s="1"/>
      <c r="G2047" s="1"/>
    </row>
    <row r="2048" spans="1:7">
      <c r="A2048" s="10"/>
      <c r="B2048" s="105"/>
      <c r="C2048" s="176"/>
      <c r="D2048" s="1"/>
      <c r="E2048" s="177"/>
      <c r="F2048" s="1"/>
      <c r="G2048" s="1"/>
    </row>
    <row r="2049" spans="1:7">
      <c r="A2049" s="10"/>
      <c r="B2049" s="105"/>
      <c r="C2049" s="176"/>
      <c r="D2049" s="1"/>
      <c r="E2049" s="177"/>
      <c r="F2049" s="1"/>
      <c r="G2049" s="1"/>
    </row>
    <row r="2050" spans="1:7">
      <c r="A2050" s="10"/>
      <c r="B2050" s="105"/>
      <c r="C2050" s="176"/>
      <c r="D2050" s="1"/>
      <c r="E2050" s="177"/>
      <c r="F2050" s="1"/>
      <c r="G2050" s="1"/>
    </row>
    <row r="2051" spans="1:7">
      <c r="A2051" s="10"/>
      <c r="B2051" s="105"/>
      <c r="C2051" s="176"/>
      <c r="D2051" s="1"/>
      <c r="E2051" s="177"/>
      <c r="F2051" s="1"/>
      <c r="G2051" s="1"/>
    </row>
    <row r="2052" spans="1:7">
      <c r="A2052" s="10"/>
      <c r="B2052" s="105"/>
      <c r="C2052" s="176"/>
      <c r="D2052" s="1"/>
      <c r="E2052" s="177"/>
      <c r="F2052" s="1"/>
      <c r="G2052" s="1"/>
    </row>
    <row r="2053" spans="1:7">
      <c r="A2053" s="10"/>
      <c r="B2053" s="105"/>
      <c r="C2053" s="176"/>
      <c r="D2053" s="1"/>
      <c r="E2053" s="177"/>
      <c r="F2053" s="1"/>
      <c r="G2053" s="1"/>
    </row>
    <row r="2054" spans="1:7">
      <c r="A2054" s="10"/>
      <c r="B2054" s="105"/>
      <c r="C2054" s="176"/>
      <c r="D2054" s="1"/>
      <c r="E2054" s="177"/>
      <c r="F2054" s="1"/>
      <c r="G2054" s="1"/>
    </row>
    <row r="2055" spans="1:7">
      <c r="A2055" s="10"/>
      <c r="B2055" s="105"/>
      <c r="C2055" s="176"/>
      <c r="D2055" s="1"/>
      <c r="E2055" s="177"/>
      <c r="F2055" s="1"/>
      <c r="G2055" s="1"/>
    </row>
    <row r="2056" spans="1:7">
      <c r="A2056" s="10"/>
      <c r="B2056" s="105"/>
      <c r="C2056" s="176"/>
      <c r="D2056" s="1"/>
      <c r="E2056" s="177"/>
      <c r="F2056" s="1"/>
      <c r="G2056" s="1"/>
    </row>
    <row r="2057" spans="1:7">
      <c r="A2057" s="10"/>
      <c r="B2057" s="105"/>
      <c r="C2057" s="176"/>
      <c r="D2057" s="1"/>
      <c r="E2057" s="177"/>
      <c r="F2057" s="1"/>
      <c r="G2057" s="1"/>
    </row>
    <row r="2058" spans="1:7">
      <c r="A2058" s="10"/>
      <c r="B2058" s="105"/>
      <c r="C2058" s="176"/>
      <c r="D2058" s="1"/>
      <c r="E2058" s="177"/>
      <c r="F2058" s="1"/>
      <c r="G2058" s="1"/>
    </row>
    <row r="2059" spans="1:7">
      <c r="A2059" s="10"/>
      <c r="B2059" s="105"/>
      <c r="C2059" s="176"/>
      <c r="D2059" s="1"/>
      <c r="E2059" s="177"/>
      <c r="F2059" s="1"/>
      <c r="G2059" s="1"/>
    </row>
    <row r="2060" spans="1:7">
      <c r="A2060" s="10"/>
      <c r="B2060" s="105"/>
      <c r="C2060" s="176"/>
      <c r="D2060" s="1"/>
      <c r="E2060" s="177"/>
      <c r="F2060" s="1"/>
      <c r="G2060" s="1"/>
    </row>
    <row r="2061" spans="1:7">
      <c r="A2061" s="10"/>
      <c r="B2061" s="105"/>
      <c r="C2061" s="176"/>
      <c r="D2061" s="1"/>
      <c r="E2061" s="177"/>
      <c r="F2061" s="1"/>
      <c r="G2061" s="1"/>
    </row>
    <row r="2062" spans="1:7">
      <c r="A2062" s="10"/>
      <c r="B2062" s="105"/>
      <c r="C2062" s="176"/>
      <c r="D2062" s="1"/>
      <c r="E2062" s="177"/>
      <c r="F2062" s="1"/>
      <c r="G2062" s="1"/>
    </row>
    <row r="2063" spans="1:7">
      <c r="A2063" s="10"/>
      <c r="B2063" s="105"/>
      <c r="C2063" s="176"/>
      <c r="D2063" s="1"/>
      <c r="E2063" s="177"/>
      <c r="F2063" s="1"/>
      <c r="G2063" s="1"/>
    </row>
    <row r="2064" spans="1:7">
      <c r="A2064" s="10"/>
      <c r="B2064" s="105"/>
      <c r="C2064" s="176"/>
      <c r="D2064" s="1"/>
      <c r="E2064" s="177"/>
      <c r="F2064" s="1"/>
      <c r="G2064" s="1"/>
    </row>
    <row r="2065" spans="1:7">
      <c r="A2065" s="10"/>
      <c r="B2065" s="105"/>
      <c r="C2065" s="176"/>
      <c r="D2065" s="1"/>
      <c r="E2065" s="177"/>
      <c r="F2065" s="1"/>
      <c r="G2065" s="1"/>
    </row>
    <row r="2066" spans="1:7">
      <c r="A2066" s="10"/>
      <c r="B2066" s="105"/>
      <c r="C2066" s="176"/>
      <c r="D2066" s="1"/>
      <c r="E2066" s="177"/>
      <c r="F2066" s="1"/>
      <c r="G2066" s="1"/>
    </row>
    <row r="2067" spans="1:7">
      <c r="A2067" s="10"/>
      <c r="B2067" s="105"/>
      <c r="C2067" s="176"/>
      <c r="D2067" s="1"/>
      <c r="E2067" s="177"/>
      <c r="F2067" s="1"/>
      <c r="G2067" s="1"/>
    </row>
    <row r="2068" spans="1:7">
      <c r="A2068" s="10"/>
      <c r="B2068" s="105"/>
      <c r="C2068" s="176"/>
      <c r="D2068" s="1"/>
      <c r="E2068" s="177"/>
      <c r="F2068" s="1"/>
      <c r="G2068" s="1"/>
    </row>
    <row r="2069" spans="1:7">
      <c r="A2069" s="10"/>
      <c r="B2069" s="105"/>
      <c r="C2069" s="176"/>
      <c r="D2069" s="1"/>
      <c r="E2069" s="177"/>
      <c r="F2069" s="1"/>
      <c r="G2069" s="1"/>
    </row>
    <row r="2070" spans="1:7">
      <c r="A2070" s="10"/>
      <c r="B2070" s="105"/>
      <c r="C2070" s="176"/>
      <c r="D2070" s="1"/>
      <c r="E2070" s="177"/>
      <c r="F2070" s="1"/>
      <c r="G2070" s="1"/>
    </row>
    <row r="2071" spans="1:7">
      <c r="A2071" s="10"/>
      <c r="B2071" s="105"/>
      <c r="C2071" s="176"/>
      <c r="D2071" s="1"/>
      <c r="E2071" s="177"/>
      <c r="F2071" s="1"/>
      <c r="G2071" s="1"/>
    </row>
    <row r="2072" spans="1:7">
      <c r="A2072" s="10"/>
      <c r="B2072" s="105"/>
      <c r="C2072" s="176"/>
      <c r="D2072" s="1"/>
      <c r="E2072" s="177"/>
      <c r="F2072" s="1"/>
      <c r="G2072" s="1"/>
    </row>
    <row r="2073" spans="1:7">
      <c r="A2073" s="10"/>
      <c r="B2073" s="105"/>
      <c r="C2073" s="176"/>
      <c r="D2073" s="1"/>
      <c r="E2073" s="177"/>
      <c r="F2073" s="1"/>
      <c r="G2073" s="1"/>
    </row>
    <row r="2074" spans="1:7">
      <c r="A2074" s="10"/>
      <c r="B2074" s="105"/>
      <c r="C2074" s="176"/>
      <c r="D2074" s="1"/>
      <c r="E2074" s="177"/>
      <c r="F2074" s="1"/>
      <c r="G2074" s="1"/>
    </row>
    <row r="2075" spans="1:7">
      <c r="A2075" s="10"/>
      <c r="B2075" s="105"/>
      <c r="C2075" s="176"/>
      <c r="D2075" s="1"/>
      <c r="E2075" s="177"/>
      <c r="F2075" s="1"/>
      <c r="G2075" s="1"/>
    </row>
    <row r="2076" spans="1:7">
      <c r="A2076" s="10"/>
      <c r="B2076" s="105"/>
      <c r="C2076" s="176"/>
      <c r="D2076" s="1"/>
      <c r="E2076" s="177"/>
      <c r="F2076" s="1"/>
      <c r="G2076" s="1"/>
    </row>
    <row r="2077" spans="1:7">
      <c r="A2077" s="10"/>
      <c r="B2077" s="105"/>
      <c r="C2077" s="176"/>
      <c r="D2077" s="1"/>
      <c r="E2077" s="177"/>
      <c r="F2077" s="1"/>
      <c r="G2077" s="1"/>
    </row>
    <row r="2078" spans="1:7">
      <c r="A2078" s="10"/>
      <c r="B2078" s="105"/>
      <c r="C2078" s="176"/>
      <c r="D2078" s="1"/>
      <c r="E2078" s="177"/>
      <c r="F2078" s="1"/>
      <c r="G2078" s="1"/>
    </row>
    <row r="2079" spans="1:7">
      <c r="A2079" s="10"/>
      <c r="B2079" s="105"/>
      <c r="C2079" s="176"/>
      <c r="D2079" s="1"/>
      <c r="E2079" s="177"/>
      <c r="F2079" s="1"/>
      <c r="G2079" s="1"/>
    </row>
    <row r="2080" spans="1:7">
      <c r="A2080" s="10"/>
      <c r="B2080" s="105"/>
      <c r="C2080" s="176"/>
      <c r="D2080" s="1"/>
      <c r="E2080" s="177"/>
      <c r="F2080" s="1"/>
      <c r="G2080" s="1"/>
    </row>
    <row r="2081" spans="1:7">
      <c r="A2081" s="10"/>
      <c r="B2081" s="105"/>
      <c r="C2081" s="176"/>
      <c r="D2081" s="1"/>
      <c r="E2081" s="177"/>
      <c r="F2081" s="1"/>
      <c r="G2081" s="1"/>
    </row>
    <row r="2082" spans="1:7">
      <c r="A2082" s="10"/>
      <c r="B2082" s="105"/>
      <c r="C2082" s="176"/>
      <c r="D2082" s="1"/>
      <c r="E2082" s="177"/>
      <c r="F2082" s="1"/>
      <c r="G2082" s="1"/>
    </row>
    <row r="2083" spans="1:7">
      <c r="A2083" s="10"/>
      <c r="B2083" s="105"/>
      <c r="C2083" s="176"/>
      <c r="D2083" s="1"/>
      <c r="E2083" s="177"/>
      <c r="F2083" s="1"/>
      <c r="G2083" s="1"/>
    </row>
    <row r="2084" spans="1:7">
      <c r="A2084" s="10"/>
      <c r="B2084" s="105"/>
      <c r="C2084" s="176"/>
      <c r="D2084" s="1"/>
      <c r="E2084" s="177"/>
      <c r="F2084" s="1"/>
      <c r="G2084" s="1"/>
    </row>
    <row r="2085" spans="1:7">
      <c r="A2085" s="10"/>
      <c r="B2085" s="105"/>
      <c r="C2085" s="176"/>
      <c r="D2085" s="1"/>
      <c r="E2085" s="177"/>
      <c r="F2085" s="1"/>
      <c r="G2085" s="1"/>
    </row>
    <row r="2086" spans="1:7">
      <c r="A2086" s="10"/>
      <c r="B2086" s="105"/>
      <c r="C2086" s="176"/>
      <c r="D2086" s="1"/>
      <c r="E2086" s="177"/>
      <c r="F2086" s="1"/>
      <c r="G2086" s="1"/>
    </row>
    <row r="2087" spans="1:7">
      <c r="A2087" s="10"/>
      <c r="B2087" s="105"/>
      <c r="C2087" s="176"/>
      <c r="D2087" s="1"/>
      <c r="E2087" s="177"/>
      <c r="F2087" s="1"/>
      <c r="G2087" s="1"/>
    </row>
    <row r="2088" spans="1:7">
      <c r="A2088" s="10"/>
      <c r="B2088" s="105"/>
      <c r="C2088" s="176"/>
      <c r="D2088" s="1"/>
      <c r="E2088" s="177"/>
      <c r="F2088" s="1"/>
      <c r="G2088" s="1"/>
    </row>
    <row r="2089" spans="1:7">
      <c r="A2089" s="10"/>
      <c r="B2089" s="105"/>
      <c r="C2089" s="176"/>
      <c r="D2089" s="1"/>
      <c r="E2089" s="177"/>
      <c r="F2089" s="1"/>
      <c r="G2089" s="1"/>
    </row>
    <row r="2090" spans="1:7">
      <c r="A2090" s="10"/>
      <c r="B2090" s="105"/>
      <c r="C2090" s="176"/>
      <c r="D2090" s="1"/>
      <c r="E2090" s="177"/>
      <c r="F2090" s="1"/>
      <c r="G2090" s="1"/>
    </row>
    <row r="2091" spans="1:7">
      <c r="A2091" s="10"/>
      <c r="B2091" s="105"/>
      <c r="C2091" s="176"/>
      <c r="D2091" s="1"/>
      <c r="E2091" s="177"/>
      <c r="F2091" s="1"/>
      <c r="G2091" s="1"/>
    </row>
    <row r="2092" spans="1:7">
      <c r="A2092" s="10"/>
      <c r="B2092" s="105"/>
      <c r="C2092" s="176"/>
      <c r="D2092" s="1"/>
      <c r="E2092" s="177"/>
      <c r="F2092" s="1"/>
      <c r="G2092" s="1"/>
    </row>
    <row r="2093" spans="1:7">
      <c r="A2093" s="10"/>
      <c r="B2093" s="105"/>
      <c r="C2093" s="176"/>
      <c r="D2093" s="1"/>
      <c r="E2093" s="177"/>
      <c r="F2093" s="1"/>
      <c r="G2093" s="1"/>
    </row>
    <row r="2094" spans="1:7">
      <c r="A2094" s="10"/>
      <c r="B2094" s="105"/>
      <c r="C2094" s="176"/>
      <c r="D2094" s="1"/>
      <c r="E2094" s="177"/>
      <c r="F2094" s="1"/>
      <c r="G2094" s="1"/>
    </row>
    <row r="2095" spans="1:7">
      <c r="A2095" s="10"/>
      <c r="B2095" s="105"/>
      <c r="C2095" s="176"/>
      <c r="D2095" s="1"/>
      <c r="E2095" s="177"/>
      <c r="F2095" s="1"/>
      <c r="G2095" s="1"/>
    </row>
    <row r="2096" spans="1:7">
      <c r="A2096" s="10"/>
      <c r="B2096" s="105"/>
      <c r="C2096" s="176"/>
      <c r="D2096" s="1"/>
      <c r="E2096" s="177"/>
      <c r="F2096" s="1"/>
      <c r="G2096" s="1"/>
    </row>
    <row r="2097" spans="1:7">
      <c r="A2097" s="10"/>
      <c r="B2097" s="105"/>
      <c r="C2097" s="176"/>
      <c r="D2097" s="1"/>
      <c r="E2097" s="177"/>
      <c r="F2097" s="1"/>
      <c r="G2097" s="1"/>
    </row>
    <row r="2098" spans="1:7">
      <c r="A2098" s="10"/>
      <c r="B2098" s="105"/>
      <c r="C2098" s="176"/>
      <c r="D2098" s="1"/>
      <c r="E2098" s="177"/>
      <c r="F2098" s="1"/>
      <c r="G2098" s="1"/>
    </row>
    <row r="2099" spans="1:7">
      <c r="A2099" s="10"/>
      <c r="B2099" s="105"/>
      <c r="C2099" s="176"/>
      <c r="D2099" s="1"/>
      <c r="E2099" s="177"/>
      <c r="F2099" s="1"/>
      <c r="G2099" s="1"/>
    </row>
    <row r="2100" spans="1:7">
      <c r="A2100" s="10"/>
      <c r="B2100" s="105"/>
      <c r="C2100" s="176"/>
      <c r="D2100" s="1"/>
      <c r="E2100" s="177"/>
      <c r="F2100" s="1"/>
      <c r="G2100" s="1"/>
    </row>
    <row r="2101" spans="1:7">
      <c r="A2101" s="10"/>
      <c r="B2101" s="105"/>
      <c r="C2101" s="176"/>
      <c r="D2101" s="1"/>
      <c r="E2101" s="177"/>
      <c r="F2101" s="1"/>
      <c r="G2101" s="1"/>
    </row>
    <row r="2102" spans="1:7">
      <c r="A2102" s="10"/>
      <c r="B2102" s="105"/>
      <c r="C2102" s="176"/>
      <c r="D2102" s="1"/>
      <c r="E2102" s="177"/>
      <c r="F2102" s="1"/>
      <c r="G2102" s="1"/>
    </row>
    <row r="2103" spans="1:7">
      <c r="A2103" s="10"/>
      <c r="B2103" s="105"/>
      <c r="C2103" s="176"/>
      <c r="D2103" s="1"/>
      <c r="E2103" s="177"/>
      <c r="F2103" s="1"/>
      <c r="G2103" s="1"/>
    </row>
    <row r="2104" spans="1:7">
      <c r="A2104" s="10"/>
      <c r="B2104" s="105"/>
      <c r="C2104" s="176"/>
      <c r="D2104" s="1"/>
      <c r="E2104" s="177"/>
      <c r="F2104" s="1"/>
      <c r="G2104" s="1"/>
    </row>
    <row r="2105" spans="1:7">
      <c r="A2105" s="10"/>
      <c r="B2105" s="105"/>
      <c r="C2105" s="176"/>
      <c r="D2105" s="1"/>
      <c r="E2105" s="177"/>
      <c r="F2105" s="1"/>
      <c r="G2105" s="1"/>
    </row>
    <row r="2106" spans="1:7">
      <c r="A2106" s="10"/>
      <c r="B2106" s="105"/>
      <c r="C2106" s="176"/>
      <c r="D2106" s="1"/>
      <c r="E2106" s="177"/>
      <c r="F2106" s="1"/>
      <c r="G2106" s="1"/>
    </row>
    <row r="2107" spans="1:7">
      <c r="A2107" s="10"/>
      <c r="B2107" s="105"/>
      <c r="C2107" s="176"/>
      <c r="D2107" s="1"/>
      <c r="E2107" s="177"/>
      <c r="F2107" s="1"/>
      <c r="G2107" s="1"/>
    </row>
    <row r="2108" spans="1:7">
      <c r="A2108" s="10"/>
      <c r="B2108" s="105"/>
      <c r="C2108" s="176"/>
      <c r="D2108" s="1"/>
      <c r="E2108" s="177"/>
      <c r="F2108" s="1"/>
      <c r="G2108" s="1"/>
    </row>
    <row r="2109" spans="1:7">
      <c r="A2109" s="10"/>
      <c r="B2109" s="105"/>
      <c r="C2109" s="176"/>
      <c r="D2109" s="1"/>
      <c r="E2109" s="177"/>
      <c r="F2109" s="1"/>
      <c r="G2109" s="1"/>
    </row>
    <row r="2110" spans="1:7">
      <c r="A2110" s="10"/>
      <c r="B2110" s="105"/>
      <c r="C2110" s="176"/>
      <c r="D2110" s="1"/>
      <c r="E2110" s="177"/>
      <c r="F2110" s="1"/>
      <c r="G2110" s="1"/>
    </row>
    <row r="2111" spans="1:7">
      <c r="A2111" s="10"/>
      <c r="B2111" s="105"/>
      <c r="C2111" s="176"/>
      <c r="D2111" s="1"/>
      <c r="E2111" s="177"/>
      <c r="F2111" s="1"/>
      <c r="G2111" s="1"/>
    </row>
    <row r="2112" spans="1:7">
      <c r="A2112" s="10"/>
      <c r="B2112" s="105"/>
      <c r="C2112" s="176"/>
      <c r="D2112" s="1"/>
      <c r="E2112" s="177"/>
      <c r="F2112" s="1"/>
      <c r="G2112" s="1"/>
    </row>
    <row r="2113" spans="1:7">
      <c r="A2113" s="10"/>
      <c r="B2113" s="105"/>
      <c r="C2113" s="176"/>
      <c r="D2113" s="1"/>
      <c r="E2113" s="177"/>
      <c r="F2113" s="1"/>
      <c r="G2113" s="1"/>
    </row>
    <row r="2114" spans="1:7">
      <c r="A2114" s="10"/>
      <c r="B2114" s="105"/>
      <c r="C2114" s="176"/>
      <c r="D2114" s="1"/>
      <c r="E2114" s="177"/>
      <c r="F2114" s="1"/>
      <c r="G2114" s="1"/>
    </row>
    <row r="2115" spans="1:7">
      <c r="A2115" s="10"/>
      <c r="B2115" s="105"/>
      <c r="C2115" s="176"/>
      <c r="D2115" s="1"/>
      <c r="E2115" s="177"/>
      <c r="F2115" s="1"/>
      <c r="G2115" s="1"/>
    </row>
    <row r="2116" spans="1:7">
      <c r="A2116" s="10"/>
      <c r="B2116" s="105"/>
      <c r="C2116" s="176"/>
      <c r="D2116" s="1"/>
      <c r="E2116" s="177"/>
      <c r="F2116" s="1"/>
      <c r="G2116" s="1"/>
    </row>
    <row r="2117" spans="1:7">
      <c r="A2117" s="10"/>
      <c r="B2117" s="105"/>
      <c r="C2117" s="176"/>
      <c r="D2117" s="1"/>
      <c r="E2117" s="177"/>
      <c r="F2117" s="1"/>
      <c r="G2117" s="1"/>
    </row>
    <row r="2118" spans="1:7">
      <c r="A2118" s="10"/>
      <c r="B2118" s="105"/>
      <c r="C2118" s="176"/>
      <c r="D2118" s="1"/>
      <c r="E2118" s="177"/>
      <c r="F2118" s="1"/>
      <c r="G2118" s="1"/>
    </row>
    <row r="2119" spans="1:7">
      <c r="A2119" s="10"/>
      <c r="B2119" s="105"/>
      <c r="C2119" s="176"/>
      <c r="D2119" s="1"/>
      <c r="E2119" s="177"/>
      <c r="F2119" s="1"/>
      <c r="G2119" s="1"/>
    </row>
    <row r="2120" spans="1:7">
      <c r="A2120" s="10"/>
      <c r="B2120" s="105"/>
      <c r="C2120" s="176"/>
      <c r="D2120" s="1"/>
      <c r="E2120" s="177"/>
      <c r="F2120" s="1"/>
      <c r="G2120" s="1"/>
    </row>
    <row r="2121" spans="1:7">
      <c r="A2121" s="10"/>
      <c r="B2121" s="105"/>
      <c r="C2121" s="176"/>
      <c r="D2121" s="1"/>
      <c r="E2121" s="177"/>
      <c r="F2121" s="1"/>
      <c r="G2121" s="1"/>
    </row>
    <row r="2122" spans="1:7">
      <c r="A2122" s="10"/>
      <c r="B2122" s="105"/>
      <c r="C2122" s="176"/>
      <c r="D2122" s="1"/>
      <c r="E2122" s="177"/>
      <c r="F2122" s="1"/>
      <c r="G2122" s="1"/>
    </row>
    <row r="2123" spans="1:7">
      <c r="A2123" s="10"/>
      <c r="B2123" s="105"/>
      <c r="C2123" s="176"/>
      <c r="D2123" s="1"/>
      <c r="E2123" s="177"/>
      <c r="F2123" s="1"/>
      <c r="G2123" s="1"/>
    </row>
    <row r="2124" spans="1:7">
      <c r="A2124" s="10"/>
      <c r="B2124" s="105"/>
      <c r="C2124" s="176"/>
      <c r="D2124" s="1"/>
      <c r="E2124" s="177"/>
      <c r="F2124" s="1"/>
      <c r="G2124" s="1"/>
    </row>
    <row r="2125" spans="1:7">
      <c r="A2125" s="10"/>
      <c r="B2125" s="105"/>
      <c r="C2125" s="176"/>
      <c r="D2125" s="1"/>
      <c r="E2125" s="177"/>
      <c r="F2125" s="1"/>
      <c r="G2125" s="1"/>
    </row>
    <row r="2126" spans="1:7">
      <c r="A2126" s="10"/>
      <c r="B2126" s="105"/>
      <c r="C2126" s="176"/>
      <c r="D2126" s="1"/>
      <c r="E2126" s="177"/>
      <c r="F2126" s="1"/>
      <c r="G2126" s="1"/>
    </row>
    <row r="2127" spans="1:7">
      <c r="A2127" s="10"/>
      <c r="B2127" s="105"/>
      <c r="C2127" s="176"/>
      <c r="D2127" s="1"/>
      <c r="E2127" s="177"/>
      <c r="F2127" s="1"/>
      <c r="G2127" s="1"/>
    </row>
    <row r="2128" spans="1:7">
      <c r="A2128" s="10"/>
      <c r="B2128" s="105"/>
      <c r="C2128" s="176"/>
      <c r="D2128" s="1"/>
      <c r="E2128" s="177"/>
      <c r="F2128" s="1"/>
      <c r="G2128" s="1"/>
    </row>
    <row r="2129" spans="1:7">
      <c r="A2129" s="10"/>
      <c r="B2129" s="105"/>
      <c r="C2129" s="176"/>
      <c r="D2129" s="1"/>
      <c r="E2129" s="177"/>
      <c r="F2129" s="1"/>
      <c r="G2129" s="1"/>
    </row>
    <row r="2130" spans="1:7">
      <c r="A2130" s="10"/>
      <c r="B2130" s="105"/>
      <c r="C2130" s="176"/>
      <c r="D2130" s="1"/>
      <c r="E2130" s="177"/>
      <c r="F2130" s="1"/>
      <c r="G2130" s="1"/>
    </row>
    <row r="2131" spans="1:7">
      <c r="A2131" s="10"/>
      <c r="B2131" s="105"/>
      <c r="C2131" s="176"/>
      <c r="D2131" s="1"/>
      <c r="E2131" s="177"/>
      <c r="F2131" s="1"/>
      <c r="G2131" s="1"/>
    </row>
    <row r="2132" spans="1:7">
      <c r="A2132" s="10"/>
      <c r="B2132" s="105"/>
      <c r="C2132" s="176"/>
      <c r="D2132" s="1"/>
      <c r="E2132" s="177"/>
      <c r="F2132" s="1"/>
      <c r="G2132" s="1"/>
    </row>
    <row r="2133" spans="1:7">
      <c r="A2133" s="10"/>
      <c r="B2133" s="105"/>
      <c r="C2133" s="176"/>
      <c r="D2133" s="1"/>
      <c r="E2133" s="177"/>
      <c r="F2133" s="1"/>
      <c r="G2133" s="1"/>
    </row>
    <row r="2134" spans="1:7">
      <c r="A2134" s="10"/>
      <c r="B2134" s="105"/>
      <c r="C2134" s="176"/>
      <c r="D2134" s="1"/>
      <c r="E2134" s="177"/>
      <c r="F2134" s="1"/>
      <c r="G2134" s="1"/>
    </row>
    <row r="2135" spans="1:7">
      <c r="A2135" s="10"/>
      <c r="B2135" s="105"/>
      <c r="C2135" s="176"/>
      <c r="D2135" s="1"/>
      <c r="E2135" s="177"/>
      <c r="F2135" s="1"/>
      <c r="G2135" s="1"/>
    </row>
    <row r="2136" spans="1:7">
      <c r="A2136" s="10"/>
      <c r="B2136" s="105"/>
      <c r="C2136" s="176"/>
      <c r="D2136" s="1"/>
      <c r="E2136" s="177"/>
      <c r="F2136" s="1"/>
      <c r="G2136" s="1"/>
    </row>
    <row r="2137" spans="1:7">
      <c r="A2137" s="10"/>
      <c r="B2137" s="105"/>
      <c r="C2137" s="176"/>
      <c r="D2137" s="1"/>
      <c r="E2137" s="177"/>
      <c r="F2137" s="1"/>
      <c r="G2137" s="1"/>
    </row>
    <row r="2138" spans="1:7">
      <c r="A2138" s="10"/>
      <c r="B2138" s="105"/>
      <c r="C2138" s="176"/>
      <c r="D2138" s="1"/>
      <c r="E2138" s="177"/>
      <c r="F2138" s="1"/>
      <c r="G2138" s="1"/>
    </row>
    <row r="2139" spans="1:7">
      <c r="A2139" s="10"/>
      <c r="B2139" s="105"/>
      <c r="C2139" s="176"/>
      <c r="D2139" s="1"/>
      <c r="E2139" s="177"/>
      <c r="F2139" s="1"/>
      <c r="G2139" s="1"/>
    </row>
    <row r="2140" spans="1:7">
      <c r="A2140" s="10"/>
      <c r="B2140" s="105"/>
      <c r="C2140" s="176"/>
      <c r="D2140" s="1"/>
      <c r="E2140" s="177"/>
      <c r="F2140" s="1"/>
      <c r="G2140" s="1"/>
    </row>
    <row r="2141" spans="1:7">
      <c r="A2141" s="10"/>
      <c r="B2141" s="105"/>
      <c r="C2141" s="176"/>
      <c r="D2141" s="1"/>
      <c r="E2141" s="177"/>
      <c r="F2141" s="1"/>
      <c r="G2141" s="1"/>
    </row>
    <row r="2142" spans="1:7">
      <c r="A2142" s="10"/>
      <c r="B2142" s="105"/>
      <c r="C2142" s="176"/>
      <c r="D2142" s="1"/>
      <c r="E2142" s="177"/>
      <c r="F2142" s="1"/>
      <c r="G2142" s="1"/>
    </row>
    <row r="2143" spans="1:7">
      <c r="A2143" s="10"/>
      <c r="B2143" s="105"/>
      <c r="C2143" s="176"/>
      <c r="D2143" s="1"/>
      <c r="E2143" s="177"/>
      <c r="F2143" s="1"/>
      <c r="G2143" s="1"/>
    </row>
    <row r="2144" spans="1:7">
      <c r="A2144" s="10"/>
      <c r="B2144" s="105"/>
      <c r="C2144" s="176"/>
      <c r="D2144" s="1"/>
      <c r="E2144" s="177"/>
      <c r="F2144" s="1"/>
      <c r="G2144" s="1"/>
    </row>
    <row r="2145" spans="1:7">
      <c r="A2145" s="10"/>
      <c r="B2145" s="105"/>
      <c r="C2145" s="176"/>
      <c r="D2145" s="1"/>
      <c r="E2145" s="177"/>
      <c r="F2145" s="1"/>
      <c r="G2145" s="1"/>
    </row>
    <row r="2146" spans="1:7">
      <c r="A2146" s="10"/>
      <c r="B2146" s="105"/>
      <c r="C2146" s="176"/>
      <c r="D2146" s="1"/>
      <c r="E2146" s="177"/>
      <c r="F2146" s="1"/>
      <c r="G2146" s="1"/>
    </row>
    <row r="2147" spans="1:7">
      <c r="A2147" s="10"/>
      <c r="B2147" s="105"/>
      <c r="C2147" s="176"/>
      <c r="D2147" s="1"/>
      <c r="E2147" s="177"/>
      <c r="F2147" s="1"/>
      <c r="G2147" s="1"/>
    </row>
    <row r="2148" spans="1:7">
      <c r="A2148" s="10"/>
      <c r="B2148" s="105"/>
      <c r="C2148" s="176"/>
      <c r="D2148" s="1"/>
      <c r="E2148" s="177"/>
      <c r="F2148" s="1"/>
      <c r="G2148" s="1"/>
    </row>
    <row r="2149" spans="1:7">
      <c r="A2149" s="10"/>
      <c r="B2149" s="105"/>
      <c r="C2149" s="176"/>
      <c r="D2149" s="1"/>
      <c r="E2149" s="177"/>
      <c r="F2149" s="1"/>
      <c r="G2149" s="1"/>
    </row>
    <row r="2150" spans="1:7">
      <c r="A2150" s="10"/>
      <c r="B2150" s="105"/>
      <c r="C2150" s="176"/>
      <c r="D2150" s="1"/>
      <c r="E2150" s="177"/>
      <c r="F2150" s="1"/>
      <c r="G2150" s="1"/>
    </row>
    <row r="2151" spans="1:7">
      <c r="A2151" s="10"/>
      <c r="B2151" s="105"/>
      <c r="C2151" s="176"/>
      <c r="D2151" s="1"/>
      <c r="E2151" s="177"/>
      <c r="F2151" s="1"/>
      <c r="G2151" s="1"/>
    </row>
    <row r="2152" spans="1:7">
      <c r="A2152" s="10"/>
      <c r="B2152" s="105"/>
      <c r="C2152" s="176"/>
      <c r="D2152" s="1"/>
      <c r="E2152" s="177"/>
      <c r="F2152" s="1"/>
      <c r="G2152" s="1"/>
    </row>
    <row r="2153" spans="1:7">
      <c r="A2153" s="10"/>
      <c r="B2153" s="105"/>
      <c r="C2153" s="176"/>
      <c r="D2153" s="1"/>
      <c r="E2153" s="177"/>
      <c r="F2153" s="1"/>
      <c r="G2153" s="1"/>
    </row>
    <row r="2154" spans="1:7">
      <c r="A2154" s="10"/>
      <c r="B2154" s="105"/>
      <c r="C2154" s="176"/>
      <c r="D2154" s="1"/>
      <c r="E2154" s="177"/>
      <c r="F2154" s="1"/>
      <c r="G2154" s="1"/>
    </row>
    <row r="2155" spans="1:7">
      <c r="A2155" s="10"/>
      <c r="B2155" s="105"/>
      <c r="C2155" s="176"/>
      <c r="D2155" s="1"/>
      <c r="E2155" s="177"/>
      <c r="F2155" s="1"/>
      <c r="G2155" s="1"/>
    </row>
    <row r="2156" spans="1:7">
      <c r="A2156" s="10"/>
      <c r="B2156" s="105"/>
      <c r="C2156" s="176"/>
      <c r="D2156" s="1"/>
      <c r="E2156" s="177"/>
      <c r="F2156" s="1"/>
      <c r="G2156" s="1"/>
    </row>
    <row r="2157" spans="1:7">
      <c r="A2157" s="10"/>
      <c r="B2157" s="105"/>
      <c r="C2157" s="176"/>
      <c r="D2157" s="1"/>
      <c r="E2157" s="177"/>
      <c r="F2157" s="1"/>
      <c r="G2157" s="1"/>
    </row>
    <row r="2158" spans="1:7">
      <c r="A2158" s="10"/>
      <c r="B2158" s="105"/>
      <c r="C2158" s="176"/>
      <c r="D2158" s="1"/>
      <c r="E2158" s="177"/>
      <c r="F2158" s="1"/>
      <c r="G2158" s="1"/>
    </row>
    <row r="2159" spans="1:7">
      <c r="A2159" s="10"/>
      <c r="B2159" s="105"/>
      <c r="C2159" s="176"/>
      <c r="D2159" s="1"/>
      <c r="E2159" s="177"/>
      <c r="F2159" s="1"/>
      <c r="G2159" s="1"/>
    </row>
    <row r="2160" spans="1:7">
      <c r="A2160" s="10"/>
      <c r="B2160" s="105"/>
      <c r="C2160" s="176"/>
      <c r="D2160" s="1"/>
      <c r="E2160" s="177"/>
      <c r="F2160" s="1"/>
      <c r="G2160" s="1"/>
    </row>
    <row r="2161" spans="1:7">
      <c r="A2161" s="10"/>
      <c r="B2161" s="105"/>
      <c r="C2161" s="176"/>
      <c r="D2161" s="1"/>
      <c r="E2161" s="177"/>
      <c r="F2161" s="1"/>
      <c r="G2161" s="1"/>
    </row>
    <row r="2162" spans="1:7">
      <c r="A2162" s="10"/>
      <c r="B2162" s="105"/>
      <c r="C2162" s="176"/>
      <c r="D2162" s="1"/>
      <c r="E2162" s="177"/>
      <c r="F2162" s="1"/>
      <c r="G2162" s="1"/>
    </row>
    <row r="2163" spans="1:7">
      <c r="A2163" s="10"/>
      <c r="B2163" s="105"/>
      <c r="C2163" s="176"/>
      <c r="D2163" s="1"/>
      <c r="E2163" s="177"/>
      <c r="F2163" s="1"/>
      <c r="G2163" s="1"/>
    </row>
    <row r="2164" spans="1:7">
      <c r="A2164" s="10"/>
      <c r="B2164" s="105"/>
      <c r="C2164" s="176"/>
      <c r="D2164" s="1"/>
      <c r="E2164" s="177"/>
      <c r="F2164" s="1"/>
      <c r="G2164" s="1"/>
    </row>
    <row r="2165" spans="1:7">
      <c r="A2165" s="10"/>
      <c r="B2165" s="105"/>
      <c r="C2165" s="176"/>
      <c r="D2165" s="1"/>
      <c r="E2165" s="177"/>
      <c r="F2165" s="1"/>
      <c r="G2165" s="1"/>
    </row>
    <row r="2166" spans="1:7">
      <c r="A2166" s="10"/>
      <c r="B2166" s="105"/>
      <c r="C2166" s="176"/>
      <c r="D2166" s="1"/>
      <c r="E2166" s="177"/>
      <c r="F2166" s="1"/>
      <c r="G2166" s="1"/>
    </row>
    <row r="2167" spans="1:7">
      <c r="A2167" s="10"/>
      <c r="B2167" s="105"/>
      <c r="C2167" s="176"/>
      <c r="D2167" s="1"/>
      <c r="E2167" s="177"/>
      <c r="F2167" s="1"/>
      <c r="G2167" s="1"/>
    </row>
    <row r="2168" spans="1:7">
      <c r="A2168" s="10"/>
      <c r="B2168" s="105"/>
      <c r="C2168" s="176"/>
      <c r="D2168" s="1"/>
      <c r="E2168" s="177"/>
      <c r="F2168" s="1"/>
      <c r="G2168" s="1"/>
    </row>
    <row r="2169" spans="1:7">
      <c r="A2169" s="10"/>
      <c r="B2169" s="105"/>
      <c r="C2169" s="176"/>
      <c r="D2169" s="1"/>
      <c r="E2169" s="177"/>
      <c r="F2169" s="1"/>
      <c r="G2169" s="1"/>
    </row>
    <row r="2170" spans="1:7">
      <c r="A2170" s="10"/>
      <c r="B2170" s="105"/>
      <c r="C2170" s="176"/>
      <c r="D2170" s="1"/>
      <c r="E2170" s="177"/>
      <c r="F2170" s="1"/>
      <c r="G2170" s="1"/>
    </row>
    <row r="2171" spans="1:7">
      <c r="A2171" s="10"/>
      <c r="B2171" s="105"/>
      <c r="C2171" s="176"/>
      <c r="D2171" s="1"/>
      <c r="E2171" s="177"/>
      <c r="F2171" s="1"/>
      <c r="G2171" s="1"/>
    </row>
    <row r="2172" spans="1:7">
      <c r="A2172" s="10"/>
      <c r="B2172" s="105"/>
      <c r="C2172" s="176"/>
      <c r="D2172" s="1"/>
      <c r="E2172" s="177"/>
      <c r="F2172" s="1"/>
      <c r="G2172" s="1"/>
    </row>
    <row r="2173" spans="1:7">
      <c r="A2173" s="10"/>
      <c r="B2173" s="105"/>
      <c r="C2173" s="176"/>
      <c r="D2173" s="1"/>
      <c r="E2173" s="177"/>
      <c r="F2173" s="1"/>
      <c r="G2173" s="1"/>
    </row>
    <row r="2174" spans="1:7">
      <c r="A2174" s="10"/>
      <c r="B2174" s="105"/>
      <c r="C2174" s="176"/>
      <c r="D2174" s="1"/>
      <c r="E2174" s="177"/>
      <c r="F2174" s="1"/>
      <c r="G2174" s="1"/>
    </row>
    <row r="2175" spans="1:7">
      <c r="A2175" s="10"/>
      <c r="B2175" s="105"/>
      <c r="C2175" s="176"/>
      <c r="D2175" s="1"/>
      <c r="E2175" s="177"/>
      <c r="F2175" s="1"/>
      <c r="G2175" s="1"/>
    </row>
    <row r="2176" spans="1:7">
      <c r="A2176" s="10"/>
      <c r="B2176" s="105"/>
      <c r="C2176" s="176"/>
      <c r="D2176" s="1"/>
      <c r="E2176" s="177"/>
      <c r="F2176" s="1"/>
      <c r="G2176" s="1"/>
    </row>
    <row r="2177" spans="1:7">
      <c r="A2177" s="10"/>
      <c r="B2177" s="105"/>
      <c r="C2177" s="176"/>
      <c r="D2177" s="1"/>
      <c r="E2177" s="177"/>
      <c r="F2177" s="1"/>
      <c r="G2177" s="1"/>
    </row>
    <row r="2178" spans="1:7">
      <c r="A2178" s="10"/>
      <c r="B2178" s="105"/>
      <c r="C2178" s="176"/>
      <c r="D2178" s="1"/>
      <c r="E2178" s="177"/>
      <c r="F2178" s="1"/>
      <c r="G2178" s="1"/>
    </row>
    <row r="2179" spans="1:7">
      <c r="A2179" s="10"/>
      <c r="B2179" s="105"/>
      <c r="C2179" s="176"/>
      <c r="D2179" s="1"/>
      <c r="E2179" s="177"/>
      <c r="F2179" s="1"/>
      <c r="G2179" s="1"/>
    </row>
    <row r="2180" spans="1:7">
      <c r="A2180" s="10"/>
      <c r="B2180" s="105"/>
      <c r="C2180" s="176"/>
      <c r="D2180" s="1"/>
      <c r="E2180" s="177"/>
      <c r="F2180" s="1"/>
      <c r="G2180" s="1"/>
    </row>
    <row r="2181" spans="1:7">
      <c r="A2181" s="10"/>
      <c r="B2181" s="105"/>
      <c r="C2181" s="176"/>
      <c r="D2181" s="1"/>
      <c r="E2181" s="177"/>
      <c r="F2181" s="1"/>
      <c r="G2181" s="1"/>
    </row>
    <row r="2182" spans="1:7">
      <c r="A2182" s="10"/>
      <c r="B2182" s="105"/>
      <c r="C2182" s="176"/>
      <c r="D2182" s="1"/>
      <c r="E2182" s="177"/>
      <c r="F2182" s="1"/>
      <c r="G2182" s="1"/>
    </row>
    <row r="2183" spans="1:7">
      <c r="A2183" s="10"/>
      <c r="B2183" s="105"/>
      <c r="C2183" s="176"/>
      <c r="D2183" s="1"/>
      <c r="E2183" s="177"/>
      <c r="F2183" s="1"/>
      <c r="G2183" s="1"/>
    </row>
    <row r="2184" spans="1:7">
      <c r="A2184" s="10"/>
      <c r="B2184" s="105"/>
      <c r="C2184" s="176"/>
      <c r="D2184" s="1"/>
      <c r="E2184" s="177"/>
      <c r="F2184" s="1"/>
      <c r="G2184" s="1"/>
    </row>
    <row r="2185" spans="1:7">
      <c r="A2185" s="10"/>
      <c r="B2185" s="105"/>
      <c r="C2185" s="176"/>
      <c r="D2185" s="1"/>
      <c r="E2185" s="177"/>
      <c r="F2185" s="1"/>
      <c r="G2185" s="1"/>
    </row>
    <row r="2186" spans="1:7">
      <c r="A2186" s="10"/>
      <c r="B2186" s="105"/>
      <c r="C2186" s="176"/>
      <c r="D2186" s="1"/>
      <c r="E2186" s="177"/>
      <c r="F2186" s="1"/>
      <c r="G2186" s="1"/>
    </row>
    <row r="2187" spans="1:7">
      <c r="A2187" s="10"/>
      <c r="B2187" s="105"/>
      <c r="C2187" s="176"/>
      <c r="D2187" s="1"/>
      <c r="E2187" s="177"/>
      <c r="F2187" s="1"/>
      <c r="G2187" s="1"/>
    </row>
    <row r="2188" spans="1:7">
      <c r="A2188" s="10"/>
      <c r="B2188" s="105"/>
      <c r="C2188" s="176"/>
      <c r="D2188" s="1"/>
      <c r="E2188" s="177"/>
      <c r="F2188" s="1"/>
      <c r="G2188" s="1"/>
    </row>
    <row r="2189" spans="1:7">
      <c r="A2189" s="10"/>
      <c r="B2189" s="105"/>
      <c r="C2189" s="176"/>
      <c r="D2189" s="1"/>
      <c r="E2189" s="177"/>
      <c r="F2189" s="1"/>
      <c r="G2189" s="1"/>
    </row>
    <row r="2190" spans="1:7">
      <c r="A2190" s="10"/>
      <c r="B2190" s="105"/>
      <c r="C2190" s="176"/>
      <c r="D2190" s="1"/>
      <c r="E2190" s="177"/>
      <c r="F2190" s="1"/>
      <c r="G2190" s="1"/>
    </row>
    <row r="2191" spans="1:7">
      <c r="A2191" s="10"/>
      <c r="B2191" s="105"/>
      <c r="C2191" s="176"/>
      <c r="D2191" s="1"/>
      <c r="E2191" s="177"/>
      <c r="F2191" s="1"/>
      <c r="G2191" s="1"/>
    </row>
    <row r="2192" spans="1:7">
      <c r="A2192" s="10"/>
      <c r="B2192" s="105"/>
      <c r="C2192" s="176"/>
      <c r="D2192" s="1"/>
      <c r="E2192" s="177"/>
      <c r="F2192" s="1"/>
      <c r="G2192" s="1"/>
    </row>
    <row r="2193" spans="1:7">
      <c r="A2193" s="10"/>
      <c r="B2193" s="105"/>
      <c r="C2193" s="176"/>
      <c r="D2193" s="1"/>
      <c r="E2193" s="177"/>
      <c r="F2193" s="1"/>
      <c r="G2193" s="1"/>
    </row>
    <row r="2194" spans="1:7">
      <c r="A2194" s="10"/>
      <c r="B2194" s="105"/>
      <c r="C2194" s="176"/>
      <c r="D2194" s="1"/>
      <c r="E2194" s="177"/>
      <c r="F2194" s="1"/>
      <c r="G2194" s="1"/>
    </row>
    <row r="2195" spans="1:7">
      <c r="A2195" s="10"/>
      <c r="B2195" s="105"/>
      <c r="C2195" s="176"/>
      <c r="D2195" s="1"/>
      <c r="E2195" s="177"/>
      <c r="F2195" s="1"/>
      <c r="G2195" s="1"/>
    </row>
    <row r="2196" spans="1:7">
      <c r="A2196" s="10"/>
      <c r="B2196" s="105"/>
      <c r="C2196" s="176"/>
      <c r="D2196" s="1"/>
      <c r="E2196" s="177"/>
      <c r="F2196" s="1"/>
      <c r="G2196" s="1"/>
    </row>
    <row r="2197" spans="1:7">
      <c r="A2197" s="10"/>
      <c r="B2197" s="105"/>
      <c r="C2197" s="176"/>
      <c r="D2197" s="1"/>
      <c r="E2197" s="177"/>
      <c r="F2197" s="1"/>
      <c r="G2197" s="1"/>
    </row>
    <row r="2198" spans="1:7">
      <c r="A2198" s="10"/>
      <c r="B2198" s="105"/>
      <c r="C2198" s="176"/>
      <c r="D2198" s="1"/>
      <c r="E2198" s="177"/>
      <c r="F2198" s="1"/>
      <c r="G2198" s="1"/>
    </row>
    <row r="2199" spans="1:7">
      <c r="A2199" s="10"/>
      <c r="B2199" s="105"/>
      <c r="C2199" s="176"/>
      <c r="D2199" s="1"/>
      <c r="E2199" s="177"/>
      <c r="F2199" s="1"/>
      <c r="G2199" s="1"/>
    </row>
    <row r="2200" spans="1:7">
      <c r="A2200" s="10"/>
      <c r="B2200" s="105"/>
      <c r="C2200" s="176"/>
      <c r="D2200" s="1"/>
      <c r="E2200" s="177"/>
      <c r="F2200" s="1"/>
      <c r="G2200" s="1"/>
    </row>
    <row r="2201" spans="1:7">
      <c r="A2201" s="10"/>
      <c r="B2201" s="105"/>
      <c r="C2201" s="176"/>
      <c r="D2201" s="1"/>
      <c r="E2201" s="177"/>
      <c r="F2201" s="1"/>
      <c r="G2201" s="1"/>
    </row>
    <row r="2202" spans="1:7">
      <c r="A2202" s="10"/>
      <c r="B2202" s="105"/>
      <c r="C2202" s="176"/>
      <c r="D2202" s="1"/>
      <c r="E2202" s="177"/>
      <c r="F2202" s="1"/>
      <c r="G2202" s="1"/>
    </row>
    <row r="2203" spans="1:7">
      <c r="A2203" s="10"/>
      <c r="B2203" s="105"/>
      <c r="C2203" s="176"/>
      <c r="D2203" s="1"/>
      <c r="E2203" s="177"/>
      <c r="F2203" s="1"/>
      <c r="G2203" s="1"/>
    </row>
    <row r="2204" spans="1:7">
      <c r="A2204" s="10"/>
      <c r="B2204" s="105"/>
      <c r="C2204" s="176"/>
      <c r="D2204" s="1"/>
      <c r="E2204" s="177"/>
      <c r="F2204" s="1"/>
      <c r="G2204" s="1"/>
    </row>
    <row r="2205" spans="1:7">
      <c r="A2205" s="10"/>
      <c r="B2205" s="105"/>
      <c r="C2205" s="176"/>
      <c r="D2205" s="1"/>
      <c r="E2205" s="177"/>
      <c r="F2205" s="1"/>
      <c r="G2205" s="1"/>
    </row>
    <row r="2206" spans="1:7">
      <c r="A2206" s="10"/>
      <c r="B2206" s="105"/>
      <c r="C2206" s="176"/>
      <c r="D2206" s="1"/>
      <c r="E2206" s="177"/>
      <c r="F2206" s="1"/>
      <c r="G2206" s="1"/>
    </row>
    <row r="2207" spans="1:7">
      <c r="A2207" s="10"/>
      <c r="B2207" s="105"/>
      <c r="C2207" s="176"/>
      <c r="D2207" s="1"/>
      <c r="E2207" s="177"/>
      <c r="F2207" s="1"/>
      <c r="G2207" s="1"/>
    </row>
    <row r="2208" spans="1:7">
      <c r="A2208" s="10"/>
      <c r="B2208" s="105"/>
      <c r="C2208" s="176"/>
      <c r="D2208" s="1"/>
      <c r="E2208" s="177"/>
      <c r="F2208" s="1"/>
      <c r="G2208" s="1"/>
    </row>
    <row r="2209" spans="1:7">
      <c r="A2209" s="10"/>
      <c r="B2209" s="105"/>
      <c r="C2209" s="176"/>
      <c r="D2209" s="1"/>
      <c r="E2209" s="177"/>
      <c r="F2209" s="1"/>
      <c r="G2209" s="1"/>
    </row>
    <row r="2210" spans="1:7">
      <c r="A2210" s="10"/>
      <c r="B2210" s="105"/>
      <c r="C2210" s="176"/>
      <c r="D2210" s="1"/>
      <c r="E2210" s="177"/>
      <c r="F2210" s="1"/>
      <c r="G2210" s="1"/>
    </row>
    <row r="2211" spans="1:7">
      <c r="A2211" s="10"/>
      <c r="B2211" s="105"/>
      <c r="C2211" s="176"/>
      <c r="D2211" s="1"/>
      <c r="E2211" s="177"/>
      <c r="F2211" s="1"/>
      <c r="G2211" s="1"/>
    </row>
    <row r="2212" spans="1:7">
      <c r="A2212" s="10"/>
      <c r="B2212" s="105"/>
      <c r="C2212" s="176"/>
      <c r="D2212" s="1"/>
      <c r="E2212" s="177"/>
      <c r="F2212" s="1"/>
      <c r="G2212" s="1"/>
    </row>
    <row r="2213" spans="1:7">
      <c r="A2213" s="10"/>
      <c r="B2213" s="105"/>
      <c r="C2213" s="176"/>
      <c r="D2213" s="1"/>
      <c r="E2213" s="177"/>
      <c r="F2213" s="1"/>
      <c r="G2213" s="1"/>
    </row>
    <row r="2214" spans="1:7">
      <c r="A2214" s="10"/>
      <c r="B2214" s="105"/>
      <c r="C2214" s="176"/>
      <c r="D2214" s="1"/>
      <c r="E2214" s="177"/>
      <c r="F2214" s="1"/>
      <c r="G2214" s="1"/>
    </row>
    <row r="2215" spans="1:7">
      <c r="A2215" s="10"/>
      <c r="B2215" s="105"/>
      <c r="C2215" s="176"/>
      <c r="D2215" s="1"/>
      <c r="E2215" s="177"/>
      <c r="F2215" s="1"/>
      <c r="G2215" s="1"/>
    </row>
    <row r="2216" spans="1:7">
      <c r="A2216" s="10"/>
      <c r="B2216" s="105"/>
      <c r="C2216" s="176"/>
      <c r="D2216" s="1"/>
      <c r="E2216" s="177"/>
      <c r="F2216" s="1"/>
      <c r="G2216" s="1"/>
    </row>
    <row r="2217" spans="1:7">
      <c r="A2217" s="10"/>
      <c r="B2217" s="105"/>
      <c r="C2217" s="176"/>
      <c r="D2217" s="1"/>
      <c r="E2217" s="177"/>
      <c r="F2217" s="1"/>
      <c r="G2217" s="1"/>
    </row>
    <row r="2218" spans="1:7">
      <c r="A2218" s="10"/>
      <c r="B2218" s="105"/>
      <c r="C2218" s="176"/>
      <c r="D2218" s="1"/>
      <c r="E2218" s="177"/>
      <c r="F2218" s="1"/>
      <c r="G2218" s="1"/>
    </row>
    <row r="2219" spans="1:7">
      <c r="A2219" s="10"/>
      <c r="B2219" s="105"/>
      <c r="C2219" s="176"/>
      <c r="D2219" s="1"/>
      <c r="E2219" s="177"/>
      <c r="F2219" s="1"/>
      <c r="G2219" s="1"/>
    </row>
    <row r="2220" spans="1:7">
      <c r="A2220" s="10"/>
      <c r="B2220" s="105"/>
      <c r="C2220" s="176"/>
      <c r="D2220" s="1"/>
      <c r="E2220" s="177"/>
      <c r="F2220" s="1"/>
      <c r="G2220" s="1"/>
    </row>
    <row r="2221" spans="1:7">
      <c r="A2221" s="10"/>
      <c r="B2221" s="105"/>
      <c r="C2221" s="176"/>
      <c r="D2221" s="1"/>
      <c r="E2221" s="177"/>
      <c r="F2221" s="1"/>
      <c r="G2221" s="1"/>
    </row>
    <row r="2222" spans="1:7">
      <c r="A2222" s="10"/>
      <c r="B2222" s="105"/>
      <c r="C2222" s="176"/>
      <c r="D2222" s="1"/>
      <c r="E2222" s="177"/>
      <c r="F2222" s="1"/>
      <c r="G2222" s="1"/>
    </row>
    <row r="2223" spans="1:7">
      <c r="A2223" s="10"/>
      <c r="B2223" s="105"/>
      <c r="C2223" s="176"/>
      <c r="D2223" s="1"/>
      <c r="E2223" s="177"/>
      <c r="F2223" s="1"/>
      <c r="G2223" s="1"/>
    </row>
    <row r="2224" spans="1:7">
      <c r="A2224" s="10"/>
      <c r="B2224" s="105"/>
      <c r="C2224" s="176"/>
      <c r="D2224" s="1"/>
      <c r="E2224" s="177"/>
      <c r="F2224" s="1"/>
      <c r="G2224" s="1"/>
    </row>
    <row r="2225" spans="1:7">
      <c r="A2225" s="10"/>
      <c r="B2225" s="105"/>
      <c r="C2225" s="176"/>
      <c r="D2225" s="1"/>
      <c r="E2225" s="177"/>
      <c r="F2225" s="1"/>
      <c r="G2225" s="1"/>
    </row>
    <row r="2226" spans="1:7">
      <c r="A2226" s="10"/>
      <c r="B2226" s="105"/>
      <c r="C2226" s="176"/>
      <c r="D2226" s="1"/>
      <c r="E2226" s="177"/>
      <c r="F2226" s="1"/>
      <c r="G2226" s="1"/>
    </row>
    <row r="2227" spans="1:7">
      <c r="A2227" s="10"/>
      <c r="B2227" s="105"/>
      <c r="C2227" s="176"/>
      <c r="D2227" s="1"/>
      <c r="E2227" s="177"/>
      <c r="F2227" s="1"/>
      <c r="G2227" s="1"/>
    </row>
    <row r="2228" spans="1:7">
      <c r="A2228" s="10"/>
      <c r="B2228" s="105"/>
      <c r="C2228" s="176"/>
      <c r="D2228" s="1"/>
      <c r="E2228" s="177"/>
      <c r="F2228" s="1"/>
      <c r="G2228" s="1"/>
    </row>
    <row r="2229" spans="1:7">
      <c r="A2229" s="10"/>
      <c r="B2229" s="105"/>
      <c r="C2229" s="176"/>
      <c r="D2229" s="1"/>
      <c r="E2229" s="177"/>
      <c r="F2229" s="1"/>
      <c r="G2229" s="1"/>
    </row>
    <row r="2230" spans="1:7">
      <c r="A2230" s="10"/>
      <c r="B2230" s="105"/>
      <c r="C2230" s="176"/>
      <c r="D2230" s="1"/>
      <c r="E2230" s="177"/>
      <c r="F2230" s="1"/>
      <c r="G2230" s="1"/>
    </row>
    <row r="2231" spans="1:7">
      <c r="A2231" s="10"/>
      <c r="B2231" s="105"/>
      <c r="C2231" s="176"/>
      <c r="D2231" s="1"/>
      <c r="E2231" s="177"/>
      <c r="F2231" s="1"/>
      <c r="G2231" s="1"/>
    </row>
    <row r="2232" spans="1:7">
      <c r="A2232" s="10"/>
      <c r="B2232" s="105"/>
      <c r="C2232" s="176"/>
      <c r="D2232" s="1"/>
      <c r="E2232" s="177"/>
      <c r="F2232" s="1"/>
      <c r="G2232" s="1"/>
    </row>
    <row r="2233" spans="1:7">
      <c r="A2233" s="10"/>
      <c r="B2233" s="105"/>
      <c r="C2233" s="176"/>
      <c r="D2233" s="1"/>
      <c r="E2233" s="177"/>
      <c r="F2233" s="1"/>
      <c r="G2233" s="1"/>
    </row>
    <row r="2234" spans="1:7">
      <c r="A2234" s="10"/>
      <c r="B2234" s="105"/>
      <c r="C2234" s="176"/>
      <c r="D2234" s="1"/>
      <c r="E2234" s="177"/>
      <c r="F2234" s="1"/>
      <c r="G2234" s="1"/>
    </row>
    <row r="2235" spans="1:7">
      <c r="A2235" s="10"/>
      <c r="B2235" s="105"/>
      <c r="C2235" s="176"/>
      <c r="D2235" s="1"/>
      <c r="E2235" s="177"/>
      <c r="F2235" s="1"/>
      <c r="G2235" s="1"/>
    </row>
    <row r="2236" spans="1:7">
      <c r="A2236" s="10"/>
      <c r="B2236" s="105"/>
      <c r="C2236" s="176"/>
      <c r="D2236" s="1"/>
      <c r="E2236" s="177"/>
      <c r="F2236" s="1"/>
      <c r="G2236" s="1"/>
    </row>
    <row r="2237" spans="1:7">
      <c r="A2237" s="10"/>
      <c r="B2237" s="105"/>
      <c r="C2237" s="176"/>
      <c r="D2237" s="1"/>
      <c r="E2237" s="177"/>
      <c r="F2237" s="1"/>
      <c r="G2237" s="1"/>
    </row>
    <row r="2238" spans="1:7">
      <c r="A2238" s="10"/>
      <c r="B2238" s="105"/>
      <c r="C2238" s="176"/>
      <c r="D2238" s="1"/>
      <c r="E2238" s="177"/>
      <c r="F2238" s="1"/>
      <c r="G2238" s="1"/>
    </row>
    <row r="2239" spans="1:7">
      <c r="A2239" s="10"/>
      <c r="B2239" s="105"/>
      <c r="C2239" s="176"/>
      <c r="D2239" s="1"/>
      <c r="E2239" s="177"/>
      <c r="F2239" s="1"/>
      <c r="G2239" s="1"/>
    </row>
    <row r="2240" spans="1:7">
      <c r="A2240" s="10"/>
      <c r="B2240" s="105"/>
      <c r="C2240" s="176"/>
      <c r="D2240" s="1"/>
      <c r="E2240" s="177"/>
      <c r="F2240" s="1"/>
      <c r="G2240" s="1"/>
    </row>
    <row r="2241" spans="1:7">
      <c r="A2241" s="10"/>
      <c r="B2241" s="105"/>
      <c r="C2241" s="176"/>
      <c r="D2241" s="1"/>
      <c r="E2241" s="177"/>
      <c r="F2241" s="1"/>
      <c r="G2241" s="1"/>
    </row>
    <row r="2242" spans="1:7">
      <c r="A2242" s="10"/>
      <c r="B2242" s="105"/>
      <c r="C2242" s="176"/>
      <c r="D2242" s="1"/>
      <c r="E2242" s="177"/>
      <c r="F2242" s="1"/>
      <c r="G2242" s="1"/>
    </row>
    <row r="2243" spans="1:7">
      <c r="A2243" s="10"/>
      <c r="B2243" s="105"/>
      <c r="C2243" s="176"/>
      <c r="D2243" s="1"/>
      <c r="E2243" s="177"/>
      <c r="F2243" s="1"/>
      <c r="G2243" s="1"/>
    </row>
    <row r="2244" spans="1:7">
      <c r="A2244" s="10"/>
      <c r="B2244" s="105"/>
      <c r="C2244" s="176"/>
      <c r="D2244" s="1"/>
      <c r="E2244" s="177"/>
      <c r="F2244" s="1"/>
      <c r="G2244" s="1"/>
    </row>
    <row r="2245" spans="1:7">
      <c r="A2245" s="10"/>
      <c r="B2245" s="105"/>
      <c r="C2245" s="176"/>
      <c r="D2245" s="1"/>
      <c r="E2245" s="177"/>
      <c r="F2245" s="1"/>
      <c r="G2245" s="1"/>
    </row>
    <row r="2246" spans="1:7">
      <c r="A2246" s="10"/>
      <c r="B2246" s="105"/>
      <c r="C2246" s="176"/>
      <c r="D2246" s="1"/>
      <c r="E2246" s="177"/>
      <c r="F2246" s="1"/>
      <c r="G2246" s="1"/>
    </row>
    <row r="2247" spans="1:7">
      <c r="A2247" s="10"/>
      <c r="B2247" s="105"/>
      <c r="C2247" s="176"/>
      <c r="D2247" s="1"/>
      <c r="E2247" s="177"/>
      <c r="F2247" s="1"/>
      <c r="G2247" s="1"/>
    </row>
    <row r="2248" spans="1:7">
      <c r="A2248" s="10"/>
      <c r="B2248" s="105"/>
      <c r="C2248" s="176"/>
      <c r="D2248" s="1"/>
      <c r="E2248" s="177"/>
      <c r="F2248" s="1"/>
      <c r="G2248" s="1"/>
    </row>
    <row r="2249" spans="1:7">
      <c r="A2249" s="10"/>
      <c r="B2249" s="105"/>
      <c r="C2249" s="176"/>
      <c r="D2249" s="1"/>
      <c r="E2249" s="177"/>
      <c r="F2249" s="1"/>
      <c r="G2249" s="1"/>
    </row>
    <row r="2250" spans="1:7">
      <c r="A2250" s="10"/>
      <c r="B2250" s="105"/>
      <c r="C2250" s="176"/>
      <c r="D2250" s="1"/>
      <c r="E2250" s="177"/>
      <c r="F2250" s="1"/>
      <c r="G2250" s="1"/>
    </row>
    <row r="2251" spans="1:7">
      <c r="A2251" s="10"/>
      <c r="B2251" s="105"/>
      <c r="C2251" s="176"/>
      <c r="D2251" s="1"/>
      <c r="E2251" s="177"/>
      <c r="F2251" s="1"/>
      <c r="G2251" s="1"/>
    </row>
    <row r="2252" spans="1:7">
      <c r="A2252" s="10"/>
      <c r="B2252" s="105"/>
      <c r="C2252" s="176"/>
      <c r="D2252" s="1"/>
      <c r="E2252" s="177"/>
      <c r="F2252" s="1"/>
      <c r="G2252" s="1"/>
    </row>
    <row r="2253" spans="1:7">
      <c r="A2253" s="10"/>
      <c r="B2253" s="105"/>
      <c r="C2253" s="176"/>
      <c r="D2253" s="1"/>
      <c r="E2253" s="177"/>
      <c r="F2253" s="1"/>
      <c r="G2253" s="1"/>
    </row>
    <row r="2254" spans="1:7">
      <c r="A2254" s="10"/>
      <c r="B2254" s="105"/>
      <c r="C2254" s="176"/>
      <c r="D2254" s="1"/>
      <c r="E2254" s="177"/>
      <c r="F2254" s="1"/>
      <c r="G2254" s="1"/>
    </row>
    <row r="2255" spans="1:7">
      <c r="A2255" s="10"/>
      <c r="B2255" s="105"/>
      <c r="C2255" s="176"/>
      <c r="D2255" s="1"/>
      <c r="E2255" s="177"/>
      <c r="F2255" s="1"/>
      <c r="G2255" s="1"/>
    </row>
    <row r="2256" spans="1:7">
      <c r="A2256" s="10"/>
      <c r="B2256" s="105"/>
      <c r="C2256" s="176"/>
      <c r="D2256" s="1"/>
      <c r="E2256" s="177"/>
      <c r="F2256" s="1"/>
      <c r="G2256" s="1"/>
    </row>
    <row r="2257" spans="1:7">
      <c r="A2257" s="10"/>
      <c r="B2257" s="105"/>
      <c r="C2257" s="176"/>
      <c r="D2257" s="1"/>
      <c r="E2257" s="177"/>
      <c r="F2257" s="1"/>
      <c r="G2257" s="1"/>
    </row>
    <row r="2258" spans="1:7">
      <c r="A2258" s="10"/>
      <c r="B2258" s="105"/>
      <c r="C2258" s="176"/>
      <c r="D2258" s="1"/>
      <c r="E2258" s="177"/>
      <c r="F2258" s="1"/>
      <c r="G2258" s="1"/>
    </row>
    <row r="2259" spans="1:7">
      <c r="A2259" s="10"/>
      <c r="B2259" s="105"/>
      <c r="C2259" s="176"/>
      <c r="D2259" s="1"/>
      <c r="E2259" s="177"/>
      <c r="F2259" s="1"/>
      <c r="G2259" s="1"/>
    </row>
    <row r="2260" spans="1:7">
      <c r="A2260" s="10"/>
      <c r="B2260" s="105"/>
      <c r="C2260" s="176"/>
      <c r="D2260" s="1"/>
      <c r="E2260" s="177"/>
      <c r="F2260" s="1"/>
      <c r="G2260" s="1"/>
    </row>
    <row r="2261" spans="1:7">
      <c r="A2261" s="10"/>
      <c r="B2261" s="105"/>
      <c r="C2261" s="176"/>
      <c r="D2261" s="1"/>
      <c r="E2261" s="177"/>
      <c r="F2261" s="1"/>
      <c r="G2261" s="1"/>
    </row>
    <row r="2262" spans="1:7">
      <c r="A2262" s="10"/>
      <c r="B2262" s="105"/>
      <c r="C2262" s="176"/>
      <c r="D2262" s="1"/>
      <c r="E2262" s="177"/>
      <c r="F2262" s="1"/>
      <c r="G2262" s="1"/>
    </row>
    <row r="2263" spans="1:7">
      <c r="A2263" s="10"/>
      <c r="B2263" s="105"/>
      <c r="C2263" s="176"/>
      <c r="D2263" s="1"/>
      <c r="E2263" s="177"/>
      <c r="F2263" s="1"/>
      <c r="G2263" s="1"/>
    </row>
    <row r="2264" spans="1:7">
      <c r="A2264" s="10"/>
      <c r="B2264" s="105"/>
      <c r="C2264" s="176"/>
      <c r="D2264" s="1"/>
      <c r="E2264" s="177"/>
      <c r="F2264" s="1"/>
      <c r="G2264" s="1"/>
    </row>
    <row r="2265" spans="1:7">
      <c r="A2265" s="10"/>
      <c r="B2265" s="105"/>
      <c r="C2265" s="176"/>
      <c r="D2265" s="1"/>
      <c r="E2265" s="177"/>
      <c r="F2265" s="1"/>
      <c r="G2265" s="1"/>
    </row>
    <row r="2266" spans="1:7">
      <c r="A2266" s="10"/>
      <c r="B2266" s="105"/>
      <c r="C2266" s="176"/>
      <c r="D2266" s="1"/>
      <c r="E2266" s="177"/>
      <c r="F2266" s="1"/>
      <c r="G2266" s="1"/>
    </row>
    <row r="2267" spans="1:7">
      <c r="A2267" s="10"/>
      <c r="B2267" s="105"/>
      <c r="C2267" s="176"/>
      <c r="D2267" s="1"/>
      <c r="E2267" s="177"/>
      <c r="F2267" s="1"/>
      <c r="G2267" s="1"/>
    </row>
    <row r="2268" spans="1:7">
      <c r="A2268" s="10"/>
      <c r="B2268" s="105"/>
      <c r="C2268" s="176"/>
      <c r="D2268" s="1"/>
      <c r="E2268" s="177"/>
      <c r="F2268" s="1"/>
      <c r="G2268" s="1"/>
    </row>
    <row r="2269" spans="1:7">
      <c r="A2269" s="10"/>
      <c r="B2269" s="105"/>
      <c r="C2269" s="176"/>
      <c r="D2269" s="1"/>
      <c r="E2269" s="177"/>
      <c r="F2269" s="1"/>
      <c r="G2269" s="1"/>
    </row>
    <row r="2270" spans="1:7">
      <c r="A2270" s="10"/>
      <c r="B2270" s="105"/>
      <c r="C2270" s="176"/>
      <c r="D2270" s="1"/>
      <c r="E2270" s="177"/>
      <c r="F2270" s="1"/>
      <c r="G2270" s="1"/>
    </row>
    <row r="2271" spans="1:7">
      <c r="A2271" s="10"/>
      <c r="B2271" s="105"/>
      <c r="C2271" s="176"/>
      <c r="D2271" s="1"/>
      <c r="E2271" s="177"/>
      <c r="F2271" s="1"/>
      <c r="G2271" s="1"/>
    </row>
    <row r="2272" spans="1:7">
      <c r="A2272" s="10"/>
      <c r="B2272" s="105"/>
      <c r="C2272" s="176"/>
      <c r="D2272" s="1"/>
      <c r="E2272" s="177"/>
      <c r="F2272" s="1"/>
      <c r="G2272" s="1"/>
    </row>
    <row r="2273" spans="1:7">
      <c r="A2273" s="10"/>
      <c r="B2273" s="105"/>
      <c r="C2273" s="176"/>
      <c r="D2273" s="1"/>
      <c r="E2273" s="177"/>
      <c r="F2273" s="1"/>
      <c r="G2273" s="1"/>
    </row>
    <row r="2274" spans="1:7">
      <c r="A2274" s="10"/>
      <c r="B2274" s="105"/>
      <c r="C2274" s="176"/>
      <c r="D2274" s="1"/>
      <c r="E2274" s="177"/>
      <c r="F2274" s="1"/>
      <c r="G2274" s="1"/>
    </row>
    <row r="2275" spans="1:7">
      <c r="A2275" s="10"/>
      <c r="B2275" s="105"/>
      <c r="C2275" s="176"/>
      <c r="D2275" s="1"/>
      <c r="E2275" s="177"/>
      <c r="F2275" s="1"/>
      <c r="G2275" s="1"/>
    </row>
    <row r="2276" spans="1:7">
      <c r="A2276" s="10"/>
      <c r="B2276" s="105"/>
      <c r="C2276" s="176"/>
      <c r="D2276" s="1"/>
      <c r="E2276" s="177"/>
      <c r="F2276" s="1"/>
      <c r="G2276" s="1"/>
    </row>
    <row r="2277" spans="1:7">
      <c r="A2277" s="10"/>
      <c r="B2277" s="105"/>
      <c r="C2277" s="176"/>
      <c r="D2277" s="1"/>
      <c r="E2277" s="177"/>
      <c r="F2277" s="1"/>
      <c r="G2277" s="1"/>
    </row>
    <row r="2278" spans="1:7">
      <c r="A2278" s="10"/>
      <c r="B2278" s="105"/>
      <c r="C2278" s="176"/>
      <c r="D2278" s="1"/>
      <c r="E2278" s="177"/>
      <c r="F2278" s="1"/>
      <c r="G2278" s="1"/>
    </row>
    <row r="2279" spans="1:7">
      <c r="A2279" s="10"/>
      <c r="B2279" s="105"/>
      <c r="C2279" s="176"/>
      <c r="D2279" s="1"/>
      <c r="E2279" s="177"/>
      <c r="F2279" s="1"/>
      <c r="G2279" s="1"/>
    </row>
    <row r="2280" spans="1:7">
      <c r="A2280" s="10"/>
      <c r="B2280" s="105"/>
      <c r="C2280" s="176"/>
      <c r="D2280" s="1"/>
      <c r="E2280" s="177"/>
      <c r="F2280" s="1"/>
      <c r="G2280" s="1"/>
    </row>
    <row r="2281" spans="1:7">
      <c r="A2281" s="10"/>
      <c r="B2281" s="105"/>
      <c r="C2281" s="176"/>
      <c r="D2281" s="1"/>
      <c r="E2281" s="177"/>
      <c r="F2281" s="1"/>
      <c r="G2281" s="1"/>
    </row>
    <row r="2282" spans="1:7">
      <c r="A2282" s="10"/>
      <c r="B2282" s="105"/>
      <c r="C2282" s="176"/>
      <c r="D2282" s="1"/>
      <c r="E2282" s="177"/>
      <c r="F2282" s="1"/>
      <c r="G2282" s="1"/>
    </row>
    <row r="2283" spans="1:7">
      <c r="A2283" s="10"/>
      <c r="B2283" s="105"/>
      <c r="C2283" s="176"/>
      <c r="D2283" s="1"/>
      <c r="E2283" s="177"/>
      <c r="F2283" s="1"/>
      <c r="G2283" s="1"/>
    </row>
    <row r="2284" spans="1:7">
      <c r="A2284" s="10"/>
      <c r="B2284" s="105"/>
      <c r="C2284" s="176"/>
      <c r="D2284" s="1"/>
      <c r="E2284" s="177"/>
      <c r="F2284" s="1"/>
      <c r="G2284" s="1"/>
    </row>
    <row r="2285" spans="1:7">
      <c r="A2285" s="10"/>
      <c r="B2285" s="105"/>
      <c r="C2285" s="176"/>
      <c r="D2285" s="1"/>
      <c r="E2285" s="177"/>
      <c r="F2285" s="1"/>
      <c r="G2285" s="1"/>
    </row>
    <row r="2286" spans="1:7">
      <c r="A2286" s="10"/>
      <c r="B2286" s="105"/>
      <c r="C2286" s="176"/>
      <c r="D2286" s="1"/>
      <c r="E2286" s="177"/>
      <c r="F2286" s="1"/>
      <c r="G2286" s="1"/>
    </row>
    <row r="2287" spans="1:7">
      <c r="A2287" s="10"/>
      <c r="B2287" s="105"/>
      <c r="C2287" s="176"/>
      <c r="D2287" s="1"/>
      <c r="E2287" s="177"/>
      <c r="F2287" s="1"/>
      <c r="G2287" s="1"/>
    </row>
    <row r="2288" spans="1:7">
      <c r="A2288" s="10"/>
      <c r="B2288" s="105"/>
      <c r="C2288" s="176"/>
      <c r="D2288" s="1"/>
      <c r="E2288" s="177"/>
      <c r="F2288" s="1"/>
      <c r="G2288" s="1"/>
    </row>
    <row r="2289" spans="1:7">
      <c r="A2289" s="10"/>
      <c r="B2289" s="105"/>
      <c r="C2289" s="176"/>
      <c r="D2289" s="1"/>
      <c r="E2289" s="177"/>
      <c r="F2289" s="1"/>
      <c r="G2289" s="1"/>
    </row>
    <row r="2290" spans="1:7">
      <c r="A2290" s="10"/>
      <c r="B2290" s="105"/>
      <c r="C2290" s="176"/>
      <c r="D2290" s="1"/>
      <c r="E2290" s="177"/>
      <c r="F2290" s="1"/>
      <c r="G2290" s="1"/>
    </row>
    <row r="2291" spans="1:7">
      <c r="A2291" s="10"/>
      <c r="B2291" s="105"/>
      <c r="C2291" s="176"/>
      <c r="D2291" s="1"/>
      <c r="E2291" s="177"/>
      <c r="F2291" s="1"/>
      <c r="G2291" s="1"/>
    </row>
    <row r="2292" spans="1:7">
      <c r="A2292" s="10"/>
      <c r="B2292" s="105"/>
      <c r="C2292" s="176"/>
      <c r="D2292" s="1"/>
      <c r="E2292" s="177"/>
      <c r="F2292" s="1"/>
      <c r="G2292" s="1"/>
    </row>
    <row r="2293" spans="1:7">
      <c r="A2293" s="10"/>
      <c r="B2293" s="105"/>
      <c r="C2293" s="176"/>
      <c r="D2293" s="1"/>
      <c r="E2293" s="177"/>
      <c r="F2293" s="1"/>
      <c r="G2293" s="1"/>
    </row>
    <row r="2294" spans="1:7">
      <c r="A2294" s="10"/>
      <c r="B2294" s="105"/>
      <c r="C2294" s="176"/>
      <c r="D2294" s="1"/>
      <c r="E2294" s="177"/>
      <c r="F2294" s="1"/>
      <c r="G2294" s="1"/>
    </row>
    <row r="2295" spans="1:7">
      <c r="A2295" s="10"/>
      <c r="B2295" s="105"/>
      <c r="C2295" s="176"/>
      <c r="D2295" s="1"/>
      <c r="E2295" s="177"/>
      <c r="F2295" s="1"/>
      <c r="G2295" s="1"/>
    </row>
    <row r="2296" spans="1:7">
      <c r="A2296" s="10"/>
      <c r="B2296" s="105"/>
      <c r="C2296" s="176"/>
      <c r="D2296" s="1"/>
      <c r="E2296" s="177"/>
      <c r="F2296" s="1"/>
      <c r="G2296" s="1"/>
    </row>
    <row r="2297" spans="1:7">
      <c r="A2297" s="10"/>
      <c r="B2297" s="105"/>
      <c r="C2297" s="176"/>
      <c r="D2297" s="1"/>
      <c r="E2297" s="177"/>
      <c r="F2297" s="1"/>
      <c r="G2297" s="1"/>
    </row>
    <row r="2298" spans="1:7">
      <c r="A2298" s="10"/>
      <c r="B2298" s="105"/>
      <c r="C2298" s="176"/>
      <c r="D2298" s="1"/>
      <c r="E2298" s="177"/>
      <c r="F2298" s="1"/>
      <c r="G2298" s="1"/>
    </row>
    <row r="2299" spans="1:7">
      <c r="A2299" s="10"/>
      <c r="B2299" s="105"/>
      <c r="C2299" s="176"/>
      <c r="D2299" s="1"/>
      <c r="E2299" s="177"/>
      <c r="F2299" s="1"/>
      <c r="G2299" s="1"/>
    </row>
    <row r="2300" spans="1:7">
      <c r="A2300" s="10"/>
      <c r="B2300" s="105"/>
      <c r="C2300" s="176"/>
      <c r="D2300" s="1"/>
      <c r="E2300" s="177"/>
      <c r="F2300" s="1"/>
      <c r="G2300" s="1"/>
    </row>
    <row r="2301" spans="1:7">
      <c r="A2301" s="10"/>
      <c r="B2301" s="105"/>
      <c r="C2301" s="176"/>
      <c r="D2301" s="1"/>
      <c r="E2301" s="177"/>
      <c r="F2301" s="1"/>
      <c r="G2301" s="1"/>
    </row>
    <row r="2302" spans="1:7">
      <c r="A2302" s="10"/>
      <c r="B2302" s="105"/>
      <c r="C2302" s="176"/>
      <c r="D2302" s="1"/>
      <c r="E2302" s="177"/>
      <c r="F2302" s="1"/>
      <c r="G2302" s="1"/>
    </row>
    <row r="2303" spans="1:7">
      <c r="A2303" s="10"/>
      <c r="B2303" s="105"/>
      <c r="C2303" s="176"/>
      <c r="D2303" s="1"/>
      <c r="E2303" s="177"/>
      <c r="F2303" s="1"/>
      <c r="G2303" s="1"/>
    </row>
    <row r="2304" spans="1:7">
      <c r="A2304" s="10"/>
      <c r="B2304" s="105"/>
      <c r="C2304" s="176"/>
      <c r="D2304" s="1"/>
      <c r="E2304" s="177"/>
      <c r="F2304" s="1"/>
      <c r="G2304" s="1"/>
    </row>
    <row r="2305" spans="1:7">
      <c r="A2305" s="10"/>
      <c r="B2305" s="105"/>
      <c r="C2305" s="176"/>
      <c r="D2305" s="1"/>
      <c r="E2305" s="177"/>
      <c r="F2305" s="1"/>
      <c r="G2305" s="1"/>
    </row>
    <row r="2306" spans="1:7">
      <c r="A2306" s="10"/>
      <c r="B2306" s="105"/>
      <c r="C2306" s="176"/>
      <c r="D2306" s="1"/>
      <c r="E2306" s="177"/>
      <c r="F2306" s="1"/>
      <c r="G2306" s="1"/>
    </row>
    <row r="2307" spans="1:7">
      <c r="A2307" s="10"/>
      <c r="B2307" s="105"/>
      <c r="C2307" s="176"/>
      <c r="D2307" s="1"/>
      <c r="E2307" s="177"/>
      <c r="F2307" s="1"/>
      <c r="G2307" s="1"/>
    </row>
    <row r="2308" spans="1:7">
      <c r="A2308" s="10"/>
      <c r="B2308" s="105"/>
      <c r="C2308" s="176"/>
      <c r="D2308" s="1"/>
      <c r="E2308" s="177"/>
      <c r="F2308" s="1"/>
      <c r="G2308" s="1"/>
    </row>
    <row r="2309" spans="1:7">
      <c r="A2309" s="10"/>
      <c r="B2309" s="105"/>
      <c r="C2309" s="176"/>
      <c r="D2309" s="1"/>
      <c r="E2309" s="177"/>
      <c r="F2309" s="1"/>
      <c r="G2309" s="1"/>
    </row>
    <row r="2310" spans="1:7">
      <c r="A2310" s="10"/>
      <c r="B2310" s="105"/>
      <c r="C2310" s="176"/>
      <c r="D2310" s="1"/>
      <c r="E2310" s="177"/>
      <c r="F2310" s="1"/>
      <c r="G2310" s="1"/>
    </row>
    <row r="2311" spans="1:7">
      <c r="A2311" s="10"/>
      <c r="B2311" s="105"/>
      <c r="C2311" s="176"/>
      <c r="D2311" s="1"/>
      <c r="E2311" s="177"/>
      <c r="F2311" s="1"/>
      <c r="G2311" s="1"/>
    </row>
    <row r="2312" spans="1:7">
      <c r="A2312" s="10"/>
      <c r="B2312" s="105"/>
      <c r="C2312" s="176"/>
      <c r="D2312" s="1"/>
      <c r="E2312" s="177"/>
      <c r="F2312" s="1"/>
      <c r="G2312" s="1"/>
    </row>
    <row r="2313" spans="1:7">
      <c r="A2313" s="10"/>
      <c r="B2313" s="105"/>
      <c r="C2313" s="176"/>
      <c r="D2313" s="1"/>
      <c r="E2313" s="177"/>
      <c r="F2313" s="1"/>
      <c r="G2313" s="1"/>
    </row>
    <row r="2314" spans="1:7">
      <c r="A2314" s="10"/>
      <c r="B2314" s="105"/>
      <c r="C2314" s="176"/>
      <c r="D2314" s="1"/>
      <c r="E2314" s="177"/>
      <c r="F2314" s="1"/>
      <c r="G2314" s="1"/>
    </row>
    <row r="2315" spans="1:7">
      <c r="A2315" s="10"/>
      <c r="B2315" s="105"/>
      <c r="C2315" s="176"/>
      <c r="D2315" s="1"/>
      <c r="E2315" s="177"/>
      <c r="F2315" s="1"/>
      <c r="G2315" s="1"/>
    </row>
    <row r="2316" spans="1:7">
      <c r="A2316" s="10"/>
      <c r="B2316" s="105"/>
      <c r="C2316" s="176"/>
      <c r="D2316" s="1"/>
      <c r="E2316" s="177"/>
      <c r="F2316" s="1"/>
      <c r="G2316" s="1"/>
    </row>
    <row r="2317" spans="1:7">
      <c r="A2317" s="10"/>
      <c r="B2317" s="105"/>
      <c r="C2317" s="176"/>
      <c r="D2317" s="1"/>
      <c r="E2317" s="177"/>
      <c r="F2317" s="1"/>
      <c r="G2317" s="1"/>
    </row>
    <row r="2318" spans="1:7">
      <c r="A2318" s="10"/>
      <c r="B2318" s="105"/>
      <c r="C2318" s="176"/>
      <c r="D2318" s="1"/>
      <c r="E2318" s="177"/>
      <c r="F2318" s="1"/>
      <c r="G2318" s="1"/>
    </row>
    <row r="2319" spans="1:7">
      <c r="A2319" s="10"/>
      <c r="B2319" s="105"/>
      <c r="C2319" s="176"/>
      <c r="D2319" s="1"/>
      <c r="E2319" s="177"/>
      <c r="F2319" s="1"/>
      <c r="G2319" s="1"/>
    </row>
    <row r="2320" spans="1:7">
      <c r="A2320" s="10"/>
      <c r="B2320" s="105"/>
      <c r="C2320" s="176"/>
      <c r="D2320" s="1"/>
      <c r="E2320" s="177"/>
      <c r="F2320" s="1"/>
      <c r="G2320" s="1"/>
    </row>
    <row r="2321" spans="1:7">
      <c r="A2321" s="10"/>
      <c r="B2321" s="105"/>
      <c r="C2321" s="176"/>
      <c r="D2321" s="1"/>
      <c r="E2321" s="177"/>
      <c r="F2321" s="1"/>
      <c r="G2321" s="1"/>
    </row>
    <row r="2322" spans="1:7">
      <c r="A2322" s="10"/>
      <c r="B2322" s="105"/>
      <c r="C2322" s="176"/>
      <c r="D2322" s="1"/>
      <c r="E2322" s="177"/>
      <c r="F2322" s="1"/>
      <c r="G2322" s="1"/>
    </row>
    <row r="2323" spans="1:7">
      <c r="A2323" s="10"/>
      <c r="B2323" s="105"/>
      <c r="C2323" s="176"/>
      <c r="D2323" s="1"/>
      <c r="E2323" s="177"/>
      <c r="F2323" s="1"/>
      <c r="G2323" s="1"/>
    </row>
    <row r="2324" spans="1:7">
      <c r="A2324" s="10"/>
      <c r="B2324" s="105"/>
      <c r="C2324" s="176"/>
      <c r="D2324" s="1"/>
      <c r="E2324" s="177"/>
      <c r="F2324" s="1"/>
      <c r="G2324" s="1"/>
    </row>
    <row r="2325" spans="1:7">
      <c r="A2325" s="10"/>
      <c r="B2325" s="105"/>
      <c r="C2325" s="176"/>
      <c r="D2325" s="1"/>
      <c r="E2325" s="177"/>
      <c r="F2325" s="1"/>
      <c r="G2325" s="1"/>
    </row>
    <row r="2326" spans="1:7">
      <c r="A2326" s="10"/>
      <c r="B2326" s="105"/>
      <c r="C2326" s="176"/>
      <c r="D2326" s="1"/>
      <c r="E2326" s="177"/>
      <c r="F2326" s="1"/>
      <c r="G2326" s="1"/>
    </row>
    <row r="2327" spans="1:7">
      <c r="A2327" s="10"/>
      <c r="B2327" s="105"/>
      <c r="C2327" s="176"/>
      <c r="D2327" s="1"/>
      <c r="E2327" s="177"/>
      <c r="F2327" s="1"/>
      <c r="G2327" s="1"/>
    </row>
    <row r="2328" spans="1:7">
      <c r="A2328" s="10"/>
      <c r="B2328" s="105"/>
      <c r="C2328" s="176"/>
      <c r="D2328" s="1"/>
      <c r="E2328" s="177"/>
      <c r="F2328" s="1"/>
      <c r="G2328" s="1"/>
    </row>
    <row r="2329" spans="1:7">
      <c r="A2329" s="10"/>
      <c r="B2329" s="105"/>
      <c r="C2329" s="176"/>
      <c r="D2329" s="1"/>
      <c r="E2329" s="177"/>
      <c r="F2329" s="1"/>
      <c r="G2329" s="1"/>
    </row>
    <row r="2330" spans="1:7">
      <c r="A2330" s="10"/>
      <c r="B2330" s="105"/>
      <c r="C2330" s="176"/>
      <c r="D2330" s="1"/>
      <c r="E2330" s="177"/>
      <c r="F2330" s="1"/>
      <c r="G2330" s="1"/>
    </row>
    <row r="2331" spans="1:7">
      <c r="A2331" s="10"/>
      <c r="B2331" s="105"/>
      <c r="C2331" s="176"/>
      <c r="D2331" s="1"/>
      <c r="E2331" s="177"/>
      <c r="F2331" s="1"/>
      <c r="G2331" s="1"/>
    </row>
    <row r="2332" spans="1:7">
      <c r="A2332" s="10"/>
      <c r="B2332" s="105"/>
      <c r="C2332" s="176"/>
      <c r="D2332" s="1"/>
      <c r="E2332" s="177"/>
      <c r="F2332" s="1"/>
      <c r="G2332" s="1"/>
    </row>
    <row r="2333" spans="1:7">
      <c r="A2333" s="10"/>
      <c r="B2333" s="105"/>
      <c r="C2333" s="176"/>
      <c r="D2333" s="1"/>
      <c r="E2333" s="177"/>
      <c r="F2333" s="1"/>
      <c r="G2333" s="1"/>
    </row>
    <row r="2334" spans="1:7">
      <c r="A2334" s="10"/>
      <c r="B2334" s="105"/>
      <c r="C2334" s="176"/>
      <c r="D2334" s="1"/>
      <c r="E2334" s="177"/>
      <c r="F2334" s="1"/>
      <c r="G2334" s="1"/>
    </row>
    <row r="2335" spans="1:7">
      <c r="A2335" s="10"/>
      <c r="B2335" s="105"/>
      <c r="C2335" s="176"/>
      <c r="D2335" s="1"/>
      <c r="E2335" s="177"/>
      <c r="F2335" s="1"/>
      <c r="G2335" s="1"/>
    </row>
    <row r="2336" spans="1:7">
      <c r="A2336" s="10"/>
      <c r="B2336" s="105"/>
      <c r="C2336" s="176"/>
      <c r="D2336" s="1"/>
      <c r="E2336" s="177"/>
      <c r="F2336" s="1"/>
      <c r="G2336" s="1"/>
    </row>
    <row r="2337" spans="1:7">
      <c r="A2337" s="10"/>
      <c r="B2337" s="105"/>
      <c r="C2337" s="176"/>
      <c r="D2337" s="1"/>
      <c r="E2337" s="177"/>
      <c r="F2337" s="1"/>
      <c r="G2337" s="1"/>
    </row>
    <row r="2338" spans="1:7">
      <c r="A2338" s="10"/>
      <c r="B2338" s="105"/>
      <c r="C2338" s="176"/>
      <c r="D2338" s="1"/>
      <c r="E2338" s="177"/>
      <c r="F2338" s="1"/>
      <c r="G2338" s="1"/>
    </row>
    <row r="2339" spans="1:7">
      <c r="A2339" s="10"/>
      <c r="B2339" s="105"/>
      <c r="C2339" s="176"/>
      <c r="D2339" s="1"/>
      <c r="E2339" s="177"/>
      <c r="F2339" s="1"/>
      <c r="G2339" s="1"/>
    </row>
    <row r="2340" spans="1:7">
      <c r="A2340" s="10"/>
      <c r="B2340" s="105"/>
      <c r="C2340" s="176"/>
      <c r="D2340" s="1"/>
      <c r="E2340" s="177"/>
      <c r="F2340" s="1"/>
      <c r="G2340" s="1"/>
    </row>
    <row r="2341" spans="1:7">
      <c r="A2341" s="10"/>
      <c r="B2341" s="105"/>
      <c r="C2341" s="176"/>
      <c r="D2341" s="1"/>
      <c r="E2341" s="177"/>
      <c r="F2341" s="1"/>
      <c r="G2341" s="1"/>
    </row>
    <row r="2342" spans="1:7">
      <c r="A2342" s="10"/>
      <c r="B2342" s="105"/>
      <c r="C2342" s="176"/>
      <c r="D2342" s="1"/>
      <c r="E2342" s="177"/>
      <c r="F2342" s="1"/>
      <c r="G2342" s="1"/>
    </row>
    <row r="2343" spans="1:7">
      <c r="A2343" s="10"/>
      <c r="B2343" s="105"/>
      <c r="C2343" s="176"/>
      <c r="D2343" s="1"/>
      <c r="E2343" s="177"/>
      <c r="F2343" s="1"/>
      <c r="G2343" s="1"/>
    </row>
    <row r="2344" spans="1:7">
      <c r="A2344" s="10"/>
      <c r="B2344" s="105"/>
      <c r="C2344" s="176"/>
      <c r="D2344" s="1"/>
      <c r="E2344" s="177"/>
      <c r="F2344" s="1"/>
      <c r="G2344" s="1"/>
    </row>
    <row r="2345" spans="1:7">
      <c r="A2345" s="10"/>
      <c r="B2345" s="105"/>
      <c r="C2345" s="176"/>
      <c r="D2345" s="1"/>
      <c r="E2345" s="177"/>
      <c r="F2345" s="1"/>
      <c r="G2345" s="1"/>
    </row>
    <row r="2346" spans="1:7">
      <c r="A2346" s="10"/>
      <c r="B2346" s="105"/>
      <c r="C2346" s="176"/>
      <c r="D2346" s="1"/>
      <c r="E2346" s="177"/>
      <c r="F2346" s="1"/>
      <c r="G2346" s="1"/>
    </row>
    <row r="2347" spans="1:7">
      <c r="A2347" s="10"/>
      <c r="B2347" s="105"/>
      <c r="C2347" s="176"/>
      <c r="D2347" s="1"/>
      <c r="E2347" s="177"/>
      <c r="F2347" s="1"/>
      <c r="G2347" s="1"/>
    </row>
    <row r="2348" spans="1:7">
      <c r="A2348" s="10"/>
      <c r="B2348" s="105"/>
      <c r="C2348" s="176"/>
      <c r="D2348" s="1"/>
      <c r="E2348" s="177"/>
      <c r="F2348" s="1"/>
      <c r="G2348" s="1"/>
    </row>
    <row r="2349" spans="1:7">
      <c r="A2349" s="10"/>
      <c r="B2349" s="105"/>
      <c r="C2349" s="176"/>
      <c r="D2349" s="1"/>
      <c r="E2349" s="177"/>
      <c r="F2349" s="1"/>
      <c r="G2349" s="1"/>
    </row>
    <row r="2350" spans="1:7">
      <c r="A2350" s="10"/>
      <c r="B2350" s="105"/>
      <c r="C2350" s="176"/>
      <c r="D2350" s="1"/>
      <c r="E2350" s="177"/>
      <c r="F2350" s="1"/>
      <c r="G2350" s="1"/>
    </row>
    <row r="2351" spans="1:7">
      <c r="A2351" s="10"/>
      <c r="B2351" s="105"/>
      <c r="C2351" s="176"/>
      <c r="D2351" s="1"/>
      <c r="E2351" s="177"/>
      <c r="F2351" s="1"/>
      <c r="G2351" s="1"/>
    </row>
    <row r="2352" spans="1:7">
      <c r="A2352" s="10"/>
      <c r="B2352" s="105"/>
      <c r="C2352" s="176"/>
      <c r="D2352" s="1"/>
      <c r="E2352" s="177"/>
      <c r="F2352" s="1"/>
      <c r="G2352" s="1"/>
    </row>
    <row r="2353" spans="1:7">
      <c r="A2353" s="10"/>
      <c r="B2353" s="105"/>
      <c r="C2353" s="176"/>
      <c r="D2353" s="1"/>
      <c r="E2353" s="177"/>
      <c r="F2353" s="1"/>
      <c r="G2353" s="1"/>
    </row>
    <row r="2354" spans="1:7">
      <c r="A2354" s="10"/>
      <c r="B2354" s="105"/>
      <c r="C2354" s="176"/>
      <c r="D2354" s="1"/>
      <c r="E2354" s="177"/>
      <c r="F2354" s="1"/>
      <c r="G2354" s="1"/>
    </row>
    <row r="2355" spans="1:7">
      <c r="A2355" s="10"/>
      <c r="B2355" s="105"/>
      <c r="C2355" s="176"/>
      <c r="D2355" s="1"/>
      <c r="E2355" s="177"/>
      <c r="F2355" s="1"/>
      <c r="G2355" s="1"/>
    </row>
    <row r="2356" spans="1:7">
      <c r="A2356" s="10"/>
      <c r="B2356" s="105"/>
      <c r="C2356" s="176"/>
      <c r="D2356" s="1"/>
      <c r="E2356" s="177"/>
      <c r="F2356" s="1"/>
      <c r="G2356" s="1"/>
    </row>
    <row r="2357" spans="1:7">
      <c r="A2357" s="10"/>
      <c r="B2357" s="105"/>
      <c r="C2357" s="176"/>
      <c r="D2357" s="1"/>
      <c r="E2357" s="177"/>
      <c r="F2357" s="1"/>
      <c r="G2357" s="1"/>
    </row>
    <row r="2358" spans="1:7">
      <c r="A2358" s="10"/>
      <c r="B2358" s="105"/>
      <c r="C2358" s="176"/>
      <c r="D2358" s="1"/>
      <c r="E2358" s="177"/>
      <c r="F2358" s="1"/>
      <c r="G2358" s="1"/>
    </row>
    <row r="2359" spans="1:7">
      <c r="A2359" s="10"/>
      <c r="B2359" s="105"/>
      <c r="C2359" s="176"/>
      <c r="D2359" s="1"/>
      <c r="E2359" s="177"/>
      <c r="F2359" s="1"/>
      <c r="G2359" s="1"/>
    </row>
    <row r="2360" spans="1:7">
      <c r="A2360" s="10"/>
      <c r="B2360" s="105"/>
      <c r="C2360" s="176"/>
      <c r="D2360" s="1"/>
      <c r="E2360" s="177"/>
      <c r="F2360" s="1"/>
      <c r="G2360" s="1"/>
    </row>
    <row r="2361" spans="1:7">
      <c r="A2361" s="10"/>
      <c r="B2361" s="105"/>
      <c r="C2361" s="176"/>
      <c r="D2361" s="1"/>
      <c r="E2361" s="177"/>
      <c r="F2361" s="1"/>
      <c r="G2361" s="1"/>
    </row>
    <row r="2362" spans="1:7">
      <c r="A2362" s="10"/>
      <c r="B2362" s="105"/>
      <c r="C2362" s="176"/>
      <c r="D2362" s="1"/>
      <c r="E2362" s="177"/>
      <c r="F2362" s="1"/>
      <c r="G2362" s="1"/>
    </row>
    <row r="2363" spans="1:7">
      <c r="A2363" s="10"/>
      <c r="B2363" s="105"/>
      <c r="C2363" s="176"/>
      <c r="D2363" s="1"/>
      <c r="E2363" s="177"/>
      <c r="F2363" s="1"/>
      <c r="G2363" s="1"/>
    </row>
    <row r="2364" spans="1:7">
      <c r="A2364" s="10"/>
      <c r="B2364" s="105"/>
      <c r="C2364" s="176"/>
      <c r="D2364" s="1"/>
      <c r="E2364" s="177"/>
      <c r="F2364" s="1"/>
      <c r="G2364" s="1"/>
    </row>
    <row r="2365" spans="1:7">
      <c r="A2365" s="10"/>
      <c r="B2365" s="105"/>
      <c r="C2365" s="176"/>
      <c r="D2365" s="1"/>
      <c r="E2365" s="177"/>
      <c r="F2365" s="1"/>
      <c r="G2365" s="1"/>
    </row>
    <row r="2366" spans="1:7">
      <c r="A2366" s="10"/>
      <c r="B2366" s="105"/>
      <c r="C2366" s="176"/>
      <c r="D2366" s="1"/>
      <c r="E2366" s="177"/>
      <c r="F2366" s="1"/>
      <c r="G2366" s="1"/>
    </row>
    <row r="2367" spans="1:7">
      <c r="A2367" s="10"/>
      <c r="B2367" s="105"/>
      <c r="C2367" s="176"/>
      <c r="D2367" s="1"/>
      <c r="E2367" s="177"/>
      <c r="F2367" s="1"/>
      <c r="G2367" s="1"/>
    </row>
    <row r="2368" spans="1:7">
      <c r="A2368" s="10"/>
      <c r="B2368" s="105"/>
      <c r="C2368" s="176"/>
      <c r="D2368" s="1"/>
      <c r="E2368" s="177"/>
      <c r="F2368" s="1"/>
      <c r="G2368" s="1"/>
    </row>
    <row r="2369" spans="1:7">
      <c r="A2369" s="10"/>
      <c r="B2369" s="105"/>
      <c r="C2369" s="176"/>
      <c r="D2369" s="1"/>
      <c r="E2369" s="177"/>
      <c r="F2369" s="1"/>
      <c r="G2369" s="1"/>
    </row>
    <row r="2370" spans="1:7">
      <c r="A2370" s="10"/>
      <c r="B2370" s="105"/>
      <c r="C2370" s="176"/>
      <c r="D2370" s="1"/>
      <c r="E2370" s="177"/>
      <c r="F2370" s="1"/>
      <c r="G2370" s="1"/>
    </row>
    <row r="2371" spans="1:7">
      <c r="A2371" s="10"/>
      <c r="B2371" s="105"/>
      <c r="C2371" s="176"/>
      <c r="D2371" s="1"/>
      <c r="E2371" s="177"/>
      <c r="F2371" s="1"/>
      <c r="G2371" s="1"/>
    </row>
    <row r="2372" spans="1:7">
      <c r="A2372" s="10"/>
      <c r="B2372" s="105"/>
      <c r="C2372" s="176"/>
      <c r="D2372" s="1"/>
      <c r="E2372" s="177"/>
      <c r="F2372" s="1"/>
      <c r="G2372" s="1"/>
    </row>
    <row r="2373" spans="1:7">
      <c r="A2373" s="10"/>
      <c r="B2373" s="105"/>
      <c r="C2373" s="176"/>
      <c r="D2373" s="1"/>
      <c r="E2373" s="177"/>
      <c r="F2373" s="1"/>
      <c r="G2373" s="1"/>
    </row>
    <row r="2374" spans="1:7">
      <c r="A2374" s="10"/>
      <c r="B2374" s="105"/>
      <c r="C2374" s="176"/>
      <c r="D2374" s="1"/>
      <c r="E2374" s="177"/>
      <c r="F2374" s="1"/>
      <c r="G2374" s="1"/>
    </row>
    <row r="2375" spans="1:7">
      <c r="A2375" s="10"/>
      <c r="B2375" s="105"/>
      <c r="C2375" s="176"/>
      <c r="D2375" s="1"/>
      <c r="E2375" s="177"/>
      <c r="F2375" s="1"/>
      <c r="G2375" s="1"/>
    </row>
    <row r="2376" spans="1:7">
      <c r="A2376" s="10"/>
      <c r="B2376" s="105"/>
      <c r="C2376" s="176"/>
      <c r="D2376" s="1"/>
      <c r="E2376" s="177"/>
      <c r="F2376" s="1"/>
      <c r="G2376" s="1"/>
    </row>
    <row r="2377" spans="1:7">
      <c r="A2377" s="10"/>
      <c r="B2377" s="105"/>
      <c r="C2377" s="176"/>
      <c r="D2377" s="1"/>
      <c r="E2377" s="177"/>
      <c r="F2377" s="1"/>
      <c r="G2377" s="1"/>
    </row>
    <row r="2378" spans="1:7">
      <c r="A2378" s="10"/>
      <c r="B2378" s="105"/>
      <c r="C2378" s="176"/>
      <c r="D2378" s="1"/>
      <c r="E2378" s="177"/>
      <c r="F2378" s="1"/>
      <c r="G2378" s="1"/>
    </row>
    <row r="2379" spans="1:7">
      <c r="A2379" s="10"/>
      <c r="B2379" s="105"/>
      <c r="C2379" s="176"/>
      <c r="D2379" s="1"/>
      <c r="E2379" s="177"/>
      <c r="F2379" s="1"/>
      <c r="G2379" s="1"/>
    </row>
    <row r="2380" spans="1:7">
      <c r="A2380" s="10"/>
      <c r="B2380" s="105"/>
      <c r="C2380" s="176"/>
      <c r="D2380" s="1"/>
      <c r="E2380" s="177"/>
      <c r="F2380" s="1"/>
      <c r="G2380" s="1"/>
    </row>
    <row r="2381" spans="1:7">
      <c r="A2381" s="10"/>
      <c r="B2381" s="105"/>
      <c r="C2381" s="176"/>
      <c r="D2381" s="1"/>
      <c r="E2381" s="177"/>
      <c r="F2381" s="1"/>
      <c r="G2381" s="1"/>
    </row>
    <row r="2382" spans="1:7">
      <c r="A2382" s="10"/>
      <c r="B2382" s="105"/>
      <c r="C2382" s="176"/>
      <c r="D2382" s="1"/>
      <c r="E2382" s="177"/>
      <c r="F2382" s="1"/>
      <c r="G2382" s="1"/>
    </row>
    <row r="2383" spans="1:7">
      <c r="A2383" s="10"/>
      <c r="B2383" s="105"/>
      <c r="C2383" s="176"/>
      <c r="D2383" s="1"/>
      <c r="E2383" s="177"/>
      <c r="F2383" s="1"/>
      <c r="G2383" s="1"/>
    </row>
    <row r="2384" spans="1:7">
      <c r="A2384" s="10"/>
      <c r="B2384" s="105"/>
      <c r="C2384" s="176"/>
      <c r="D2384" s="1"/>
      <c r="E2384" s="177"/>
      <c r="F2384" s="1"/>
      <c r="G2384" s="1"/>
    </row>
    <row r="2385" spans="1:7">
      <c r="A2385" s="10"/>
      <c r="B2385" s="105"/>
      <c r="C2385" s="176"/>
      <c r="D2385" s="1"/>
      <c r="E2385" s="177"/>
      <c r="F2385" s="1"/>
      <c r="G2385" s="1"/>
    </row>
    <row r="2386" spans="1:7">
      <c r="A2386" s="10"/>
      <c r="B2386" s="105"/>
      <c r="C2386" s="176"/>
      <c r="D2386" s="1"/>
      <c r="E2386" s="177"/>
      <c r="F2386" s="1"/>
      <c r="G2386" s="1"/>
    </row>
    <row r="2387" spans="1:7">
      <c r="A2387" s="10"/>
      <c r="B2387" s="105"/>
      <c r="C2387" s="176"/>
      <c r="D2387" s="1"/>
      <c r="E2387" s="177"/>
      <c r="F2387" s="1"/>
      <c r="G2387" s="1"/>
    </row>
    <row r="2388" spans="1:7">
      <c r="A2388" s="10"/>
      <c r="B2388" s="105"/>
      <c r="C2388" s="176"/>
      <c r="D2388" s="1"/>
      <c r="E2388" s="177"/>
      <c r="F2388" s="1"/>
      <c r="G2388" s="1"/>
    </row>
    <row r="2389" spans="1:7">
      <c r="A2389" s="10"/>
      <c r="B2389" s="105"/>
      <c r="C2389" s="176"/>
      <c r="D2389" s="1"/>
      <c r="E2389" s="177"/>
      <c r="F2389" s="1"/>
      <c r="G2389" s="1"/>
    </row>
    <row r="2390" spans="1:7">
      <c r="A2390" s="10"/>
      <c r="B2390" s="105"/>
      <c r="C2390" s="176"/>
      <c r="D2390" s="1"/>
      <c r="E2390" s="177"/>
      <c r="F2390" s="1"/>
      <c r="G2390" s="1"/>
    </row>
    <row r="2391" spans="1:7">
      <c r="A2391" s="10"/>
      <c r="B2391" s="105"/>
      <c r="C2391" s="176"/>
      <c r="D2391" s="1"/>
      <c r="E2391" s="177"/>
      <c r="F2391" s="1"/>
      <c r="G2391" s="1"/>
    </row>
    <row r="2392" spans="1:7">
      <c r="A2392" s="10"/>
      <c r="B2392" s="105"/>
      <c r="C2392" s="176"/>
      <c r="D2392" s="1"/>
      <c r="E2392" s="177"/>
      <c r="F2392" s="1"/>
      <c r="G2392" s="1"/>
    </row>
    <row r="2393" spans="1:7">
      <c r="A2393" s="10"/>
      <c r="B2393" s="105"/>
      <c r="C2393" s="176"/>
      <c r="D2393" s="1"/>
      <c r="E2393" s="177"/>
      <c r="F2393" s="1"/>
      <c r="G2393" s="1"/>
    </row>
    <row r="2394" spans="1:7">
      <c r="A2394" s="10"/>
      <c r="B2394" s="105"/>
      <c r="C2394" s="176"/>
      <c r="D2394" s="1"/>
      <c r="E2394" s="177"/>
      <c r="F2394" s="1"/>
      <c r="G2394" s="1"/>
    </row>
    <row r="2395" spans="1:7">
      <c r="A2395" s="10"/>
      <c r="B2395" s="105"/>
      <c r="C2395" s="176"/>
      <c r="D2395" s="1"/>
      <c r="E2395" s="177"/>
      <c r="F2395" s="1"/>
      <c r="G2395" s="1"/>
    </row>
    <row r="2396" spans="1:7">
      <c r="A2396" s="10"/>
      <c r="B2396" s="105"/>
      <c r="C2396" s="176"/>
      <c r="D2396" s="1"/>
      <c r="E2396" s="177"/>
      <c r="F2396" s="1"/>
      <c r="G2396" s="1"/>
    </row>
    <row r="2397" spans="1:7">
      <c r="A2397" s="10"/>
      <c r="B2397" s="105"/>
      <c r="C2397" s="176"/>
      <c r="D2397" s="1"/>
      <c r="E2397" s="177"/>
      <c r="F2397" s="1"/>
      <c r="G2397" s="1"/>
    </row>
    <row r="2398" spans="1:7">
      <c r="A2398" s="10"/>
      <c r="B2398" s="105"/>
      <c r="C2398" s="176"/>
      <c r="D2398" s="1"/>
      <c r="E2398" s="177"/>
      <c r="F2398" s="1"/>
      <c r="G2398" s="1"/>
    </row>
    <row r="2399" spans="1:7">
      <c r="A2399" s="10"/>
      <c r="B2399" s="105"/>
      <c r="C2399" s="176"/>
      <c r="D2399" s="1"/>
      <c r="E2399" s="177"/>
      <c r="F2399" s="1"/>
      <c r="G2399" s="1"/>
    </row>
    <row r="2400" spans="1:7">
      <c r="A2400" s="10"/>
      <c r="B2400" s="105"/>
      <c r="C2400" s="176"/>
      <c r="D2400" s="1"/>
      <c r="E2400" s="177"/>
      <c r="F2400" s="1"/>
      <c r="G2400" s="1"/>
    </row>
    <row r="2401" spans="1:7">
      <c r="A2401" s="10"/>
      <c r="B2401" s="105"/>
      <c r="C2401" s="176"/>
      <c r="D2401" s="1"/>
      <c r="E2401" s="177"/>
      <c r="F2401" s="1"/>
      <c r="G2401" s="1"/>
    </row>
    <row r="2402" spans="1:7">
      <c r="A2402" s="10"/>
      <c r="B2402" s="105"/>
      <c r="C2402" s="176"/>
      <c r="D2402" s="1"/>
      <c r="E2402" s="177"/>
      <c r="F2402" s="1"/>
      <c r="G2402" s="1"/>
    </row>
    <row r="2403" spans="1:7">
      <c r="A2403" s="10"/>
      <c r="B2403" s="105"/>
      <c r="C2403" s="176"/>
      <c r="D2403" s="1"/>
      <c r="E2403" s="177"/>
      <c r="F2403" s="1"/>
      <c r="G2403" s="1"/>
    </row>
    <row r="2404" spans="1:7">
      <c r="A2404" s="10"/>
      <c r="B2404" s="105"/>
      <c r="C2404" s="176"/>
      <c r="D2404" s="1"/>
      <c r="E2404" s="177"/>
      <c r="F2404" s="1"/>
      <c r="G2404" s="1"/>
    </row>
    <row r="2405" spans="1:7">
      <c r="A2405" s="10"/>
      <c r="B2405" s="105"/>
      <c r="C2405" s="176"/>
      <c r="D2405" s="1"/>
      <c r="E2405" s="177"/>
      <c r="F2405" s="1"/>
      <c r="G2405" s="1"/>
    </row>
    <row r="2406" spans="1:7">
      <c r="A2406" s="10"/>
      <c r="B2406" s="105"/>
      <c r="C2406" s="176"/>
      <c r="D2406" s="1"/>
      <c r="E2406" s="177"/>
      <c r="F2406" s="1"/>
      <c r="G2406" s="1"/>
    </row>
    <row r="2407" spans="1:7">
      <c r="A2407" s="10"/>
      <c r="B2407" s="105"/>
      <c r="C2407" s="176"/>
      <c r="D2407" s="1"/>
      <c r="E2407" s="177"/>
      <c r="F2407" s="1"/>
      <c r="G2407" s="1"/>
    </row>
    <row r="2408" spans="1:7">
      <c r="A2408" s="10"/>
      <c r="B2408" s="105"/>
      <c r="C2408" s="176"/>
      <c r="D2408" s="1"/>
      <c r="E2408" s="177"/>
      <c r="F2408" s="1"/>
      <c r="G2408" s="1"/>
    </row>
    <row r="2409" spans="1:7">
      <c r="A2409" s="10"/>
      <c r="B2409" s="105"/>
      <c r="C2409" s="176"/>
      <c r="D2409" s="1"/>
      <c r="E2409" s="177"/>
      <c r="F2409" s="1"/>
      <c r="G2409" s="1"/>
    </row>
    <row r="2410" spans="1:7">
      <c r="A2410" s="10"/>
      <c r="B2410" s="105"/>
      <c r="C2410" s="176"/>
      <c r="D2410" s="1"/>
      <c r="E2410" s="177"/>
      <c r="F2410" s="1"/>
      <c r="G2410" s="1"/>
    </row>
    <row r="2411" spans="1:7">
      <c r="A2411" s="10"/>
      <c r="B2411" s="105"/>
      <c r="C2411" s="176"/>
      <c r="D2411" s="1"/>
      <c r="E2411" s="177"/>
      <c r="F2411" s="1"/>
      <c r="G2411" s="1"/>
    </row>
    <row r="2412" spans="1:7">
      <c r="A2412" s="10"/>
      <c r="B2412" s="105"/>
      <c r="C2412" s="176"/>
      <c r="D2412" s="1"/>
      <c r="E2412" s="177"/>
      <c r="F2412" s="1"/>
      <c r="G2412" s="1"/>
    </row>
    <row r="2413" spans="1:7">
      <c r="A2413" s="10"/>
      <c r="B2413" s="105"/>
      <c r="C2413" s="176"/>
      <c r="D2413" s="1"/>
      <c r="E2413" s="177"/>
      <c r="F2413" s="1"/>
      <c r="G2413" s="1"/>
    </row>
    <row r="2414" spans="1:7">
      <c r="A2414" s="10"/>
      <c r="B2414" s="105"/>
      <c r="C2414" s="176"/>
      <c r="D2414" s="1"/>
      <c r="E2414" s="177"/>
      <c r="F2414" s="1"/>
      <c r="G2414" s="1"/>
    </row>
    <row r="2415" spans="1:7">
      <c r="A2415" s="10"/>
      <c r="B2415" s="105"/>
      <c r="C2415" s="176"/>
      <c r="D2415" s="1"/>
      <c r="E2415" s="177"/>
      <c r="F2415" s="1"/>
      <c r="G2415" s="1"/>
    </row>
    <row r="2416" spans="1:7">
      <c r="A2416" s="10"/>
      <c r="B2416" s="105"/>
      <c r="C2416" s="176"/>
      <c r="D2416" s="1"/>
      <c r="E2416" s="177"/>
      <c r="F2416" s="1"/>
      <c r="G2416" s="1"/>
    </row>
    <row r="2417" spans="1:7">
      <c r="A2417" s="10"/>
      <c r="B2417" s="105"/>
      <c r="C2417" s="176"/>
      <c r="D2417" s="1"/>
      <c r="E2417" s="177"/>
      <c r="F2417" s="1"/>
      <c r="G2417" s="1"/>
    </row>
    <row r="2418" spans="1:7">
      <c r="A2418" s="10"/>
      <c r="B2418" s="105"/>
      <c r="C2418" s="176"/>
      <c r="D2418" s="1"/>
      <c r="E2418" s="177"/>
      <c r="F2418" s="1"/>
      <c r="G2418" s="1"/>
    </row>
    <row r="2419" spans="1:7">
      <c r="A2419" s="10"/>
      <c r="B2419" s="105"/>
      <c r="C2419" s="176"/>
      <c r="D2419" s="1"/>
      <c r="E2419" s="177"/>
      <c r="F2419" s="1"/>
      <c r="G2419" s="1"/>
    </row>
    <row r="2420" spans="1:7">
      <c r="A2420" s="10"/>
      <c r="B2420" s="105"/>
      <c r="C2420" s="176"/>
      <c r="D2420" s="1"/>
      <c r="E2420" s="177"/>
      <c r="F2420" s="1"/>
      <c r="G2420" s="1"/>
    </row>
    <row r="2421" spans="1:7">
      <c r="A2421" s="10"/>
      <c r="B2421" s="105"/>
      <c r="C2421" s="176"/>
      <c r="D2421" s="1"/>
      <c r="E2421" s="177"/>
      <c r="F2421" s="1"/>
      <c r="G2421" s="1"/>
    </row>
    <row r="2422" spans="1:7">
      <c r="A2422" s="10"/>
      <c r="B2422" s="105"/>
      <c r="C2422" s="176"/>
      <c r="D2422" s="1"/>
      <c r="E2422" s="177"/>
      <c r="F2422" s="1"/>
      <c r="G2422" s="1"/>
    </row>
    <row r="2423" spans="1:7">
      <c r="A2423" s="10"/>
      <c r="B2423" s="105"/>
      <c r="C2423" s="176"/>
      <c r="D2423" s="1"/>
      <c r="E2423" s="177"/>
      <c r="F2423" s="1"/>
      <c r="G2423" s="1"/>
    </row>
    <row r="2424" spans="1:7">
      <c r="A2424" s="10"/>
      <c r="B2424" s="105"/>
      <c r="C2424" s="176"/>
      <c r="D2424" s="1"/>
      <c r="E2424" s="177"/>
      <c r="F2424" s="1"/>
      <c r="G2424" s="1"/>
    </row>
    <row r="2425" spans="1:7">
      <c r="A2425" s="10"/>
      <c r="B2425" s="105"/>
      <c r="C2425" s="176"/>
      <c r="D2425" s="1"/>
      <c r="E2425" s="177"/>
      <c r="F2425" s="1"/>
      <c r="G2425" s="1"/>
    </row>
    <row r="2426" spans="1:7">
      <c r="A2426" s="10"/>
      <c r="B2426" s="105"/>
      <c r="C2426" s="176"/>
      <c r="D2426" s="1"/>
      <c r="E2426" s="177"/>
      <c r="F2426" s="1"/>
      <c r="G2426" s="1"/>
    </row>
    <row r="2427" spans="1:7">
      <c r="A2427" s="10"/>
      <c r="B2427" s="105"/>
      <c r="C2427" s="176"/>
      <c r="D2427" s="1"/>
      <c r="E2427" s="177"/>
      <c r="F2427" s="1"/>
      <c r="G2427" s="1"/>
    </row>
    <row r="2428" spans="1:7">
      <c r="A2428" s="10"/>
      <c r="B2428" s="105"/>
      <c r="C2428" s="176"/>
      <c r="D2428" s="1"/>
      <c r="E2428" s="177"/>
      <c r="F2428" s="1"/>
      <c r="G2428" s="1"/>
    </row>
    <row r="2429" spans="1:7">
      <c r="A2429" s="10"/>
      <c r="B2429" s="105"/>
      <c r="C2429" s="176"/>
      <c r="D2429" s="1"/>
      <c r="E2429" s="177"/>
      <c r="F2429" s="1"/>
      <c r="G2429" s="1"/>
    </row>
    <row r="2430" spans="1:7">
      <c r="A2430" s="10"/>
      <c r="B2430" s="105"/>
      <c r="C2430" s="176"/>
      <c r="D2430" s="1"/>
      <c r="E2430" s="177"/>
      <c r="F2430" s="1"/>
      <c r="G2430" s="1"/>
    </row>
    <row r="2431" spans="1:7">
      <c r="A2431" s="10"/>
      <c r="B2431" s="105"/>
      <c r="C2431" s="176"/>
      <c r="D2431" s="1"/>
      <c r="E2431" s="177"/>
      <c r="F2431" s="1"/>
      <c r="G2431" s="1"/>
    </row>
    <row r="2432" spans="1:7">
      <c r="A2432" s="10"/>
      <c r="B2432" s="105"/>
      <c r="C2432" s="176"/>
      <c r="D2432" s="1"/>
      <c r="E2432" s="177"/>
      <c r="F2432" s="1"/>
      <c r="G2432" s="1"/>
    </row>
    <row r="2433" spans="1:7">
      <c r="A2433" s="10"/>
      <c r="B2433" s="105"/>
      <c r="C2433" s="176"/>
      <c r="D2433" s="1"/>
      <c r="E2433" s="177"/>
      <c r="F2433" s="1"/>
      <c r="G2433" s="1"/>
    </row>
    <row r="2434" spans="1:7">
      <c r="A2434" s="10"/>
      <c r="B2434" s="105"/>
      <c r="C2434" s="176"/>
      <c r="D2434" s="1"/>
      <c r="E2434" s="177"/>
      <c r="F2434" s="1"/>
      <c r="G2434" s="1"/>
    </row>
    <row r="2435" spans="1:7">
      <c r="A2435" s="10"/>
      <c r="B2435" s="105"/>
      <c r="C2435" s="176"/>
      <c r="D2435" s="1"/>
      <c r="E2435" s="177"/>
      <c r="F2435" s="1"/>
      <c r="G2435" s="1"/>
    </row>
    <row r="2436" spans="1:7">
      <c r="A2436" s="10"/>
      <c r="B2436" s="105"/>
      <c r="C2436" s="176"/>
      <c r="D2436" s="1"/>
      <c r="E2436" s="177"/>
      <c r="F2436" s="1"/>
      <c r="G2436" s="1"/>
    </row>
    <row r="2437" spans="1:7">
      <c r="A2437" s="10"/>
      <c r="B2437" s="105"/>
      <c r="C2437" s="176"/>
      <c r="D2437" s="1"/>
      <c r="E2437" s="177"/>
      <c r="F2437" s="1"/>
      <c r="G2437" s="1"/>
    </row>
    <row r="2438" spans="1:7">
      <c r="A2438" s="10"/>
      <c r="B2438" s="105"/>
      <c r="C2438" s="176"/>
      <c r="D2438" s="1"/>
      <c r="E2438" s="177"/>
      <c r="F2438" s="1"/>
      <c r="G2438" s="1"/>
    </row>
  </sheetData>
  <autoFilter ref="A2:G984" xr:uid="{00000000-0009-0000-0000-000000000000}">
    <sortState ref="A21:G171">
      <sortCondition ref="B3:B985"/>
    </sortState>
  </autoFilter>
  <mergeCells count="1">
    <mergeCell ref="A1:G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000"/>
  <sheetViews>
    <sheetView rightToLeft="1" zoomScaleNormal="100" workbookViewId="0">
      <pane ySplit="4" topLeftCell="A285" activePane="bottomLeft" state="frozen"/>
      <selection activeCell="G1" sqref="G1"/>
      <selection pane="bottomLeft" activeCell="B285" sqref="B271:B285"/>
    </sheetView>
  </sheetViews>
  <sheetFormatPr defaultRowHeight="14.4"/>
  <cols>
    <col min="1" max="1" width="20" style="18" customWidth="1"/>
    <col min="2" max="2" width="37.88671875" style="9" customWidth="1"/>
    <col min="3" max="3" width="21.77734375" style="75" customWidth="1"/>
    <col min="4" max="4" width="28" style="234" customWidth="1"/>
    <col min="5" max="5" width="17.77734375" style="11" customWidth="1"/>
    <col min="6" max="6" width="10.77734375" customWidth="1"/>
    <col min="7" max="7" width="9.77734375" customWidth="1"/>
    <col min="8" max="8" width="9.6640625" bestFit="1" customWidth="1"/>
    <col min="9" max="9" width="8" style="9" customWidth="1"/>
    <col min="11" max="11" width="11.33203125" customWidth="1"/>
    <col min="13" max="13" width="17" bestFit="1" customWidth="1"/>
    <col min="14" max="14" width="9" style="12"/>
    <col min="16" max="16" width="13" customWidth="1"/>
    <col min="17" max="17" width="37.6640625" customWidth="1"/>
  </cols>
  <sheetData>
    <row r="1" spans="1:17" ht="13.65" customHeight="1" thickBot="1"/>
    <row r="2" spans="1:17" ht="73.5" customHeight="1" thickBot="1">
      <c r="A2" s="451" t="s">
        <v>1516</v>
      </c>
      <c r="B2" s="452"/>
      <c r="C2" s="452"/>
      <c r="D2" s="452"/>
      <c r="E2" s="452"/>
      <c r="F2" s="452"/>
      <c r="G2" s="452"/>
      <c r="H2" s="452"/>
      <c r="I2" s="452"/>
      <c r="J2" s="452"/>
      <c r="K2" s="452"/>
      <c r="L2" s="452"/>
      <c r="M2" s="452"/>
      <c r="N2" s="452"/>
      <c r="O2" s="452"/>
      <c r="P2" s="452"/>
      <c r="Q2" s="453"/>
    </row>
    <row r="3" spans="1:17" ht="39.75" customHeight="1">
      <c r="A3" s="25" t="s">
        <v>81</v>
      </c>
      <c r="B3" s="24" t="s">
        <v>2</v>
      </c>
      <c r="C3" s="22" t="s">
        <v>3</v>
      </c>
      <c r="D3" s="232" t="s">
        <v>0</v>
      </c>
      <c r="E3" s="24" t="s">
        <v>1</v>
      </c>
      <c r="F3" s="24" t="s">
        <v>84</v>
      </c>
      <c r="G3" s="22" t="s">
        <v>1072</v>
      </c>
      <c r="H3" s="24" t="s">
        <v>4</v>
      </c>
      <c r="I3" s="22" t="s">
        <v>80</v>
      </c>
      <c r="J3" s="24" t="s">
        <v>5</v>
      </c>
      <c r="K3" s="22" t="s">
        <v>6</v>
      </c>
      <c r="L3" s="22" t="s">
        <v>7</v>
      </c>
      <c r="M3" s="24" t="s">
        <v>203</v>
      </c>
      <c r="N3" s="22" t="s">
        <v>8</v>
      </c>
      <c r="O3" s="22" t="s">
        <v>9</v>
      </c>
      <c r="P3" s="22" t="s">
        <v>1076</v>
      </c>
      <c r="Q3" s="22" t="s">
        <v>10</v>
      </c>
    </row>
    <row r="4" spans="1:17" ht="0.75" customHeight="1">
      <c r="A4" s="29" t="s">
        <v>16</v>
      </c>
      <c r="B4" s="52" t="s">
        <v>54</v>
      </c>
      <c r="C4" s="29" t="s">
        <v>67</v>
      </c>
      <c r="D4" s="231" t="s">
        <v>23</v>
      </c>
      <c r="E4" s="31" t="s">
        <v>33</v>
      </c>
      <c r="F4" s="52">
        <v>70000</v>
      </c>
      <c r="G4" s="52">
        <v>1</v>
      </c>
      <c r="H4" s="52">
        <f>G4*F4</f>
        <v>70000</v>
      </c>
      <c r="I4" s="94"/>
      <c r="J4" s="52">
        <v>1</v>
      </c>
      <c r="K4" s="52">
        <v>0</v>
      </c>
      <c r="L4" s="52">
        <v>2</v>
      </c>
      <c r="M4" s="52" t="str">
        <f>IF(AND(K4*L4*30*N4&gt;H4/J4,I4=""),"לרכוש","לא לרכוש")</f>
        <v>לא לרכוש</v>
      </c>
      <c r="N4" s="52">
        <v>1000</v>
      </c>
      <c r="O4" s="89"/>
      <c r="P4" s="89"/>
      <c r="Q4" s="89"/>
    </row>
    <row r="5" spans="1:17" s="12" customFormat="1">
      <c r="A5" s="180" t="str">
        <f>'רשימת מכשור 2015'!A4</f>
        <v xml:space="preserve">אנלייזר פחמן אורגני </v>
      </c>
      <c r="B5" s="180" t="str">
        <f>'רשימת מכשור 2015'!B4</f>
        <v>THORNTON</v>
      </c>
      <c r="C5" s="180">
        <f>'רשימת מכשור 2015'!C4</f>
        <v>5000</v>
      </c>
      <c r="D5" s="233" t="str">
        <f>'רשימת מכשור 2015'!D4</f>
        <v>PW פיילוט</v>
      </c>
      <c r="E5" s="180" t="str">
        <f>'רשימת מכשור 2015'!E4</f>
        <v>1-TOC-1</v>
      </c>
      <c r="F5" s="180">
        <f>'רשימת מכשור 2015'!F4</f>
        <v>50000</v>
      </c>
      <c r="G5" s="181">
        <v>1</v>
      </c>
      <c r="H5" s="181">
        <f>G5*F5</f>
        <v>50000</v>
      </c>
      <c r="I5" s="182" t="s">
        <v>82</v>
      </c>
      <c r="J5" s="181">
        <v>1</v>
      </c>
      <c r="K5" s="181">
        <v>1</v>
      </c>
      <c r="L5" s="183">
        <v>1.5</v>
      </c>
      <c r="M5" s="181" t="str">
        <f>IF(AND(K5*L5*30*N5&gt;H5/J5,I5=""),"לרכוש","לא לרכוש")</f>
        <v>לא לרכוש</v>
      </c>
      <c r="N5" s="181">
        <v>1000</v>
      </c>
      <c r="O5" s="183"/>
      <c r="P5" s="183">
        <v>3</v>
      </c>
      <c r="Q5" s="183"/>
    </row>
    <row r="6" spans="1:17" s="12" customFormat="1" ht="28.8">
      <c r="A6" s="180" t="str">
        <f>'רשימת מכשור 2015'!A5</f>
        <v xml:space="preserve">אנלייזר פחמן אורגני </v>
      </c>
      <c r="B6" s="180" t="str">
        <f>'רשימת מכשור 2015'!B5</f>
        <v xml:space="preserve"> Mettler Toledo</v>
      </c>
      <c r="C6" s="180" t="str">
        <f>'רשימת מכשור 2015'!C5</f>
        <v>5000TOC</v>
      </c>
      <c r="D6" s="233" t="str">
        <f>'רשימת מכשור 2015'!D5</f>
        <v>PW STORAGE
2500</v>
      </c>
      <c r="E6" s="180" t="str">
        <f>'רשימת מכשור 2015'!E5</f>
        <v>1-1-606-TOC-001</v>
      </c>
      <c r="F6" s="180">
        <f>'רשימת מכשור 2015'!F5</f>
        <v>50000</v>
      </c>
      <c r="G6" s="181">
        <v>1</v>
      </c>
      <c r="H6" s="181">
        <f>G6*F6</f>
        <v>50000</v>
      </c>
      <c r="I6" s="182" t="s">
        <v>82</v>
      </c>
      <c r="J6" s="181">
        <v>1</v>
      </c>
      <c r="K6" s="181">
        <v>1</v>
      </c>
      <c r="L6" s="181">
        <v>1.5</v>
      </c>
      <c r="M6" s="181" t="str">
        <f>IF(AND(K6*L6*30*N6&gt;H6/J6,I6=""),"לרכוש","לא לרכוש")</f>
        <v>לא לרכוש</v>
      </c>
      <c r="N6" s="181">
        <v>1000</v>
      </c>
      <c r="O6" s="183"/>
      <c r="P6" s="183">
        <v>3</v>
      </c>
      <c r="Q6" s="183"/>
    </row>
    <row r="7" spans="1:17" s="12" customFormat="1">
      <c r="A7" s="180" t="str">
        <f>'רשימת מכשור 2015'!A6</f>
        <v xml:space="preserve">אנלייזר פחמן אורגני </v>
      </c>
      <c r="B7" s="180" t="str">
        <f>'רשימת מכשור 2015'!B6</f>
        <v>METTLER TOLEDO</v>
      </c>
      <c r="C7" s="180" t="str">
        <f>'רשימת מכשור 2015'!C6</f>
        <v>5000TOC</v>
      </c>
      <c r="D7" s="233" t="str">
        <f>'רשימת מכשור 2015'!D6</f>
        <v>WFI-PRODUCTION/STORAGE</v>
      </c>
      <c r="E7" s="180" t="str">
        <f>'רשימת מכשור 2015'!E6</f>
        <v>1-1-25-TOC-1</v>
      </c>
      <c r="F7" s="180">
        <f>'רשימת מכשור 2015'!F6</f>
        <v>50000</v>
      </c>
      <c r="G7" s="181">
        <v>1</v>
      </c>
      <c r="H7" s="181">
        <f>G7*F7</f>
        <v>50000</v>
      </c>
      <c r="I7" s="182" t="s">
        <v>82</v>
      </c>
      <c r="J7" s="181">
        <v>1</v>
      </c>
      <c r="K7" s="181">
        <v>1</v>
      </c>
      <c r="L7" s="181">
        <v>1.5</v>
      </c>
      <c r="M7" s="181" t="str">
        <f>IF(AND(K7*L7*30*N7&gt;H7/J7,I7=""),"לרכוש","לא לרכוש")</f>
        <v>לא לרכוש</v>
      </c>
      <c r="N7" s="181">
        <v>1000</v>
      </c>
      <c r="O7" s="183"/>
      <c r="P7" s="183">
        <v>3</v>
      </c>
      <c r="Q7" s="183"/>
    </row>
    <row r="8" spans="1:17" s="12" customFormat="1" ht="14.25" customHeight="1">
      <c r="A8" s="180" t="str">
        <f>'רשימת מכשור 2015'!A7</f>
        <v>multi chanel</v>
      </c>
      <c r="B8" s="180" t="str">
        <f>'רשימת מכשור 2015'!B7</f>
        <v>Mettler Toledo</v>
      </c>
      <c r="C8" s="180" t="str">
        <f>'רשימת מכשור 2015'!C7</f>
        <v>770MAX</v>
      </c>
      <c r="D8" s="233">
        <f>'רשימת מכשור 2015'!D7</f>
        <v>5000</v>
      </c>
      <c r="E8" s="180" t="str">
        <f>'רשימת מכשור 2015'!E7</f>
        <v xml:space="preserve">N/A </v>
      </c>
      <c r="F8" s="180">
        <f>'רשימת מכשור 2015'!F7</f>
        <v>10000</v>
      </c>
      <c r="G8" s="181">
        <v>1</v>
      </c>
      <c r="H8" s="181">
        <v>20000</v>
      </c>
      <c r="I8" s="182" t="s">
        <v>82</v>
      </c>
      <c r="J8" s="181">
        <v>1</v>
      </c>
      <c r="K8" s="181">
        <v>1</v>
      </c>
      <c r="L8" s="181">
        <v>1.5</v>
      </c>
      <c r="M8" s="181" t="s">
        <v>1054</v>
      </c>
      <c r="N8" s="181">
        <v>1000</v>
      </c>
      <c r="O8" s="183"/>
      <c r="P8" s="183">
        <v>5</v>
      </c>
      <c r="Q8" s="183"/>
    </row>
    <row r="9" spans="1:17" s="12" customFormat="1">
      <c r="A9" s="180" t="str">
        <f>'רשימת מכשור 2015'!A8</f>
        <v>multi chanel</v>
      </c>
      <c r="B9" s="180" t="str">
        <f>'רשימת מכשור 2015'!B8</f>
        <v>Mettler Toledo</v>
      </c>
      <c r="C9" s="180" t="str">
        <f>'רשימת מכשור 2015'!C8</f>
        <v>770MAX</v>
      </c>
      <c r="D9" s="233">
        <f>'רשימת מכשור 2015'!D8</f>
        <v>2500</v>
      </c>
      <c r="E9" s="180" t="str">
        <f>'רשימת מכשור 2015'!E8</f>
        <v xml:space="preserve">N/A </v>
      </c>
      <c r="F9" s="180">
        <f>'רשימת מכשור 2015'!F8</f>
        <v>10000</v>
      </c>
      <c r="G9" s="181">
        <v>1</v>
      </c>
      <c r="H9" s="181">
        <f>G9*F9</f>
        <v>10000</v>
      </c>
      <c r="I9" s="182" t="s">
        <v>82</v>
      </c>
      <c r="J9" s="181">
        <v>1</v>
      </c>
      <c r="K9" s="181">
        <v>1</v>
      </c>
      <c r="L9" s="181">
        <v>1.5</v>
      </c>
      <c r="M9" s="181" t="str">
        <f>IF(AND(K9*L9*30*N9&gt;H9/J9,I9=""),"לרכוש","לא לרכוש")</f>
        <v>לא לרכוש</v>
      </c>
      <c r="N9" s="181">
        <v>1000</v>
      </c>
      <c r="O9" s="183"/>
      <c r="P9" s="183">
        <v>5</v>
      </c>
      <c r="Q9" s="183"/>
    </row>
    <row r="10" spans="1:17" s="12" customFormat="1" ht="14.25" customHeight="1">
      <c r="A10" s="180" t="str">
        <f>'רשימת מכשור 2015'!A9</f>
        <v>אנלייזר קשיות</v>
      </c>
      <c r="B10" s="180" t="str">
        <f>'רשימת מכשור 2015'!B9</f>
        <v>ABB ISRAEL</v>
      </c>
      <c r="C10" s="180" t="str">
        <f>'רשימת מכשור 2015'!C9</f>
        <v>AW101/.1.2.1.1</v>
      </c>
      <c r="D10" s="233" t="str">
        <f>'רשימת מכשור 2015'!D9</f>
        <v xml:space="preserve">HSW </v>
      </c>
      <c r="E10" s="180" t="str">
        <f>'רשימת מכשור 2015'!E9</f>
        <v>1-1-57-HIC-1</v>
      </c>
      <c r="F10" s="180">
        <f>'רשימת מכשור 2015'!F9</f>
        <v>18000</v>
      </c>
      <c r="G10" s="181">
        <v>1</v>
      </c>
      <c r="H10" s="181">
        <v>18000</v>
      </c>
      <c r="I10" s="182"/>
      <c r="J10" s="181">
        <v>1</v>
      </c>
      <c r="K10" s="181">
        <v>1</v>
      </c>
      <c r="L10" s="181"/>
      <c r="M10" s="181"/>
      <c r="N10" s="181">
        <v>1000</v>
      </c>
      <c r="O10" s="183"/>
      <c r="P10" s="183">
        <v>1</v>
      </c>
      <c r="Q10" s="183"/>
    </row>
    <row r="11" spans="1:17" s="12" customFormat="1" ht="28.8">
      <c r="A11" s="180" t="str">
        <f>'רשימת מכשור 2015'!A10</f>
        <v>מד זרימה</v>
      </c>
      <c r="B11" s="180" t="str">
        <f>'רשימת מכשור 2015'!B10</f>
        <v>Liquid Controls Sponsler</v>
      </c>
      <c r="C11" s="180" t="str">
        <f>'רשימת מכשור 2015'!C10</f>
        <v>SP3/4-CS-PHL-3/4G-6MCIX3A</v>
      </c>
      <c r="D11" s="233" t="str">
        <f>'רשימת מכשור 2015'!D10</f>
        <v>CDI</v>
      </c>
      <c r="E11" s="180" t="str">
        <f>'רשימת מכשור 2015'!E10</f>
        <v>1-1-134-FIC-1</v>
      </c>
      <c r="F11" s="180">
        <f>'רשימת מכשור 2015'!F10</f>
        <v>14000</v>
      </c>
      <c r="G11" s="181">
        <v>1</v>
      </c>
      <c r="H11" s="181">
        <f>G11*F11</f>
        <v>14000</v>
      </c>
      <c r="I11" s="182" t="s">
        <v>82</v>
      </c>
      <c r="J11" s="181">
        <v>1</v>
      </c>
      <c r="K11" s="181">
        <v>1</v>
      </c>
      <c r="L11" s="181">
        <v>1.5</v>
      </c>
      <c r="M11" s="181" t="str">
        <f t="shared" ref="M11:M74" si="0">IF(AND(K11*L11*30*N11&gt;H11/J11,I11=""),"לרכוש","לא לרכוש")</f>
        <v>לא לרכוש</v>
      </c>
      <c r="N11" s="181">
        <v>1000</v>
      </c>
      <c r="O11" s="183"/>
      <c r="P11" s="183">
        <v>3</v>
      </c>
      <c r="Q11" s="183"/>
    </row>
    <row r="12" spans="1:17" s="12" customFormat="1" ht="28.5" customHeight="1">
      <c r="A12" s="180" t="str">
        <f>'רשימת מכשור 2015'!A11</f>
        <v>מד זרימה</v>
      </c>
      <c r="B12" s="180" t="str">
        <f>'רשימת מכשור 2015'!B11</f>
        <v>Liquid Controls Sponsler</v>
      </c>
      <c r="C12" s="180" t="str">
        <f>'רשימת מכשור 2015'!C11</f>
        <v>SP3/4-CS-PHL-3/4G-6MCIX3A</v>
      </c>
      <c r="D12" s="233" t="str">
        <f>'רשימת מכשור 2015'!D11</f>
        <v>CDI</v>
      </c>
      <c r="E12" s="180" t="str">
        <f>'רשימת מכשור 2015'!E11</f>
        <v>1-1-134-FIC-3</v>
      </c>
      <c r="F12" s="180">
        <f>'רשימת מכשור 2015'!F11</f>
        <v>14000</v>
      </c>
      <c r="G12" s="181">
        <v>1</v>
      </c>
      <c r="H12" s="181">
        <f>G12*F12</f>
        <v>14000</v>
      </c>
      <c r="I12" s="182" t="s">
        <v>82</v>
      </c>
      <c r="J12" s="181">
        <v>1</v>
      </c>
      <c r="K12" s="181">
        <v>1</v>
      </c>
      <c r="L12" s="181">
        <v>1.5</v>
      </c>
      <c r="M12" s="181" t="str">
        <f t="shared" si="0"/>
        <v>לא לרכוש</v>
      </c>
      <c r="N12" s="181">
        <v>1000</v>
      </c>
      <c r="O12" s="183"/>
      <c r="P12" s="183">
        <v>3</v>
      </c>
      <c r="Q12" s="183"/>
    </row>
    <row r="13" spans="1:17" s="12" customFormat="1" ht="14.25" customHeight="1">
      <c r="A13" s="180" t="str">
        <f>'רשימת מכשור 2015'!A12</f>
        <v>משדר זרימה</v>
      </c>
      <c r="B13" s="180" t="str">
        <f>'רשימת מכשור 2015'!B12</f>
        <v>Liquid Controls 
Sponsler</v>
      </c>
      <c r="C13" s="180" t="str">
        <f>'רשימת מכשור 2015'!C12</f>
        <v>SP3/4-CS-PHL
-3/4G-6MCIX3A</v>
      </c>
      <c r="D13" s="233" t="str">
        <f>'רשימת מכשור 2015'!D12</f>
        <v>PW PRODUCTION
2500</v>
      </c>
      <c r="E13" s="180" t="str">
        <f>'רשימת מכשור 2015'!E12</f>
        <v>1-1-604-FIT-001</v>
      </c>
      <c r="F13" s="180">
        <f>'רשימת מכשור 2015'!F12</f>
        <v>12000</v>
      </c>
      <c r="G13" s="181">
        <v>1</v>
      </c>
      <c r="H13" s="181">
        <f>G13*F13</f>
        <v>12000</v>
      </c>
      <c r="I13" s="182" t="s">
        <v>82</v>
      </c>
      <c r="J13" s="181">
        <v>1</v>
      </c>
      <c r="K13" s="181">
        <v>0</v>
      </c>
      <c r="L13" s="181">
        <v>1.5</v>
      </c>
      <c r="M13" s="181" t="str">
        <f t="shared" si="0"/>
        <v>לא לרכוש</v>
      </c>
      <c r="N13" s="181">
        <v>1000</v>
      </c>
      <c r="O13" s="183"/>
      <c r="P13" s="183">
        <v>3</v>
      </c>
      <c r="Q13" s="183"/>
    </row>
    <row r="14" spans="1:17" s="12" customFormat="1" ht="14.25" customHeight="1">
      <c r="A14" s="180" t="str">
        <f>'רשימת מכשור 2015'!A13</f>
        <v>מד מפלס</v>
      </c>
      <c r="B14" s="180" t="str">
        <f>'רשימת מכשור 2015'!B13</f>
        <v>E+H</v>
      </c>
      <c r="C14" s="180" t="str">
        <f>'רשימת מכשור 2015'!C13</f>
        <v xml:space="preserve"> MICROPILOT M FMR245-AETEJAA2AA</v>
      </c>
      <c r="D14" s="233" t="str">
        <f>'רשימת מכשור 2015'!D13</f>
        <v>NaOH</v>
      </c>
      <c r="E14" s="180" t="str">
        <f>'רשימת מכשור 2015'!E13</f>
        <v>1-1-5-LC-1</v>
      </c>
      <c r="F14" s="180">
        <f>'רשימת מכשור 2015'!F13</f>
        <v>120000</v>
      </c>
      <c r="G14" s="181">
        <v>1</v>
      </c>
      <c r="H14" s="181">
        <v>12000</v>
      </c>
      <c r="I14" s="182"/>
      <c r="J14" s="181">
        <v>1</v>
      </c>
      <c r="K14" s="181">
        <v>1</v>
      </c>
      <c r="L14" s="181">
        <v>1.5</v>
      </c>
      <c r="M14" s="181" t="str">
        <f t="shared" si="0"/>
        <v>לרכוש</v>
      </c>
      <c r="N14" s="181">
        <v>1000</v>
      </c>
      <c r="O14" s="183"/>
      <c r="P14" s="183">
        <v>2</v>
      </c>
      <c r="Q14" s="183"/>
    </row>
    <row r="15" spans="1:17" s="12" customFormat="1" ht="28.8">
      <c r="A15" s="180" t="str">
        <f>'רשימת מכשור 2015'!A14</f>
        <v>מד מפלס</v>
      </c>
      <c r="B15" s="180" t="str">
        <f>'רשימת מכשור 2015'!B14</f>
        <v>E+H</v>
      </c>
      <c r="C15" s="180" t="str">
        <f>'רשימת מכשור 2015'!C14</f>
        <v xml:space="preserve"> MICROPILOT M 
FMR245-AETEJAA2AA</v>
      </c>
      <c r="D15" s="233" t="str">
        <f>'רשימת מכשור 2015'!D14</f>
        <v>ACID</v>
      </c>
      <c r="E15" s="180" t="str">
        <f>'רשימת מכשור 2015'!E14</f>
        <v>1-1-141-LC-1</v>
      </c>
      <c r="F15" s="180">
        <f>'רשימת מכשור 2015'!F14</f>
        <v>120000</v>
      </c>
      <c r="G15" s="181">
        <v>1</v>
      </c>
      <c r="H15" s="181">
        <v>12000</v>
      </c>
      <c r="I15" s="182"/>
      <c r="J15" s="181">
        <v>1</v>
      </c>
      <c r="K15" s="181">
        <v>1</v>
      </c>
      <c r="L15" s="181">
        <v>1.5</v>
      </c>
      <c r="M15" s="181" t="str">
        <f t="shared" si="0"/>
        <v>לרכוש</v>
      </c>
      <c r="N15" s="181">
        <v>1000</v>
      </c>
      <c r="O15" s="183"/>
      <c r="P15" s="183">
        <v>2</v>
      </c>
      <c r="Q15" s="183"/>
    </row>
    <row r="16" spans="1:17" s="12" customFormat="1" ht="28.8">
      <c r="A16" s="180" t="str">
        <f>'רשימת מכשור 2015'!A15</f>
        <v>מד מפלס</v>
      </c>
      <c r="B16" s="180" t="str">
        <f>'רשימת מכשור 2015'!B15</f>
        <v>E+H</v>
      </c>
      <c r="C16" s="180" t="str">
        <f>'רשימת מכשור 2015'!C15</f>
        <v>LEVELFLEX M FMP43-AS5TDJB21A2B</v>
      </c>
      <c r="D16" s="233" t="str">
        <f>'רשימת מכשור 2015'!D15</f>
        <v>WFI-PRODUCTION/STORAGE</v>
      </c>
      <c r="E16" s="180" t="str">
        <f>'רשימת מכשור 2015'!E15</f>
        <v>25-LT-001</v>
      </c>
      <c r="F16" s="180">
        <f>'רשימת מכשור 2015'!F15</f>
        <v>12000</v>
      </c>
      <c r="G16" s="181">
        <v>1</v>
      </c>
      <c r="H16" s="181">
        <f t="shared" ref="H16:H22" si="1">G16*F16</f>
        <v>12000</v>
      </c>
      <c r="I16" s="182"/>
      <c r="J16" s="181">
        <v>1</v>
      </c>
      <c r="K16" s="181">
        <v>1</v>
      </c>
      <c r="L16" s="181">
        <v>1.5</v>
      </c>
      <c r="M16" s="181" t="str">
        <f t="shared" si="0"/>
        <v>לרכוש</v>
      </c>
      <c r="N16" s="181">
        <v>1000</v>
      </c>
      <c r="O16" s="183"/>
      <c r="P16" s="183">
        <v>1</v>
      </c>
      <c r="Q16" s="183"/>
    </row>
    <row r="17" spans="1:17" s="12" customFormat="1" ht="28.8">
      <c r="A17" s="180" t="str">
        <f>'רשימת מכשור 2015'!A16</f>
        <v>מד מפלס</v>
      </c>
      <c r="B17" s="180" t="str">
        <f>'רשימת מכשור 2015'!B16</f>
        <v>E+H</v>
      </c>
      <c r="C17" s="180" t="str">
        <f>'רשימת מכשור 2015'!C16</f>
        <v>LEVELFLEX M FMP41C-AATDKB21A2A</v>
      </c>
      <c r="D17" s="233" t="str">
        <f>'רשימת מכשור 2015'!D16</f>
        <v>SW SYSTEM</v>
      </c>
      <c r="E17" s="180" t="str">
        <f>'רשימת מכשור 2015'!E16</f>
        <v>1-1-132-LIC-1</v>
      </c>
      <c r="F17" s="180">
        <f>'רשימת מכשור 2015'!F16</f>
        <v>12000</v>
      </c>
      <c r="G17" s="181">
        <v>1</v>
      </c>
      <c r="H17" s="181">
        <f t="shared" si="1"/>
        <v>12000</v>
      </c>
      <c r="I17" s="182"/>
      <c r="J17" s="181">
        <v>1</v>
      </c>
      <c r="K17" s="181">
        <v>1</v>
      </c>
      <c r="L17" s="181">
        <v>1.5</v>
      </c>
      <c r="M17" s="181" t="str">
        <f>IF(AND(K17*L17*30*N17&gt;H17/J17,I17=""),"לרכוש","לא לרכוש")</f>
        <v>לרכוש</v>
      </c>
      <c r="N17" s="181">
        <v>1000</v>
      </c>
      <c r="O17" s="183"/>
      <c r="P17" s="183">
        <v>1</v>
      </c>
      <c r="Q17" s="183"/>
    </row>
    <row r="18" spans="1:17" s="12" customFormat="1">
      <c r="A18" s="180" t="str">
        <f>'רשימת מכשור 2015'!A17</f>
        <v>משדר לחץ</v>
      </c>
      <c r="B18" s="180" t="str">
        <f>'רשימת מכשור 2015'!B17</f>
        <v>LABOM</v>
      </c>
      <c r="C18" s="180" t="str">
        <f>'רשימת מכשור 2015'!C17</f>
        <v>LABOM - CV3110</v>
      </c>
      <c r="D18" s="233" t="str">
        <f>'רשימת מכשור 2015'!D17</f>
        <v>צנטרפוגה</v>
      </c>
      <c r="E18" s="180" t="str">
        <f>'רשימת מכשור 2015'!E17</f>
        <v>PIAL 02-9-020</v>
      </c>
      <c r="F18" s="180">
        <f>'רשימת מכשור 2015'!F17</f>
        <v>10000</v>
      </c>
      <c r="G18" s="181">
        <v>1</v>
      </c>
      <c r="H18" s="181">
        <f t="shared" si="1"/>
        <v>10000</v>
      </c>
      <c r="I18" s="182"/>
      <c r="J18" s="181">
        <v>1</v>
      </c>
      <c r="K18" s="181">
        <v>1</v>
      </c>
      <c r="L18" s="181">
        <v>1.5</v>
      </c>
      <c r="M18" s="181" t="str">
        <f t="shared" si="0"/>
        <v>לרכוש</v>
      </c>
      <c r="N18" s="181">
        <v>1000</v>
      </c>
      <c r="O18" s="183"/>
      <c r="P18" s="183">
        <v>3</v>
      </c>
      <c r="Q18" s="183"/>
    </row>
    <row r="19" spans="1:17" s="12" customFormat="1">
      <c r="A19" s="180" t="str">
        <f>'רשימת מכשור 2015'!A18</f>
        <v>משדר לחץ</v>
      </c>
      <c r="B19" s="180" t="str">
        <f>'רשימת מכשור 2015'!B18</f>
        <v>LABOM</v>
      </c>
      <c r="C19" s="180" t="str">
        <f>'רשימת מכשור 2015'!C18</f>
        <v>LABOM - CV3110</v>
      </c>
      <c r="D19" s="233" t="str">
        <f>'רשימת מכשור 2015'!D18</f>
        <v>צנטרפוגה</v>
      </c>
      <c r="E19" s="180" t="str">
        <f>'רשימת מכשור 2015'!E18</f>
        <v>PIAL 02-9-534</v>
      </c>
      <c r="F19" s="180">
        <f>'רשימת מכשור 2015'!F18</f>
        <v>10000</v>
      </c>
      <c r="G19" s="181">
        <v>1</v>
      </c>
      <c r="H19" s="181">
        <f t="shared" si="1"/>
        <v>10000</v>
      </c>
      <c r="I19" s="182"/>
      <c r="J19" s="181">
        <v>1</v>
      </c>
      <c r="K19" s="181">
        <v>1</v>
      </c>
      <c r="L19" s="181">
        <v>1.5</v>
      </c>
      <c r="M19" s="181" t="str">
        <f t="shared" si="0"/>
        <v>לרכוש</v>
      </c>
      <c r="N19" s="181">
        <v>1000</v>
      </c>
      <c r="O19" s="183"/>
      <c r="P19" s="183">
        <v>3</v>
      </c>
      <c r="Q19" s="183"/>
    </row>
    <row r="20" spans="1:17" s="12" customFormat="1">
      <c r="A20" s="180" t="str">
        <f>'רשימת מכשור 2015'!A19</f>
        <v>multi chanel</v>
      </c>
      <c r="B20" s="180" t="str">
        <f>'רשימת מכשור 2015'!B19</f>
        <v>THORNTON</v>
      </c>
      <c r="C20" s="180" t="str">
        <f>'רשימת מכשור 2015'!C19</f>
        <v>770 max</v>
      </c>
      <c r="D20" s="233" t="str">
        <f>'רשימת מכשור 2015'!D19</f>
        <v>PW פיילוט</v>
      </c>
      <c r="E20" s="180">
        <f>'רשימת מכשור 2015'!E19</f>
        <v>0</v>
      </c>
      <c r="F20" s="180">
        <f>'רשימת מכשור 2015'!F19</f>
        <v>10000</v>
      </c>
      <c r="G20" s="181">
        <v>1</v>
      </c>
      <c r="H20" s="181">
        <f t="shared" si="1"/>
        <v>10000</v>
      </c>
      <c r="I20" s="182" t="s">
        <v>82</v>
      </c>
      <c r="J20" s="181">
        <v>1</v>
      </c>
      <c r="K20" s="181">
        <v>1</v>
      </c>
      <c r="L20" s="183">
        <v>1</v>
      </c>
      <c r="M20" s="181" t="str">
        <f t="shared" si="0"/>
        <v>לא לרכוש</v>
      </c>
      <c r="N20" s="181">
        <v>1000</v>
      </c>
      <c r="O20" s="183"/>
      <c r="P20" s="183">
        <v>5</v>
      </c>
      <c r="Q20" s="183"/>
    </row>
    <row r="21" spans="1:17" s="12" customFormat="1" ht="43.2">
      <c r="A21" s="180" t="str">
        <f>'רשימת מכשור 2015'!A20</f>
        <v>מד כלור</v>
      </c>
      <c r="B21" s="180" t="str">
        <f>'רשימת מכשור 2015'!B20</f>
        <v>E+H</v>
      </c>
      <c r="C21" s="180" t="str">
        <f>'רשימת מכשור 2015'!C20</f>
        <v>transmitter : liquisys m CCM253-EK8005 
FLOWFIT-W CCA250</v>
      </c>
      <c r="D21" s="233" t="str">
        <f>'רשימת מכשור 2015'!D20</f>
        <v>CLW</v>
      </c>
      <c r="E21" s="180" t="str">
        <f>'רשימת מכשור 2015'!E20</f>
        <v>1-1-1-CLIC-1</v>
      </c>
      <c r="F21" s="180">
        <f>'רשימת מכשור 2015'!F20</f>
        <v>7000</v>
      </c>
      <c r="G21" s="181">
        <v>1</v>
      </c>
      <c r="H21" s="181">
        <f t="shared" si="1"/>
        <v>7000</v>
      </c>
      <c r="I21" s="184"/>
      <c r="J21" s="181">
        <v>1</v>
      </c>
      <c r="K21" s="185">
        <v>1</v>
      </c>
      <c r="L21" s="181">
        <v>1.5</v>
      </c>
      <c r="M21" s="181" t="str">
        <f t="shared" si="0"/>
        <v>לרכוש</v>
      </c>
      <c r="N21" s="181">
        <v>1000</v>
      </c>
      <c r="O21" s="183"/>
      <c r="P21" s="183">
        <v>1</v>
      </c>
      <c r="Q21" s="183"/>
    </row>
    <row r="22" spans="1:17" s="12" customFormat="1" ht="14.25" customHeight="1">
      <c r="A22" s="180" t="str">
        <f>'רשימת מכשור 2015'!A21</f>
        <v>מד מפלס</v>
      </c>
      <c r="B22" s="180" t="str">
        <f>'רשימת מכשור 2015'!B21</f>
        <v>E+H</v>
      </c>
      <c r="C22" s="180" t="str">
        <f>'רשימת מכשור 2015'!C21</f>
        <v>LIQUICAP M FMI52-A1BTDJA2A1A</v>
      </c>
      <c r="D22" s="233" t="str">
        <f>'רשימת מכשור 2015'!D21</f>
        <v>CLW</v>
      </c>
      <c r="E22" s="180" t="str">
        <f>'רשימת מכשור 2015'!E21</f>
        <v>1-1-1-LC-1</v>
      </c>
      <c r="F22" s="180">
        <f>'רשימת מכשור 2015'!F21</f>
        <v>10000</v>
      </c>
      <c r="G22" s="181">
        <v>1</v>
      </c>
      <c r="H22" s="181">
        <f t="shared" si="1"/>
        <v>10000</v>
      </c>
      <c r="I22" s="186"/>
      <c r="J22" s="183">
        <v>1</v>
      </c>
      <c r="K22" s="183">
        <v>1</v>
      </c>
      <c r="L22" s="183">
        <v>1.5</v>
      </c>
      <c r="M22" s="181" t="str">
        <f t="shared" si="0"/>
        <v>לרכוש</v>
      </c>
      <c r="N22" s="181">
        <v>1000</v>
      </c>
      <c r="O22" s="183"/>
      <c r="P22" s="183">
        <v>1</v>
      </c>
      <c r="Q22" s="183"/>
    </row>
    <row r="23" spans="1:17" s="12" customFormat="1" ht="14.25" customHeight="1">
      <c r="A23" s="180" t="str">
        <f>'רשימת מכשור 2015'!A22</f>
        <v>מד מפלס</v>
      </c>
      <c r="B23" s="180" t="str">
        <f>'רשימת מכשור 2015'!B22</f>
        <v>E+H</v>
      </c>
      <c r="C23" s="180" t="str">
        <f>'רשימת מכשור 2015'!C22</f>
        <v>LIQUICAP M FMI52-A1BTDJA2A1A</v>
      </c>
      <c r="D23" s="233" t="str">
        <f>'רשימת מכשור 2015'!D22</f>
        <v xml:space="preserve">HSW </v>
      </c>
      <c r="E23" s="180" t="str">
        <f>'רשימת מכשור 2015'!E22</f>
        <v>1-1-57-LC-1</v>
      </c>
      <c r="F23" s="180">
        <f>'רשימת מכשור 2015'!F22</f>
        <v>10000</v>
      </c>
      <c r="G23" s="181">
        <v>1</v>
      </c>
      <c r="H23" s="181">
        <v>10000</v>
      </c>
      <c r="I23" s="182"/>
      <c r="J23" s="181">
        <v>1</v>
      </c>
      <c r="K23" s="181">
        <v>1</v>
      </c>
      <c r="L23" s="181">
        <v>1.5</v>
      </c>
      <c r="M23" s="181" t="str">
        <f t="shared" si="0"/>
        <v>לרכוש</v>
      </c>
      <c r="N23" s="181">
        <v>1000</v>
      </c>
      <c r="O23" s="183"/>
      <c r="P23" s="183">
        <v>1</v>
      </c>
      <c r="Q23" s="183"/>
    </row>
    <row r="24" spans="1:17" s="12" customFormat="1" ht="14.25" customHeight="1">
      <c r="A24" s="180" t="str">
        <f>'רשימת מכשור 2015'!A23</f>
        <v>multi chanel</v>
      </c>
      <c r="B24" s="180" t="str">
        <f>'רשימת מכשור 2015'!B23</f>
        <v>torenton</v>
      </c>
      <c r="C24" s="180" t="str">
        <f>'רשימת מכשור 2015'!C23</f>
        <v>torenton</v>
      </c>
      <c r="D24" s="233" t="str">
        <f>'רשימת מכשור 2015'!D23</f>
        <v>WFI-PRODUCTION/STORAGE</v>
      </c>
      <c r="E24" s="180" t="str">
        <f>'רשימת מכשור 2015'!E23</f>
        <v>25-CIT-1</v>
      </c>
      <c r="F24" s="180">
        <f>'רשימת מכשור 2015'!F23</f>
        <v>10000</v>
      </c>
      <c r="G24" s="181">
        <v>1</v>
      </c>
      <c r="H24" s="181">
        <f t="shared" ref="H24:H55" si="2">G24*F24</f>
        <v>10000</v>
      </c>
      <c r="I24" s="182" t="s">
        <v>82</v>
      </c>
      <c r="J24" s="181">
        <v>1</v>
      </c>
      <c r="K24" s="181">
        <v>1</v>
      </c>
      <c r="L24" s="181">
        <v>1.2</v>
      </c>
      <c r="M24" s="181" t="str">
        <f t="shared" si="0"/>
        <v>לא לרכוש</v>
      </c>
      <c r="N24" s="181">
        <v>1000</v>
      </c>
      <c r="O24" s="183"/>
      <c r="P24" s="183">
        <v>5</v>
      </c>
      <c r="Q24" s="183"/>
    </row>
    <row r="25" spans="1:17" s="12" customFormat="1" ht="14.25" customHeight="1">
      <c r="A25" s="180" t="str">
        <f>'רשימת מכשור 2015'!A24</f>
        <v>משדר לחץ</v>
      </c>
      <c r="B25" s="180" t="str">
        <f>'רשימת מכשור 2015'!B24</f>
        <v>LABOM</v>
      </c>
      <c r="C25" s="180" t="str">
        <f>'רשימת מכשור 2015'!C24</f>
        <v>LABOM - CV3110</v>
      </c>
      <c r="D25" s="233" t="str">
        <f>'רשימת מכשור 2015'!D24</f>
        <v>צנטרפוגה</v>
      </c>
      <c r="E25" s="180" t="str">
        <f>'רשימת מכשור 2015'!E24</f>
        <v>PIC 02-9-047</v>
      </c>
      <c r="F25" s="180">
        <f>'רשימת מכשור 2015'!F24</f>
        <v>10000</v>
      </c>
      <c r="G25" s="181">
        <v>1</v>
      </c>
      <c r="H25" s="181">
        <f t="shared" si="2"/>
        <v>10000</v>
      </c>
      <c r="I25" s="182"/>
      <c r="J25" s="181">
        <v>1</v>
      </c>
      <c r="K25" s="181">
        <v>1</v>
      </c>
      <c r="L25" s="181">
        <v>1.5</v>
      </c>
      <c r="M25" s="181" t="str">
        <f t="shared" si="0"/>
        <v>לרכוש</v>
      </c>
      <c r="N25" s="181">
        <v>1000</v>
      </c>
      <c r="O25" s="183"/>
      <c r="P25" s="183">
        <v>3</v>
      </c>
      <c r="Q25" s="183"/>
    </row>
    <row r="26" spans="1:17" s="12" customFormat="1" ht="33.75" customHeight="1">
      <c r="A26" s="180" t="str">
        <f>'רשימת מכשור 2015'!A25</f>
        <v>מד זרימה</v>
      </c>
      <c r="B26" s="180" t="str">
        <f>'רשימת מכשור 2015'!B25</f>
        <v>ABB ISRAEL</v>
      </c>
      <c r="C26" s="180" t="str">
        <f>'רשימת מכשור 2015'!C25</f>
        <v xml:space="preserve"> ABB - FEH311</v>
      </c>
      <c r="D26" s="233" t="str">
        <f>'רשימת מכשור 2015'!D25</f>
        <v>צנטרפוגה</v>
      </c>
      <c r="E26" s="180" t="str">
        <f>'רשימת מכשור 2015'!E25</f>
        <v>FIC 02-9-041</v>
      </c>
      <c r="F26" s="180">
        <f>'רשימת מכשור 2015'!F25</f>
        <v>9133</v>
      </c>
      <c r="G26" s="181">
        <v>1</v>
      </c>
      <c r="H26" s="181">
        <f t="shared" si="2"/>
        <v>9133</v>
      </c>
      <c r="I26" s="182"/>
      <c r="J26" s="181">
        <v>1</v>
      </c>
      <c r="K26" s="181">
        <v>1</v>
      </c>
      <c r="L26" s="181">
        <v>1.5</v>
      </c>
      <c r="M26" s="181" t="str">
        <f t="shared" si="0"/>
        <v>לרכוש</v>
      </c>
      <c r="N26" s="181">
        <v>1000</v>
      </c>
      <c r="O26" s="183"/>
      <c r="P26" s="183">
        <v>2</v>
      </c>
      <c r="Q26" s="183"/>
    </row>
    <row r="27" spans="1:17" s="12" customFormat="1" ht="14.25" customHeight="1">
      <c r="A27" s="180" t="str">
        <f>'רשימת מכשור 2015'!A26</f>
        <v>משדר חמצן</v>
      </c>
      <c r="B27" s="180" t="str">
        <f>'רשימת מכשור 2015'!B26</f>
        <v>Drager</v>
      </c>
      <c r="C27" s="180" t="str">
        <f>'רשימת מכשור 2015'!C26</f>
        <v>polytron 7000</v>
      </c>
      <c r="D27" s="233" t="str">
        <f>'רשימת מכשור 2015'!D26</f>
        <v>GAS  phase cell bank</v>
      </c>
      <c r="E27" s="180" t="str">
        <f>'רשימת מכשור 2015'!E26</f>
        <v>1-2-2010-OM-2</v>
      </c>
      <c r="F27" s="180">
        <f>'רשימת מכשור 2015'!F26</f>
        <v>7500</v>
      </c>
      <c r="G27" s="181">
        <v>1</v>
      </c>
      <c r="H27" s="181">
        <f t="shared" si="2"/>
        <v>7500</v>
      </c>
      <c r="I27" s="182"/>
      <c r="J27" s="181">
        <v>1</v>
      </c>
      <c r="K27" s="181">
        <v>1</v>
      </c>
      <c r="L27" s="181">
        <v>1</v>
      </c>
      <c r="M27" s="181" t="str">
        <f t="shared" si="0"/>
        <v>לרכוש</v>
      </c>
      <c r="N27" s="181">
        <v>1000</v>
      </c>
      <c r="O27" s="183"/>
      <c r="P27" s="183">
        <v>1</v>
      </c>
      <c r="Q27" s="183"/>
    </row>
    <row r="28" spans="1:17" s="12" customFormat="1" ht="14.25" customHeight="1">
      <c r="A28" s="180" t="str">
        <f>'רשימת מכשור 2015'!A27</f>
        <v>מד כלור</v>
      </c>
      <c r="B28" s="180" t="str">
        <f>'רשימת מכשור 2015'!B27</f>
        <v>E+H</v>
      </c>
      <c r="C28" s="180" t="str">
        <f>'רשימת מכשור 2015'!C27</f>
        <v>Element : ccs140
transmitter : liquisys m
cell : flowfit cca250</v>
      </c>
      <c r="D28" s="233" t="str">
        <f>'רשימת מכשור 2015'!D27</f>
        <v>PRETREATMENT SYSTEM</v>
      </c>
      <c r="E28" s="180" t="str">
        <f>'רשימת מכשור 2015'!E27</f>
        <v>1-1-131-CLIC-1</v>
      </c>
      <c r="F28" s="180">
        <f>'רשימת מכשור 2015'!F27</f>
        <v>7000</v>
      </c>
      <c r="G28" s="181">
        <v>1</v>
      </c>
      <c r="H28" s="181">
        <f t="shared" si="2"/>
        <v>7000</v>
      </c>
      <c r="I28" s="182"/>
      <c r="J28" s="181">
        <v>1</v>
      </c>
      <c r="K28" s="181">
        <v>1</v>
      </c>
      <c r="L28" s="181">
        <v>1.5</v>
      </c>
      <c r="M28" s="181" t="str">
        <f t="shared" si="0"/>
        <v>לרכוש</v>
      </c>
      <c r="N28" s="181">
        <v>1000</v>
      </c>
      <c r="O28" s="183"/>
      <c r="P28" s="183">
        <v>2</v>
      </c>
      <c r="Q28" s="183"/>
    </row>
    <row r="29" spans="1:17" s="12" customFormat="1" ht="14.25" customHeight="1">
      <c r="A29" s="180" t="str">
        <f>'רשימת מכשור 2015'!A28</f>
        <v xml:space="preserve">אלקטרודת מוליכות </v>
      </c>
      <c r="B29" s="180" t="str">
        <f>'רשימת מכשור 2015'!B28</f>
        <v xml:space="preserve">E+H </v>
      </c>
      <c r="C29" s="180" t="str">
        <f>'רשימת מכשור 2015'!C28</f>
        <v>Element : cls21-c1e4a
Transmitter : liquisys m clm253-cd8005</v>
      </c>
      <c r="D29" s="233" t="str">
        <f>'רשימת מכשור 2015'!D28</f>
        <v>PRETREATMENT SYSTEM</v>
      </c>
      <c r="E29" s="180" t="str">
        <f>'רשימת מכשור 2015'!E28</f>
        <v>1-1-131-CIT 1</v>
      </c>
      <c r="F29" s="180">
        <f>'רשימת מכשור 2015'!F28</f>
        <v>7000</v>
      </c>
      <c r="G29" s="181">
        <v>1</v>
      </c>
      <c r="H29" s="187">
        <f t="shared" si="2"/>
        <v>7000</v>
      </c>
      <c r="I29" s="188"/>
      <c r="J29" s="187">
        <v>1</v>
      </c>
      <c r="K29" s="187">
        <v>1</v>
      </c>
      <c r="L29" s="187">
        <v>1.5</v>
      </c>
      <c r="M29" s="187" t="str">
        <f t="shared" si="0"/>
        <v>לרכוש</v>
      </c>
      <c r="N29" s="181">
        <v>1000</v>
      </c>
      <c r="O29" s="187"/>
      <c r="P29" s="187">
        <v>2</v>
      </c>
      <c r="Q29" s="189" t="s">
        <v>419</v>
      </c>
    </row>
    <row r="30" spans="1:17" s="124" customFormat="1" ht="28.5" customHeight="1">
      <c r="A30" s="180" t="str">
        <f>'רשימת מכשור 2015'!A29</f>
        <v xml:space="preserve">אלקטרודת מוליכות </v>
      </c>
      <c r="B30" s="180" t="str">
        <f>'רשימת מכשור 2015'!B29</f>
        <v>Mettler Toledo</v>
      </c>
      <c r="C30" s="180" t="str">
        <f>'רשימת מכשור 2015'!C29</f>
        <v>Inpro 7108 1.5"TC 5200800 
M400</v>
      </c>
      <c r="D30" s="233" t="str">
        <f>'רשימת מכשור 2015'!D29</f>
        <v>MEDIA</v>
      </c>
      <c r="E30" s="180" t="str">
        <f>'רשימת מכשור 2015'!E29</f>
        <v>1-1-56-CIC-1</v>
      </c>
      <c r="F30" s="180">
        <f>'רשימת מכשור 2015'!F29</f>
        <v>4000</v>
      </c>
      <c r="G30" s="181">
        <v>1</v>
      </c>
      <c r="H30" s="181">
        <f t="shared" si="2"/>
        <v>4000</v>
      </c>
      <c r="I30" s="182" t="s">
        <v>82</v>
      </c>
      <c r="J30" s="181">
        <v>1</v>
      </c>
      <c r="K30" s="181">
        <v>1</v>
      </c>
      <c r="L30" s="181">
        <v>1.5</v>
      </c>
      <c r="M30" s="181" t="str">
        <f t="shared" si="0"/>
        <v>לא לרכוש</v>
      </c>
      <c r="N30" s="181">
        <v>1000</v>
      </c>
      <c r="O30" s="183"/>
      <c r="P30" s="183">
        <v>1</v>
      </c>
      <c r="Q30" s="190" t="s">
        <v>420</v>
      </c>
    </row>
    <row r="31" spans="1:17" s="12" customFormat="1" ht="14.25" customHeight="1">
      <c r="A31" s="180" t="str">
        <f>'רשימת מכשור 2015'!A30</f>
        <v>מד רדוקס</v>
      </c>
      <c r="B31" s="180" t="str">
        <f>'רשימת מכשור 2015'!B30</f>
        <v xml:space="preserve">
 EUTECH INSTRUMENT</v>
      </c>
      <c r="C31" s="180" t="str">
        <f>'רשימת מכשור 2015'!C30</f>
        <v>Sensor: Pt4805-DPA-SC-S8
Transmiter: ALPHA pH800</v>
      </c>
      <c r="D31" s="233" t="str">
        <f>'רשימת מכשור 2015'!D30</f>
        <v>SW SYSTEM</v>
      </c>
      <c r="E31" s="180" t="str">
        <f>'רשימת מכשור 2015'!E30</f>
        <v>1-1-132-ORP-1</v>
      </c>
      <c r="F31" s="180">
        <f>'רשימת מכשור 2015'!F30</f>
        <v>7000</v>
      </c>
      <c r="G31" s="181">
        <v>1</v>
      </c>
      <c r="H31" s="181">
        <f t="shared" si="2"/>
        <v>7000</v>
      </c>
      <c r="I31" s="182"/>
      <c r="J31" s="181">
        <v>1</v>
      </c>
      <c r="K31" s="181">
        <v>1</v>
      </c>
      <c r="L31" s="181">
        <v>1.5</v>
      </c>
      <c r="M31" s="181" t="str">
        <f t="shared" si="0"/>
        <v>לרכוש</v>
      </c>
      <c r="N31" s="181">
        <v>1000</v>
      </c>
      <c r="O31" s="183"/>
      <c r="P31" s="183">
        <v>2</v>
      </c>
      <c r="Q31" s="183"/>
    </row>
    <row r="32" spans="1:17" s="12" customFormat="1" ht="28.5" customHeight="1">
      <c r="A32" s="180" t="str">
        <f>'רשימת מכשור 2015'!A31</f>
        <v>מד לחץ</v>
      </c>
      <c r="B32" s="180" t="str">
        <f>'רשימת מכשור 2015'!B31</f>
        <v>LABOM</v>
      </c>
      <c r="C32" s="180" t="str">
        <f>'רשימת מכשור 2015'!C31</f>
        <v xml:space="preserve"> LABOM - BH4200</v>
      </c>
      <c r="D32" s="233" t="str">
        <f>'רשימת מכשור 2015'!D31</f>
        <v>צנטרפוגה</v>
      </c>
      <c r="E32" s="180" t="str">
        <f>'רשימת מכשור 2015'!E31</f>
        <v>PI 02-9-019</v>
      </c>
      <c r="F32" s="180">
        <f>'רשימת מכשור 2015'!F31</f>
        <v>6708</v>
      </c>
      <c r="G32" s="181">
        <v>1</v>
      </c>
      <c r="H32" s="181">
        <f t="shared" si="2"/>
        <v>6708</v>
      </c>
      <c r="I32" s="182"/>
      <c r="J32" s="181">
        <v>1</v>
      </c>
      <c r="K32" s="181">
        <v>0</v>
      </c>
      <c r="L32" s="181">
        <v>1.5</v>
      </c>
      <c r="M32" s="181" t="str">
        <f t="shared" si="0"/>
        <v>לא לרכוש</v>
      </c>
      <c r="N32" s="181">
        <v>1000</v>
      </c>
      <c r="O32" s="183"/>
      <c r="P32" s="183">
        <v>1</v>
      </c>
      <c r="Q32" s="183"/>
    </row>
    <row r="33" spans="1:17" s="12" customFormat="1" ht="32.25" customHeight="1">
      <c r="A33" s="180" t="str">
        <f>'רשימת מכשור 2015'!A32</f>
        <v>מד רעידות</v>
      </c>
      <c r="B33" s="180" t="str">
        <f>'רשימת מכשור 2015'!B32</f>
        <v xml:space="preserve">GEAיצור עצמי </v>
      </c>
      <c r="C33" s="180" t="str">
        <f>'רשימת מכשור 2015'!C32</f>
        <v xml:space="preserve">HW - sensor messtechnik pch  </v>
      </c>
      <c r="D33" s="233" t="str">
        <f>'רשימת מכשור 2015'!D32</f>
        <v>צנטרפוגה</v>
      </c>
      <c r="E33" s="180" t="str">
        <f>'רשימת מכשור 2015'!E32</f>
        <v>NAH/HH01-9-018</v>
      </c>
      <c r="F33" s="180">
        <f>'רשימת מכשור 2015'!F32</f>
        <v>6615</v>
      </c>
      <c r="G33" s="181">
        <v>1</v>
      </c>
      <c r="H33" s="181">
        <f t="shared" si="2"/>
        <v>6615</v>
      </c>
      <c r="I33" s="182"/>
      <c r="J33" s="181">
        <v>1</v>
      </c>
      <c r="K33" s="181">
        <v>1</v>
      </c>
      <c r="L33" s="181">
        <v>1.5</v>
      </c>
      <c r="M33" s="181" t="str">
        <f t="shared" si="0"/>
        <v>לרכוש</v>
      </c>
      <c r="N33" s="181">
        <v>1000</v>
      </c>
      <c r="O33" s="183"/>
      <c r="P33" s="183">
        <v>1</v>
      </c>
      <c r="Q33" s="183"/>
    </row>
    <row r="34" spans="1:17" s="12" customFormat="1" ht="42.75" customHeight="1">
      <c r="A34" s="180" t="str">
        <f>'רשימת מכשור 2015'!A33</f>
        <v>משדר לחץ</v>
      </c>
      <c r="B34" s="180" t="str">
        <f>'רשימת מכשור 2015'!B33</f>
        <v>E+H</v>
      </c>
      <c r="C34" s="180" t="str">
        <f>'רשימת מכשור 2015'!C33</f>
        <v>PMP46-RE13SBJPGD</v>
      </c>
      <c r="D34" s="233" t="str">
        <f>'רשימת מכשור 2015'!D33</f>
        <v>PW STORAGE
2500</v>
      </c>
      <c r="E34" s="180" t="str">
        <f>'רשימת מכשור 2015'!E33</f>
        <v>1-1-606-PIT-007</v>
      </c>
      <c r="F34" s="180">
        <f>'רשימת מכשור 2015'!F33</f>
        <v>6000</v>
      </c>
      <c r="G34" s="181">
        <v>1</v>
      </c>
      <c r="H34" s="181">
        <f t="shared" si="2"/>
        <v>6000</v>
      </c>
      <c r="I34" s="182" t="s">
        <v>82</v>
      </c>
      <c r="J34" s="181">
        <v>1</v>
      </c>
      <c r="K34" s="181">
        <v>1</v>
      </c>
      <c r="L34" s="181">
        <v>1</v>
      </c>
      <c r="M34" s="181" t="str">
        <f t="shared" si="0"/>
        <v>לא לרכוש</v>
      </c>
      <c r="N34" s="181">
        <v>1000</v>
      </c>
      <c r="O34" s="183"/>
      <c r="P34" s="183">
        <v>1</v>
      </c>
      <c r="Q34" s="190"/>
    </row>
    <row r="35" spans="1:17" s="12" customFormat="1" ht="28.5" customHeight="1">
      <c r="A35" s="180" t="str">
        <f>'רשימת מכשור 2015'!A34</f>
        <v>משדר לחץ</v>
      </c>
      <c r="B35" s="180" t="str">
        <f>'רשימת מכשור 2015'!B34</f>
        <v>Carabar M</v>
      </c>
      <c r="C35" s="180" t="str">
        <f>'רשימת מכשור 2015'!C34</f>
        <v>D800AB0112A</v>
      </c>
      <c r="D35" s="233" t="str">
        <f>'רשימת מכשור 2015'!D34</f>
        <v>WFI-PRODUCTION/STORAGE</v>
      </c>
      <c r="E35" s="180" t="str">
        <f>'רשימת מכשור 2015'!E34</f>
        <v>25-PIC-1</v>
      </c>
      <c r="F35" s="180">
        <f>'רשימת מכשור 2015'!F34</f>
        <v>6000</v>
      </c>
      <c r="G35" s="181">
        <v>1</v>
      </c>
      <c r="H35" s="181">
        <f t="shared" si="2"/>
        <v>6000</v>
      </c>
      <c r="I35" s="182" t="s">
        <v>82</v>
      </c>
      <c r="J35" s="181">
        <v>1</v>
      </c>
      <c r="K35" s="181">
        <v>1</v>
      </c>
      <c r="L35" s="181">
        <v>1.2</v>
      </c>
      <c r="M35" s="181" t="str">
        <f t="shared" si="0"/>
        <v>לא לרכוש</v>
      </c>
      <c r="N35" s="181">
        <v>1000</v>
      </c>
      <c r="O35" s="183"/>
      <c r="P35" s="183">
        <v>1</v>
      </c>
      <c r="Q35" s="183"/>
    </row>
    <row r="36" spans="1:17" s="12" customFormat="1" ht="42.75" customHeight="1">
      <c r="A36" s="180" t="str">
        <f>'רשימת מכשור 2015'!A35</f>
        <v>משדר לחץ</v>
      </c>
      <c r="B36" s="180" t="str">
        <f>'רשימת מכשור 2015'!B35</f>
        <v>E+H</v>
      </c>
      <c r="C36" s="180" t="str">
        <f>'רשימת מכשור 2015'!C35</f>
        <v>CERABAR M PMC45</v>
      </c>
      <c r="D36" s="233" t="str">
        <f>'רשימת מכשור 2015'!D35</f>
        <v>RO PRODUCTION</v>
      </c>
      <c r="E36" s="180" t="str">
        <f>'רשימת מכשור 2015'!E35</f>
        <v>1-1-133-PIC-2</v>
      </c>
      <c r="F36" s="180">
        <f>'רשימת מכשור 2015'!F35</f>
        <v>6000</v>
      </c>
      <c r="G36" s="181">
        <v>1</v>
      </c>
      <c r="H36" s="181">
        <f t="shared" si="2"/>
        <v>6000</v>
      </c>
      <c r="I36" s="182" t="s">
        <v>82</v>
      </c>
      <c r="J36" s="181">
        <v>1</v>
      </c>
      <c r="K36" s="181">
        <v>1</v>
      </c>
      <c r="L36" s="181">
        <v>1.5</v>
      </c>
      <c r="M36" s="181" t="str">
        <f t="shared" si="0"/>
        <v>לא לרכוש</v>
      </c>
      <c r="N36" s="181">
        <v>1000</v>
      </c>
      <c r="O36" s="183"/>
      <c r="P36" s="183">
        <v>1</v>
      </c>
      <c r="Q36" s="183"/>
    </row>
    <row r="37" spans="1:17" s="12" customFormat="1" ht="28.5" customHeight="1">
      <c r="A37" s="180" t="str">
        <f>'רשימת מכשור 2015'!A36</f>
        <v>משדר לחץ</v>
      </c>
      <c r="B37" s="180" t="str">
        <f>'רשימת מכשור 2015'!B36</f>
        <v>E+H</v>
      </c>
      <c r="C37" s="180" t="str">
        <f>'רשימת מכשור 2015'!C36</f>
        <v>CB012C01024</v>
      </c>
      <c r="D37" s="233" t="str">
        <f>'רשימת מכשור 2015'!D36</f>
        <v>RO PRODUCTION</v>
      </c>
      <c r="E37" s="180" t="str">
        <f>'רשימת מכשור 2015'!E36</f>
        <v>1-1-133-PIC-6</v>
      </c>
      <c r="F37" s="180">
        <f>'רשימת מכשור 2015'!F36</f>
        <v>6000</v>
      </c>
      <c r="G37" s="181">
        <v>1</v>
      </c>
      <c r="H37" s="181">
        <f t="shared" si="2"/>
        <v>6000</v>
      </c>
      <c r="I37" s="182"/>
      <c r="J37" s="181">
        <v>1</v>
      </c>
      <c r="K37" s="181">
        <v>1</v>
      </c>
      <c r="L37" s="181">
        <v>1.5</v>
      </c>
      <c r="M37" s="181" t="str">
        <f t="shared" si="0"/>
        <v>לרכוש</v>
      </c>
      <c r="N37" s="181">
        <v>1000</v>
      </c>
      <c r="O37" s="183"/>
      <c r="P37" s="183">
        <v>2</v>
      </c>
      <c r="Q37" s="183"/>
    </row>
    <row r="38" spans="1:17" s="12" customFormat="1" ht="28.5" customHeight="1">
      <c r="A38" s="180" t="str">
        <f>'רשימת מכשור 2015'!A37</f>
        <v xml:space="preserve">מד ובקר לחץ   </v>
      </c>
      <c r="B38" s="180" t="str">
        <f>'רשימת מכשור 2015'!B37</f>
        <v>E+H</v>
      </c>
      <c r="C38" s="180" t="str">
        <f>'רשימת מכשור 2015'!C37</f>
        <v>CB012C01024</v>
      </c>
      <c r="D38" s="233" t="str">
        <f>'רשימת מכשור 2015'!D37</f>
        <v>RO PRODUCTION</v>
      </c>
      <c r="E38" s="180" t="str">
        <f>'רשימת מכשור 2015'!E37</f>
        <v>1-1-133-PIC-1</v>
      </c>
      <c r="F38" s="180">
        <f>'רשימת מכשור 2015'!F37</f>
        <v>6000</v>
      </c>
      <c r="G38" s="181">
        <v>1</v>
      </c>
      <c r="H38" s="181">
        <f t="shared" si="2"/>
        <v>6000</v>
      </c>
      <c r="I38" s="182"/>
      <c r="J38" s="181">
        <v>1</v>
      </c>
      <c r="K38" s="181">
        <v>1</v>
      </c>
      <c r="L38" s="181">
        <v>1.5</v>
      </c>
      <c r="M38" s="181" t="str">
        <f t="shared" si="0"/>
        <v>לרכוש</v>
      </c>
      <c r="N38" s="181">
        <v>1000</v>
      </c>
      <c r="O38" s="183"/>
      <c r="P38" s="183">
        <v>2</v>
      </c>
      <c r="Q38" s="183"/>
    </row>
    <row r="39" spans="1:17" s="12" customFormat="1" ht="28.5" customHeight="1">
      <c r="A39" s="180" t="str">
        <f>'רשימת מכשור 2015'!A38</f>
        <v>משדר לחץ</v>
      </c>
      <c r="B39" s="180" t="str">
        <f>'רשימת מכשור 2015'!B38</f>
        <v>E+H</v>
      </c>
      <c r="C39" s="180" t="str">
        <f>'רשימת מכשור 2015'!C38</f>
        <v>CERABAR M PMP46-RE17P1JPDGD</v>
      </c>
      <c r="D39" s="233" t="str">
        <f>'רשימת מכשור 2015'!D38</f>
        <v>MEDIA</v>
      </c>
      <c r="E39" s="180" t="str">
        <f>'רשימת מכשור 2015'!E38</f>
        <v>1-1-56-PC-1</v>
      </c>
      <c r="F39" s="180">
        <f>'רשימת מכשור 2015'!F38</f>
        <v>6000</v>
      </c>
      <c r="G39" s="181">
        <v>1</v>
      </c>
      <c r="H39" s="181">
        <f t="shared" si="2"/>
        <v>6000</v>
      </c>
      <c r="I39" s="182" t="s">
        <v>82</v>
      </c>
      <c r="J39" s="181">
        <v>1</v>
      </c>
      <c r="K39" s="181">
        <v>1</v>
      </c>
      <c r="L39" s="181">
        <v>1.5</v>
      </c>
      <c r="M39" s="181" t="str">
        <f t="shared" si="0"/>
        <v>לא לרכוש</v>
      </c>
      <c r="N39" s="181">
        <v>1000</v>
      </c>
      <c r="O39" s="183"/>
      <c r="P39" s="183">
        <v>2</v>
      </c>
      <c r="Q39" s="183"/>
    </row>
    <row r="40" spans="1:17" s="12" customFormat="1" ht="28.5" customHeight="1">
      <c r="A40" s="180" t="str">
        <f>'רשימת מכשור 2015'!A39</f>
        <v>משדר לחץ</v>
      </c>
      <c r="B40" s="180" t="str">
        <f>'רשימת מכשור 2015'!B39</f>
        <v>E+H</v>
      </c>
      <c r="C40" s="180" t="str">
        <f>'רשימת מכשור 2015'!C39</f>
        <v>CERABAR M PMP46-RE17P1JPDGD</v>
      </c>
      <c r="D40" s="233" t="str">
        <f>'רשימת מכשור 2015'!D39</f>
        <v>MEDIA</v>
      </c>
      <c r="E40" s="180" t="str">
        <f>'רשימת מכשור 2015'!E39</f>
        <v>1-1-56-PC-2</v>
      </c>
      <c r="F40" s="180">
        <f>'רשימת מכשור 2015'!F39</f>
        <v>6000</v>
      </c>
      <c r="G40" s="181">
        <v>1</v>
      </c>
      <c r="H40" s="181">
        <f t="shared" si="2"/>
        <v>6000</v>
      </c>
      <c r="I40" s="182" t="s">
        <v>82</v>
      </c>
      <c r="J40" s="181">
        <v>1</v>
      </c>
      <c r="K40" s="181">
        <v>1</v>
      </c>
      <c r="L40" s="181">
        <v>1.5</v>
      </c>
      <c r="M40" s="181" t="str">
        <f t="shared" si="0"/>
        <v>לא לרכוש</v>
      </c>
      <c r="N40" s="181">
        <v>1000</v>
      </c>
      <c r="O40" s="183"/>
      <c r="P40" s="183">
        <v>2</v>
      </c>
      <c r="Q40" s="183"/>
    </row>
    <row r="41" spans="1:17" s="12" customFormat="1" ht="28.5" customHeight="1">
      <c r="A41" s="180" t="str">
        <f>'רשימת מכשור 2015'!A40</f>
        <v>משדר לחץ</v>
      </c>
      <c r="B41" s="180" t="str">
        <f>'רשימת מכשור 2015'!B40</f>
        <v>E+H</v>
      </c>
      <c r="C41" s="180" t="str">
        <f>'רשימת מכשור 2015'!C40</f>
        <v>CERABAR M PMP46-RE13SVJPDGD</v>
      </c>
      <c r="D41" s="233" t="str">
        <f>'רשימת מכשור 2015'!D40</f>
        <v>CRUDE</v>
      </c>
      <c r="E41" s="180" t="str">
        <f>'רשימת מכשור 2015'!E40</f>
        <v>1-1-28-PC-2</v>
      </c>
      <c r="F41" s="180">
        <f>'רשימת מכשור 2015'!F40</f>
        <v>6000</v>
      </c>
      <c r="G41" s="181">
        <v>1</v>
      </c>
      <c r="H41" s="181">
        <f t="shared" si="2"/>
        <v>6000</v>
      </c>
      <c r="I41" s="182" t="s">
        <v>82</v>
      </c>
      <c r="J41" s="181">
        <v>1</v>
      </c>
      <c r="K41" s="181">
        <v>1</v>
      </c>
      <c r="L41" s="181">
        <v>1.5</v>
      </c>
      <c r="M41" s="181" t="str">
        <f t="shared" si="0"/>
        <v>לא לרכוש</v>
      </c>
      <c r="N41" s="181">
        <v>1000</v>
      </c>
      <c r="O41" s="183"/>
      <c r="P41" s="183">
        <v>5</v>
      </c>
      <c r="Q41" s="183"/>
    </row>
    <row r="42" spans="1:17" s="12" customFormat="1" ht="28.5" customHeight="1">
      <c r="A42" s="180" t="str">
        <f>'רשימת מכשור 2015'!A41</f>
        <v>משדר לחץ</v>
      </c>
      <c r="B42" s="180" t="str">
        <f>'רשימת מכשור 2015'!B41</f>
        <v>E+H</v>
      </c>
      <c r="C42" s="180" t="str">
        <f>'רשימת מכשור 2015'!C41</f>
        <v>CERABAR M PMP46-RE13SVJPDGD</v>
      </c>
      <c r="D42" s="233" t="str">
        <f>'רשימת מכשור 2015'!D41</f>
        <v>CRUDE</v>
      </c>
      <c r="E42" s="180" t="str">
        <f>'רשימת מכשור 2015'!E41</f>
        <v>1-1-28-PC-1</v>
      </c>
      <c r="F42" s="180">
        <f>'רשימת מכשור 2015'!F41</f>
        <v>6000</v>
      </c>
      <c r="G42" s="181">
        <v>1</v>
      </c>
      <c r="H42" s="181">
        <f t="shared" si="2"/>
        <v>6000</v>
      </c>
      <c r="I42" s="182" t="s">
        <v>82</v>
      </c>
      <c r="J42" s="181">
        <v>1</v>
      </c>
      <c r="K42" s="181">
        <v>1</v>
      </c>
      <c r="L42" s="181">
        <v>1</v>
      </c>
      <c r="M42" s="181" t="str">
        <f t="shared" si="0"/>
        <v>לא לרכוש</v>
      </c>
      <c r="N42" s="181">
        <v>1000</v>
      </c>
      <c r="O42" s="183"/>
      <c r="P42" s="183">
        <v>5</v>
      </c>
      <c r="Q42" s="183"/>
    </row>
    <row r="43" spans="1:17" s="12" customFormat="1" ht="28.5" customHeight="1">
      <c r="A43" s="180" t="str">
        <f>'רשימת מכשור 2015'!A42</f>
        <v>משדר לחץ</v>
      </c>
      <c r="B43" s="180" t="str">
        <f>'רשימת מכשור 2015'!B42</f>
        <v>E+H</v>
      </c>
      <c r="C43" s="180" t="str">
        <f>'רשימת מכשור 2015'!C42</f>
        <v>CERABAR M PMP46-RE13SVJPDGD</v>
      </c>
      <c r="D43" s="233" t="str">
        <f>'רשימת מכשור 2015'!D42</f>
        <v>HARVEST</v>
      </c>
      <c r="E43" s="180" t="str">
        <f>'רשימת מכשור 2015'!E42</f>
        <v>1-1-27-PC-1</v>
      </c>
      <c r="F43" s="180">
        <f>'רשימת מכשור 2015'!F42</f>
        <v>6000</v>
      </c>
      <c r="G43" s="181">
        <v>1</v>
      </c>
      <c r="H43" s="181">
        <f t="shared" si="2"/>
        <v>6000</v>
      </c>
      <c r="I43" s="182" t="s">
        <v>82</v>
      </c>
      <c r="J43" s="181">
        <v>1</v>
      </c>
      <c r="K43" s="181">
        <v>1</v>
      </c>
      <c r="L43" s="181">
        <v>1.5</v>
      </c>
      <c r="M43" s="181" t="str">
        <f t="shared" si="0"/>
        <v>לא לרכוש</v>
      </c>
      <c r="N43" s="181">
        <v>1000</v>
      </c>
      <c r="O43" s="183"/>
      <c r="P43" s="183">
        <v>5</v>
      </c>
      <c r="Q43" s="183"/>
    </row>
    <row r="44" spans="1:17" s="12" customFormat="1" ht="42.75" customHeight="1">
      <c r="A44" s="180" t="str">
        <f>'רשימת מכשור 2015'!A43</f>
        <v>משדר לחץ</v>
      </c>
      <c r="B44" s="180" t="str">
        <f>'רשימת מכשור 2015'!B43</f>
        <v>E+H</v>
      </c>
      <c r="C44" s="180" t="str">
        <f>'רשימת מכשור 2015'!C43</f>
        <v>CERABAR M PMP46-RE13SVJPDGD</v>
      </c>
      <c r="D44" s="233" t="str">
        <f>'רשימת מכשור 2015'!D43</f>
        <v>COLUMN 2/3</v>
      </c>
      <c r="E44" s="180" t="str">
        <f>'רשימת מכשור 2015'!E43</f>
        <v>1-1-3-PC-1</v>
      </c>
      <c r="F44" s="180">
        <f>'רשימת מכשור 2015'!F43</f>
        <v>6000</v>
      </c>
      <c r="G44" s="181">
        <v>1</v>
      </c>
      <c r="H44" s="181">
        <f t="shared" si="2"/>
        <v>6000</v>
      </c>
      <c r="I44" s="182" t="s">
        <v>82</v>
      </c>
      <c r="J44" s="181">
        <v>1</v>
      </c>
      <c r="K44" s="181">
        <v>1</v>
      </c>
      <c r="L44" s="181">
        <v>1.5</v>
      </c>
      <c r="M44" s="181" t="str">
        <f t="shared" si="0"/>
        <v>לא לרכוש</v>
      </c>
      <c r="N44" s="181">
        <v>1000</v>
      </c>
      <c r="O44" s="183"/>
      <c r="P44" s="183">
        <v>5</v>
      </c>
      <c r="Q44" s="183"/>
    </row>
    <row r="45" spans="1:17" s="12" customFormat="1" ht="28.5" customHeight="1">
      <c r="A45" s="180" t="str">
        <f>'רשימת מכשור 2015'!A44</f>
        <v>משדר לחץ</v>
      </c>
      <c r="B45" s="180" t="str">
        <f>'רשימת מכשור 2015'!B44</f>
        <v>E+H</v>
      </c>
      <c r="C45" s="180" t="str">
        <f>'רשימת מכשור 2015'!C44</f>
        <v>CERABAR M PMP46-RE13SVJPDGD</v>
      </c>
      <c r="D45" s="233" t="str">
        <f>'רשימת מכשור 2015'!D44</f>
        <v>COLUMN 4/5</v>
      </c>
      <c r="E45" s="180" t="str">
        <f>'רשימת מכשור 2015'!E44</f>
        <v>1-1-4-PC-1</v>
      </c>
      <c r="F45" s="180">
        <f>'רשימת מכשור 2015'!F44</f>
        <v>6000</v>
      </c>
      <c r="G45" s="181">
        <v>1</v>
      </c>
      <c r="H45" s="181">
        <f t="shared" si="2"/>
        <v>6000</v>
      </c>
      <c r="I45" s="182" t="s">
        <v>82</v>
      </c>
      <c r="J45" s="181">
        <v>1</v>
      </c>
      <c r="K45" s="181">
        <v>1</v>
      </c>
      <c r="L45" s="181">
        <v>1</v>
      </c>
      <c r="M45" s="181" t="str">
        <f t="shared" si="0"/>
        <v>לא לרכוש</v>
      </c>
      <c r="N45" s="181">
        <v>1000</v>
      </c>
      <c r="O45" s="183"/>
      <c r="P45" s="183">
        <v>5</v>
      </c>
      <c r="Q45" s="183"/>
    </row>
    <row r="46" spans="1:17" s="12" customFormat="1" ht="28.5" customHeight="1">
      <c r="A46" s="180" t="str">
        <f>'רשימת מכשור 2015'!A45</f>
        <v>מד מפלס</v>
      </c>
      <c r="B46" s="180" t="str">
        <f>'רשימת מכשור 2015'!B45</f>
        <v>E+H</v>
      </c>
      <c r="C46" s="180" t="str">
        <f>'רשימת מכשור 2015'!C45</f>
        <v>LIQUCAP M FMI52-A1ATJJA1A1A</v>
      </c>
      <c r="D46" s="233" t="str">
        <f>'רשימת מכשור 2015'!D45</f>
        <v>PW STORAGE
2500</v>
      </c>
      <c r="E46" s="180" t="str">
        <f>'רשימת מכשור 2015'!E45</f>
        <v>1-1-606-LT-002</v>
      </c>
      <c r="F46" s="180">
        <f>'רשימת מכשור 2015'!F45</f>
        <v>5111</v>
      </c>
      <c r="G46" s="181">
        <v>1</v>
      </c>
      <c r="H46" s="181">
        <f t="shared" si="2"/>
        <v>5111</v>
      </c>
      <c r="I46" s="182"/>
      <c r="J46" s="181">
        <v>1</v>
      </c>
      <c r="K46" s="181">
        <v>1</v>
      </c>
      <c r="L46" s="181">
        <v>1.5</v>
      </c>
      <c r="M46" s="181" t="str">
        <f t="shared" si="0"/>
        <v>לרכוש</v>
      </c>
      <c r="N46" s="181">
        <v>1000</v>
      </c>
      <c r="O46" s="183"/>
      <c r="P46" s="183">
        <v>1</v>
      </c>
      <c r="Q46" s="183"/>
    </row>
    <row r="47" spans="1:17" s="12" customFormat="1" ht="42" customHeight="1">
      <c r="A47" s="180" t="str">
        <f>'רשימת מכשור 2015'!A46</f>
        <v>סעפת 20 ברז (מפעיל)ים</v>
      </c>
      <c r="B47" s="180" t="str">
        <f>'רשימת מכשור 2015'!B46</f>
        <v>FESTO ISRAEL</v>
      </c>
      <c r="C47" s="180" t="str">
        <f>'רשימת מכשור 2015'!C46</f>
        <v xml:space="preserve">FESTO </v>
      </c>
      <c r="D47" s="233" t="str">
        <f>'רשימת מכשור 2015'!D46</f>
        <v>צנטרפוגה</v>
      </c>
      <c r="E47" s="180" t="str">
        <f>'רשימת מכשור 2015'!E46</f>
        <v xml:space="preserve">N/A </v>
      </c>
      <c r="F47" s="180">
        <f>'רשימת מכשור 2015'!F46</f>
        <v>5000</v>
      </c>
      <c r="G47" s="181">
        <v>1</v>
      </c>
      <c r="H47" s="181">
        <f t="shared" si="2"/>
        <v>5000</v>
      </c>
      <c r="I47" s="182"/>
      <c r="J47" s="181">
        <v>1</v>
      </c>
      <c r="K47" s="181">
        <v>1</v>
      </c>
      <c r="L47" s="181">
        <v>0.5</v>
      </c>
      <c r="M47" s="181" t="str">
        <f t="shared" si="0"/>
        <v>לרכוש</v>
      </c>
      <c r="N47" s="181">
        <v>1000</v>
      </c>
      <c r="O47" s="183"/>
      <c r="P47" s="183">
        <v>1</v>
      </c>
      <c r="Q47" s="183"/>
    </row>
    <row r="48" spans="1:17" s="12" customFormat="1" ht="71.400000000000006" customHeight="1">
      <c r="A48" s="180" t="str">
        <f>'רשימת מכשור 2015'!A47</f>
        <v>משדר לחץ</v>
      </c>
      <c r="B48" s="180" t="str">
        <f>'רשימת מכשור 2015'!B47</f>
        <v>Baumer</v>
      </c>
      <c r="C48" s="180" t="str">
        <f>'רשימת מכשור 2015'!C47</f>
        <v>PBMH 25B72RA14481202000</v>
      </c>
      <c r="D48" s="233" t="str">
        <f>'רשימת מכשור 2015'!D47</f>
        <v>DISTILLERY</v>
      </c>
      <c r="E48" s="180" t="str">
        <f>'רשימת מכשור 2015'!E47</f>
        <v>1-1-40-PT-01</v>
      </c>
      <c r="F48" s="180">
        <f>'רשימת מכשור 2015'!F47</f>
        <v>5000</v>
      </c>
      <c r="G48" s="181">
        <v>1</v>
      </c>
      <c r="H48" s="181">
        <f t="shared" si="2"/>
        <v>5000</v>
      </c>
      <c r="I48" s="182" t="s">
        <v>82</v>
      </c>
      <c r="J48" s="181">
        <v>1</v>
      </c>
      <c r="K48" s="181">
        <v>1</v>
      </c>
      <c r="L48" s="181">
        <v>1.2</v>
      </c>
      <c r="M48" s="181" t="str">
        <f t="shared" si="0"/>
        <v>לא לרכוש</v>
      </c>
      <c r="N48" s="181">
        <v>1000</v>
      </c>
      <c r="O48" s="183"/>
      <c r="P48" s="183">
        <v>3</v>
      </c>
      <c r="Q48" s="183"/>
    </row>
    <row r="49" spans="1:17" s="12" customFormat="1" ht="28.5" customHeight="1">
      <c r="A49" s="180" t="str">
        <f>'רשימת מכשור 2015'!A48</f>
        <v>משדר לחץ</v>
      </c>
      <c r="B49" s="180" t="str">
        <f>'רשימת מכשור 2015'!B48</f>
        <v>Baumer</v>
      </c>
      <c r="C49" s="180" t="str">
        <f>'רשימת מכשור 2015'!C48</f>
        <v>PBMH 25B72RA14481202000</v>
      </c>
      <c r="D49" s="233" t="str">
        <f>'רשימת מכשור 2015'!D48</f>
        <v>DISTILLERY</v>
      </c>
      <c r="E49" s="180" t="str">
        <f>'רשימת מכשור 2015'!E48</f>
        <v>1-1-40-PT-02</v>
      </c>
      <c r="F49" s="180">
        <f>'רשימת מכשור 2015'!F48</f>
        <v>5000</v>
      </c>
      <c r="G49" s="181">
        <v>1</v>
      </c>
      <c r="H49" s="181">
        <f t="shared" si="2"/>
        <v>5000</v>
      </c>
      <c r="I49" s="182" t="s">
        <v>82</v>
      </c>
      <c r="J49" s="181">
        <v>1</v>
      </c>
      <c r="K49" s="181">
        <v>1</v>
      </c>
      <c r="L49" s="181">
        <v>1.2</v>
      </c>
      <c r="M49" s="181" t="str">
        <f t="shared" si="0"/>
        <v>לא לרכוש</v>
      </c>
      <c r="N49" s="181">
        <v>1000</v>
      </c>
      <c r="O49" s="183"/>
      <c r="P49" s="183">
        <v>3</v>
      </c>
      <c r="Q49" s="183"/>
    </row>
    <row r="50" spans="1:17" s="12" customFormat="1" ht="28.8">
      <c r="A50" s="180" t="str">
        <f>'רשימת מכשור 2015'!A49</f>
        <v>משדר לחץ</v>
      </c>
      <c r="B50" s="180" t="str">
        <f>'רשימת מכשור 2015'!B49</f>
        <v>Baumer</v>
      </c>
      <c r="C50" s="180" t="str">
        <f>'רשימת מכשור 2015'!C49</f>
        <v>PBMH 25B72RA14481202000</v>
      </c>
      <c r="D50" s="233" t="str">
        <f>'רשימת מכשור 2015'!D49</f>
        <v>DISTILLERY</v>
      </c>
      <c r="E50" s="180" t="str">
        <f>'רשימת מכשור 2015'!E49</f>
        <v>1-1-40-PT-03</v>
      </c>
      <c r="F50" s="180">
        <f>'רשימת מכשור 2015'!F49</f>
        <v>5000</v>
      </c>
      <c r="G50" s="181">
        <v>1</v>
      </c>
      <c r="H50" s="181">
        <f t="shared" si="2"/>
        <v>5000</v>
      </c>
      <c r="I50" s="182" t="s">
        <v>82</v>
      </c>
      <c r="J50" s="181">
        <v>1</v>
      </c>
      <c r="K50" s="181">
        <v>1</v>
      </c>
      <c r="L50" s="181">
        <v>1.2</v>
      </c>
      <c r="M50" s="181" t="str">
        <f t="shared" si="0"/>
        <v>לא לרכוש</v>
      </c>
      <c r="N50" s="181">
        <v>1000</v>
      </c>
      <c r="O50" s="183"/>
      <c r="P50" s="183">
        <v>3</v>
      </c>
      <c r="Q50" s="183"/>
    </row>
    <row r="51" spans="1:17" s="12" customFormat="1" ht="35.4" customHeight="1">
      <c r="A51" s="180" t="str">
        <f>'רשימת מכשור 2015'!A50</f>
        <v>LOAD CELL</v>
      </c>
      <c r="B51" s="180" t="str">
        <f>'רשימת מכשור 2015'!B50</f>
        <v>TEDEA</v>
      </c>
      <c r="C51" s="180">
        <f>'רשימת מכשור 2015'!C50</f>
        <v>3410</v>
      </c>
      <c r="D51" s="233" t="str">
        <f>'רשימת מכשור 2015'!D50</f>
        <v>MEDIA</v>
      </c>
      <c r="E51" s="180" t="str">
        <f>'רשימת מכשור 2015'!E50</f>
        <v>1-1-8-WC-1</v>
      </c>
      <c r="F51" s="180">
        <f>'רשימת מכשור 2015'!F50</f>
        <v>1500</v>
      </c>
      <c r="G51" s="181">
        <v>1</v>
      </c>
      <c r="H51" s="181">
        <f t="shared" si="2"/>
        <v>1500</v>
      </c>
      <c r="I51" s="182" t="s">
        <v>82</v>
      </c>
      <c r="J51" s="181">
        <v>1</v>
      </c>
      <c r="K51" s="181">
        <v>1</v>
      </c>
      <c r="L51" s="181">
        <v>0.5</v>
      </c>
      <c r="M51" s="181" t="str">
        <f t="shared" si="0"/>
        <v>לא לרכוש</v>
      </c>
      <c r="N51" s="181">
        <v>1000</v>
      </c>
      <c r="O51" s="183"/>
      <c r="P51" s="183">
        <v>27</v>
      </c>
      <c r="Q51" s="183"/>
    </row>
    <row r="52" spans="1:17" s="12" customFormat="1" ht="28.5" customHeight="1">
      <c r="A52" s="180" t="str">
        <f>'רשימת מכשור 2015'!A51</f>
        <v>LOAD CELL</v>
      </c>
      <c r="B52" s="180" t="str">
        <f>'רשימת מכשור 2015'!B51</f>
        <v>REVERE</v>
      </c>
      <c r="C52" s="180" t="str">
        <f>'רשימת מכשור 2015'!C51</f>
        <v xml:space="preserve">RLC </v>
      </c>
      <c r="D52" s="233" t="str">
        <f>'רשימת מכשור 2015'!D51</f>
        <v>CRUDE</v>
      </c>
      <c r="E52" s="180" t="str">
        <f>'רשימת מכשור 2015'!E51</f>
        <v>1-1-28-WC-1</v>
      </c>
      <c r="F52" s="180">
        <f>'רשימת מכשור 2015'!F51</f>
        <v>1500</v>
      </c>
      <c r="G52" s="181">
        <v>1</v>
      </c>
      <c r="H52" s="181">
        <f t="shared" si="2"/>
        <v>1500</v>
      </c>
      <c r="I52" s="182"/>
      <c r="J52" s="181">
        <v>1</v>
      </c>
      <c r="K52" s="181">
        <v>1</v>
      </c>
      <c r="L52" s="181">
        <v>0.5</v>
      </c>
      <c r="M52" s="181" t="str">
        <f t="shared" si="0"/>
        <v>לרכוש</v>
      </c>
      <c r="N52" s="181">
        <v>1000</v>
      </c>
      <c r="O52" s="183"/>
      <c r="P52" s="183">
        <v>21</v>
      </c>
      <c r="Q52" s="183"/>
    </row>
    <row r="53" spans="1:17" s="12" customFormat="1" ht="28.5" customHeight="1">
      <c r="A53" s="180" t="str">
        <f>'רשימת מכשור 2015'!A52</f>
        <v>LOAD CELL</v>
      </c>
      <c r="B53" s="180" t="str">
        <f>'רשימת מכשור 2015'!B52</f>
        <v>TEDEA</v>
      </c>
      <c r="C53" s="180">
        <f>'רשימת מכשור 2015'!C52</f>
        <v>3410</v>
      </c>
      <c r="D53" s="233" t="str">
        <f>'רשימת מכשור 2015'!D52</f>
        <v>CRUDE</v>
      </c>
      <c r="E53" s="180" t="str">
        <f>'רשימת מכשור 2015'!E52</f>
        <v>1-1-28-WC-2</v>
      </c>
      <c r="F53" s="180">
        <f>'רשימת מכשור 2015'!F52</f>
        <v>1500</v>
      </c>
      <c r="G53" s="181">
        <v>1</v>
      </c>
      <c r="H53" s="181">
        <f t="shared" si="2"/>
        <v>1500</v>
      </c>
      <c r="I53" s="182" t="s">
        <v>82</v>
      </c>
      <c r="J53" s="181">
        <v>1</v>
      </c>
      <c r="K53" s="181">
        <v>1</v>
      </c>
      <c r="L53" s="181">
        <v>0.5</v>
      </c>
      <c r="M53" s="181" t="str">
        <f t="shared" si="0"/>
        <v>לא לרכוש</v>
      </c>
      <c r="N53" s="181">
        <v>1000</v>
      </c>
      <c r="O53" s="183"/>
      <c r="P53" s="183">
        <v>27</v>
      </c>
      <c r="Q53" s="183"/>
    </row>
    <row r="54" spans="1:17" s="12" customFormat="1" ht="30.15" customHeight="1">
      <c r="A54" s="180" t="str">
        <f>'רשימת מכשור 2015'!A53</f>
        <v>LOAD CELL</v>
      </c>
      <c r="B54" s="180" t="str">
        <f>'רשימת מכשור 2015'!B53</f>
        <v>REVERE</v>
      </c>
      <c r="C54" s="180" t="str">
        <f>'רשימת מכשור 2015'!C53</f>
        <v xml:space="preserve">RLC </v>
      </c>
      <c r="D54" s="233" t="str">
        <f>'רשימת מכשור 2015'!D53</f>
        <v>CRUDE</v>
      </c>
      <c r="E54" s="180" t="str">
        <f>'רשימת מכשור 2015'!E53</f>
        <v>1-1-30-WC-1</v>
      </c>
      <c r="F54" s="180">
        <f>'רשימת מכשור 2015'!F53</f>
        <v>1500</v>
      </c>
      <c r="G54" s="181">
        <v>1</v>
      </c>
      <c r="H54" s="181">
        <f t="shared" si="2"/>
        <v>1500</v>
      </c>
      <c r="I54" s="182"/>
      <c r="J54" s="181">
        <v>1</v>
      </c>
      <c r="K54" s="181">
        <v>1</v>
      </c>
      <c r="L54" s="181">
        <v>0.5</v>
      </c>
      <c r="M54" s="181" t="str">
        <f t="shared" si="0"/>
        <v>לרכוש</v>
      </c>
      <c r="N54" s="181">
        <v>1000</v>
      </c>
      <c r="O54" s="183"/>
      <c r="P54" s="183">
        <v>21</v>
      </c>
      <c r="Q54" s="183"/>
    </row>
    <row r="55" spans="1:17" s="12" customFormat="1" ht="28.5" customHeight="1">
      <c r="A55" s="180" t="str">
        <f>'רשימת מכשור 2015'!A54</f>
        <v>LOAD CELL</v>
      </c>
      <c r="B55" s="180" t="str">
        <f>'רשימת מכשור 2015'!B54</f>
        <v>REVERE</v>
      </c>
      <c r="C55" s="180" t="str">
        <f>'רשימת מכשור 2015'!C54</f>
        <v xml:space="preserve">RLC </v>
      </c>
      <c r="D55" s="233" t="str">
        <f>'רשימת מכשור 2015'!D54</f>
        <v>CRUDE</v>
      </c>
      <c r="E55" s="180" t="str">
        <f>'רשימת מכשור 2015'!E54</f>
        <v>1-1-31-WC-2</v>
      </c>
      <c r="F55" s="180">
        <f>'רשימת מכשור 2015'!F54</f>
        <v>1500</v>
      </c>
      <c r="G55" s="181">
        <v>1</v>
      </c>
      <c r="H55" s="181">
        <f t="shared" si="2"/>
        <v>1500</v>
      </c>
      <c r="I55" s="182"/>
      <c r="J55" s="181">
        <v>1</v>
      </c>
      <c r="K55" s="181">
        <v>1</v>
      </c>
      <c r="L55" s="181">
        <v>0.5</v>
      </c>
      <c r="M55" s="181" t="str">
        <f t="shared" si="0"/>
        <v>לרכוש</v>
      </c>
      <c r="N55" s="181">
        <v>1000</v>
      </c>
      <c r="O55" s="183"/>
      <c r="P55" s="183">
        <v>21</v>
      </c>
      <c r="Q55" s="183"/>
    </row>
    <row r="56" spans="1:17" s="12" customFormat="1" ht="28.5" customHeight="1">
      <c r="A56" s="180" t="str">
        <f>'רשימת מכשור 2015'!A55</f>
        <v>LOAD CELL</v>
      </c>
      <c r="B56" s="180" t="str">
        <f>'רשימת מכשור 2015'!B55</f>
        <v>REVERE</v>
      </c>
      <c r="C56" s="180" t="str">
        <f>'רשימת מכשור 2015'!C55</f>
        <v xml:space="preserve">RLC </v>
      </c>
      <c r="D56" s="233" t="str">
        <f>'רשימת מכשור 2015'!D55</f>
        <v>CRUDE</v>
      </c>
      <c r="E56" s="180" t="str">
        <f>'רשימת מכשור 2015'!E55</f>
        <v>1-1-31-WC-1</v>
      </c>
      <c r="F56" s="180">
        <f>'רשימת מכשור 2015'!F55</f>
        <v>1500</v>
      </c>
      <c r="G56" s="181">
        <v>1</v>
      </c>
      <c r="H56" s="181">
        <f t="shared" ref="H56:H79" si="3">G56*F56</f>
        <v>1500</v>
      </c>
      <c r="I56" s="182"/>
      <c r="J56" s="181">
        <v>1</v>
      </c>
      <c r="K56" s="181">
        <v>1</v>
      </c>
      <c r="L56" s="181">
        <v>0.5</v>
      </c>
      <c r="M56" s="181" t="str">
        <f t="shared" si="0"/>
        <v>לרכוש</v>
      </c>
      <c r="N56" s="181">
        <v>1000</v>
      </c>
      <c r="O56" s="183"/>
      <c r="P56" s="183">
        <v>21</v>
      </c>
      <c r="Q56" s="183"/>
    </row>
    <row r="57" spans="1:17" s="12" customFormat="1" ht="28.5" customHeight="1">
      <c r="A57" s="180" t="str">
        <f>'רשימת מכשור 2015'!A56</f>
        <v>LOAD CELL</v>
      </c>
      <c r="B57" s="180" t="str">
        <f>'רשימת מכשור 2015'!B56</f>
        <v>TEDEA</v>
      </c>
      <c r="C57" s="180">
        <f>'רשימת מכשור 2015'!C56</f>
        <v>3410</v>
      </c>
      <c r="D57" s="233" t="str">
        <f>'רשימת מכשור 2015'!D56</f>
        <v>HARVEST</v>
      </c>
      <c r="E57" s="180" t="str">
        <f>'רשימת מכשור 2015'!E56</f>
        <v>1-1-27-WC-1</v>
      </c>
      <c r="F57" s="180">
        <f>'רשימת מכשור 2015'!F56</f>
        <v>1500</v>
      </c>
      <c r="G57" s="181">
        <v>1</v>
      </c>
      <c r="H57" s="181">
        <f t="shared" si="3"/>
        <v>1500</v>
      </c>
      <c r="I57" s="182" t="s">
        <v>82</v>
      </c>
      <c r="J57" s="181">
        <v>1</v>
      </c>
      <c r="K57" s="181">
        <v>1</v>
      </c>
      <c r="L57" s="181">
        <v>0.5</v>
      </c>
      <c r="M57" s="181" t="str">
        <f t="shared" si="0"/>
        <v>לא לרכוש</v>
      </c>
      <c r="N57" s="181">
        <v>1000</v>
      </c>
      <c r="O57" s="183"/>
      <c r="P57" s="183">
        <v>27</v>
      </c>
      <c r="Q57" s="183"/>
    </row>
    <row r="58" spans="1:17" s="12" customFormat="1" ht="28.5" customHeight="1">
      <c r="A58" s="180" t="str">
        <f>'רשימת מכשור 2015'!A57</f>
        <v>מד מהירות</v>
      </c>
      <c r="B58" s="180" t="str">
        <f>'רשימת מכשור 2015'!B57</f>
        <v>p+f</v>
      </c>
      <c r="C58" s="180" t="str">
        <f>'רשימת מכשור 2015'!C57</f>
        <v>KFD2-UFC-EX1.D</v>
      </c>
      <c r="D58" s="233" t="str">
        <f>'רשימת מכשור 2015'!D57</f>
        <v>HARVEST</v>
      </c>
      <c r="E58" s="180" t="str">
        <f>'רשימת מכשור 2015'!E57</f>
        <v>1-1-27-SIC-1</v>
      </c>
      <c r="F58" s="180">
        <f>'רשימת מכשור 2015'!F57</f>
        <v>4500</v>
      </c>
      <c r="G58" s="181">
        <v>1</v>
      </c>
      <c r="H58" s="181">
        <f t="shared" si="3"/>
        <v>4500</v>
      </c>
      <c r="I58" s="182"/>
      <c r="J58" s="181">
        <v>1</v>
      </c>
      <c r="K58" s="181">
        <v>1</v>
      </c>
      <c r="L58" s="181">
        <v>1.5</v>
      </c>
      <c r="M58" s="181" t="str">
        <f t="shared" si="0"/>
        <v>לרכוש</v>
      </c>
      <c r="N58" s="181">
        <v>1000</v>
      </c>
      <c r="O58" s="183"/>
      <c r="P58" s="183">
        <v>1</v>
      </c>
      <c r="Q58" s="183"/>
    </row>
    <row r="59" spans="1:17" s="12" customFormat="1" ht="28.5" customHeight="1">
      <c r="A59" s="180" t="str">
        <f>'רשימת מכשור 2015'!A58</f>
        <v>LOAD CELL</v>
      </c>
      <c r="B59" s="180" t="str">
        <f>'רשימת מכשור 2015'!B58</f>
        <v>TEDEA</v>
      </c>
      <c r="C59" s="180">
        <f>'רשימת מכשור 2015'!C58</f>
        <v>3410</v>
      </c>
      <c r="D59" s="233" t="str">
        <f>'רשימת מכשור 2015'!D58</f>
        <v>COLUMN 1</v>
      </c>
      <c r="E59" s="180" t="str">
        <f>'רשימת מכשור 2015'!E58</f>
        <v>1-1-144-TV-WT-01</v>
      </c>
      <c r="F59" s="180">
        <f>'רשימת מכשור 2015'!F58</f>
        <v>1500</v>
      </c>
      <c r="G59" s="181">
        <v>1</v>
      </c>
      <c r="H59" s="181">
        <f t="shared" si="3"/>
        <v>1500</v>
      </c>
      <c r="I59" s="182" t="s">
        <v>82</v>
      </c>
      <c r="J59" s="181">
        <v>1</v>
      </c>
      <c r="K59" s="181">
        <v>1</v>
      </c>
      <c r="L59" s="181">
        <v>0.5</v>
      </c>
      <c r="M59" s="181" t="str">
        <f t="shared" si="0"/>
        <v>לא לרכוש</v>
      </c>
      <c r="N59" s="181">
        <v>1000</v>
      </c>
      <c r="O59" s="183"/>
      <c r="P59" s="183">
        <v>27</v>
      </c>
      <c r="Q59" s="183"/>
    </row>
    <row r="60" spans="1:17" s="12" customFormat="1" ht="42.75" customHeight="1">
      <c r="A60" s="180" t="str">
        <f>'רשימת מכשור 2015'!A59</f>
        <v>LOAD CELL</v>
      </c>
      <c r="B60" s="180" t="str">
        <f>'רשימת מכשור 2015'!B59</f>
        <v>TEDEA</v>
      </c>
      <c r="C60" s="180">
        <f>'רשימת מכשור 2015'!C59</f>
        <v>3410</v>
      </c>
      <c r="D60" s="233" t="str">
        <f>'רשימת מכשור 2015'!D59</f>
        <v>COLUMN 1</v>
      </c>
      <c r="E60" s="180" t="str">
        <f>'רשימת מכשור 2015'!E59</f>
        <v>1-1-144-TV-WC-06</v>
      </c>
      <c r="F60" s="180">
        <f>'רשימת מכשור 2015'!F59</f>
        <v>1500</v>
      </c>
      <c r="G60" s="181">
        <v>1</v>
      </c>
      <c r="H60" s="181">
        <f t="shared" si="3"/>
        <v>1500</v>
      </c>
      <c r="I60" s="182" t="s">
        <v>82</v>
      </c>
      <c r="J60" s="181">
        <v>1</v>
      </c>
      <c r="K60" s="181">
        <v>1</v>
      </c>
      <c r="L60" s="181">
        <v>0.5</v>
      </c>
      <c r="M60" s="181" t="str">
        <f t="shared" si="0"/>
        <v>לא לרכוש</v>
      </c>
      <c r="N60" s="181">
        <v>1000</v>
      </c>
      <c r="O60" s="183"/>
      <c r="P60" s="183">
        <v>27</v>
      </c>
      <c r="Q60" s="183"/>
    </row>
    <row r="61" spans="1:17" s="12" customFormat="1" ht="28.5" customHeight="1">
      <c r="A61" s="180" t="str">
        <f>'רשימת מכשור 2015'!A60</f>
        <v>LOAD CELL</v>
      </c>
      <c r="B61" s="180" t="str">
        <f>'רשימת מכשור 2015'!B60</f>
        <v>TEDEA</v>
      </c>
      <c r="C61" s="180">
        <f>'רשימת מכשור 2015'!C60</f>
        <v>3410</v>
      </c>
      <c r="D61" s="233" t="str">
        <f>'רשימת מכשור 2015'!D60</f>
        <v>COLUMN 1</v>
      </c>
      <c r="E61" s="180" t="str">
        <f>'רשימת מכשור 2015'!E60</f>
        <v>1-1-144-TV-WT-02</v>
      </c>
      <c r="F61" s="180">
        <f>'רשימת מכשור 2015'!F60</f>
        <v>1500</v>
      </c>
      <c r="G61" s="181">
        <v>1</v>
      </c>
      <c r="H61" s="181">
        <f t="shared" si="3"/>
        <v>1500</v>
      </c>
      <c r="I61" s="182" t="s">
        <v>82</v>
      </c>
      <c r="J61" s="181">
        <v>1</v>
      </c>
      <c r="K61" s="181">
        <v>1</v>
      </c>
      <c r="L61" s="181">
        <v>0.5</v>
      </c>
      <c r="M61" s="181" t="str">
        <f t="shared" si="0"/>
        <v>לא לרכוש</v>
      </c>
      <c r="N61" s="181">
        <v>1000</v>
      </c>
      <c r="O61" s="183"/>
      <c r="P61" s="183">
        <v>27</v>
      </c>
      <c r="Q61" s="183"/>
    </row>
    <row r="62" spans="1:17" s="12" customFormat="1" ht="28.5" customHeight="1">
      <c r="A62" s="180" t="str">
        <f>'רשימת מכשור 2015'!A61</f>
        <v>LOAD CELL</v>
      </c>
      <c r="B62" s="180" t="str">
        <f>'רשימת מכשור 2015'!B61</f>
        <v>TEDEA</v>
      </c>
      <c r="C62" s="180">
        <f>'רשימת מכשור 2015'!C61</f>
        <v>3410</v>
      </c>
      <c r="D62" s="233" t="str">
        <f>'רשימת מכשור 2015'!D61</f>
        <v>COLUMN 1</v>
      </c>
      <c r="E62" s="180" t="str">
        <f>'רשימת מכשור 2015'!E61</f>
        <v>1-1-144-TV-WT-03</v>
      </c>
      <c r="F62" s="180">
        <f>'רשימת מכשור 2015'!F61</f>
        <v>1500</v>
      </c>
      <c r="G62" s="181">
        <v>1</v>
      </c>
      <c r="H62" s="181">
        <f t="shared" si="3"/>
        <v>1500</v>
      </c>
      <c r="I62" s="182" t="s">
        <v>82</v>
      </c>
      <c r="J62" s="181">
        <v>1</v>
      </c>
      <c r="K62" s="181">
        <v>1</v>
      </c>
      <c r="L62" s="181">
        <v>0.5</v>
      </c>
      <c r="M62" s="181" t="str">
        <f t="shared" si="0"/>
        <v>לא לרכוש</v>
      </c>
      <c r="N62" s="181">
        <v>1000</v>
      </c>
      <c r="O62" s="183"/>
      <c r="P62" s="183">
        <v>27</v>
      </c>
      <c r="Q62" s="183"/>
    </row>
    <row r="63" spans="1:17" s="12" customFormat="1" ht="28.5" customHeight="1">
      <c r="A63" s="180" t="str">
        <f>'רשימת מכשור 2015'!A62</f>
        <v>LOAD CELL</v>
      </c>
      <c r="B63" s="180" t="str">
        <f>'רשימת מכשור 2015'!B62</f>
        <v>TEDEA</v>
      </c>
      <c r="C63" s="180">
        <f>'רשימת מכשור 2015'!C62</f>
        <v>3410</v>
      </c>
      <c r="D63" s="233" t="str">
        <f>'רשימת מכשור 2015'!D62</f>
        <v>COLUMN 1</v>
      </c>
      <c r="E63" s="180" t="str">
        <f>'רשימת מכשור 2015'!E62</f>
        <v>1-1-144-TV-WT-05</v>
      </c>
      <c r="F63" s="180">
        <f>'רשימת מכשור 2015'!F62</f>
        <v>1500</v>
      </c>
      <c r="G63" s="181">
        <v>1</v>
      </c>
      <c r="H63" s="181">
        <f t="shared" si="3"/>
        <v>1500</v>
      </c>
      <c r="I63" s="182" t="s">
        <v>82</v>
      </c>
      <c r="J63" s="181">
        <v>1</v>
      </c>
      <c r="K63" s="181">
        <v>1</v>
      </c>
      <c r="L63" s="181">
        <v>0.5</v>
      </c>
      <c r="M63" s="181" t="str">
        <f t="shared" si="0"/>
        <v>לא לרכוש</v>
      </c>
      <c r="N63" s="181">
        <v>1000</v>
      </c>
      <c r="O63" s="183"/>
      <c r="P63" s="183">
        <v>27</v>
      </c>
      <c r="Q63" s="183"/>
    </row>
    <row r="64" spans="1:17" s="12" customFormat="1" ht="28.5" customHeight="1">
      <c r="A64" s="180" t="str">
        <f>'רשימת מכשור 2015'!A63</f>
        <v>LOAD CELL</v>
      </c>
      <c r="B64" s="180" t="str">
        <f>'רשימת מכשור 2015'!B63</f>
        <v>TEDEA</v>
      </c>
      <c r="C64" s="180">
        <f>'רשימת מכשור 2015'!C63</f>
        <v>3410</v>
      </c>
      <c r="D64" s="233" t="str">
        <f>'רשימת מכשור 2015'!D63</f>
        <v>COLUMN 1</v>
      </c>
      <c r="E64" s="180" t="str">
        <f>'רשימת מכשור 2015'!E63</f>
        <v>1-1-144-TV-WT-04</v>
      </c>
      <c r="F64" s="180">
        <f>'רשימת מכשור 2015'!F63</f>
        <v>1500</v>
      </c>
      <c r="G64" s="181">
        <v>1</v>
      </c>
      <c r="H64" s="181">
        <f t="shared" si="3"/>
        <v>1500</v>
      </c>
      <c r="I64" s="182" t="s">
        <v>82</v>
      </c>
      <c r="J64" s="181">
        <v>1</v>
      </c>
      <c r="K64" s="181">
        <v>1</v>
      </c>
      <c r="L64" s="181">
        <v>0.5</v>
      </c>
      <c r="M64" s="181" t="str">
        <f t="shared" si="0"/>
        <v>לא לרכוש</v>
      </c>
      <c r="N64" s="181">
        <v>1000</v>
      </c>
      <c r="O64" s="183"/>
      <c r="P64" s="183">
        <v>27</v>
      </c>
      <c r="Q64" s="183"/>
    </row>
    <row r="65" spans="1:17" s="12" customFormat="1" ht="14.25" customHeight="1">
      <c r="A65" s="180" t="str">
        <f>'רשימת מכשור 2015'!A64</f>
        <v>LOAD CELL</v>
      </c>
      <c r="B65" s="180" t="str">
        <f>'רשימת מכשור 2015'!B64</f>
        <v>TEDEA</v>
      </c>
      <c r="C65" s="180" t="str">
        <f>'רשימת מכשור 2015'!C64</f>
        <v xml:space="preserve">RLC </v>
      </c>
      <c r="D65" s="233" t="str">
        <f>'רשימת מכשור 2015'!D64</f>
        <v>COLUMN 2/3</v>
      </c>
      <c r="E65" s="180" t="str">
        <f>'רשימת מכשור 2015'!E64</f>
        <v>1-1-3-WC-1</v>
      </c>
      <c r="F65" s="180">
        <f>'רשימת מכשור 2015'!F64</f>
        <v>1500</v>
      </c>
      <c r="G65" s="181">
        <v>1</v>
      </c>
      <c r="H65" s="181">
        <f t="shared" si="3"/>
        <v>1500</v>
      </c>
      <c r="I65" s="182"/>
      <c r="J65" s="181">
        <v>1</v>
      </c>
      <c r="K65" s="181">
        <v>1</v>
      </c>
      <c r="L65" s="181">
        <v>0.5</v>
      </c>
      <c r="M65" s="181" t="str">
        <f t="shared" si="0"/>
        <v>לרכוש</v>
      </c>
      <c r="N65" s="181">
        <v>1000</v>
      </c>
      <c r="O65" s="183"/>
      <c r="P65" s="183">
        <v>21</v>
      </c>
      <c r="Q65" s="183"/>
    </row>
    <row r="66" spans="1:17" s="12" customFormat="1" ht="14.25" customHeight="1">
      <c r="A66" s="180" t="str">
        <f>'רשימת מכשור 2015'!A65</f>
        <v>LOAD CELL</v>
      </c>
      <c r="B66" s="180" t="str">
        <f>'רשימת מכשור 2015'!B65</f>
        <v>TEDEA</v>
      </c>
      <c r="C66" s="180" t="str">
        <f>'רשימת מכשור 2015'!C65</f>
        <v xml:space="preserve">RLC </v>
      </c>
      <c r="D66" s="233" t="str">
        <f>'רשימת מכשור 2015'!D65</f>
        <v>COLUMN 2/3</v>
      </c>
      <c r="E66" s="180" t="str">
        <f>'רשימת מכשור 2015'!E65</f>
        <v>1-1-3-WC-2</v>
      </c>
      <c r="F66" s="180">
        <f>'רשימת מכשור 2015'!F65</f>
        <v>1500</v>
      </c>
      <c r="G66" s="181">
        <v>1</v>
      </c>
      <c r="H66" s="181">
        <f t="shared" si="3"/>
        <v>1500</v>
      </c>
      <c r="I66" s="182"/>
      <c r="J66" s="181">
        <v>1</v>
      </c>
      <c r="K66" s="181">
        <v>1</v>
      </c>
      <c r="L66" s="181">
        <v>0.5</v>
      </c>
      <c r="M66" s="181" t="str">
        <f t="shared" si="0"/>
        <v>לרכוש</v>
      </c>
      <c r="N66" s="181">
        <v>1000</v>
      </c>
      <c r="O66" s="183"/>
      <c r="P66" s="183">
        <v>21</v>
      </c>
      <c r="Q66" s="183"/>
    </row>
    <row r="67" spans="1:17" s="12" customFormat="1" ht="14.25" customHeight="1">
      <c r="A67" s="180" t="str">
        <f>'רשימת מכשור 2015'!A66</f>
        <v>LOAD CELL</v>
      </c>
      <c r="B67" s="180" t="str">
        <f>'רשימת מכשור 2015'!B66</f>
        <v>TEDEA</v>
      </c>
      <c r="C67" s="180">
        <f>'רשימת מכשור 2015'!C66</f>
        <v>3510</v>
      </c>
      <c r="D67" s="233" t="str">
        <f>'רשימת מכשור 2015'!D66</f>
        <v>COLUMN 4/5</v>
      </c>
      <c r="E67" s="180" t="str">
        <f>'רשימת מכשור 2015'!E66</f>
        <v>1-1-4-WC-1</v>
      </c>
      <c r="F67" s="180">
        <f>'רשימת מכשור 2015'!F66</f>
        <v>1500</v>
      </c>
      <c r="G67" s="181">
        <v>1</v>
      </c>
      <c r="H67" s="181">
        <f t="shared" si="3"/>
        <v>1500</v>
      </c>
      <c r="I67" s="182"/>
      <c r="J67" s="181">
        <v>1</v>
      </c>
      <c r="K67" s="181">
        <v>1</v>
      </c>
      <c r="L67" s="181">
        <v>0.5</v>
      </c>
      <c r="M67" s="181" t="str">
        <f t="shared" si="0"/>
        <v>לרכוש</v>
      </c>
      <c r="N67" s="181">
        <v>1000</v>
      </c>
      <c r="O67" s="183"/>
      <c r="P67" s="183">
        <v>3</v>
      </c>
      <c r="Q67" s="183"/>
    </row>
    <row r="68" spans="1:17" s="12" customFormat="1" ht="14.25" customHeight="1">
      <c r="A68" s="180" t="str">
        <f>'רשימת מכשור 2015'!A67</f>
        <v>LOAD CELL</v>
      </c>
      <c r="B68" s="180" t="str">
        <f>'רשימת מכשור 2015'!B67</f>
        <v>ZEMIC</v>
      </c>
      <c r="C68" s="180" t="str">
        <f>'רשימת מכשור 2015'!C67</f>
        <v>BM11-C3-50KG-3B-SC</v>
      </c>
      <c r="D68" s="233" t="str">
        <f>'רשימת מכשור 2015'!D67</f>
        <v>COLUMN 4/5</v>
      </c>
      <c r="E68" s="180" t="str">
        <f>'רשימת מכשור 2015'!E67</f>
        <v>1-1-4-WC-2</v>
      </c>
      <c r="F68" s="180">
        <f>'רשימת מכשור 2015'!F67</f>
        <v>1500</v>
      </c>
      <c r="G68" s="181">
        <v>1</v>
      </c>
      <c r="H68" s="181">
        <f t="shared" si="3"/>
        <v>1500</v>
      </c>
      <c r="I68" s="182"/>
      <c r="J68" s="181">
        <v>1</v>
      </c>
      <c r="K68" s="181">
        <v>1</v>
      </c>
      <c r="L68" s="181">
        <v>0.5</v>
      </c>
      <c r="M68" s="181" t="str">
        <f t="shared" si="0"/>
        <v>לרכוש</v>
      </c>
      <c r="N68" s="181">
        <v>1000</v>
      </c>
      <c r="O68" s="183"/>
      <c r="P68" s="183">
        <v>3</v>
      </c>
      <c r="Q68" s="183"/>
    </row>
    <row r="69" spans="1:17" s="12" customFormat="1" ht="14.25" customHeight="1">
      <c r="A69" s="180" t="str">
        <f>'רשימת מכשור 2015'!A68</f>
        <v>מפסק גובה</v>
      </c>
      <c r="B69" s="180" t="str">
        <f>'רשימת מכשור 2015'!B68</f>
        <v>E+H ISRAEL</v>
      </c>
      <c r="C69" s="180" t="str">
        <f>'רשימת מכשור 2015'!C68</f>
        <v>E+H - FTL50H</v>
      </c>
      <c r="D69" s="233" t="str">
        <f>'רשימת מכשור 2015'!D68</f>
        <v>צנטרפוגה</v>
      </c>
      <c r="E69" s="180" t="str">
        <f>'רשימת מכשור 2015'!E68</f>
        <v>LSH 01-9-016</v>
      </c>
      <c r="F69" s="180">
        <f>'רשימת מכשור 2015'!F68</f>
        <v>4226</v>
      </c>
      <c r="G69" s="181">
        <v>1</v>
      </c>
      <c r="H69" s="181">
        <f t="shared" si="3"/>
        <v>4226</v>
      </c>
      <c r="I69" s="182"/>
      <c r="J69" s="181">
        <v>1</v>
      </c>
      <c r="K69" s="181">
        <v>1</v>
      </c>
      <c r="L69" s="181">
        <v>1.5</v>
      </c>
      <c r="M69" s="181" t="str">
        <f t="shared" si="0"/>
        <v>לרכוש</v>
      </c>
      <c r="N69" s="181">
        <v>1000</v>
      </c>
      <c r="O69" s="183"/>
      <c r="P69" s="183">
        <v>2</v>
      </c>
      <c r="Q69" s="183"/>
    </row>
    <row r="70" spans="1:17" s="12" customFormat="1" ht="28.5" customHeight="1">
      <c r="A70" s="180" t="str">
        <f>'רשימת מכשור 2015'!A69</f>
        <v>אלקטרודת מוליכות</v>
      </c>
      <c r="B70" s="180" t="str">
        <f>'רשימת מכשור 2015'!B69</f>
        <v>Mettler Toledo</v>
      </c>
      <c r="C70" s="180" t="str">
        <f>'רשימת מכשור 2015'!C69</f>
        <v>Inpro 7108 1.5"TC 5200800 
M400</v>
      </c>
      <c r="D70" s="233" t="str">
        <f>'רשימת מכשור 2015'!D69</f>
        <v>CRUDE</v>
      </c>
      <c r="E70" s="180" t="str">
        <f>'רשימת מכשור 2015'!E69</f>
        <v>1-1-28-CIC-2</v>
      </c>
      <c r="F70" s="180">
        <f>'רשימת מכשור 2015'!F69</f>
        <v>4000</v>
      </c>
      <c r="G70" s="181">
        <v>1</v>
      </c>
      <c r="H70" s="181">
        <f t="shared" si="3"/>
        <v>4000</v>
      </c>
      <c r="I70" s="182"/>
      <c r="J70" s="181">
        <v>1</v>
      </c>
      <c r="K70" s="181">
        <v>1</v>
      </c>
      <c r="L70" s="183">
        <v>1</v>
      </c>
      <c r="M70" s="181" t="str">
        <f t="shared" si="0"/>
        <v>לרכוש</v>
      </c>
      <c r="N70" s="181">
        <v>1000</v>
      </c>
      <c r="O70" s="183"/>
      <c r="P70" s="183">
        <v>1</v>
      </c>
      <c r="Q70" s="183"/>
    </row>
    <row r="71" spans="1:17" s="12" customFormat="1" ht="14.25" customHeight="1">
      <c r="A71" s="180" t="str">
        <f>'רשימת מכשור 2015'!A70</f>
        <v>משדר מוליכות</v>
      </c>
      <c r="B71" s="180" t="str">
        <f>'רשימת מכשור 2015'!B70</f>
        <v>Mettler Toledo</v>
      </c>
      <c r="C71" s="180" t="str">
        <f>'רשימת מכשור 2015'!C70</f>
        <v>M400</v>
      </c>
      <c r="D71" s="233" t="str">
        <f>'רשימת מכשור 2015'!D70</f>
        <v>NaOH</v>
      </c>
      <c r="E71" s="180" t="str">
        <f>'רשימת מכשור 2015'!E70</f>
        <v>1-1-5-CIC-1</v>
      </c>
      <c r="F71" s="180">
        <f>'רשימת מכשור 2015'!F70</f>
        <v>4000</v>
      </c>
      <c r="G71" s="181">
        <v>1</v>
      </c>
      <c r="H71" s="181">
        <f t="shared" si="3"/>
        <v>4000</v>
      </c>
      <c r="I71" s="182" t="s">
        <v>82</v>
      </c>
      <c r="J71" s="181">
        <v>1</v>
      </c>
      <c r="K71" s="181">
        <v>1</v>
      </c>
      <c r="L71" s="181">
        <v>1</v>
      </c>
      <c r="M71" s="181" t="str">
        <f t="shared" si="0"/>
        <v>לא לרכוש</v>
      </c>
      <c r="N71" s="181">
        <v>1000</v>
      </c>
      <c r="O71" s="183"/>
      <c r="P71" s="183">
        <v>9</v>
      </c>
      <c r="Q71" s="183"/>
    </row>
    <row r="72" spans="1:17" s="12" customFormat="1" ht="14.25" customHeight="1">
      <c r="A72" s="180" t="str">
        <f>'רשימת מכשור 2015'!A71</f>
        <v>משדר מוליכות</v>
      </c>
      <c r="B72" s="180" t="str">
        <f>'רשימת מכשור 2015'!B71</f>
        <v>METTLER TOLEDO</v>
      </c>
      <c r="C72" s="180" t="str">
        <f>'רשימת מכשור 2015'!C71</f>
        <v>M400</v>
      </c>
      <c r="D72" s="233" t="str">
        <f>'רשימת מכשור 2015'!D71</f>
        <v>ACID</v>
      </c>
      <c r="E72" s="180" t="str">
        <f>'רשימת מכשור 2015'!E71</f>
        <v>1-1-141-CIC-1</v>
      </c>
      <c r="F72" s="180">
        <f>'רשימת מכשור 2015'!F71</f>
        <v>4000</v>
      </c>
      <c r="G72" s="181">
        <v>1</v>
      </c>
      <c r="H72" s="181">
        <f t="shared" si="3"/>
        <v>4000</v>
      </c>
      <c r="I72" s="182" t="s">
        <v>82</v>
      </c>
      <c r="J72" s="181">
        <v>1</v>
      </c>
      <c r="K72" s="181">
        <v>1</v>
      </c>
      <c r="L72" s="181">
        <v>1</v>
      </c>
      <c r="M72" s="181" t="str">
        <f t="shared" si="0"/>
        <v>לא לרכוש</v>
      </c>
      <c r="N72" s="181">
        <v>1000</v>
      </c>
      <c r="O72" s="183"/>
      <c r="P72" s="183">
        <v>9</v>
      </c>
      <c r="Q72" s="183"/>
    </row>
    <row r="73" spans="1:17" s="12" customFormat="1" ht="14.25" customHeight="1">
      <c r="A73" s="180" t="str">
        <f>'רשימת מכשור 2015'!A72</f>
        <v>משדר PH</v>
      </c>
      <c r="B73" s="180" t="str">
        <f>'רשימת מכשור 2015'!B72</f>
        <v>Mettler Toledo</v>
      </c>
      <c r="C73" s="180" t="str">
        <f>'רשימת מכשור 2015'!C72</f>
        <v>PH-2100e</v>
      </c>
      <c r="D73" s="233" t="str">
        <f>'רשימת מכשור 2015'!D72</f>
        <v>MEDIA PILOT</v>
      </c>
      <c r="E73" s="180" t="str">
        <f>'רשימת מכשור 2015'!E72</f>
        <v>1-2-2-PHI-1</v>
      </c>
      <c r="F73" s="180">
        <f>'רשימת מכשור 2015'!F72</f>
        <v>4000</v>
      </c>
      <c r="G73" s="181">
        <v>1</v>
      </c>
      <c r="H73" s="181">
        <f t="shared" si="3"/>
        <v>4000</v>
      </c>
      <c r="I73" s="182" t="s">
        <v>82</v>
      </c>
      <c r="J73" s="181">
        <v>2</v>
      </c>
      <c r="K73" s="181">
        <v>1</v>
      </c>
      <c r="L73" s="181">
        <v>1</v>
      </c>
      <c r="M73" s="181" t="str">
        <f t="shared" si="0"/>
        <v>לא לרכוש</v>
      </c>
      <c r="N73" s="181">
        <v>1000</v>
      </c>
      <c r="O73" s="183"/>
      <c r="P73" s="183">
        <v>1</v>
      </c>
      <c r="Q73" s="183"/>
    </row>
    <row r="74" spans="1:17" s="12" customFormat="1">
      <c r="A74" s="180" t="str">
        <f>'רשימת מכשור 2015'!A73</f>
        <v>LOAD CELL</v>
      </c>
      <c r="B74" s="180" t="str">
        <f>'רשימת מכשור 2015'!B73</f>
        <v>REVERE</v>
      </c>
      <c r="C74" s="180" t="str">
        <f>'רשימת מכשור 2015'!C73</f>
        <v xml:space="preserve">RLC </v>
      </c>
      <c r="D74" s="233" t="str">
        <f>'רשימת מכשור 2015'!D73</f>
        <v>MEDIA</v>
      </c>
      <c r="E74" s="180" t="str">
        <f>'רשימת מכשור 2015'!E73</f>
        <v>1-1-56-WC-1</v>
      </c>
      <c r="F74" s="180">
        <f>'רשימת מכשור 2015'!F73</f>
        <v>4000</v>
      </c>
      <c r="G74" s="181">
        <v>1</v>
      </c>
      <c r="H74" s="181">
        <f t="shared" si="3"/>
        <v>4000</v>
      </c>
      <c r="I74" s="182"/>
      <c r="J74" s="181">
        <v>1</v>
      </c>
      <c r="K74" s="181">
        <v>1</v>
      </c>
      <c r="L74" s="181">
        <v>0.5</v>
      </c>
      <c r="M74" s="181" t="str">
        <f t="shared" si="0"/>
        <v>לרכוש</v>
      </c>
      <c r="N74" s="181">
        <v>1000</v>
      </c>
      <c r="O74" s="183"/>
      <c r="P74" s="183">
        <v>21</v>
      </c>
      <c r="Q74" s="183"/>
    </row>
    <row r="75" spans="1:17" s="12" customFormat="1" ht="14.25" customHeight="1">
      <c r="A75" s="180" t="str">
        <f>'רשימת מכשור 2015'!A74</f>
        <v xml:space="preserve">אלקטרודת מוליכות </v>
      </c>
      <c r="B75" s="180" t="str">
        <f>'רשימת מכשור 2015'!B74</f>
        <v>METTLER TOLEDO</v>
      </c>
      <c r="C75" s="180" t="str">
        <f>'רשימת מכשור 2015'!C74</f>
        <v>inpro 7100/12/425/4435 pn 52003793</v>
      </c>
      <c r="D75" s="233" t="str">
        <f>'רשימת מכשור 2015'!D74</f>
        <v>NaOH</v>
      </c>
      <c r="E75" s="180" t="str">
        <f>'רשימת מכשור 2015'!E74</f>
        <v>1-1-5-CIC-1</v>
      </c>
      <c r="F75" s="180">
        <f>'רשימת מכשור 2015'!F74</f>
        <v>3596.5</v>
      </c>
      <c r="G75" s="181">
        <v>1</v>
      </c>
      <c r="H75" s="181">
        <f t="shared" si="3"/>
        <v>3596.5</v>
      </c>
      <c r="I75" s="182" t="s">
        <v>82</v>
      </c>
      <c r="J75" s="181">
        <v>1</v>
      </c>
      <c r="K75" s="181">
        <v>1</v>
      </c>
      <c r="L75" s="181">
        <v>1</v>
      </c>
      <c r="M75" s="181" t="str">
        <f t="shared" ref="M75:M138" si="4">IF(AND(K75*L75*30*N75&gt;H75/J75,I75=""),"לרכוש","לא לרכוש")</f>
        <v>לא לרכוש</v>
      </c>
      <c r="N75" s="181">
        <v>1000</v>
      </c>
      <c r="O75" s="183"/>
      <c r="P75" s="183">
        <v>11</v>
      </c>
      <c r="Q75" s="183"/>
    </row>
    <row r="76" spans="1:17" s="12" customFormat="1" ht="14.25" customHeight="1">
      <c r="A76" s="180" t="str">
        <f>'רשימת מכשור 2015'!A75</f>
        <v>משדר PH</v>
      </c>
      <c r="B76" s="180" t="str">
        <f>'רשימת מכשור 2015'!B75</f>
        <v>Mettler Toledo</v>
      </c>
      <c r="C76" s="180" t="str">
        <f>'רשימת מכשור 2015'!C75</f>
        <v>M400</v>
      </c>
      <c r="D76" s="233" t="str">
        <f>'רשימת מכשור 2015'!D75</f>
        <v>MEDIA</v>
      </c>
      <c r="E76" s="180" t="str">
        <f>'רשימת מכשור 2015'!E75</f>
        <v>1-1-8-PH-1</v>
      </c>
      <c r="F76" s="180">
        <f>'רשימת מכשור 2015'!F75</f>
        <v>4000</v>
      </c>
      <c r="G76" s="181">
        <v>1</v>
      </c>
      <c r="H76" s="181">
        <f t="shared" si="3"/>
        <v>4000</v>
      </c>
      <c r="I76" s="182" t="s">
        <v>82</v>
      </c>
      <c r="J76" s="181">
        <v>1</v>
      </c>
      <c r="K76" s="181">
        <v>1</v>
      </c>
      <c r="L76" s="181">
        <v>1</v>
      </c>
      <c r="M76" s="181" t="str">
        <f t="shared" si="4"/>
        <v>לא לרכוש</v>
      </c>
      <c r="N76" s="181">
        <v>1000</v>
      </c>
      <c r="O76" s="183"/>
      <c r="P76" s="183">
        <v>7</v>
      </c>
      <c r="Q76" s="183"/>
    </row>
    <row r="77" spans="1:17" s="12" customFormat="1" ht="14.25" customHeight="1">
      <c r="A77" s="180" t="str">
        <f>'רשימת מכשור 2015'!A76</f>
        <v>משדר מוליכות</v>
      </c>
      <c r="B77" s="180" t="str">
        <f>'רשימת מכשור 2015'!B76</f>
        <v>Mettler Toledo</v>
      </c>
      <c r="C77" s="180" t="str">
        <f>'רשימת מכשור 2015'!C76</f>
        <v>M400</v>
      </c>
      <c r="D77" s="233" t="str">
        <f>'רשימת מכשור 2015'!D76</f>
        <v>MEDIA</v>
      </c>
      <c r="E77" s="180" t="str">
        <f>'רשימת מכשור 2015'!E76</f>
        <v>1-1-8-CIC-1</v>
      </c>
      <c r="F77" s="180">
        <f>'רשימת מכשור 2015'!F76</f>
        <v>4000</v>
      </c>
      <c r="G77" s="181">
        <v>1</v>
      </c>
      <c r="H77" s="181">
        <f t="shared" si="3"/>
        <v>4000</v>
      </c>
      <c r="I77" s="182" t="s">
        <v>82</v>
      </c>
      <c r="J77" s="181">
        <v>1</v>
      </c>
      <c r="K77" s="181">
        <v>1</v>
      </c>
      <c r="L77" s="181">
        <v>1</v>
      </c>
      <c r="M77" s="181" t="str">
        <f t="shared" si="4"/>
        <v>לא לרכוש</v>
      </c>
      <c r="N77" s="181">
        <v>1000</v>
      </c>
      <c r="O77" s="183"/>
      <c r="P77" s="183">
        <v>9</v>
      </c>
      <c r="Q77" s="183"/>
    </row>
    <row r="78" spans="1:17" s="12" customFormat="1" ht="14.25" customHeight="1">
      <c r="A78" s="180" t="str">
        <f>'רשימת מכשור 2015'!A77</f>
        <v>משדר מוליכות</v>
      </c>
      <c r="B78" s="180" t="str">
        <f>'רשימת מכשור 2015'!B77</f>
        <v>Mettler Toledo</v>
      </c>
      <c r="C78" s="180" t="str">
        <f>'רשימת מכשור 2015'!C77</f>
        <v>M400</v>
      </c>
      <c r="D78" s="233" t="str">
        <f>'רשימת מכשור 2015'!D77</f>
        <v>CRUDE</v>
      </c>
      <c r="E78" s="180" t="str">
        <f>'רשימת מכשור 2015'!E77</f>
        <v>1-1-28-CIC-2</v>
      </c>
      <c r="F78" s="180">
        <f>'רשימת מכשור 2015'!F77</f>
        <v>4000</v>
      </c>
      <c r="G78" s="181">
        <v>1</v>
      </c>
      <c r="H78" s="181">
        <f t="shared" si="3"/>
        <v>4000</v>
      </c>
      <c r="I78" s="182" t="s">
        <v>82</v>
      </c>
      <c r="J78" s="181">
        <v>1</v>
      </c>
      <c r="K78" s="181">
        <v>1</v>
      </c>
      <c r="L78" s="181">
        <v>1</v>
      </c>
      <c r="M78" s="181" t="str">
        <f t="shared" si="4"/>
        <v>לא לרכוש</v>
      </c>
      <c r="N78" s="181">
        <v>1000</v>
      </c>
      <c r="O78" s="183"/>
      <c r="P78" s="183">
        <v>9</v>
      </c>
      <c r="Q78" s="183"/>
    </row>
    <row r="79" spans="1:17" s="12" customFormat="1" ht="51.75" customHeight="1">
      <c r="A79" s="180" t="str">
        <f>'רשימת מכשור 2015'!A78</f>
        <v xml:space="preserve">אלקטרודת מוליכות </v>
      </c>
      <c r="B79" s="180" t="str">
        <f>'רשימת מכשור 2015'!B78</f>
        <v>METTLER TOLEDO</v>
      </c>
      <c r="C79" s="180" t="str">
        <f>'רשימת מכשור 2015'!C78</f>
        <v>inpro 7100/12/425/4435 pn 52003793</v>
      </c>
      <c r="D79" s="233" t="str">
        <f>'רשימת מכשור 2015'!D78</f>
        <v>ACID</v>
      </c>
      <c r="E79" s="180" t="str">
        <f>'רשימת מכשור 2015'!E78</f>
        <v>1-1-141-CIC-1</v>
      </c>
      <c r="F79" s="180">
        <f>'רשימת מכשור 2015'!F78</f>
        <v>3596.5</v>
      </c>
      <c r="G79" s="181">
        <v>1</v>
      </c>
      <c r="H79" s="181">
        <f t="shared" si="3"/>
        <v>3596.5</v>
      </c>
      <c r="I79" s="182" t="s">
        <v>82</v>
      </c>
      <c r="J79" s="181">
        <v>1</v>
      </c>
      <c r="K79" s="181">
        <v>1</v>
      </c>
      <c r="L79" s="181">
        <v>1</v>
      </c>
      <c r="M79" s="181" t="str">
        <f t="shared" si="4"/>
        <v>לא לרכוש</v>
      </c>
      <c r="N79" s="181">
        <v>1000</v>
      </c>
      <c r="O79" s="183"/>
      <c r="P79" s="183">
        <v>11</v>
      </c>
      <c r="Q79" s="183"/>
    </row>
    <row r="80" spans="1:17" s="12" customFormat="1" ht="14.25" customHeight="1">
      <c r="A80" s="180" t="str">
        <f>'רשימת מכשור 2015'!A79</f>
        <v>משדר PH</v>
      </c>
      <c r="B80" s="180" t="str">
        <f>'רשימת מכשור 2015'!B79</f>
        <v>Mettler Toledo</v>
      </c>
      <c r="C80" s="180" t="str">
        <f>'רשימת מכשור 2015'!C79</f>
        <v>M400</v>
      </c>
      <c r="D80" s="233" t="str">
        <f>'רשימת מכשור 2015'!D79</f>
        <v>CRUDE</v>
      </c>
      <c r="E80" s="180" t="str">
        <f>'רשימת מכשור 2015'!E79</f>
        <v>1-1-28-PH-2</v>
      </c>
      <c r="F80" s="180">
        <f>'רשימת מכשור 2015'!F79</f>
        <v>4000</v>
      </c>
      <c r="G80" s="181">
        <v>1</v>
      </c>
      <c r="H80" s="181">
        <v>4000</v>
      </c>
      <c r="I80" s="182" t="s">
        <v>82</v>
      </c>
      <c r="J80" s="181">
        <v>1</v>
      </c>
      <c r="K80" s="181">
        <v>1</v>
      </c>
      <c r="L80" s="181">
        <v>1</v>
      </c>
      <c r="M80" s="181" t="str">
        <f t="shared" si="4"/>
        <v>לא לרכוש</v>
      </c>
      <c r="N80" s="181">
        <v>1000</v>
      </c>
      <c r="O80" s="183"/>
      <c r="P80" s="183">
        <v>7</v>
      </c>
      <c r="Q80" s="183"/>
    </row>
    <row r="81" spans="1:17" s="12" customFormat="1" ht="14.25" customHeight="1">
      <c r="A81" s="180" t="str">
        <f>'רשימת מכשור 2015'!A80</f>
        <v>משדר מוליכות</v>
      </c>
      <c r="B81" s="180" t="str">
        <f>'רשימת מכשור 2015'!B80</f>
        <v>Mettler Toledo</v>
      </c>
      <c r="C81" s="180" t="str">
        <f>'רשימת מכשור 2015'!C80</f>
        <v>M400</v>
      </c>
      <c r="D81" s="233" t="str">
        <f>'רשימת מכשור 2015'!D80</f>
        <v>CRUDE</v>
      </c>
      <c r="E81" s="180" t="str">
        <f>'רשימת מכשור 2015'!E80</f>
        <v>1-1-30-CIC-1</v>
      </c>
      <c r="F81" s="180">
        <f>'רשימת מכשור 2015'!F80</f>
        <v>4000</v>
      </c>
      <c r="G81" s="181">
        <v>1</v>
      </c>
      <c r="H81" s="181">
        <f t="shared" ref="H81:H101" si="5">G81*F81</f>
        <v>4000</v>
      </c>
      <c r="I81" s="182" t="s">
        <v>82</v>
      </c>
      <c r="J81" s="181">
        <v>1</v>
      </c>
      <c r="K81" s="181">
        <v>1</v>
      </c>
      <c r="L81" s="181">
        <v>1</v>
      </c>
      <c r="M81" s="181" t="str">
        <f t="shared" si="4"/>
        <v>לא לרכוש</v>
      </c>
      <c r="N81" s="181">
        <v>1000</v>
      </c>
      <c r="O81" s="183"/>
      <c r="P81" s="183">
        <v>9</v>
      </c>
      <c r="Q81" s="183"/>
    </row>
    <row r="82" spans="1:17" s="12" customFormat="1" ht="14.25" customHeight="1">
      <c r="A82" s="180" t="str">
        <f>'רשימת מכשור 2015'!A81</f>
        <v>משדר PH</v>
      </c>
      <c r="B82" s="180" t="str">
        <f>'רשימת מכשור 2015'!B81</f>
        <v>Mettler Toledo</v>
      </c>
      <c r="C82" s="180" t="str">
        <f>'רשימת מכשור 2015'!C81</f>
        <v>M400</v>
      </c>
      <c r="D82" s="233" t="str">
        <f>'רשימת מכשור 2015'!D81</f>
        <v>CRUDE</v>
      </c>
      <c r="E82" s="180" t="str">
        <f>'רשימת מכשור 2015'!E81</f>
        <v>1-1-30-CIC-1</v>
      </c>
      <c r="F82" s="180">
        <f>'רשימת מכשור 2015'!F81</f>
        <v>4000</v>
      </c>
      <c r="G82" s="181">
        <v>1</v>
      </c>
      <c r="H82" s="181">
        <f t="shared" si="5"/>
        <v>4000</v>
      </c>
      <c r="I82" s="182" t="s">
        <v>82</v>
      </c>
      <c r="J82" s="181">
        <v>1</v>
      </c>
      <c r="K82" s="181">
        <v>1</v>
      </c>
      <c r="L82" s="181">
        <v>1</v>
      </c>
      <c r="M82" s="181" t="str">
        <f t="shared" si="4"/>
        <v>לא לרכוש</v>
      </c>
      <c r="N82" s="181">
        <v>1000</v>
      </c>
      <c r="O82" s="183"/>
      <c r="P82" s="183">
        <v>7</v>
      </c>
      <c r="Q82" s="183"/>
    </row>
    <row r="83" spans="1:17" s="12" customFormat="1" ht="14.25" customHeight="1">
      <c r="A83" s="180" t="str">
        <f>'רשימת מכשור 2015'!A82</f>
        <v>משדר PH</v>
      </c>
      <c r="B83" s="180" t="str">
        <f>'רשימת מכשור 2015'!B82</f>
        <v>Mettler Toledo</v>
      </c>
      <c r="C83" s="180" t="str">
        <f>'רשימת מכשור 2015'!C82</f>
        <v>M400</v>
      </c>
      <c r="D83" s="233" t="str">
        <f>'רשימת מכשור 2015'!D82</f>
        <v>HARVEST</v>
      </c>
      <c r="E83" s="180" t="str">
        <f>'רשימת מכשור 2015'!E82</f>
        <v>1-1-27-PH-1</v>
      </c>
      <c r="F83" s="180">
        <f>'רשימת מכשור 2015'!F82</f>
        <v>4000</v>
      </c>
      <c r="G83" s="181">
        <v>1</v>
      </c>
      <c r="H83" s="181">
        <f t="shared" si="5"/>
        <v>4000</v>
      </c>
      <c r="I83" s="182" t="s">
        <v>82</v>
      </c>
      <c r="J83" s="181">
        <v>1</v>
      </c>
      <c r="K83" s="181">
        <v>1</v>
      </c>
      <c r="L83" s="181">
        <v>1</v>
      </c>
      <c r="M83" s="181" t="str">
        <f t="shared" si="4"/>
        <v>לא לרכוש</v>
      </c>
      <c r="N83" s="181">
        <v>1000</v>
      </c>
      <c r="O83" s="183"/>
      <c r="P83" s="183">
        <v>7</v>
      </c>
      <c r="Q83" s="183"/>
    </row>
    <row r="84" spans="1:17" s="12" customFormat="1" ht="30.75" customHeight="1">
      <c r="A84" s="180" t="str">
        <f>'רשימת מכשור 2015'!A83</f>
        <v>משדר מוליכות</v>
      </c>
      <c r="B84" s="180" t="str">
        <f>'רשימת מכשור 2015'!B83</f>
        <v>Mettler Toledo</v>
      </c>
      <c r="C84" s="180" t="str">
        <f>'רשימת מכשור 2015'!C83</f>
        <v>M400</v>
      </c>
      <c r="D84" s="233" t="str">
        <f>'רשימת מכשור 2015'!D83</f>
        <v>HARVEST</v>
      </c>
      <c r="E84" s="180" t="str">
        <f>'רשימת מכשור 2015'!E83</f>
        <v>1-1-27-CIC-1</v>
      </c>
      <c r="F84" s="180">
        <f>'רשימת מכשור 2015'!F83</f>
        <v>4000</v>
      </c>
      <c r="G84" s="181">
        <v>1</v>
      </c>
      <c r="H84" s="181">
        <f t="shared" si="5"/>
        <v>4000</v>
      </c>
      <c r="I84" s="182" t="s">
        <v>82</v>
      </c>
      <c r="J84" s="181">
        <v>1</v>
      </c>
      <c r="K84" s="181">
        <v>1</v>
      </c>
      <c r="L84" s="181">
        <v>1</v>
      </c>
      <c r="M84" s="181" t="str">
        <f t="shared" si="4"/>
        <v>לא לרכוש</v>
      </c>
      <c r="N84" s="181">
        <v>1000</v>
      </c>
      <c r="O84" s="183"/>
      <c r="P84" s="183">
        <v>9</v>
      </c>
      <c r="Q84" s="183"/>
    </row>
    <row r="85" spans="1:17" s="12" customFormat="1" ht="14.25" customHeight="1">
      <c r="A85" s="180" t="str">
        <f>'רשימת מכשור 2015'!A84</f>
        <v>מפסק גובה</v>
      </c>
      <c r="B85" s="180" t="str">
        <f>'רשימת מכשור 2015'!B84</f>
        <v>E+H</v>
      </c>
      <c r="C85" s="180" t="str">
        <f>'רשימת מכשור 2015'!C84</f>
        <v>LIQUIPHANT M FL50</v>
      </c>
      <c r="D85" s="233" t="str">
        <f>'רשימת מכשור 2015'!D84</f>
        <v>HARVEST</v>
      </c>
      <c r="E85" s="180" t="str">
        <f>'רשימת מכשור 2015'!E84</f>
        <v>1-1-27-LSL-1</v>
      </c>
      <c r="F85" s="180">
        <f>'רשימת מכשור 2015'!F84</f>
        <v>4000</v>
      </c>
      <c r="G85" s="181">
        <v>1</v>
      </c>
      <c r="H85" s="181">
        <f t="shared" si="5"/>
        <v>4000</v>
      </c>
      <c r="I85" s="182"/>
      <c r="J85" s="181">
        <v>1</v>
      </c>
      <c r="K85" s="181">
        <v>1</v>
      </c>
      <c r="L85" s="181">
        <v>1.5</v>
      </c>
      <c r="M85" s="181" t="str">
        <f t="shared" si="4"/>
        <v>לרכוש</v>
      </c>
      <c r="N85" s="181">
        <v>1000</v>
      </c>
      <c r="O85" s="183"/>
      <c r="P85" s="183">
        <v>1</v>
      </c>
      <c r="Q85" s="183"/>
    </row>
    <row r="86" spans="1:17" s="12" customFormat="1" ht="28.5" customHeight="1">
      <c r="A86" s="180" t="str">
        <f>'רשימת מכשור 2015'!A85</f>
        <v>משדר PH</v>
      </c>
      <c r="B86" s="180" t="str">
        <f>'רשימת מכשור 2015'!B85</f>
        <v>Mettler Toledo</v>
      </c>
      <c r="C86" s="180">
        <f>'רשימת מכשור 2015'!C85</f>
        <v>2100</v>
      </c>
      <c r="D86" s="233" t="str">
        <f>'רשימת מכשור 2015'!D85</f>
        <v>COLUMN 1</v>
      </c>
      <c r="E86" s="180" t="str">
        <f>'רשימת מכשור 2015'!E85</f>
        <v>1-1-144-TV-PHT/I-1</v>
      </c>
      <c r="F86" s="180">
        <f>'רשימת מכשור 2015'!F85</f>
        <v>4000</v>
      </c>
      <c r="G86" s="181">
        <v>1</v>
      </c>
      <c r="H86" s="181">
        <f t="shared" si="5"/>
        <v>4000</v>
      </c>
      <c r="I86" s="182" t="s">
        <v>82</v>
      </c>
      <c r="J86" s="181">
        <v>1</v>
      </c>
      <c r="K86" s="181">
        <v>1</v>
      </c>
      <c r="L86" s="181">
        <v>1</v>
      </c>
      <c r="M86" s="181" t="str">
        <f t="shared" si="4"/>
        <v>לא לרכוש</v>
      </c>
      <c r="N86" s="181">
        <v>1000</v>
      </c>
      <c r="O86" s="183"/>
      <c r="P86" s="183">
        <v>4</v>
      </c>
      <c r="Q86" s="183"/>
    </row>
    <row r="87" spans="1:17" s="12" customFormat="1" ht="14.25" customHeight="1">
      <c r="A87" s="180" t="str">
        <f>'רשימת מכשור 2015'!A86</f>
        <v>משדר PH</v>
      </c>
      <c r="B87" s="180" t="str">
        <f>'רשימת מכשור 2015'!B86</f>
        <v>Mettler Toledo</v>
      </c>
      <c r="C87" s="180">
        <f>'רשימת מכשור 2015'!C86</f>
        <v>2100</v>
      </c>
      <c r="D87" s="233" t="str">
        <f>'רשימת מכשור 2015'!D86</f>
        <v>COLUMN 1</v>
      </c>
      <c r="E87" s="180" t="str">
        <f>'רשימת מכשור 2015'!E86</f>
        <v>1-1-144-TV-PHT/I-3</v>
      </c>
      <c r="F87" s="180">
        <f>'רשימת מכשור 2015'!F86</f>
        <v>4000</v>
      </c>
      <c r="G87" s="181">
        <v>1</v>
      </c>
      <c r="H87" s="181">
        <f t="shared" si="5"/>
        <v>4000</v>
      </c>
      <c r="I87" s="182" t="s">
        <v>82</v>
      </c>
      <c r="J87" s="181">
        <v>1</v>
      </c>
      <c r="K87" s="181">
        <v>1</v>
      </c>
      <c r="L87" s="181">
        <v>1</v>
      </c>
      <c r="M87" s="181" t="str">
        <f t="shared" si="4"/>
        <v>לא לרכוש</v>
      </c>
      <c r="N87" s="181">
        <v>1000</v>
      </c>
      <c r="O87" s="183"/>
      <c r="P87" s="183">
        <v>4</v>
      </c>
      <c r="Q87" s="183"/>
    </row>
    <row r="88" spans="1:17" s="12" customFormat="1" ht="14.25" customHeight="1">
      <c r="A88" s="180" t="str">
        <f>'רשימת מכשור 2015'!A87</f>
        <v>משדר PH</v>
      </c>
      <c r="B88" s="180" t="str">
        <f>'רשימת מכשור 2015'!B87</f>
        <v>Mettler Toledo</v>
      </c>
      <c r="C88" s="180">
        <f>'רשימת מכשור 2015'!C87</f>
        <v>2100</v>
      </c>
      <c r="D88" s="233" t="str">
        <f>'רשימת מכשור 2015'!D87</f>
        <v>COLUMN 1</v>
      </c>
      <c r="E88" s="180" t="str">
        <f>'רשימת מכשור 2015'!E87</f>
        <v>1-1-144-TV-PHT/I-4</v>
      </c>
      <c r="F88" s="180">
        <f>'רשימת מכשור 2015'!F87</f>
        <v>4000</v>
      </c>
      <c r="G88" s="181">
        <v>1</v>
      </c>
      <c r="H88" s="181">
        <f t="shared" si="5"/>
        <v>4000</v>
      </c>
      <c r="I88" s="182" t="s">
        <v>82</v>
      </c>
      <c r="J88" s="181">
        <v>1</v>
      </c>
      <c r="K88" s="181">
        <v>1</v>
      </c>
      <c r="L88" s="181">
        <v>1</v>
      </c>
      <c r="M88" s="181" t="str">
        <f t="shared" si="4"/>
        <v>לא לרכוש</v>
      </c>
      <c r="N88" s="181">
        <v>1000</v>
      </c>
      <c r="O88" s="183"/>
      <c r="P88" s="183">
        <v>4</v>
      </c>
      <c r="Q88" s="183"/>
    </row>
    <row r="89" spans="1:17" s="12" customFormat="1" ht="14.25" customHeight="1">
      <c r="A89" s="180" t="str">
        <f>'רשימת מכשור 2015'!A88</f>
        <v>משדר PH</v>
      </c>
      <c r="B89" s="180" t="str">
        <f>'רשימת מכשור 2015'!B88</f>
        <v>Mettler Toledo</v>
      </c>
      <c r="C89" s="180">
        <f>'רשימת מכשור 2015'!C88</f>
        <v>2100</v>
      </c>
      <c r="D89" s="233" t="str">
        <f>'רשימת מכשור 2015'!D88</f>
        <v>COLUMN 1</v>
      </c>
      <c r="E89" s="180" t="str">
        <f>'רשימת מכשור 2015'!E88</f>
        <v>1-1-144-TV-PHT/I-6</v>
      </c>
      <c r="F89" s="180">
        <f>'רשימת מכשור 2015'!F88</f>
        <v>4000</v>
      </c>
      <c r="G89" s="181">
        <v>1</v>
      </c>
      <c r="H89" s="181">
        <f t="shared" si="5"/>
        <v>4000</v>
      </c>
      <c r="I89" s="182" t="s">
        <v>82</v>
      </c>
      <c r="J89" s="181">
        <v>1</v>
      </c>
      <c r="K89" s="181">
        <v>1</v>
      </c>
      <c r="L89" s="181">
        <v>1</v>
      </c>
      <c r="M89" s="181" t="str">
        <f t="shared" si="4"/>
        <v>לא לרכוש</v>
      </c>
      <c r="N89" s="181">
        <v>1000</v>
      </c>
      <c r="O89" s="183"/>
      <c r="P89" s="183">
        <v>4</v>
      </c>
      <c r="Q89" s="183"/>
    </row>
    <row r="90" spans="1:17" s="12" customFormat="1" ht="14.25" customHeight="1">
      <c r="A90" s="180" t="str">
        <f>'רשימת מכשור 2015'!A89</f>
        <v>משדר PH</v>
      </c>
      <c r="B90" s="180" t="str">
        <f>'רשימת מכשור 2015'!B89</f>
        <v>Mettler Toledo</v>
      </c>
      <c r="C90" s="180" t="str">
        <f>'רשימת מכשור 2015'!C89</f>
        <v>M400</v>
      </c>
      <c r="D90" s="233" t="str">
        <f>'רשימת מכשור 2015'!D89</f>
        <v>COLUMN 2/3</v>
      </c>
      <c r="E90" s="180" t="str">
        <f>'רשימת מכשור 2015'!E89</f>
        <v>1-1-3-PH-1</v>
      </c>
      <c r="F90" s="180">
        <f>'רשימת מכשור 2015'!F89</f>
        <v>4000</v>
      </c>
      <c r="G90" s="181">
        <v>1</v>
      </c>
      <c r="H90" s="181">
        <f t="shared" si="5"/>
        <v>4000</v>
      </c>
      <c r="I90" s="182" t="s">
        <v>82</v>
      </c>
      <c r="J90" s="181">
        <v>1</v>
      </c>
      <c r="K90" s="181">
        <v>1</v>
      </c>
      <c r="L90" s="181">
        <v>1</v>
      </c>
      <c r="M90" s="181" t="str">
        <f t="shared" si="4"/>
        <v>לא לרכוש</v>
      </c>
      <c r="N90" s="181">
        <v>1000</v>
      </c>
      <c r="O90" s="183"/>
      <c r="P90" s="183">
        <v>7</v>
      </c>
      <c r="Q90" s="183"/>
    </row>
    <row r="91" spans="1:17" s="12" customFormat="1" ht="14.25" customHeight="1">
      <c r="A91" s="180" t="str">
        <f>'רשימת מכשור 2015'!A90</f>
        <v>משדר מוליכות</v>
      </c>
      <c r="B91" s="180" t="str">
        <f>'רשימת מכשור 2015'!B90</f>
        <v>Mettler Toledo</v>
      </c>
      <c r="C91" s="180" t="str">
        <f>'רשימת מכשור 2015'!C90</f>
        <v>M400</v>
      </c>
      <c r="D91" s="233" t="str">
        <f>'רשימת מכשור 2015'!D90</f>
        <v>COLUMN 2/3</v>
      </c>
      <c r="E91" s="180" t="str">
        <f>'רשימת מכשור 2015'!E90</f>
        <v>1-1-3-CIC-1</v>
      </c>
      <c r="F91" s="180">
        <f>'רשימת מכשור 2015'!F90</f>
        <v>4000</v>
      </c>
      <c r="G91" s="181">
        <v>1</v>
      </c>
      <c r="H91" s="181">
        <f t="shared" si="5"/>
        <v>4000</v>
      </c>
      <c r="I91" s="182" t="s">
        <v>82</v>
      </c>
      <c r="J91" s="181">
        <v>1</v>
      </c>
      <c r="K91" s="181">
        <v>1</v>
      </c>
      <c r="L91" s="181">
        <v>1</v>
      </c>
      <c r="M91" s="181" t="str">
        <f t="shared" si="4"/>
        <v>לא לרכוש</v>
      </c>
      <c r="N91" s="181">
        <v>1000</v>
      </c>
      <c r="O91" s="183"/>
      <c r="P91" s="183">
        <v>9</v>
      </c>
      <c r="Q91" s="183"/>
    </row>
    <row r="92" spans="1:17" s="12" customFormat="1" ht="14.25" customHeight="1">
      <c r="A92" s="180" t="str">
        <f>'רשימת מכשור 2015'!A91</f>
        <v>משדר מוליכות</v>
      </c>
      <c r="B92" s="180" t="str">
        <f>'רשימת מכשור 2015'!B91</f>
        <v>Mettler Toledo</v>
      </c>
      <c r="C92" s="180" t="str">
        <f>'רשימת מכשור 2015'!C91</f>
        <v>M400</v>
      </c>
      <c r="D92" s="233" t="str">
        <f>'רשימת מכשור 2015'!D91</f>
        <v>COLUMN 2/3</v>
      </c>
      <c r="E92" s="180" t="str">
        <f>'רשימת מכשור 2015'!E91</f>
        <v>1-1-3-CIC-2</v>
      </c>
      <c r="F92" s="180">
        <f>'רשימת מכשור 2015'!F91</f>
        <v>4000</v>
      </c>
      <c r="G92" s="181">
        <v>1</v>
      </c>
      <c r="H92" s="181">
        <f t="shared" si="5"/>
        <v>4000</v>
      </c>
      <c r="I92" s="182" t="s">
        <v>82</v>
      </c>
      <c r="J92" s="181">
        <v>1</v>
      </c>
      <c r="K92" s="181">
        <v>1</v>
      </c>
      <c r="L92" s="181">
        <v>1</v>
      </c>
      <c r="M92" s="181" t="str">
        <f t="shared" si="4"/>
        <v>לא לרכוש</v>
      </c>
      <c r="N92" s="181">
        <v>1000</v>
      </c>
      <c r="O92" s="183"/>
      <c r="P92" s="183">
        <v>9</v>
      </c>
      <c r="Q92" s="183"/>
    </row>
    <row r="93" spans="1:17" s="12" customFormat="1" ht="14.25" customHeight="1">
      <c r="A93" s="180" t="str">
        <f>'רשימת מכשור 2015'!A92</f>
        <v>משדר מוליכות</v>
      </c>
      <c r="B93" s="180" t="str">
        <f>'רשימת מכשור 2015'!B92</f>
        <v>Mettler Toledo</v>
      </c>
      <c r="C93" s="180" t="str">
        <f>'רשימת מכשור 2015'!C92</f>
        <v>M400</v>
      </c>
      <c r="D93" s="233" t="str">
        <f>'רשימת מכשור 2015'!D92</f>
        <v>COLUMN 4/5</v>
      </c>
      <c r="E93" s="180" t="str">
        <f>'רשימת מכשור 2015'!E92</f>
        <v>1-1-4-CIC-1</v>
      </c>
      <c r="F93" s="180">
        <f>'רשימת מכשור 2015'!F92</f>
        <v>4000</v>
      </c>
      <c r="G93" s="181">
        <v>1</v>
      </c>
      <c r="H93" s="181">
        <f t="shared" si="5"/>
        <v>4000</v>
      </c>
      <c r="I93" s="182" t="s">
        <v>82</v>
      </c>
      <c r="J93" s="181">
        <v>1</v>
      </c>
      <c r="K93" s="181">
        <v>1</v>
      </c>
      <c r="L93" s="181">
        <v>1</v>
      </c>
      <c r="M93" s="181" t="str">
        <f t="shared" si="4"/>
        <v>לא לרכוש</v>
      </c>
      <c r="N93" s="181">
        <v>1000</v>
      </c>
      <c r="O93" s="183"/>
      <c r="P93" s="183">
        <v>9</v>
      </c>
      <c r="Q93" s="183"/>
    </row>
    <row r="94" spans="1:17" s="12" customFormat="1" ht="14.25" customHeight="1">
      <c r="A94" s="180" t="str">
        <f>'רשימת מכשור 2015'!A93</f>
        <v>משדר PH</v>
      </c>
      <c r="B94" s="180" t="str">
        <f>'רשימת מכשור 2015'!B93</f>
        <v>Mettler Toledo</v>
      </c>
      <c r="C94" s="180" t="str">
        <f>'רשימת מכשור 2015'!C93</f>
        <v>M400</v>
      </c>
      <c r="D94" s="233" t="str">
        <f>'רשימת מכשור 2015'!D93</f>
        <v>COLUMN 4/5</v>
      </c>
      <c r="E94" s="180" t="str">
        <f>'רשימת מכשור 2015'!E93</f>
        <v>1-1-4-PH-1</v>
      </c>
      <c r="F94" s="180">
        <f>'רשימת מכשור 2015'!F93</f>
        <v>4000</v>
      </c>
      <c r="G94" s="181">
        <v>1</v>
      </c>
      <c r="H94" s="181">
        <f t="shared" si="5"/>
        <v>4000</v>
      </c>
      <c r="I94" s="182" t="s">
        <v>82</v>
      </c>
      <c r="J94" s="181">
        <v>1</v>
      </c>
      <c r="K94" s="181">
        <v>1</v>
      </c>
      <c r="L94" s="181">
        <v>1</v>
      </c>
      <c r="M94" s="181" t="str">
        <f t="shared" si="4"/>
        <v>לא לרכוש</v>
      </c>
      <c r="N94" s="181">
        <v>1000</v>
      </c>
      <c r="O94" s="183"/>
      <c r="P94" s="183">
        <v>7</v>
      </c>
      <c r="Q94" s="183"/>
    </row>
    <row r="95" spans="1:17" s="12" customFormat="1" ht="14.25" customHeight="1">
      <c r="A95" s="180" t="str">
        <f>'רשימת מכשור 2015'!A94</f>
        <v xml:space="preserve">אלקטרודת מוליכות </v>
      </c>
      <c r="B95" s="180" t="str">
        <f>'רשימת מכשור 2015'!B94</f>
        <v>METTLER TOLEDO</v>
      </c>
      <c r="C95" s="180" t="str">
        <f>'רשימת מכשור 2015'!C94</f>
        <v xml:space="preserve"> 233E223
Transmitter: 770 Max -775-LA2</v>
      </c>
      <c r="D95" s="233" t="str">
        <f>'רשימת מכשור 2015'!D94</f>
        <v>PW PRODUCTION
2500</v>
      </c>
      <c r="E95" s="180" t="str">
        <f>'רשימת מכשור 2015'!E94</f>
        <v>1-1-604
-CIT/TIT-005</v>
      </c>
      <c r="F95" s="180">
        <f>'רשימת מכשור 2015'!F94</f>
        <v>3500</v>
      </c>
      <c r="G95" s="181">
        <v>1</v>
      </c>
      <c r="H95" s="181">
        <f t="shared" si="5"/>
        <v>3500</v>
      </c>
      <c r="I95" s="182" t="s">
        <v>82</v>
      </c>
      <c r="J95" s="181">
        <v>1</v>
      </c>
      <c r="K95" s="181">
        <v>1</v>
      </c>
      <c r="L95" s="181">
        <v>1</v>
      </c>
      <c r="M95" s="181" t="str">
        <f t="shared" si="4"/>
        <v>לא לרכוש</v>
      </c>
      <c r="N95" s="181">
        <v>1000</v>
      </c>
      <c r="O95" s="183"/>
      <c r="P95" s="183">
        <v>2</v>
      </c>
      <c r="Q95" s="183" t="s">
        <v>194</v>
      </c>
    </row>
    <row r="96" spans="1:17" s="12" customFormat="1" ht="14.25" customHeight="1">
      <c r="A96" s="180" t="str">
        <f>'רשימת מכשור 2015'!A95</f>
        <v xml:space="preserve">אלקטרודת מוליכות </v>
      </c>
      <c r="B96" s="180" t="str">
        <f>'רשימת מכשור 2015'!B95</f>
        <v>METTLER TOLEDO</v>
      </c>
      <c r="C96" s="180" t="str">
        <f>'רשימת מכשור 2015'!C95</f>
        <v>SENSOR: 233E223
Transmitter: 770 Max -775-LA2</v>
      </c>
      <c r="D96" s="233" t="str">
        <f>'רשימת מכשור 2015'!D95</f>
        <v>PW STORAGE
2500</v>
      </c>
      <c r="E96" s="180" t="str">
        <f>'רשימת מכשור 2015'!E95</f>
        <v>1-1-606-
CIT/TIT-001</v>
      </c>
      <c r="F96" s="180">
        <f>'רשימת מכשור 2015'!F95</f>
        <v>3500</v>
      </c>
      <c r="G96" s="181">
        <v>1</v>
      </c>
      <c r="H96" s="181">
        <f t="shared" si="5"/>
        <v>3500</v>
      </c>
      <c r="I96" s="182" t="s">
        <v>82</v>
      </c>
      <c r="J96" s="181">
        <v>1</v>
      </c>
      <c r="K96" s="181">
        <v>1</v>
      </c>
      <c r="L96" s="181">
        <v>1</v>
      </c>
      <c r="M96" s="181" t="str">
        <f t="shared" si="4"/>
        <v>לא לרכוש</v>
      </c>
      <c r="N96" s="181">
        <v>1000</v>
      </c>
      <c r="O96" s="183"/>
      <c r="P96" s="183">
        <v>2</v>
      </c>
      <c r="Q96" s="183" t="s">
        <v>194</v>
      </c>
    </row>
    <row r="97" spans="1:17" s="12" customFormat="1" ht="14.25" customHeight="1">
      <c r="A97" s="180" t="str">
        <f>'רשימת מכשור 2015'!A96</f>
        <v xml:space="preserve">אלקטרודת מוליכות </v>
      </c>
      <c r="B97" s="180" t="str">
        <f>'רשימת מכשור 2015'!B96</f>
        <v>Mettler Toledo</v>
      </c>
      <c r="C97" s="180" t="str">
        <f>'רשימת מכשור 2015'!C96</f>
        <v>SENSOR: 233E223
Transmitter: 770 Max</v>
      </c>
      <c r="D97" s="233" t="str">
        <f>'רשימת מכשור 2015'!D96</f>
        <v>RO PRODUCTION</v>
      </c>
      <c r="E97" s="180" t="str">
        <f>'רשימת מכשור 2015'!E96</f>
        <v>1-1-133-CIC-1</v>
      </c>
      <c r="F97" s="180">
        <f>'רשימת מכשור 2015'!F96</f>
        <v>2500</v>
      </c>
      <c r="G97" s="181">
        <v>1</v>
      </c>
      <c r="H97" s="181">
        <f t="shared" si="5"/>
        <v>2500</v>
      </c>
      <c r="I97" s="182" t="s">
        <v>82</v>
      </c>
      <c r="J97" s="181">
        <v>1</v>
      </c>
      <c r="K97" s="181">
        <v>1</v>
      </c>
      <c r="L97" s="181">
        <v>1.2</v>
      </c>
      <c r="M97" s="181" t="str">
        <f t="shared" si="4"/>
        <v>לא לרכוש</v>
      </c>
      <c r="N97" s="181">
        <v>1000</v>
      </c>
      <c r="O97" s="183"/>
      <c r="P97" s="183">
        <v>7</v>
      </c>
      <c r="Q97" s="183"/>
    </row>
    <row r="98" spans="1:17" s="12" customFormat="1" ht="14.25" customHeight="1">
      <c r="A98" s="180" t="str">
        <f>'רשימת מכשור 2015'!A97</f>
        <v xml:space="preserve">אלקטרודת מוליכות </v>
      </c>
      <c r="B98" s="180" t="str">
        <f>'רשימת מכשור 2015'!B97</f>
        <v>Mettler Toledo</v>
      </c>
      <c r="C98" s="180" t="str">
        <f>'רשימת מכשור 2015'!C97</f>
        <v>SENSOR: 233E223
Transmitter: 770 Max</v>
      </c>
      <c r="D98" s="233" t="str">
        <f>'רשימת מכשור 2015'!D97</f>
        <v>RO PRODUCTION</v>
      </c>
      <c r="E98" s="180" t="str">
        <f>'רשימת מכשור 2015'!E97</f>
        <v>1-1-133-CIC-2</v>
      </c>
      <c r="F98" s="180">
        <f>'רשימת מכשור 2015'!F97</f>
        <v>2500</v>
      </c>
      <c r="G98" s="181">
        <v>1</v>
      </c>
      <c r="H98" s="181">
        <f t="shared" si="5"/>
        <v>2500</v>
      </c>
      <c r="I98" s="182" t="s">
        <v>82</v>
      </c>
      <c r="J98" s="181">
        <v>1</v>
      </c>
      <c r="K98" s="181">
        <v>1</v>
      </c>
      <c r="L98" s="181">
        <v>1</v>
      </c>
      <c r="M98" s="181" t="str">
        <f t="shared" si="4"/>
        <v>לא לרכוש</v>
      </c>
      <c r="N98" s="181">
        <v>1000</v>
      </c>
      <c r="O98" s="183"/>
      <c r="P98" s="183">
        <v>6</v>
      </c>
      <c r="Q98" s="183"/>
    </row>
    <row r="99" spans="1:17" s="12" customFormat="1" ht="14.25" customHeight="1">
      <c r="A99" s="180" t="str">
        <f>'רשימת מכשור 2015'!A98</f>
        <v>מד מפלס</v>
      </c>
      <c r="B99" s="180" t="str">
        <f>'רשימת מכשור 2015'!B98</f>
        <v>milan</v>
      </c>
      <c r="C99" s="180" t="str">
        <f>'רשימת מכשור 2015'!C98</f>
        <v>מצוף</v>
      </c>
      <c r="D99" s="233" t="str">
        <f>'רשימת מכשור 2015'!D98</f>
        <v>צנטרפוגה</v>
      </c>
      <c r="E99" s="180" t="str">
        <f>'רשימת מכשור 2015'!E98</f>
        <v>27-LIC-1</v>
      </c>
      <c r="F99" s="180">
        <f>'רשימת מכשור 2015'!F98</f>
        <v>3000</v>
      </c>
      <c r="G99" s="181">
        <v>1</v>
      </c>
      <c r="H99" s="181">
        <f t="shared" si="5"/>
        <v>3000</v>
      </c>
      <c r="I99" s="182"/>
      <c r="J99" s="181">
        <v>1</v>
      </c>
      <c r="K99" s="181">
        <v>1</v>
      </c>
      <c r="L99" s="181">
        <v>0.5</v>
      </c>
      <c r="M99" s="181" t="str">
        <f t="shared" si="4"/>
        <v>לרכוש</v>
      </c>
      <c r="N99" s="181">
        <v>1000</v>
      </c>
      <c r="O99" s="183"/>
      <c r="P99" s="183">
        <v>1</v>
      </c>
      <c r="Q99" s="183"/>
    </row>
    <row r="100" spans="1:17" s="12" customFormat="1" ht="14.25" customHeight="1">
      <c r="A100" s="180" t="str">
        <f>'רשימת מכשור 2015'!A99</f>
        <v>מפסק גובה נמוך</v>
      </c>
      <c r="B100" s="180" t="str">
        <f>'רשימת מכשור 2015'!B99</f>
        <v>E+H ISRAEL</v>
      </c>
      <c r="C100" s="180" t="str">
        <f>'רשימת מכשור 2015'!C99</f>
        <v>E+H - FTL50H</v>
      </c>
      <c r="D100" s="233" t="str">
        <f>'רשימת מכשור 2015'!D99</f>
        <v>צנטרפוגה</v>
      </c>
      <c r="E100" s="180" t="str">
        <f>'רשימת מכשור 2015'!E99</f>
        <v>27-LSL-1</v>
      </c>
      <c r="F100" s="180">
        <f>'רשימת מכשור 2015'!F99</f>
        <v>4226</v>
      </c>
      <c r="G100" s="181">
        <v>1</v>
      </c>
      <c r="H100" s="181">
        <f t="shared" si="5"/>
        <v>4226</v>
      </c>
      <c r="I100" s="182"/>
      <c r="J100" s="181">
        <v>1</v>
      </c>
      <c r="K100" s="181">
        <v>1</v>
      </c>
      <c r="L100" s="181">
        <v>1.5</v>
      </c>
      <c r="M100" s="181" t="str">
        <f t="shared" si="4"/>
        <v>לרכוש</v>
      </c>
      <c r="N100" s="181">
        <v>1000</v>
      </c>
      <c r="O100" s="183"/>
      <c r="P100" s="183">
        <v>2</v>
      </c>
      <c r="Q100" s="183"/>
    </row>
    <row r="101" spans="1:17" s="12" customFormat="1" ht="14.25" customHeight="1">
      <c r="A101" s="180" t="str">
        <f>'רשימת מכשור 2015'!A100</f>
        <v>מפסק זרימה</v>
      </c>
      <c r="B101" s="180" t="str">
        <f>'רשימת מכשור 2015'!B100</f>
        <v>negele</v>
      </c>
      <c r="C101" s="180" t="str">
        <f>'רשימת מכשור 2015'!C100</f>
        <v>FKS-141</v>
      </c>
      <c r="D101" s="233" t="str">
        <f>'רשימת מכשור 2015'!D100</f>
        <v>PW פיילוט</v>
      </c>
      <c r="E101" s="180" t="str">
        <f>'רשימת מכשור 2015'!E100</f>
        <v>1-FS-1</v>
      </c>
      <c r="F101" s="180">
        <f>'רשימת מכשור 2015'!F100</f>
        <v>3000</v>
      </c>
      <c r="G101" s="181">
        <v>1</v>
      </c>
      <c r="H101" s="181">
        <f t="shared" si="5"/>
        <v>3000</v>
      </c>
      <c r="I101" s="182"/>
      <c r="J101" s="181">
        <v>1</v>
      </c>
      <c r="K101" s="181">
        <v>1</v>
      </c>
      <c r="L101" s="181">
        <v>1</v>
      </c>
      <c r="M101" s="181" t="str">
        <f t="shared" si="4"/>
        <v>לרכוש</v>
      </c>
      <c r="N101" s="181">
        <v>1000</v>
      </c>
      <c r="O101" s="183"/>
      <c r="P101" s="183">
        <v>2</v>
      </c>
      <c r="Q101" s="183"/>
    </row>
    <row r="102" spans="1:17" s="12" customFormat="1" ht="14.25" customHeight="1">
      <c r="A102" s="180" t="str">
        <f>'רשימת מכשור 2015'!A101</f>
        <v>מד רדוקס</v>
      </c>
      <c r="B102" s="180" t="str">
        <f>'רשימת מכשור 2015'!B101</f>
        <v>Sensor: Metler Toledo
Transmitter: EUTECH INSTRUMENT</v>
      </c>
      <c r="C102" s="180" t="str">
        <f>'רשימת מכשור 2015'!C101</f>
        <v>Sensor: Pt4805-DPA-SC-S8
Transmiter: ALPHA pH500</v>
      </c>
      <c r="D102" s="233" t="str">
        <f>'רשימת מכשור 2015'!D101</f>
        <v>PW PRETREAMENT
2500</v>
      </c>
      <c r="E102" s="180" t="str">
        <f>'רשימת מכשור 2015'!E101</f>
        <v>1-1-605-ORP-001</v>
      </c>
      <c r="F102" s="180">
        <f>'רשימת מכשור 2015'!F101</f>
        <v>7000</v>
      </c>
      <c r="G102" s="181">
        <v>1</v>
      </c>
      <c r="H102" s="181">
        <v>6000</v>
      </c>
      <c r="I102" s="182"/>
      <c r="J102" s="181">
        <v>1</v>
      </c>
      <c r="K102" s="181">
        <v>1</v>
      </c>
      <c r="L102" s="181">
        <v>1.2</v>
      </c>
      <c r="M102" s="181" t="str">
        <f t="shared" si="4"/>
        <v>לרכוש</v>
      </c>
      <c r="N102" s="181">
        <v>1000</v>
      </c>
      <c r="O102" s="183"/>
      <c r="P102" s="183">
        <v>2</v>
      </c>
      <c r="Q102" s="183"/>
    </row>
    <row r="103" spans="1:17" s="12" customFormat="1" ht="14.25" customHeight="1">
      <c r="A103" s="180" t="str">
        <f>'רשימת מכשור 2015'!A102</f>
        <v>מד זרימה</v>
      </c>
      <c r="B103" s="180" t="str">
        <f>'רשימת מכשור 2015'!B102</f>
        <v>E+H</v>
      </c>
      <c r="C103" s="180" t="str">
        <f>'רשימת מכשור 2015'!C102</f>
        <v>Flowphant T DTT35-A1C111DB2AAB</v>
      </c>
      <c r="D103" s="233" t="str">
        <f>'רשימת מכשור 2015'!D102</f>
        <v>RO PRODUCTION</v>
      </c>
      <c r="E103" s="180" t="str">
        <f>'רשימת מכשור 2015'!E102</f>
        <v>1-1-133-FIC-1</v>
      </c>
      <c r="F103" s="180">
        <f>'רשימת מכשור 2015'!F102</f>
        <v>3000</v>
      </c>
      <c r="G103" s="181">
        <v>1</v>
      </c>
      <c r="H103" s="181">
        <f t="shared" ref="H103:H147" si="6">G103*F103</f>
        <v>3000</v>
      </c>
      <c r="I103" s="182"/>
      <c r="J103" s="181">
        <v>1</v>
      </c>
      <c r="K103" s="181">
        <v>1</v>
      </c>
      <c r="L103" s="181">
        <v>1.5</v>
      </c>
      <c r="M103" s="181" t="str">
        <f t="shared" si="4"/>
        <v>לרכוש</v>
      </c>
      <c r="N103" s="181">
        <v>1000</v>
      </c>
      <c r="O103" s="183"/>
      <c r="P103" s="183">
        <v>2</v>
      </c>
      <c r="Q103" s="183"/>
    </row>
    <row r="104" spans="1:17" s="12" customFormat="1" ht="14.25" customHeight="1">
      <c r="A104" s="180" t="str">
        <f>'רשימת מכשור 2015'!A103</f>
        <v>מד זרימה</v>
      </c>
      <c r="B104" s="180" t="str">
        <f>'רשימת מכשור 2015'!B103</f>
        <v>E+H</v>
      </c>
      <c r="C104" s="180" t="str">
        <f>'רשימת מכשור 2015'!C103</f>
        <v>Flowphant T DTT35-A1C111DB2AAB</v>
      </c>
      <c r="D104" s="233" t="str">
        <f>'רשימת מכשור 2015'!D103</f>
        <v>RO PRODUCTION</v>
      </c>
      <c r="E104" s="180" t="str">
        <f>'רשימת מכשור 2015'!E103</f>
        <v>1-1-133-FIC-4</v>
      </c>
      <c r="F104" s="180">
        <f>'רשימת מכשור 2015'!F103</f>
        <v>3000</v>
      </c>
      <c r="G104" s="181">
        <v>1</v>
      </c>
      <c r="H104" s="181">
        <f t="shared" si="6"/>
        <v>3000</v>
      </c>
      <c r="I104" s="182"/>
      <c r="J104" s="181">
        <v>1</v>
      </c>
      <c r="K104" s="181">
        <v>1</v>
      </c>
      <c r="L104" s="181">
        <v>1.5</v>
      </c>
      <c r="M104" s="181" t="str">
        <f t="shared" si="4"/>
        <v>לרכוש</v>
      </c>
      <c r="N104" s="181">
        <v>1000</v>
      </c>
      <c r="O104" s="183"/>
      <c r="P104" s="183">
        <v>2</v>
      </c>
      <c r="Q104" s="183"/>
    </row>
    <row r="105" spans="1:17" s="12" customFormat="1" ht="14.25" customHeight="1">
      <c r="A105" s="180" t="str">
        <f>'רשימת מכשור 2015'!A104</f>
        <v>ברז (מפעיל) בקרה</v>
      </c>
      <c r="B105" s="180" t="str">
        <f>'רשימת מכשור 2015'!B104</f>
        <v>SIEMENS</v>
      </c>
      <c r="C105" s="180" t="str">
        <f>'רשימת מכשור 2015'!C104</f>
        <v>Acvatix SKD 60</v>
      </c>
      <c r="D105" s="233" t="str">
        <f>'רשימת מכשור 2015'!D104</f>
        <v>AHU-WH</v>
      </c>
      <c r="E105" s="180" t="str">
        <f>'רשימת מכשור 2015'!E104</f>
        <v>1-2-51021-TCV-1</v>
      </c>
      <c r="F105" s="180">
        <f>'רשימת מכשור 2015'!F104</f>
        <v>1600</v>
      </c>
      <c r="G105" s="181">
        <v>1</v>
      </c>
      <c r="H105" s="181">
        <f t="shared" si="6"/>
        <v>1600</v>
      </c>
      <c r="I105" s="182" t="s">
        <v>82</v>
      </c>
      <c r="J105" s="181">
        <v>1</v>
      </c>
      <c r="K105" s="181">
        <v>1</v>
      </c>
      <c r="L105" s="181">
        <v>0.5</v>
      </c>
      <c r="M105" s="181" t="str">
        <f t="shared" si="4"/>
        <v>לא לרכוש</v>
      </c>
      <c r="N105" s="181">
        <v>1000</v>
      </c>
      <c r="O105" s="183"/>
      <c r="P105" s="183">
        <v>3</v>
      </c>
      <c r="Q105" s="183"/>
    </row>
    <row r="106" spans="1:17" s="12" customFormat="1" ht="14.25" customHeight="1">
      <c r="A106" s="180" t="str">
        <f>'רשימת מכשור 2015'!A105</f>
        <v>ברז (מפעיל) בקרה</v>
      </c>
      <c r="B106" s="180" t="str">
        <f>'רשימת מכשור 2015'!B105</f>
        <v>siemens</v>
      </c>
      <c r="C106" s="180" t="str">
        <f>'רשימת מכשור 2015'!C105</f>
        <v>0155 02A</v>
      </c>
      <c r="D106" s="233" t="str">
        <f>'רשימת מכשור 2015'!D105</f>
        <v>AHU-N02</v>
      </c>
      <c r="E106" s="180" t="str">
        <f>'רשימת מכשור 2015'!E105</f>
        <v>1-1-51005-MVD-N02-01</v>
      </c>
      <c r="F106" s="180">
        <f>'רשימת מכשור 2015'!F105</f>
        <v>3000</v>
      </c>
      <c r="G106" s="181">
        <v>1</v>
      </c>
      <c r="H106" s="181">
        <f t="shared" si="6"/>
        <v>3000</v>
      </c>
      <c r="I106" s="182"/>
      <c r="J106" s="181">
        <v>1</v>
      </c>
      <c r="K106" s="181">
        <v>1</v>
      </c>
      <c r="L106" s="181">
        <v>0.5</v>
      </c>
      <c r="M106" s="181" t="str">
        <f t="shared" si="4"/>
        <v>לרכוש</v>
      </c>
      <c r="N106" s="181">
        <v>1000</v>
      </c>
      <c r="O106" s="183"/>
      <c r="P106" s="183">
        <v>1</v>
      </c>
      <c r="Q106" s="183"/>
    </row>
    <row r="107" spans="1:17" s="12" customFormat="1" ht="14.25" customHeight="1">
      <c r="A107" s="180" t="str">
        <f>'רשימת מכשור 2015'!A106</f>
        <v>ברז (מפעיל) בקרה</v>
      </c>
      <c r="B107" s="180" t="str">
        <f>'רשימת מכשור 2015'!B106</f>
        <v>SIEMENS</v>
      </c>
      <c r="C107" s="180" t="str">
        <f>'רשימת מכשור 2015'!C106</f>
        <v>ACVITEX SQX62</v>
      </c>
      <c r="D107" s="233" t="str">
        <f>'רשימת מכשור 2015'!D106</f>
        <v>AHU-N01</v>
      </c>
      <c r="E107" s="180" t="str">
        <f>'רשימת מכשור 2015'!E106</f>
        <v>1-1-51005-CV-N01-04</v>
      </c>
      <c r="F107" s="180">
        <f>'רשימת מכשור 2015'!F106</f>
        <v>3000</v>
      </c>
      <c r="G107" s="181">
        <v>1</v>
      </c>
      <c r="H107" s="181">
        <f t="shared" si="6"/>
        <v>3000</v>
      </c>
      <c r="I107" s="182"/>
      <c r="J107" s="181">
        <v>1</v>
      </c>
      <c r="K107" s="181">
        <v>1</v>
      </c>
      <c r="L107" s="181">
        <v>0.5</v>
      </c>
      <c r="M107" s="181" t="str">
        <f t="shared" si="4"/>
        <v>לרכוש</v>
      </c>
      <c r="N107" s="181">
        <v>1000</v>
      </c>
      <c r="O107" s="183"/>
      <c r="P107" s="183">
        <v>2</v>
      </c>
      <c r="Q107" s="183"/>
    </row>
    <row r="108" spans="1:17" s="12" customFormat="1" ht="14.25" customHeight="1">
      <c r="A108" s="180" t="str">
        <f>'רשימת מכשור 2015'!A107</f>
        <v>ברז (מפעיל) בקרה</v>
      </c>
      <c r="B108" s="180" t="str">
        <f>'רשימת מכשור 2015'!B107</f>
        <v>SIEMENS</v>
      </c>
      <c r="C108" s="180" t="str">
        <f>'רשימת מכשור 2015'!C107</f>
        <v>ACVITEX SQX62</v>
      </c>
      <c r="D108" s="233" t="str">
        <f>'רשימת מכשור 2015'!D107</f>
        <v>AHU-N02</v>
      </c>
      <c r="E108" s="180" t="str">
        <f>'רשימת מכשור 2015'!E107</f>
        <v>1-1-51005-CV-N02-04</v>
      </c>
      <c r="F108" s="180">
        <f>'רשימת מכשור 2015'!F107</f>
        <v>3000</v>
      </c>
      <c r="G108" s="181">
        <v>1</v>
      </c>
      <c r="H108" s="181">
        <f t="shared" si="6"/>
        <v>3000</v>
      </c>
      <c r="I108" s="182"/>
      <c r="J108" s="181">
        <v>1</v>
      </c>
      <c r="K108" s="181">
        <v>1</v>
      </c>
      <c r="L108" s="181">
        <v>0.5</v>
      </c>
      <c r="M108" s="181" t="str">
        <f t="shared" si="4"/>
        <v>לרכוש</v>
      </c>
      <c r="N108" s="181">
        <v>1000</v>
      </c>
      <c r="O108" s="183"/>
      <c r="P108" s="183">
        <v>2</v>
      </c>
      <c r="Q108" s="183"/>
    </row>
    <row r="109" spans="1:17" s="12" customFormat="1" ht="14.25" customHeight="1">
      <c r="A109" s="180" t="str">
        <f>'רשימת מכשור 2015'!A108</f>
        <v>ברז (מפעיל) בקרה</v>
      </c>
      <c r="B109" s="180" t="str">
        <f>'רשימת מכשור 2015'!B108</f>
        <v>SIEMENS</v>
      </c>
      <c r="C109" s="180" t="str">
        <f>'רשימת מכשור 2015'!C108</f>
        <v>Acvatix SKD 60</v>
      </c>
      <c r="D109" s="233" t="str">
        <f>'רשימת מכשור 2015'!D108</f>
        <v>Air Compressor</v>
      </c>
      <c r="E109" s="180" t="str">
        <f>'רשימת מכשור 2015'!E108</f>
        <v>1-1-41001-TCV-1</v>
      </c>
      <c r="F109" s="180">
        <f>'רשימת מכשור 2015'!F108</f>
        <v>1600</v>
      </c>
      <c r="G109" s="181">
        <v>1</v>
      </c>
      <c r="H109" s="181">
        <f t="shared" si="6"/>
        <v>1600</v>
      </c>
      <c r="I109" s="182" t="s">
        <v>82</v>
      </c>
      <c r="J109" s="181">
        <v>1</v>
      </c>
      <c r="K109" s="181">
        <v>1</v>
      </c>
      <c r="L109" s="181">
        <v>0.5</v>
      </c>
      <c r="M109" s="181" t="str">
        <f t="shared" si="4"/>
        <v>לא לרכוש</v>
      </c>
      <c r="N109" s="181">
        <v>1000</v>
      </c>
      <c r="O109" s="183"/>
      <c r="P109" s="183">
        <v>3</v>
      </c>
      <c r="Q109" s="183"/>
    </row>
    <row r="110" spans="1:17" s="12" customFormat="1" ht="14.25" customHeight="1">
      <c r="A110" s="180" t="str">
        <f>'רשימת מכשור 2015'!A109</f>
        <v xml:space="preserve">משדר לחץ   </v>
      </c>
      <c r="B110" s="180" t="str">
        <f>'רשימת מכשור 2015'!B109</f>
        <v>ELCON</v>
      </c>
      <c r="C110" s="180" t="str">
        <f>'רשימת מכשור 2015'!C109</f>
        <v>ELCON</v>
      </c>
      <c r="D110" s="233" t="str">
        <f>'רשימת מכשור 2015'!D109</f>
        <v>COLUMN 1</v>
      </c>
      <c r="E110" s="180" t="str">
        <f>'רשימת מכשור 2015'!E109</f>
        <v>1-1-144-PT-1</v>
      </c>
      <c r="F110" s="180">
        <f>'רשימת מכשור 2015'!F109</f>
        <v>3000</v>
      </c>
      <c r="G110" s="181">
        <v>1</v>
      </c>
      <c r="H110" s="181">
        <f t="shared" si="6"/>
        <v>3000</v>
      </c>
      <c r="I110" s="182"/>
      <c r="J110" s="181">
        <v>1</v>
      </c>
      <c r="K110" s="181">
        <v>1</v>
      </c>
      <c r="L110" s="181">
        <v>1</v>
      </c>
      <c r="M110" s="181" t="str">
        <f t="shared" si="4"/>
        <v>לרכוש</v>
      </c>
      <c r="N110" s="181">
        <v>1000</v>
      </c>
      <c r="O110" s="183"/>
      <c r="P110" s="183">
        <v>3</v>
      </c>
      <c r="Q110" s="183"/>
    </row>
    <row r="111" spans="1:17" s="12" customFormat="1" ht="14.25" customHeight="1">
      <c r="A111" s="180" t="str">
        <f>'רשימת מכשור 2015'!A110</f>
        <v xml:space="preserve">משדר לחץ   </v>
      </c>
      <c r="B111" s="180" t="str">
        <f>'רשימת מכשור 2015'!B110</f>
        <v>ELCON</v>
      </c>
      <c r="C111" s="180" t="str">
        <f>'רשימת מכשור 2015'!C110</f>
        <v>ELCON</v>
      </c>
      <c r="D111" s="233" t="str">
        <f>'רשימת מכשור 2015'!D110</f>
        <v>COLUMN 1</v>
      </c>
      <c r="E111" s="180" t="str">
        <f>'רשימת מכשור 2015'!E110</f>
        <v>1-1-144-PT-2</v>
      </c>
      <c r="F111" s="180">
        <f>'רשימת מכשור 2015'!F110</f>
        <v>3000</v>
      </c>
      <c r="G111" s="181">
        <v>1</v>
      </c>
      <c r="H111" s="181">
        <f t="shared" si="6"/>
        <v>3000</v>
      </c>
      <c r="I111" s="182"/>
      <c r="J111" s="181">
        <v>1</v>
      </c>
      <c r="K111" s="181">
        <v>1</v>
      </c>
      <c r="L111" s="181">
        <v>1</v>
      </c>
      <c r="M111" s="181" t="str">
        <f t="shared" si="4"/>
        <v>לרכוש</v>
      </c>
      <c r="N111" s="181">
        <v>1000</v>
      </c>
      <c r="O111" s="183"/>
      <c r="P111" s="183">
        <v>3</v>
      </c>
      <c r="Q111" s="183"/>
    </row>
    <row r="112" spans="1:17" s="12" customFormat="1" ht="14.25" customHeight="1">
      <c r="A112" s="180" t="str">
        <f>'רשימת מכשור 2015'!A111</f>
        <v>משדר טמפרטורה</v>
      </c>
      <c r="B112" s="180" t="str">
        <f>'רשימת מכשור 2015'!B111</f>
        <v>LABOM</v>
      </c>
      <c r="C112" s="180" t="str">
        <f>'רשימת מכשור 2015'!C111</f>
        <v>LABOM GA2610</v>
      </c>
      <c r="D112" s="233" t="str">
        <f>'רשימת מכשור 2015'!D111</f>
        <v>צנטרפוגה</v>
      </c>
      <c r="E112" s="180" t="str">
        <f>'רשימת מכשור 2015'!E111</f>
        <v>TI 02-9-053</v>
      </c>
      <c r="F112" s="180">
        <f>'רשימת מכשור 2015'!F111</f>
        <v>2600</v>
      </c>
      <c r="G112" s="181">
        <v>1</v>
      </c>
      <c r="H112" s="181">
        <f t="shared" si="6"/>
        <v>2600</v>
      </c>
      <c r="I112" s="182"/>
      <c r="J112" s="181">
        <v>1</v>
      </c>
      <c r="K112" s="181">
        <v>0</v>
      </c>
      <c r="L112" s="181">
        <v>1.5</v>
      </c>
      <c r="M112" s="181" t="str">
        <f t="shared" si="4"/>
        <v>לא לרכוש</v>
      </c>
      <c r="N112" s="181">
        <v>1000</v>
      </c>
      <c r="O112" s="183"/>
      <c r="P112" s="183"/>
      <c r="Q112" s="183"/>
    </row>
    <row r="113" spans="1:17" s="12" customFormat="1" ht="14.25" customHeight="1">
      <c r="A113" s="180" t="str">
        <f>'רשימת מכשור 2015'!A112</f>
        <v>משדר תדר למהירות</v>
      </c>
      <c r="B113" s="180" t="str">
        <f>'רשימת מכשור 2015'!B112</f>
        <v>KAMA</v>
      </c>
      <c r="C113" s="180" t="str">
        <f>'רשימת מכשור 2015'!C112</f>
        <v>PF KFD2-UFC-1.D</v>
      </c>
      <c r="D113" s="233" t="str">
        <f>'רשימת מכשור 2015'!D112</f>
        <v>צנטרפוגה</v>
      </c>
      <c r="E113" s="180" t="str">
        <f>'רשימת מכשור 2015'!E112</f>
        <v xml:space="preserve">N/A </v>
      </c>
      <c r="F113" s="180">
        <f>'רשימת מכשור 2015'!F112</f>
        <v>2500</v>
      </c>
      <c r="G113" s="181">
        <v>1</v>
      </c>
      <c r="H113" s="181">
        <f t="shared" si="6"/>
        <v>2500</v>
      </c>
      <c r="I113" s="182"/>
      <c r="J113" s="181">
        <v>1</v>
      </c>
      <c r="K113" s="181">
        <v>1</v>
      </c>
      <c r="L113" s="181">
        <v>1</v>
      </c>
      <c r="M113" s="181" t="str">
        <f t="shared" si="4"/>
        <v>לרכוש</v>
      </c>
      <c r="N113" s="181">
        <v>1000</v>
      </c>
      <c r="O113" s="183"/>
      <c r="P113" s="183">
        <v>1</v>
      </c>
      <c r="Q113" s="183"/>
    </row>
    <row r="114" spans="1:17" s="12" customFormat="1" ht="14.25" customHeight="1">
      <c r="A114" s="180" t="str">
        <f>'רשימת מכשור 2015'!A113</f>
        <v>משדר תדר למהירות</v>
      </c>
      <c r="B114" s="180" t="str">
        <f>'רשימת מכשור 2015'!B113</f>
        <v>KAMA</v>
      </c>
      <c r="C114" s="180" t="str">
        <f>'רשימת מכשור 2015'!C113</f>
        <v>PF KFD2-UFC-1.D</v>
      </c>
      <c r="D114" s="233" t="str">
        <f>'רשימת מכשור 2015'!D113</f>
        <v>צנטרפוגה</v>
      </c>
      <c r="E114" s="180" t="str">
        <f>'רשימת מכשור 2015'!E113</f>
        <v>27-SIC-1</v>
      </c>
      <c r="F114" s="180">
        <f>'רשימת מכשור 2015'!F113</f>
        <v>2500</v>
      </c>
      <c r="G114" s="181">
        <v>1</v>
      </c>
      <c r="H114" s="181">
        <f t="shared" si="6"/>
        <v>2500</v>
      </c>
      <c r="I114" s="182"/>
      <c r="J114" s="181">
        <v>1</v>
      </c>
      <c r="K114" s="181">
        <v>1</v>
      </c>
      <c r="L114" s="181">
        <v>1</v>
      </c>
      <c r="M114" s="181" t="str">
        <f t="shared" si="4"/>
        <v>לרכוש</v>
      </c>
      <c r="N114" s="181">
        <v>1000</v>
      </c>
      <c r="O114" s="183"/>
      <c r="P114" s="183">
        <v>1</v>
      </c>
      <c r="Q114" s="183"/>
    </row>
    <row r="115" spans="1:17" s="12" customFormat="1" ht="14.25" customHeight="1">
      <c r="A115" s="180" t="str">
        <f>'רשימת מכשור 2015'!A114</f>
        <v>משדר מוליכות</v>
      </c>
      <c r="B115" s="180" t="str">
        <f>'רשימת מכשור 2015'!B114</f>
        <v>EUTECH
 INSTRUMENT</v>
      </c>
      <c r="C115" s="180" t="str">
        <f>'רשימת מכשור 2015'!C114</f>
        <v>Alpha con500</v>
      </c>
      <c r="D115" s="233" t="str">
        <f>'רשימת מכשור 2015'!D114</f>
        <v>PW PRODUCTION
2500</v>
      </c>
      <c r="E115" s="180" t="str">
        <f>'רשימת מכשור 2015'!E114</f>
        <v>1-1-604-CIT-001</v>
      </c>
      <c r="F115" s="180">
        <f>'רשימת מכשור 2015'!F114</f>
        <v>2500</v>
      </c>
      <c r="G115" s="181">
        <v>1</v>
      </c>
      <c r="H115" s="181">
        <f t="shared" si="6"/>
        <v>2500</v>
      </c>
      <c r="I115" s="182"/>
      <c r="J115" s="181">
        <v>1</v>
      </c>
      <c r="K115" s="181">
        <v>1</v>
      </c>
      <c r="L115" s="181">
        <v>1</v>
      </c>
      <c r="M115" s="181" t="str">
        <f t="shared" si="4"/>
        <v>לרכוש</v>
      </c>
      <c r="N115" s="181">
        <v>1000</v>
      </c>
      <c r="O115" s="183"/>
      <c r="P115" s="183">
        <v>3</v>
      </c>
      <c r="Q115" s="183"/>
    </row>
    <row r="116" spans="1:17" s="12" customFormat="1" ht="14.25" customHeight="1">
      <c r="A116" s="180" t="str">
        <f>'רשימת מכשור 2015'!A115</f>
        <v>משדר מוליכות</v>
      </c>
      <c r="B116" s="180" t="str">
        <f>'רשימת מכשור 2015'!B115</f>
        <v>EUTECH
 INSTRUMENT</v>
      </c>
      <c r="C116" s="180" t="str">
        <f>'רשימת מכשור 2015'!C115</f>
        <v xml:space="preserve"> ECCS10-0-1S
Transmitter: Alpha Con 500</v>
      </c>
      <c r="D116" s="233" t="str">
        <f>'רשימת מכשור 2015'!D115</f>
        <v>PW PRODUCTION
2500</v>
      </c>
      <c r="E116" s="180" t="str">
        <f>'רשימת מכשור 2015'!E115</f>
        <v>1-1-604-CIT-002</v>
      </c>
      <c r="F116" s="180">
        <f>'רשימת מכשור 2015'!F115</f>
        <v>2500</v>
      </c>
      <c r="G116" s="181">
        <v>1</v>
      </c>
      <c r="H116" s="181">
        <f t="shared" si="6"/>
        <v>2500</v>
      </c>
      <c r="I116" s="182" t="s">
        <v>82</v>
      </c>
      <c r="J116" s="181">
        <v>1</v>
      </c>
      <c r="K116" s="181">
        <v>1</v>
      </c>
      <c r="L116" s="181">
        <v>1</v>
      </c>
      <c r="M116" s="181" t="str">
        <f t="shared" si="4"/>
        <v>לא לרכוש</v>
      </c>
      <c r="N116" s="181">
        <v>1000</v>
      </c>
      <c r="O116" s="183"/>
      <c r="P116" s="183">
        <v>1</v>
      </c>
      <c r="Q116" s="183"/>
    </row>
    <row r="117" spans="1:17" s="12" customFormat="1" ht="14.25" customHeight="1">
      <c r="A117" s="180" t="str">
        <f>'רשימת מכשור 2015'!A116</f>
        <v>משדר מוליכות</v>
      </c>
      <c r="B117" s="180" t="str">
        <f>'רשימת מכשור 2015'!B116</f>
        <v>EUTECH
 INSTRUMENT</v>
      </c>
      <c r="C117" s="180" t="str">
        <f>'רשימת מכשור 2015'!C116</f>
        <v>Alpha con500</v>
      </c>
      <c r="D117" s="233" t="str">
        <f>'רשימת מכשור 2015'!D116</f>
        <v>PW PRODUCTION
2500</v>
      </c>
      <c r="E117" s="180" t="str">
        <f>'רשימת מכשור 2015'!E116</f>
        <v>1-1-604-CIT-004</v>
      </c>
      <c r="F117" s="180">
        <f>'רשימת מכשור 2015'!F116</f>
        <v>2500</v>
      </c>
      <c r="G117" s="181">
        <v>1</v>
      </c>
      <c r="H117" s="181">
        <f t="shared" si="6"/>
        <v>2500</v>
      </c>
      <c r="I117" s="182" t="s">
        <v>82</v>
      </c>
      <c r="J117" s="181">
        <v>1</v>
      </c>
      <c r="K117" s="181">
        <v>1</v>
      </c>
      <c r="L117" s="181">
        <v>1</v>
      </c>
      <c r="M117" s="181" t="str">
        <f t="shared" si="4"/>
        <v>לא לרכוש</v>
      </c>
      <c r="N117" s="181">
        <v>1000</v>
      </c>
      <c r="O117" s="183"/>
      <c r="P117" s="183">
        <v>3</v>
      </c>
      <c r="Q117" s="183"/>
    </row>
    <row r="118" spans="1:17" s="12" customFormat="1" ht="14.25" customHeight="1">
      <c r="A118" s="180" t="str">
        <f>'רשימת מכשור 2015'!A117</f>
        <v>מפסק זרימה</v>
      </c>
      <c r="B118" s="180" t="str">
        <f>'רשימת מכשור 2015'!B117</f>
        <v>NEW FLOW</v>
      </c>
      <c r="C118" s="180" t="str">
        <f>'רשימת מכשור 2015'!C117</f>
        <v>MF-200 1/2"
 NPT F32A5005</v>
      </c>
      <c r="D118" s="233" t="str">
        <f>'רשימת מכשור 2015'!D117</f>
        <v>PW PRODUCTION
2500</v>
      </c>
      <c r="E118" s="180" t="str">
        <f>'רשימת מכשור 2015'!E117</f>
        <v>1-1-604-FS-001</v>
      </c>
      <c r="F118" s="180">
        <f>'רשימת מכשור 2015'!F117</f>
        <v>2500</v>
      </c>
      <c r="G118" s="181">
        <v>1</v>
      </c>
      <c r="H118" s="181">
        <f t="shared" si="6"/>
        <v>2500</v>
      </c>
      <c r="I118" s="182"/>
      <c r="J118" s="181">
        <v>1</v>
      </c>
      <c r="K118" s="181">
        <v>1</v>
      </c>
      <c r="L118" s="181">
        <v>1</v>
      </c>
      <c r="M118" s="181" t="str">
        <f t="shared" si="4"/>
        <v>לרכוש</v>
      </c>
      <c r="N118" s="181">
        <v>1000</v>
      </c>
      <c r="O118" s="183"/>
      <c r="P118" s="183">
        <v>1</v>
      </c>
      <c r="Q118" s="183"/>
    </row>
    <row r="119" spans="1:17" s="12" customFormat="1" ht="14.25" customHeight="1">
      <c r="A119" s="180" t="str">
        <f>'רשימת מכשור 2015'!A118</f>
        <v>מד מפלס</v>
      </c>
      <c r="B119" s="180" t="str">
        <f>'רשימת מכשור 2015'!B118</f>
        <v>מדיד</v>
      </c>
      <c r="C119" s="180" t="str">
        <f>'רשימת מכשור 2015'!C118</f>
        <v>FL052L</v>
      </c>
      <c r="D119" s="233" t="str">
        <f>'רשימת מכשור 2015'!D118</f>
        <v>PW PRETREAMENT
2500</v>
      </c>
      <c r="E119" s="180" t="str">
        <f>'רשימת מכשור 2015'!E118</f>
        <v>1-1-605-LT-001</v>
      </c>
      <c r="F119" s="180">
        <f>'רשימת מכשור 2015'!F118</f>
        <v>2500</v>
      </c>
      <c r="G119" s="181">
        <v>1</v>
      </c>
      <c r="H119" s="181">
        <f t="shared" si="6"/>
        <v>2500</v>
      </c>
      <c r="I119" s="182"/>
      <c r="J119" s="181">
        <v>1</v>
      </c>
      <c r="K119" s="181">
        <v>1</v>
      </c>
      <c r="L119" s="181">
        <v>0.5</v>
      </c>
      <c r="M119" s="181" t="str">
        <f t="shared" si="4"/>
        <v>לרכוש</v>
      </c>
      <c r="N119" s="181">
        <v>1000</v>
      </c>
      <c r="O119" s="183"/>
      <c r="P119" s="183">
        <v>1</v>
      </c>
      <c r="Q119" s="183"/>
    </row>
    <row r="120" spans="1:17" s="12" customFormat="1" ht="14.25" customHeight="1">
      <c r="A120" s="180" t="str">
        <f>'רשימת מכשור 2015'!A119</f>
        <v>משדר מוליכות</v>
      </c>
      <c r="B120" s="180" t="str">
        <f>'רשימת מכשור 2015'!B119</f>
        <v>EUTECH
 INSTRUMENT</v>
      </c>
      <c r="C120" s="180" t="str">
        <f>'רשימת מכשור 2015'!C119</f>
        <v>Alpha con500</v>
      </c>
      <c r="D120" s="233" t="str">
        <f>'רשימת מכשור 2015'!D119</f>
        <v>PW PRETREAMENT
2500</v>
      </c>
      <c r="E120" s="180" t="str">
        <f>'רשימת מכשור 2015'!E119</f>
        <v>604-CIT-004</v>
      </c>
      <c r="F120" s="180">
        <f>'רשימת מכשור 2015'!F119</f>
        <v>2500</v>
      </c>
      <c r="G120" s="181">
        <v>1</v>
      </c>
      <c r="H120" s="181">
        <f t="shared" si="6"/>
        <v>2500</v>
      </c>
      <c r="I120" s="182" t="s">
        <v>82</v>
      </c>
      <c r="J120" s="181">
        <v>1</v>
      </c>
      <c r="K120" s="185">
        <v>1</v>
      </c>
      <c r="L120" s="181">
        <v>1</v>
      </c>
      <c r="M120" s="181" t="str">
        <f t="shared" si="4"/>
        <v>לא לרכוש</v>
      </c>
      <c r="N120" s="181">
        <v>1000</v>
      </c>
      <c r="O120" s="183"/>
      <c r="P120" s="183">
        <v>3</v>
      </c>
      <c r="Q120" s="183"/>
    </row>
    <row r="121" spans="1:17" s="12" customFormat="1" ht="14.25" customHeight="1">
      <c r="A121" s="180" t="str">
        <f>'רשימת מכשור 2015'!A120</f>
        <v>מפסק לחץ הפרשי</v>
      </c>
      <c r="B121" s="180" t="str">
        <f>'רשימת מכשור 2015'!B120</f>
        <v>SIEMENSE</v>
      </c>
      <c r="C121" s="180" t="str">
        <f>'רשימת מכשור 2015'!C120</f>
        <v>QBM81-5</v>
      </c>
      <c r="D121" s="233" t="str">
        <f>'רשימת מכשור 2015'!D120</f>
        <v>51001-AHU-01</v>
      </c>
      <c r="E121" s="180" t="str">
        <f>'רשימת מכשור 2015'!E120</f>
        <v>1-1-51001-PDS-01/2</v>
      </c>
      <c r="F121" s="180">
        <f>'רשימת מכשור 2015'!F120</f>
        <v>2500</v>
      </c>
      <c r="G121" s="181">
        <v>1</v>
      </c>
      <c r="H121" s="181">
        <f t="shared" si="6"/>
        <v>2500</v>
      </c>
      <c r="I121" s="182" t="s">
        <v>82</v>
      </c>
      <c r="J121" s="181">
        <v>1</v>
      </c>
      <c r="K121" s="181">
        <v>1</v>
      </c>
      <c r="L121" s="181">
        <v>1.5</v>
      </c>
      <c r="M121" s="181" t="str">
        <f t="shared" si="4"/>
        <v>לא לרכוש</v>
      </c>
      <c r="N121" s="181">
        <v>1000</v>
      </c>
      <c r="O121" s="183"/>
      <c r="P121" s="183">
        <v>1</v>
      </c>
      <c r="Q121" s="183"/>
    </row>
    <row r="122" spans="1:17" s="12" customFormat="1" ht="14.25" customHeight="1">
      <c r="A122" s="180" t="str">
        <f>'רשימת מכשור 2015'!A121</f>
        <v xml:space="preserve">אלקטרודת מוליכות </v>
      </c>
      <c r="B122" s="180" t="str">
        <f>'רשימת מכשור 2015'!B121</f>
        <v>Mettler Toledo</v>
      </c>
      <c r="C122" s="180" t="str">
        <f>'רשימת מכשור 2015'!C121</f>
        <v>SENSOR: 233E223
Transmitter: 770 Max</v>
      </c>
      <c r="D122" s="233" t="str">
        <f>'רשימת מכשור 2015'!D121</f>
        <v>RO PRODUCTION</v>
      </c>
      <c r="E122" s="180" t="str">
        <f>'רשימת מכשור 2015'!E121</f>
        <v>1-1-133-CIC-5</v>
      </c>
      <c r="F122" s="180">
        <f>'רשימת מכשור 2015'!F121</f>
        <v>2500</v>
      </c>
      <c r="G122" s="181">
        <v>1</v>
      </c>
      <c r="H122" s="181">
        <f t="shared" si="6"/>
        <v>2500</v>
      </c>
      <c r="I122" s="182" t="s">
        <v>82</v>
      </c>
      <c r="J122" s="181">
        <v>1</v>
      </c>
      <c r="K122" s="181">
        <v>1</v>
      </c>
      <c r="L122" s="181">
        <v>1.5</v>
      </c>
      <c r="M122" s="181" t="str">
        <f t="shared" si="4"/>
        <v>לא לרכוש</v>
      </c>
      <c r="N122" s="181">
        <v>1000</v>
      </c>
      <c r="O122" s="183"/>
      <c r="P122" s="183">
        <v>6</v>
      </c>
      <c r="Q122" s="183"/>
    </row>
    <row r="123" spans="1:17" s="12" customFormat="1" ht="14.25" customHeight="1">
      <c r="A123" s="180" t="str">
        <f>'רשימת מכשור 2015'!A122</f>
        <v xml:space="preserve"> מד טמפרטורה</v>
      </c>
      <c r="B123" s="180" t="str">
        <f>'רשימת מכשור 2015'!B122</f>
        <v>Mettler Toledo</v>
      </c>
      <c r="C123" s="180" t="str">
        <f>'רשימת מכשור 2015'!C122</f>
        <v>SENSOR: PT1000
Transmitter: 770 Max</v>
      </c>
      <c r="D123" s="233" t="str">
        <f>'רשימת מכשור 2015'!D122</f>
        <v>RO PRODUCTION</v>
      </c>
      <c r="E123" s="180" t="str">
        <f>'רשימת מכשור 2015'!E122</f>
        <v>1-1-133-TIC-1</v>
      </c>
      <c r="F123" s="180">
        <f>'רשימת מכשור 2015'!F122</f>
        <v>2500</v>
      </c>
      <c r="G123" s="181">
        <v>1</v>
      </c>
      <c r="H123" s="181">
        <f t="shared" si="6"/>
        <v>2500</v>
      </c>
      <c r="I123" s="182"/>
      <c r="J123" s="181">
        <v>1</v>
      </c>
      <c r="K123" s="181">
        <v>1</v>
      </c>
      <c r="L123" s="181">
        <v>1.5</v>
      </c>
      <c r="M123" s="181" t="str">
        <f t="shared" si="4"/>
        <v>לרכוש</v>
      </c>
      <c r="N123" s="181">
        <v>1000</v>
      </c>
      <c r="O123" s="183"/>
      <c r="P123" s="183">
        <v>3</v>
      </c>
      <c r="Q123" s="183"/>
    </row>
    <row r="124" spans="1:17" s="12" customFormat="1" ht="14.25" customHeight="1">
      <c r="A124" s="180" t="str">
        <f>'רשימת מכשור 2015'!A123</f>
        <v xml:space="preserve">אלקטרודת מוליכות </v>
      </c>
      <c r="B124" s="180" t="str">
        <f>'רשימת מכשור 2015'!B123</f>
        <v>Mettler Toledo</v>
      </c>
      <c r="C124" s="180" t="str">
        <f>'רשימת מכשור 2015'!C123</f>
        <v>SENSOR: 233E223
Transmitter: 770 Max</v>
      </c>
      <c r="D124" s="233" t="str">
        <f>'רשימת מכשור 2015'!D123</f>
        <v>CDI</v>
      </c>
      <c r="E124" s="180" t="str">
        <f>'רשימת מכשור 2015'!E123</f>
        <v>1-1-134-CIC-1</v>
      </c>
      <c r="F124" s="180">
        <f>'רשימת מכשור 2015'!F123</f>
        <v>2500</v>
      </c>
      <c r="G124" s="181">
        <v>1</v>
      </c>
      <c r="H124" s="181">
        <f t="shared" si="6"/>
        <v>2500</v>
      </c>
      <c r="I124" s="182" t="s">
        <v>82</v>
      </c>
      <c r="J124" s="181">
        <v>1</v>
      </c>
      <c r="K124" s="181">
        <v>1</v>
      </c>
      <c r="L124" s="181">
        <v>1.5</v>
      </c>
      <c r="M124" s="181" t="str">
        <f t="shared" si="4"/>
        <v>לא לרכוש</v>
      </c>
      <c r="N124" s="181">
        <v>1000</v>
      </c>
      <c r="O124" s="183"/>
      <c r="P124" s="183">
        <v>6</v>
      </c>
      <c r="Q124" s="183"/>
    </row>
    <row r="125" spans="1:17" s="12" customFormat="1" ht="14.25" customHeight="1">
      <c r="A125" s="180" t="str">
        <f>'רשימת מכשור 2015'!A124</f>
        <v xml:space="preserve"> מד טמפרטורה</v>
      </c>
      <c r="B125" s="180" t="str">
        <f>'רשימת מכשור 2015'!B124</f>
        <v>Mettler Toledo</v>
      </c>
      <c r="C125" s="180" t="str">
        <f>'רשימת מכשור 2015'!C124</f>
        <v>SENSOR: PT1000
Transmitter: 770 Max</v>
      </c>
      <c r="D125" s="233" t="str">
        <f>'רשימת מכשור 2015'!D124</f>
        <v>RO PRODUCTION</v>
      </c>
      <c r="E125" s="180" t="str">
        <f>'רשימת מכשור 2015'!E124</f>
        <v>1-1-133-TIC-2</v>
      </c>
      <c r="F125" s="180">
        <f>'רשימת מכשור 2015'!F124</f>
        <v>2500</v>
      </c>
      <c r="G125" s="181">
        <v>1</v>
      </c>
      <c r="H125" s="181">
        <f t="shared" si="6"/>
        <v>2500</v>
      </c>
      <c r="I125" s="182"/>
      <c r="J125" s="181">
        <v>1</v>
      </c>
      <c r="K125" s="181">
        <v>1</v>
      </c>
      <c r="L125" s="181">
        <v>1.5</v>
      </c>
      <c r="M125" s="181" t="str">
        <f t="shared" si="4"/>
        <v>לרכוש</v>
      </c>
      <c r="N125" s="181">
        <v>1000</v>
      </c>
      <c r="O125" s="183"/>
      <c r="P125" s="183">
        <v>3</v>
      </c>
      <c r="Q125" s="183"/>
    </row>
    <row r="126" spans="1:17" s="12" customFormat="1" ht="14.25" customHeight="1">
      <c r="A126" s="180" t="str">
        <f>'רשימת מכשור 2015'!A125</f>
        <v xml:space="preserve">אלקטרודת מוליכות </v>
      </c>
      <c r="B126" s="180" t="str">
        <f>'רשימת מכשור 2015'!B125</f>
        <v>Mettler Toledo</v>
      </c>
      <c r="C126" s="180" t="str">
        <f>'רשימת מכשור 2015'!C125</f>
        <v>SENSOR: 233E223
Transmitter: 770 Max</v>
      </c>
      <c r="D126" s="233" t="str">
        <f>'רשימת מכשור 2015'!D125</f>
        <v>CDI</v>
      </c>
      <c r="E126" s="180" t="str">
        <f>'רשימת מכשור 2015'!E125</f>
        <v>1-1-134-CIC-2</v>
      </c>
      <c r="F126" s="180">
        <f>'רשימת מכשור 2015'!F125</f>
        <v>2500</v>
      </c>
      <c r="G126" s="181">
        <v>1</v>
      </c>
      <c r="H126" s="181">
        <f t="shared" si="6"/>
        <v>2500</v>
      </c>
      <c r="I126" s="182" t="s">
        <v>82</v>
      </c>
      <c r="J126" s="181">
        <v>1</v>
      </c>
      <c r="K126" s="181">
        <v>1</v>
      </c>
      <c r="L126" s="181">
        <v>1.5</v>
      </c>
      <c r="M126" s="181" t="str">
        <f t="shared" si="4"/>
        <v>לא לרכוש</v>
      </c>
      <c r="N126" s="181">
        <v>1000</v>
      </c>
      <c r="O126" s="183"/>
      <c r="P126" s="183">
        <v>6</v>
      </c>
      <c r="Q126" s="183"/>
    </row>
    <row r="127" spans="1:17" s="12" customFormat="1" ht="14.25" customHeight="1">
      <c r="A127" s="180" t="str">
        <f>'רשימת מכשור 2015'!A126</f>
        <v xml:space="preserve"> מד טמפרטורה</v>
      </c>
      <c r="B127" s="180" t="str">
        <f>'רשימת מכשור 2015'!B126</f>
        <v>Mettler Toledo</v>
      </c>
      <c r="C127" s="180" t="str">
        <f>'רשימת מכשור 2015'!C126</f>
        <v>SENSOR: PT1000
Transmitter: 770 Max</v>
      </c>
      <c r="D127" s="233" t="str">
        <f>'רשימת מכשור 2015'!D126</f>
        <v>RO PRODUCTION</v>
      </c>
      <c r="E127" s="180" t="str">
        <f>'רשימת מכשור 2015'!E126</f>
        <v>1-1-133-TIC-5</v>
      </c>
      <c r="F127" s="180">
        <f>'רשימת מכשור 2015'!F126</f>
        <v>2500</v>
      </c>
      <c r="G127" s="181">
        <v>1</v>
      </c>
      <c r="H127" s="181">
        <f t="shared" si="6"/>
        <v>2500</v>
      </c>
      <c r="I127" s="182"/>
      <c r="J127" s="181">
        <v>1</v>
      </c>
      <c r="K127" s="181">
        <v>1</v>
      </c>
      <c r="L127" s="181">
        <v>1.5</v>
      </c>
      <c r="M127" s="181" t="str">
        <f t="shared" si="4"/>
        <v>לרכוש</v>
      </c>
      <c r="N127" s="181">
        <v>1000</v>
      </c>
      <c r="O127" s="183"/>
      <c r="P127" s="183">
        <v>3</v>
      </c>
      <c r="Q127" s="183"/>
    </row>
    <row r="128" spans="1:17" s="12" customFormat="1" ht="14.25" customHeight="1">
      <c r="A128" s="180" t="str">
        <f>'רשימת מכשור 2015'!A127</f>
        <v>מפסק לחץ נמוך</v>
      </c>
      <c r="B128" s="180" t="str">
        <f>'רשימת מכשור 2015'!B127</f>
        <v>E+H</v>
      </c>
      <c r="C128" s="180" t="str">
        <f>'רשימת מכשור 2015'!C127</f>
        <v>Ceraphant T PTP35-A2A13P1DB4</v>
      </c>
      <c r="D128" s="233" t="str">
        <f>'רשימת מכשור 2015'!D127</f>
        <v>RO PRODUCTION</v>
      </c>
      <c r="E128" s="180" t="str">
        <f>'רשימת מכשור 2015'!E127</f>
        <v>1-1-133-PSL-1</v>
      </c>
      <c r="F128" s="180">
        <f>'רשימת מכשור 2015'!F127</f>
        <v>2500</v>
      </c>
      <c r="G128" s="181">
        <v>1</v>
      </c>
      <c r="H128" s="181">
        <f t="shared" si="6"/>
        <v>2500</v>
      </c>
      <c r="I128" s="182"/>
      <c r="J128" s="181">
        <v>1</v>
      </c>
      <c r="K128" s="181">
        <v>1</v>
      </c>
      <c r="L128" s="181">
        <v>1.5</v>
      </c>
      <c r="M128" s="181" t="str">
        <f t="shared" si="4"/>
        <v>לרכוש</v>
      </c>
      <c r="N128" s="181">
        <v>1000</v>
      </c>
      <c r="O128" s="183"/>
      <c r="P128" s="183">
        <v>1</v>
      </c>
      <c r="Q128" s="183"/>
    </row>
    <row r="129" spans="1:17" s="12" customFormat="1" ht="14.25" customHeight="1">
      <c r="A129" s="180" t="str">
        <f>'רשימת מכשור 2015'!A128</f>
        <v xml:space="preserve">אלקטרודת מוליכות </v>
      </c>
      <c r="B129" s="180" t="str">
        <f>'רשימת מכשור 2015'!B128</f>
        <v>Mettler Toledo</v>
      </c>
      <c r="C129" s="180" t="str">
        <f>'רשימת מכשור 2015'!C128</f>
        <v>InPro 7108/1.5" TC-VP
Cable: 58-080-205
Controller: M-400</v>
      </c>
      <c r="D129" s="233" t="str">
        <f>'רשימת מכשור 2015'!D128</f>
        <v>MEDIA PILOT</v>
      </c>
      <c r="E129" s="180" t="str">
        <f>'רשימת מכשור 2015'!E128</f>
        <v>1-2-2-CI-1</v>
      </c>
      <c r="F129" s="180">
        <f>'רשימת מכשור 2015'!F128</f>
        <v>2500</v>
      </c>
      <c r="G129" s="181">
        <v>1</v>
      </c>
      <c r="H129" s="181">
        <f t="shared" si="6"/>
        <v>2500</v>
      </c>
      <c r="I129" s="182" t="s">
        <v>82</v>
      </c>
      <c r="J129" s="181">
        <v>1</v>
      </c>
      <c r="K129" s="181">
        <v>1</v>
      </c>
      <c r="L129" s="181">
        <v>1.5</v>
      </c>
      <c r="M129" s="181" t="str">
        <f t="shared" si="4"/>
        <v>לא לרכוש</v>
      </c>
      <c r="N129" s="181">
        <v>1000</v>
      </c>
      <c r="O129" s="183"/>
      <c r="P129" s="183">
        <v>6</v>
      </c>
      <c r="Q129" s="183"/>
    </row>
    <row r="130" spans="1:17" s="12" customFormat="1" ht="14.25" customHeight="1">
      <c r="A130" s="180" t="str">
        <f>'רשימת מכשור 2015'!A129</f>
        <v xml:space="preserve"> מד טמפרטורה</v>
      </c>
      <c r="B130" s="180" t="str">
        <f>'רשימת מכשור 2015'!B129</f>
        <v>Mettler Toledo</v>
      </c>
      <c r="C130" s="180" t="str">
        <f>'רשימת מכשור 2015'!C129</f>
        <v>SENSOR: PT1000
Transmitter: 770 Max</v>
      </c>
      <c r="D130" s="233" t="str">
        <f>'רשימת מכשור 2015'!D129</f>
        <v>CDI</v>
      </c>
      <c r="E130" s="180" t="str">
        <f>'רשימת מכשור 2015'!E129</f>
        <v>1-1-134-TIC-2</v>
      </c>
      <c r="F130" s="180">
        <f>'רשימת מכשור 2015'!F129</f>
        <v>2500</v>
      </c>
      <c r="G130" s="181">
        <v>1</v>
      </c>
      <c r="H130" s="181">
        <f t="shared" si="6"/>
        <v>2500</v>
      </c>
      <c r="I130" s="182" t="s">
        <v>82</v>
      </c>
      <c r="J130" s="181">
        <v>1</v>
      </c>
      <c r="K130" s="181">
        <v>1</v>
      </c>
      <c r="L130" s="181">
        <v>1.5</v>
      </c>
      <c r="M130" s="181" t="str">
        <f t="shared" si="4"/>
        <v>לא לרכוש</v>
      </c>
      <c r="N130" s="181">
        <v>1000</v>
      </c>
      <c r="O130" s="183"/>
      <c r="P130" s="183">
        <v>6</v>
      </c>
      <c r="Q130" s="183"/>
    </row>
    <row r="131" spans="1:17" s="12" customFormat="1" ht="14.25" customHeight="1">
      <c r="A131" s="180" t="str">
        <f>'רשימת מכשור 2015'!A130</f>
        <v xml:space="preserve">אלקטרודת מוליכות </v>
      </c>
      <c r="B131" s="180" t="str">
        <f>'רשימת מכשור 2015'!B130</f>
        <v>Mettler Toledo</v>
      </c>
      <c r="C131" s="180" t="str">
        <f>'רשימת מכשור 2015'!C130</f>
        <v>Inpro 7108 1.5"TC 5200800 
cond 7100e</v>
      </c>
      <c r="D131" s="233" t="str">
        <f>'רשימת מכשור 2015'!D130</f>
        <v>MEDIA</v>
      </c>
      <c r="E131" s="180" t="str">
        <f>'רשימת מכשור 2015'!E130</f>
        <v>1-1-8-CIC-1</v>
      </c>
      <c r="F131" s="180">
        <f>'רשימת מכשור 2015'!F130</f>
        <v>2000</v>
      </c>
      <c r="G131" s="181">
        <v>1</v>
      </c>
      <c r="H131" s="181">
        <f t="shared" si="6"/>
        <v>2000</v>
      </c>
      <c r="I131" s="182" t="s">
        <v>82</v>
      </c>
      <c r="J131" s="181">
        <v>1</v>
      </c>
      <c r="K131" s="181">
        <v>1</v>
      </c>
      <c r="L131" s="181">
        <v>1.5</v>
      </c>
      <c r="M131" s="181" t="str">
        <f t="shared" si="4"/>
        <v>לא לרכוש</v>
      </c>
      <c r="N131" s="181">
        <v>1000</v>
      </c>
      <c r="O131" s="183"/>
      <c r="P131" s="183">
        <v>6</v>
      </c>
      <c r="Q131" s="183"/>
    </row>
    <row r="132" spans="1:17" s="12" customFormat="1" ht="14.25" customHeight="1">
      <c r="A132" s="180" t="str">
        <f>'רשימת מכשור 2015'!A131</f>
        <v>אלקטרודת מוליכות</v>
      </c>
      <c r="B132" s="180" t="str">
        <f>'רשימת מכשור 2015'!B131</f>
        <v>Mettler Toledo</v>
      </c>
      <c r="C132" s="180" t="str">
        <f>'רשימת מכשור 2015'!C131</f>
        <v>Inpro 7108 1.5"TC 5200800 
M400</v>
      </c>
      <c r="D132" s="233" t="str">
        <f>'רשימת מכשור 2015'!D131</f>
        <v>CRUDE</v>
      </c>
      <c r="E132" s="180" t="str">
        <f>'רשימת מכשור 2015'!E131</f>
        <v>1-1-30-CIC-1</v>
      </c>
      <c r="F132" s="180">
        <f>'רשימת מכשור 2015'!F131</f>
        <v>2000</v>
      </c>
      <c r="G132" s="181">
        <v>1</v>
      </c>
      <c r="H132" s="181">
        <f t="shared" si="6"/>
        <v>2000</v>
      </c>
      <c r="I132" s="182" t="s">
        <v>82</v>
      </c>
      <c r="J132" s="181">
        <v>1</v>
      </c>
      <c r="K132" s="181">
        <v>1</v>
      </c>
      <c r="L132" s="181">
        <v>1.5</v>
      </c>
      <c r="M132" s="181" t="str">
        <f t="shared" si="4"/>
        <v>לא לרכוש</v>
      </c>
      <c r="N132" s="181">
        <v>1000</v>
      </c>
      <c r="O132" s="183"/>
      <c r="P132" s="183">
        <v>1</v>
      </c>
      <c r="Q132" s="183"/>
    </row>
    <row r="133" spans="1:17" s="12" customFormat="1" ht="14.25" customHeight="1">
      <c r="A133" s="180" t="str">
        <f>'רשימת מכשור 2015'!A132</f>
        <v>מד מפלס</v>
      </c>
      <c r="B133" s="180" t="str">
        <f>'רשימת מכשור 2015'!B132</f>
        <v>milan</v>
      </c>
      <c r="C133" s="180" t="str">
        <f>'רשימת מכשור 2015'!C132</f>
        <v>מצוף רציף</v>
      </c>
      <c r="D133" s="233" t="str">
        <f>'רשימת מכשור 2015'!D132</f>
        <v>HARVEST</v>
      </c>
      <c r="E133" s="180" t="str">
        <f>'רשימת מכשור 2015'!E132</f>
        <v>1-1-27-LIC-1</v>
      </c>
      <c r="F133" s="180">
        <f>'רשימת מכשור 2015'!F132</f>
        <v>2500</v>
      </c>
      <c r="G133" s="181">
        <v>1</v>
      </c>
      <c r="H133" s="181">
        <f t="shared" si="6"/>
        <v>2500</v>
      </c>
      <c r="I133" s="182"/>
      <c r="J133" s="181">
        <v>1</v>
      </c>
      <c r="K133" s="181">
        <v>1</v>
      </c>
      <c r="L133" s="181">
        <v>1</v>
      </c>
      <c r="M133" s="181" t="str">
        <f t="shared" si="4"/>
        <v>לרכוש</v>
      </c>
      <c r="N133" s="181">
        <v>1000</v>
      </c>
      <c r="O133" s="183"/>
      <c r="P133" s="183">
        <v>1</v>
      </c>
      <c r="Q133" s="183"/>
    </row>
    <row r="134" spans="1:17" s="12" customFormat="1" ht="14.25" customHeight="1">
      <c r="A134" s="180" t="str">
        <f>'רשימת מכשור 2015'!A133</f>
        <v>משדר טמפרטורה</v>
      </c>
      <c r="B134" s="180" t="str">
        <f>'רשימת מכשור 2015'!B133</f>
        <v>LABOM</v>
      </c>
      <c r="C134" s="180" t="str">
        <f>'רשימת מכשור 2015'!C133</f>
        <v>LABOM GA2610</v>
      </c>
      <c r="D134" s="233" t="str">
        <f>'רשימת מכשור 2015'!D133</f>
        <v>צנטרפוגה</v>
      </c>
      <c r="E134" s="180" t="str">
        <f>'רשימת מכשור 2015'!E133</f>
        <v>TI 02-9-504</v>
      </c>
      <c r="F134" s="180">
        <f>'רשימת מכשור 2015'!F133</f>
        <v>2300</v>
      </c>
      <c r="G134" s="181">
        <v>1</v>
      </c>
      <c r="H134" s="181">
        <f t="shared" si="6"/>
        <v>2300</v>
      </c>
      <c r="I134" s="182" t="s">
        <v>82</v>
      </c>
      <c r="J134" s="181">
        <v>1</v>
      </c>
      <c r="K134" s="181">
        <v>0</v>
      </c>
      <c r="L134" s="181">
        <v>1.5</v>
      </c>
      <c r="M134" s="181" t="str">
        <f t="shared" si="4"/>
        <v>לא לרכוש</v>
      </c>
      <c r="N134" s="181">
        <v>1000</v>
      </c>
      <c r="O134" s="183"/>
      <c r="P134" s="183">
        <v>1</v>
      </c>
      <c r="Q134" s="183"/>
    </row>
    <row r="135" spans="1:17" s="12" customFormat="1" ht="14.25" customHeight="1">
      <c r="A135" s="180" t="str">
        <f>'רשימת מכשור 2015'!A134</f>
        <v>מד מפלס</v>
      </c>
      <c r="B135" s="180" t="str">
        <f>'רשימת מכשור 2015'!B134</f>
        <v>MADID/noga</v>
      </c>
      <c r="C135" s="180" t="str">
        <f>'רשימת מכשור 2015'!C134</f>
        <v>FL52L</v>
      </c>
      <c r="D135" s="233" t="str">
        <f>'רשימת מכשור 2015'!D134</f>
        <v>PW פיילוט</v>
      </c>
      <c r="E135" s="180" t="str">
        <f>'רשימת מכשור 2015'!E134</f>
        <v>1-LIC-1</v>
      </c>
      <c r="F135" s="180">
        <f>'רשימת מכשור 2015'!F134</f>
        <v>2000</v>
      </c>
      <c r="G135" s="181">
        <v>1</v>
      </c>
      <c r="H135" s="181">
        <f t="shared" si="6"/>
        <v>2000</v>
      </c>
      <c r="I135" s="186"/>
      <c r="J135" s="181">
        <v>1</v>
      </c>
      <c r="K135" s="181">
        <v>1</v>
      </c>
      <c r="L135" s="183">
        <v>0.5</v>
      </c>
      <c r="M135" s="181" t="str">
        <f t="shared" si="4"/>
        <v>לרכוש</v>
      </c>
      <c r="N135" s="181">
        <v>1000</v>
      </c>
      <c r="O135" s="183"/>
      <c r="P135" s="183">
        <v>1</v>
      </c>
      <c r="Q135" s="183"/>
    </row>
    <row r="136" spans="1:17" s="12" customFormat="1" ht="14.25" customHeight="1">
      <c r="A136" s="180" t="str">
        <f>'רשימת מכשור 2015'!A135</f>
        <v>מפסק זרימה</v>
      </c>
      <c r="B136" s="180" t="str">
        <f>'רשימת מכשור 2015'!B135</f>
        <v>Negele</v>
      </c>
      <c r="C136" s="180" t="str">
        <f>'רשימת מכשור 2015'!C135</f>
        <v>FKS 141</v>
      </c>
      <c r="D136" s="233" t="str">
        <f>'רשימת מכשור 2015'!D135</f>
        <v>PW STORAGE
2500</v>
      </c>
      <c r="E136" s="180" t="str">
        <f>'רשימת מכשור 2015'!E135</f>
        <v>1-1-606-FS-001</v>
      </c>
      <c r="F136" s="180">
        <f>'רשימת מכשור 2015'!F135</f>
        <v>3000</v>
      </c>
      <c r="G136" s="181">
        <v>1</v>
      </c>
      <c r="H136" s="181">
        <f t="shared" si="6"/>
        <v>3000</v>
      </c>
      <c r="I136" s="182"/>
      <c r="J136" s="181">
        <v>1</v>
      </c>
      <c r="K136" s="181">
        <v>1</v>
      </c>
      <c r="L136" s="181">
        <v>1</v>
      </c>
      <c r="M136" s="181" t="str">
        <f t="shared" si="4"/>
        <v>לרכוש</v>
      </c>
      <c r="N136" s="181">
        <v>1000</v>
      </c>
      <c r="O136" s="183"/>
      <c r="P136" s="183">
        <v>2</v>
      </c>
      <c r="Q136" s="183"/>
    </row>
    <row r="137" spans="1:17" s="12" customFormat="1" ht="14.25" customHeight="1">
      <c r="A137" s="180" t="str">
        <f>'רשימת מכשור 2015'!A136</f>
        <v>מפסק גובה</v>
      </c>
      <c r="B137" s="180" t="str">
        <f>'רשימת מכשור 2015'!B136</f>
        <v>COR</v>
      </c>
      <c r="C137" s="180" t="str">
        <f>'רשימת מכשור 2015'!C136</f>
        <v>COR</v>
      </c>
      <c r="D137" s="233" t="str">
        <f>'רשימת מכשור 2015'!D136</f>
        <v>DISTILLERY</v>
      </c>
      <c r="E137" s="180" t="str">
        <f>'רשימת מכשור 2015'!E136</f>
        <v>1-1-40-LC-09</v>
      </c>
      <c r="F137" s="180">
        <f>'רשימת מכשור 2015'!F136</f>
        <v>2000</v>
      </c>
      <c r="G137" s="181">
        <v>1</v>
      </c>
      <c r="H137" s="181">
        <f t="shared" si="6"/>
        <v>2000</v>
      </c>
      <c r="I137" s="182"/>
      <c r="J137" s="181">
        <v>1</v>
      </c>
      <c r="K137" s="181">
        <v>1</v>
      </c>
      <c r="L137" s="181">
        <v>0.5</v>
      </c>
      <c r="M137" s="181" t="str">
        <f t="shared" si="4"/>
        <v>לרכוש</v>
      </c>
      <c r="N137" s="181">
        <v>1000</v>
      </c>
      <c r="O137" s="183"/>
      <c r="P137" s="183">
        <v>1</v>
      </c>
      <c r="Q137" s="183"/>
    </row>
    <row r="138" spans="1:17" s="12" customFormat="1" ht="14.25" customHeight="1">
      <c r="A138" s="180" t="str">
        <f>'רשימת מכשור 2015'!A137</f>
        <v>מפסק גובה</v>
      </c>
      <c r="B138" s="180" t="str">
        <f>'רשימת מכשור 2015'!B137</f>
        <v>COR</v>
      </c>
      <c r="C138" s="180" t="str">
        <f>'רשימת מכשור 2015'!C137</f>
        <v>COR</v>
      </c>
      <c r="D138" s="233" t="str">
        <f>'רשימת מכשור 2015'!D137</f>
        <v>DISTILLERY</v>
      </c>
      <c r="E138" s="180" t="str">
        <f>'רשימת מכשור 2015'!E137</f>
        <v>1-1-40-LS-09</v>
      </c>
      <c r="F138" s="180">
        <f>'רשימת מכשור 2015'!F137</f>
        <v>2000</v>
      </c>
      <c r="G138" s="181">
        <v>1</v>
      </c>
      <c r="H138" s="181">
        <f t="shared" si="6"/>
        <v>2000</v>
      </c>
      <c r="I138" s="182"/>
      <c r="J138" s="181">
        <v>1</v>
      </c>
      <c r="K138" s="181">
        <v>1</v>
      </c>
      <c r="L138" s="181">
        <v>0.5</v>
      </c>
      <c r="M138" s="181" t="str">
        <f t="shared" si="4"/>
        <v>לרכוש</v>
      </c>
      <c r="N138" s="181">
        <v>1000</v>
      </c>
      <c r="O138" s="183"/>
      <c r="P138" s="183">
        <v>1</v>
      </c>
      <c r="Q138" s="183"/>
    </row>
    <row r="139" spans="1:17" s="12" customFormat="1" ht="14.25" customHeight="1">
      <c r="A139" s="180" t="str">
        <f>'רשימת מכשור 2015'!A138</f>
        <v>מד מפלס</v>
      </c>
      <c r="B139" s="180" t="str">
        <f>'רשימת מכשור 2015'!B138</f>
        <v>ELCON/BD sensors</v>
      </c>
      <c r="C139" s="180">
        <f>'רשימת מכשור 2015'!C138</f>
        <v>18.605</v>
      </c>
      <c r="D139" s="233" t="str">
        <f>'רשימת מכשור 2015'!D138</f>
        <v>PRETREATMENT SYSTEM</v>
      </c>
      <c r="E139" s="180" t="str">
        <f>'רשימת מכשור 2015'!E138</f>
        <v>1-1-131-LIC-1</v>
      </c>
      <c r="F139" s="180">
        <f>'רשימת מכשור 2015'!F138</f>
        <v>2000</v>
      </c>
      <c r="G139" s="181">
        <v>1</v>
      </c>
      <c r="H139" s="181">
        <f t="shared" si="6"/>
        <v>2000</v>
      </c>
      <c r="I139" s="182"/>
      <c r="J139" s="181">
        <v>1</v>
      </c>
      <c r="K139" s="181">
        <v>1</v>
      </c>
      <c r="L139" s="181">
        <v>1</v>
      </c>
      <c r="M139" s="181" t="str">
        <f t="shared" ref="M139:M202" si="7">IF(AND(K139*L139*30*N139&gt;H139/J139,I139=""),"לרכוש","לא לרכוש")</f>
        <v>לרכוש</v>
      </c>
      <c r="N139" s="181">
        <v>1000</v>
      </c>
      <c r="O139" s="183"/>
      <c r="P139" s="183">
        <v>1</v>
      </c>
      <c r="Q139" s="183"/>
    </row>
    <row r="140" spans="1:17" s="12" customFormat="1" ht="14.25" customHeight="1">
      <c r="A140" s="180" t="str">
        <f>'רשימת מכשור 2015'!A139</f>
        <v>מפסק טמפרטורה</v>
      </c>
      <c r="B140" s="180" t="str">
        <f>'רשימת מכשור 2015'!B139</f>
        <v>E+H</v>
      </c>
      <c r="C140" s="180" t="str">
        <f>'רשימת מכשור 2015'!C139</f>
        <v>Thrmophant T TTR35-A2A111DB1AAB</v>
      </c>
      <c r="D140" s="233" t="str">
        <f>'רשימת מכשור 2015'!D139</f>
        <v>RO PRODUCTION</v>
      </c>
      <c r="E140" s="180" t="str">
        <f>'רשימת מכשור 2015'!E139</f>
        <v>1-1-133-TS-4</v>
      </c>
      <c r="F140" s="180">
        <f>'רשימת מכשור 2015'!F139</f>
        <v>2000</v>
      </c>
      <c r="G140" s="181">
        <v>1</v>
      </c>
      <c r="H140" s="181">
        <f t="shared" si="6"/>
        <v>2000</v>
      </c>
      <c r="I140" s="182" t="s">
        <v>82</v>
      </c>
      <c r="J140" s="181">
        <v>1</v>
      </c>
      <c r="K140" s="181">
        <v>0</v>
      </c>
      <c r="L140" s="181">
        <v>1.5</v>
      </c>
      <c r="M140" s="181" t="str">
        <f t="shared" si="7"/>
        <v>לא לרכוש</v>
      </c>
      <c r="N140" s="181">
        <v>1000</v>
      </c>
      <c r="O140" s="183"/>
      <c r="P140" s="183">
        <v>2</v>
      </c>
      <c r="Q140" s="183"/>
    </row>
    <row r="141" spans="1:17" s="12" customFormat="1" ht="14.25" customHeight="1">
      <c r="A141" s="180" t="str">
        <f>'רשימת מכשור 2015'!A140</f>
        <v>מפסק טמפרטורה</v>
      </c>
      <c r="B141" s="180" t="str">
        <f>'רשימת מכשור 2015'!B140</f>
        <v>E+H</v>
      </c>
      <c r="C141" s="180" t="str">
        <f>'רשימת מכשור 2015'!C140</f>
        <v>Thrmophant T TTR35-A2A111DB1AAB</v>
      </c>
      <c r="D141" s="233" t="str">
        <f>'רשימת מכשור 2015'!D140</f>
        <v>RO PRODUCTION</v>
      </c>
      <c r="E141" s="180" t="str">
        <f>'רשימת מכשור 2015'!E140</f>
        <v>1-1-133-TS-5</v>
      </c>
      <c r="F141" s="180">
        <f>'רשימת מכשור 2015'!F140</f>
        <v>2000</v>
      </c>
      <c r="G141" s="181">
        <v>1</v>
      </c>
      <c r="H141" s="181">
        <f t="shared" si="6"/>
        <v>2000</v>
      </c>
      <c r="I141" s="182" t="s">
        <v>82</v>
      </c>
      <c r="J141" s="181">
        <v>1</v>
      </c>
      <c r="K141" s="181">
        <v>0</v>
      </c>
      <c r="L141" s="181">
        <v>1.5</v>
      </c>
      <c r="M141" s="181" t="str">
        <f t="shared" si="7"/>
        <v>לא לרכוש</v>
      </c>
      <c r="N141" s="181">
        <v>1000</v>
      </c>
      <c r="O141" s="183"/>
      <c r="P141" s="183">
        <v>2</v>
      </c>
      <c r="Q141" s="183"/>
    </row>
    <row r="142" spans="1:17" s="12" customFormat="1" ht="14.25" customHeight="1">
      <c r="A142" s="180" t="str">
        <f>'רשימת מכשור 2015'!A141</f>
        <v>מפסק זרימה</v>
      </c>
      <c r="B142" s="180" t="str">
        <f>'רשימת מכשור 2015'!B141</f>
        <v>New Flow</v>
      </c>
      <c r="C142" s="180" t="str">
        <f>'רשימת מכשור 2015'!C141</f>
        <v>MF200 0.75"</v>
      </c>
      <c r="D142" s="233" t="str">
        <f>'רשימת מכשור 2015'!D141</f>
        <v>CDI</v>
      </c>
      <c r="E142" s="180" t="str">
        <f>'רשימת מכשור 2015'!E141</f>
        <v>1-1-134-FSL-1</v>
      </c>
      <c r="F142" s="180">
        <f>'רשימת מכשור 2015'!F141</f>
        <v>2000</v>
      </c>
      <c r="G142" s="181">
        <v>1</v>
      </c>
      <c r="H142" s="181">
        <f t="shared" si="6"/>
        <v>2000</v>
      </c>
      <c r="I142" s="182"/>
      <c r="J142" s="181">
        <v>1</v>
      </c>
      <c r="K142" s="181">
        <v>1</v>
      </c>
      <c r="L142" s="181">
        <v>0.5</v>
      </c>
      <c r="M142" s="181" t="str">
        <f t="shared" si="7"/>
        <v>לרכוש</v>
      </c>
      <c r="N142" s="181">
        <v>1000</v>
      </c>
      <c r="O142" s="183"/>
      <c r="P142" s="183">
        <v>2</v>
      </c>
      <c r="Q142" s="183"/>
    </row>
    <row r="143" spans="1:17" s="12" customFormat="1" ht="14.25" customHeight="1">
      <c r="A143" s="180" t="str">
        <f>'רשימת מכשור 2015'!A142</f>
        <v>מפסק זרימה</v>
      </c>
      <c r="B143" s="180" t="str">
        <f>'רשימת מכשור 2015'!B142</f>
        <v>New Flow</v>
      </c>
      <c r="C143" s="180" t="str">
        <f>'רשימת מכשור 2015'!C142</f>
        <v>MF200 0.75"</v>
      </c>
      <c r="D143" s="233" t="str">
        <f>'רשימת מכשור 2015'!D142</f>
        <v>CDI</v>
      </c>
      <c r="E143" s="180" t="str">
        <f>'רשימת מכשור 2015'!E142</f>
        <v>1-1-134-FSL-2</v>
      </c>
      <c r="F143" s="180">
        <f>'רשימת מכשור 2015'!F142</f>
        <v>2000</v>
      </c>
      <c r="G143" s="181">
        <v>1</v>
      </c>
      <c r="H143" s="181">
        <f t="shared" si="6"/>
        <v>2000</v>
      </c>
      <c r="I143" s="182"/>
      <c r="J143" s="181">
        <v>1</v>
      </c>
      <c r="K143" s="181">
        <v>1</v>
      </c>
      <c r="L143" s="181">
        <v>0.5</v>
      </c>
      <c r="M143" s="181" t="str">
        <f t="shared" si="7"/>
        <v>לרכוש</v>
      </c>
      <c r="N143" s="181">
        <v>1000</v>
      </c>
      <c r="O143" s="183"/>
      <c r="P143" s="183">
        <v>2</v>
      </c>
      <c r="Q143" s="183"/>
    </row>
    <row r="144" spans="1:17" s="12" customFormat="1" ht="14.25" customHeight="1">
      <c r="A144" s="180" t="str">
        <f>'רשימת מכשור 2015'!A143</f>
        <v>משדר זרימה</v>
      </c>
      <c r="B144" s="180" t="str">
        <f>'רשימת מכשור 2015'!B143</f>
        <v>FLOW-X3</v>
      </c>
      <c r="C144" s="180" t="str">
        <f>'רשימת מכשור 2015'!C143</f>
        <v>F3.00.H</v>
      </c>
      <c r="D144" s="233" t="str">
        <f>'רשימת מכשור 2015'!D143</f>
        <v>CHILLER</v>
      </c>
      <c r="E144" s="180" t="str">
        <f>'רשימת מכשור 2015'!E143</f>
        <v>1-1-910-FT-1</v>
      </c>
      <c r="F144" s="180">
        <f>'רשימת מכשור 2015'!F143</f>
        <v>4000</v>
      </c>
      <c r="G144" s="181">
        <v>1</v>
      </c>
      <c r="H144" s="181">
        <f t="shared" si="6"/>
        <v>4000</v>
      </c>
      <c r="I144" s="182"/>
      <c r="J144" s="181">
        <v>1</v>
      </c>
      <c r="K144" s="181"/>
      <c r="L144" s="181">
        <v>1</v>
      </c>
      <c r="M144" s="181" t="str">
        <f t="shared" si="7"/>
        <v>לא לרכוש</v>
      </c>
      <c r="N144" s="181">
        <v>1000</v>
      </c>
      <c r="O144" s="183"/>
      <c r="P144" s="183">
        <v>2</v>
      </c>
      <c r="Q144" s="183"/>
    </row>
    <row r="145" spans="1:17" s="12" customFormat="1" ht="14.25" customHeight="1">
      <c r="A145" s="180" t="str">
        <f>'רשימת מכשור 2015'!A144</f>
        <v>משדר זרימה</v>
      </c>
      <c r="B145" s="180" t="str">
        <f>'רשימת מכשור 2015'!B144</f>
        <v>FLOW-X3</v>
      </c>
      <c r="C145" s="180" t="str">
        <f>'רשימת מכשור 2015'!C144</f>
        <v>F3.00.H</v>
      </c>
      <c r="D145" s="233" t="str">
        <f>'רשימת מכשור 2015'!D144</f>
        <v>CHILLER</v>
      </c>
      <c r="E145" s="180" t="str">
        <f>'רשימת מכשור 2015'!E144</f>
        <v>1-1-910-FT-2</v>
      </c>
      <c r="F145" s="180">
        <f>'רשימת מכשור 2015'!F144</f>
        <v>4000</v>
      </c>
      <c r="G145" s="181">
        <v>1</v>
      </c>
      <c r="H145" s="181">
        <f t="shared" si="6"/>
        <v>4000</v>
      </c>
      <c r="I145" s="182"/>
      <c r="J145" s="181">
        <v>1</v>
      </c>
      <c r="K145" s="181"/>
      <c r="L145" s="181">
        <v>1</v>
      </c>
      <c r="M145" s="181" t="str">
        <f t="shared" si="7"/>
        <v>לא לרכוש</v>
      </c>
      <c r="N145" s="181">
        <v>1000</v>
      </c>
      <c r="O145" s="183"/>
      <c r="P145" s="183">
        <v>2</v>
      </c>
      <c r="Q145" s="183"/>
    </row>
    <row r="146" spans="1:17" s="12" customFormat="1" ht="14.25" customHeight="1">
      <c r="A146" s="180" t="str">
        <f>'רשימת מכשור 2015'!A145</f>
        <v>אלקטרודת PH</v>
      </c>
      <c r="B146" s="180" t="str">
        <f>'רשימת מכשור 2015'!B145</f>
        <v>Mettler Toledo</v>
      </c>
      <c r="C146" s="180" t="str">
        <f>'רשימת מכשור 2015'!C145</f>
        <v>Inpro 3253/120/PT100
pH2100</v>
      </c>
      <c r="D146" s="233" t="str">
        <f>'רשימת מכשור 2015'!D145</f>
        <v>MEDIA</v>
      </c>
      <c r="E146" s="180" t="str">
        <f>'רשימת מכשור 2015'!E145</f>
        <v>1-1-8-PH-1</v>
      </c>
      <c r="F146" s="180">
        <f>'רשימת מכשור 2015'!F145</f>
        <v>2000</v>
      </c>
      <c r="G146" s="181">
        <v>1</v>
      </c>
      <c r="H146" s="181">
        <f t="shared" si="6"/>
        <v>2000</v>
      </c>
      <c r="I146" s="182" t="s">
        <v>82</v>
      </c>
      <c r="J146" s="181">
        <v>3</v>
      </c>
      <c r="K146" s="181">
        <v>1</v>
      </c>
      <c r="L146" s="181">
        <v>1</v>
      </c>
      <c r="M146" s="181" t="str">
        <f t="shared" si="7"/>
        <v>לא לרכוש</v>
      </c>
      <c r="N146" s="181">
        <v>1000</v>
      </c>
      <c r="O146" s="183"/>
      <c r="P146" s="183">
        <v>2</v>
      </c>
      <c r="Q146" s="183"/>
    </row>
    <row r="147" spans="1:17" s="12" customFormat="1" ht="14.25" customHeight="1">
      <c r="A147" s="180" t="str">
        <f>'רשימת מכשור 2015'!A146</f>
        <v>אלקטרודת מוליכות</v>
      </c>
      <c r="B147" s="180" t="str">
        <f>'רשימת מכשור 2015'!B146</f>
        <v>Mettler Toledo</v>
      </c>
      <c r="C147" s="180" t="str">
        <f>'רשימת מכשור 2015'!C146</f>
        <v>Inpro 3253I/SV/120
M400</v>
      </c>
      <c r="D147" s="233" t="str">
        <f>'רשימת מכשור 2015'!D146</f>
        <v>HARVEST</v>
      </c>
      <c r="E147" s="180" t="str">
        <f>'רשימת מכשור 2015'!E146</f>
        <v>1-1-27-CIC-1</v>
      </c>
      <c r="F147" s="180">
        <f>'רשימת מכשור 2015'!F146</f>
        <v>2000</v>
      </c>
      <c r="G147" s="181">
        <v>1</v>
      </c>
      <c r="H147" s="181">
        <f t="shared" si="6"/>
        <v>2000</v>
      </c>
      <c r="I147" s="182" t="s">
        <v>82</v>
      </c>
      <c r="J147" s="181">
        <v>1</v>
      </c>
      <c r="K147" s="181">
        <v>1</v>
      </c>
      <c r="L147" s="181">
        <v>1</v>
      </c>
      <c r="M147" s="181" t="str">
        <f t="shared" si="7"/>
        <v>לא לרכוש</v>
      </c>
      <c r="N147" s="181">
        <v>1000</v>
      </c>
      <c r="O147" s="183"/>
      <c r="P147" s="183">
        <v>11</v>
      </c>
      <c r="Q147" s="183"/>
    </row>
    <row r="148" spans="1:17" s="12" customFormat="1" ht="14.25" customHeight="1">
      <c r="A148" s="180" t="str">
        <f>'רשימת מכשור 2015'!A147</f>
        <v>משדר לחץ</v>
      </c>
      <c r="B148" s="180" t="str">
        <f>'רשימת מכשור 2015'!B147</f>
        <v>ELCON</v>
      </c>
      <c r="C148" s="180" t="str">
        <f>'רשימת מכשור 2015'!C147</f>
        <v>ELCON</v>
      </c>
      <c r="D148" s="233" t="str">
        <f>'רשימת מכשור 2015'!D147</f>
        <v>MEDIA</v>
      </c>
      <c r="E148" s="180" t="str">
        <f>'רשימת מכשור 2015'!E147</f>
        <v>1-1-8-PC-1</v>
      </c>
      <c r="F148" s="180">
        <f>'רשימת מכשור 2015'!F147</f>
        <v>3000</v>
      </c>
      <c r="G148" s="181">
        <v>1</v>
      </c>
      <c r="H148" s="181">
        <v>3000</v>
      </c>
      <c r="I148" s="182"/>
      <c r="J148" s="181">
        <v>1</v>
      </c>
      <c r="K148" s="181">
        <v>1</v>
      </c>
      <c r="L148" s="181">
        <v>1</v>
      </c>
      <c r="M148" s="181" t="str">
        <f t="shared" si="7"/>
        <v>לרכוש</v>
      </c>
      <c r="N148" s="181">
        <v>1000</v>
      </c>
      <c r="O148" s="183"/>
      <c r="P148" s="183">
        <v>3</v>
      </c>
      <c r="Q148" s="183"/>
    </row>
    <row r="149" spans="1:17" s="12" customFormat="1" ht="14.25" customHeight="1">
      <c r="A149" s="180" t="str">
        <f>'רשימת מכשור 2015'!A148</f>
        <v>אלקטרודת PH</v>
      </c>
      <c r="B149" s="180" t="str">
        <f>'רשימת מכשור 2015'!B148</f>
        <v>Mettler Toledo</v>
      </c>
      <c r="C149" s="180" t="str">
        <f>'רשימת מכשור 2015'!C148</f>
        <v>Inpro 3253I/SV/120
M400</v>
      </c>
      <c r="D149" s="233" t="str">
        <f>'רשימת מכשור 2015'!D148</f>
        <v>CRUDE</v>
      </c>
      <c r="E149" s="180" t="str">
        <f>'רשימת מכשור 2015'!E148</f>
        <v>1-1-28-PH-2</v>
      </c>
      <c r="F149" s="180">
        <f>'רשימת מכשור 2015'!F148</f>
        <v>2000</v>
      </c>
      <c r="G149" s="181">
        <v>1</v>
      </c>
      <c r="H149" s="181">
        <f t="shared" ref="H149:H180" si="8">G149*F149</f>
        <v>2000</v>
      </c>
      <c r="I149" s="182" t="s">
        <v>82</v>
      </c>
      <c r="J149" s="181">
        <v>3</v>
      </c>
      <c r="K149" s="181">
        <v>1</v>
      </c>
      <c r="L149" s="181">
        <v>1</v>
      </c>
      <c r="M149" s="181" t="str">
        <f t="shared" si="7"/>
        <v>לא לרכוש</v>
      </c>
      <c r="N149" s="181">
        <v>1000</v>
      </c>
      <c r="O149" s="183"/>
      <c r="P149" s="183">
        <v>5</v>
      </c>
      <c r="Q149" s="183"/>
    </row>
    <row r="150" spans="1:17" s="12" customFormat="1" ht="14.25" customHeight="1">
      <c r="A150" s="180" t="str">
        <f>'רשימת מכשור 2015'!A149</f>
        <v>אלקטרודת מוליכות</v>
      </c>
      <c r="B150" s="180" t="str">
        <f>'רשימת מכשור 2015'!B149</f>
        <v>Mettler Toledo</v>
      </c>
      <c r="C150" s="180" t="str">
        <f>'רשימת מכשור 2015'!C149</f>
        <v>Inpro 7108 1.5"TC 5200800 
cond 7100e</v>
      </c>
      <c r="D150" s="233" t="str">
        <f>'רשימת מכשור 2015'!D149</f>
        <v>COLUMN 1</v>
      </c>
      <c r="E150" s="180" t="str">
        <f>'רשימת מכשור 2015'!E149</f>
        <v>1-1-144-TV-CONDT/I-1</v>
      </c>
      <c r="F150" s="180">
        <f>'רשימת מכשור 2015'!F149</f>
        <v>2000</v>
      </c>
      <c r="G150" s="181">
        <v>1</v>
      </c>
      <c r="H150" s="181">
        <f t="shared" si="8"/>
        <v>2000</v>
      </c>
      <c r="I150" s="182" t="s">
        <v>82</v>
      </c>
      <c r="J150" s="181">
        <v>1</v>
      </c>
      <c r="K150" s="181">
        <v>1</v>
      </c>
      <c r="L150" s="181">
        <v>1</v>
      </c>
      <c r="M150" s="181" t="str">
        <f t="shared" si="7"/>
        <v>לא לרכוש</v>
      </c>
      <c r="N150" s="181">
        <v>1000</v>
      </c>
      <c r="O150" s="183"/>
      <c r="P150" s="183">
        <v>11</v>
      </c>
      <c r="Q150" s="183"/>
    </row>
    <row r="151" spans="1:17" s="12" customFormat="1" ht="14.25" customHeight="1">
      <c r="A151" s="180" t="str">
        <f>'רשימת מכשור 2015'!A150</f>
        <v>אלקטרודת PH</v>
      </c>
      <c r="B151" s="180" t="str">
        <f>'רשימת מכשור 2015'!B150</f>
        <v>Mettler Toledo</v>
      </c>
      <c r="C151" s="180" t="str">
        <f>'רשימת מכשור 2015'!C150</f>
        <v>Inpro 3253I/SV/120
M400</v>
      </c>
      <c r="D151" s="233" t="str">
        <f>'רשימת מכשור 2015'!D150</f>
        <v>CRUDE</v>
      </c>
      <c r="E151" s="180" t="str">
        <f>'רשימת מכשור 2015'!E150</f>
        <v>1-1-30-PH-1</v>
      </c>
      <c r="F151" s="180">
        <f>'רשימת מכשור 2015'!F150</f>
        <v>2000</v>
      </c>
      <c r="G151" s="181">
        <v>1</v>
      </c>
      <c r="H151" s="181">
        <f t="shared" si="8"/>
        <v>2000</v>
      </c>
      <c r="I151" s="182" t="s">
        <v>82</v>
      </c>
      <c r="J151" s="181">
        <v>3</v>
      </c>
      <c r="K151" s="181">
        <v>1</v>
      </c>
      <c r="L151" s="181">
        <v>1</v>
      </c>
      <c r="M151" s="181" t="str">
        <f t="shared" si="7"/>
        <v>לא לרכוש</v>
      </c>
      <c r="N151" s="181">
        <v>1000</v>
      </c>
      <c r="O151" s="183"/>
      <c r="P151" s="183">
        <v>5</v>
      </c>
      <c r="Q151" s="183"/>
    </row>
    <row r="152" spans="1:17" s="12" customFormat="1" ht="14.25" customHeight="1">
      <c r="A152" s="180" t="str">
        <f>'רשימת מכשור 2015'!A151</f>
        <v>אלקטרודת PH</v>
      </c>
      <c r="B152" s="180" t="str">
        <f>'רשימת מכשור 2015'!B151</f>
        <v>Mettler Toledo</v>
      </c>
      <c r="C152" s="180" t="str">
        <f>'רשימת מכשור 2015'!C151</f>
        <v>Inpro 7108 1.5"TC 5200800 
M400</v>
      </c>
      <c r="D152" s="233" t="str">
        <f>'רשימת מכשור 2015'!D151</f>
        <v>HARVEST</v>
      </c>
      <c r="E152" s="180" t="str">
        <f>'רשימת מכשור 2015'!E151</f>
        <v>1-1-27-PH-1</v>
      </c>
      <c r="F152" s="180">
        <f>'רשימת מכשור 2015'!F151</f>
        <v>2000</v>
      </c>
      <c r="G152" s="181">
        <v>1</v>
      </c>
      <c r="H152" s="181">
        <f t="shared" si="8"/>
        <v>2000</v>
      </c>
      <c r="I152" s="182" t="s">
        <v>82</v>
      </c>
      <c r="J152" s="181">
        <v>1</v>
      </c>
      <c r="K152" s="181">
        <v>1</v>
      </c>
      <c r="L152" s="181">
        <v>1</v>
      </c>
      <c r="M152" s="181" t="str">
        <f t="shared" si="7"/>
        <v>לא לרכוש</v>
      </c>
      <c r="N152" s="181">
        <v>1000</v>
      </c>
      <c r="O152" s="183"/>
      <c r="P152" s="183">
        <v>1</v>
      </c>
      <c r="Q152" s="183"/>
    </row>
    <row r="153" spans="1:17" s="12" customFormat="1" ht="14.25" customHeight="1">
      <c r="A153" s="180" t="str">
        <f>'רשימת מכשור 2015'!A152</f>
        <v>אלקטרודת מוליכות</v>
      </c>
      <c r="B153" s="180" t="str">
        <f>'רשימת מכשור 2015'!B152</f>
        <v>Mettler Toledo</v>
      </c>
      <c r="C153" s="180" t="str">
        <f>'רשימת מכשור 2015'!C152</f>
        <v>Inpro 7108 1.5"TC 5200800 
cond 7100e</v>
      </c>
      <c r="D153" s="233" t="str">
        <f>'רשימת מכשור 2015'!D152</f>
        <v>COLUMN 1</v>
      </c>
      <c r="E153" s="180" t="str">
        <f>'רשימת מכשור 2015'!E152</f>
        <v>1-1-144-TV-CONDT/I-4</v>
      </c>
      <c r="F153" s="180">
        <f>'רשימת מכשור 2015'!F152</f>
        <v>2000</v>
      </c>
      <c r="G153" s="181">
        <v>1</v>
      </c>
      <c r="H153" s="181">
        <f t="shared" si="8"/>
        <v>2000</v>
      </c>
      <c r="I153" s="182" t="s">
        <v>82</v>
      </c>
      <c r="J153" s="181">
        <v>3</v>
      </c>
      <c r="K153" s="181">
        <v>1</v>
      </c>
      <c r="L153" s="181">
        <v>1</v>
      </c>
      <c r="M153" s="181" t="str">
        <f t="shared" si="7"/>
        <v>לא לרכוש</v>
      </c>
      <c r="N153" s="181">
        <v>1000</v>
      </c>
      <c r="O153" s="183"/>
      <c r="P153" s="183">
        <v>1</v>
      </c>
      <c r="Q153" s="183"/>
    </row>
    <row r="154" spans="1:17" s="12" customFormat="1" ht="14.25" customHeight="1">
      <c r="A154" s="180" t="str">
        <f>'רשימת מכשור 2015'!A153</f>
        <v>אלקטרודת PH</v>
      </c>
      <c r="B154" s="180" t="str">
        <f>'רשימת מכשור 2015'!B153</f>
        <v>Mettler Toledo</v>
      </c>
      <c r="C154" s="180" t="str">
        <f>'רשימת מכשור 2015'!C153</f>
        <v>Inpro 3253/120/PT100
pH2100e</v>
      </c>
      <c r="D154" s="233" t="str">
        <f>'רשימת מכשור 2015'!D153</f>
        <v>COLUMN 1</v>
      </c>
      <c r="E154" s="180" t="str">
        <f>'רשימת מכשור 2015'!E153</f>
        <v>1-1-144-TV-PHT/I-1</v>
      </c>
      <c r="F154" s="180">
        <f>'רשימת מכשור 2015'!F153</f>
        <v>2000</v>
      </c>
      <c r="G154" s="181">
        <v>1</v>
      </c>
      <c r="H154" s="181">
        <f t="shared" si="8"/>
        <v>2000</v>
      </c>
      <c r="I154" s="182" t="s">
        <v>82</v>
      </c>
      <c r="J154" s="181">
        <v>3</v>
      </c>
      <c r="K154" s="181">
        <v>1</v>
      </c>
      <c r="L154" s="181">
        <v>1</v>
      </c>
      <c r="M154" s="181" t="str">
        <f t="shared" si="7"/>
        <v>לא לרכוש</v>
      </c>
      <c r="N154" s="181">
        <v>1000</v>
      </c>
      <c r="O154" s="183"/>
      <c r="P154" s="183">
        <v>5</v>
      </c>
      <c r="Q154" s="183"/>
    </row>
    <row r="155" spans="1:17" s="12" customFormat="1" ht="14.25" customHeight="1">
      <c r="A155" s="180" t="str">
        <f>'רשימת מכשור 2015'!A154</f>
        <v>אלקטרודת PH</v>
      </c>
      <c r="B155" s="180" t="str">
        <f>'רשימת מכשור 2015'!B154</f>
        <v>Mettler Toledo</v>
      </c>
      <c r="C155" s="180" t="str">
        <f>'רשימת מכשור 2015'!C154</f>
        <v>Inpro 3253/120/PT100
pH2100e</v>
      </c>
      <c r="D155" s="233" t="str">
        <f>'רשימת מכשור 2015'!D154</f>
        <v>COLUMN 1</v>
      </c>
      <c r="E155" s="180" t="str">
        <f>'רשימת מכשור 2015'!E154</f>
        <v>1-1-144-TV-PHT/I-3</v>
      </c>
      <c r="F155" s="180">
        <f>'רשימת מכשור 2015'!F154</f>
        <v>2000</v>
      </c>
      <c r="G155" s="181">
        <v>1</v>
      </c>
      <c r="H155" s="181">
        <f t="shared" si="8"/>
        <v>2000</v>
      </c>
      <c r="I155" s="182" t="s">
        <v>82</v>
      </c>
      <c r="J155" s="181">
        <v>3</v>
      </c>
      <c r="K155" s="181">
        <v>1</v>
      </c>
      <c r="L155" s="181">
        <v>1</v>
      </c>
      <c r="M155" s="181" t="str">
        <f t="shared" si="7"/>
        <v>לא לרכוש</v>
      </c>
      <c r="N155" s="181">
        <v>1000</v>
      </c>
      <c r="O155" s="183"/>
      <c r="P155" s="183">
        <v>5</v>
      </c>
      <c r="Q155" s="183"/>
    </row>
    <row r="156" spans="1:17" s="12" customFormat="1" ht="14.25" customHeight="1">
      <c r="A156" s="180" t="str">
        <f>'רשימת מכשור 2015'!A155</f>
        <v>אלקטרודת PH</v>
      </c>
      <c r="B156" s="180" t="str">
        <f>'רשימת מכשור 2015'!B155</f>
        <v>Mettler Toledo</v>
      </c>
      <c r="C156" s="180" t="str">
        <f>'רשימת מכשור 2015'!C155</f>
        <v>Inpro 3253/120/PT100
pH2100e</v>
      </c>
      <c r="D156" s="233" t="str">
        <f>'רשימת מכשור 2015'!D155</f>
        <v>COLUMN 1</v>
      </c>
      <c r="E156" s="180" t="str">
        <f>'רשימת מכשור 2015'!E155</f>
        <v>1-1-144-TV-PHT/I-4</v>
      </c>
      <c r="F156" s="180">
        <f>'רשימת מכשור 2015'!F155</f>
        <v>2000</v>
      </c>
      <c r="G156" s="181">
        <v>1</v>
      </c>
      <c r="H156" s="181">
        <f t="shared" si="8"/>
        <v>2000</v>
      </c>
      <c r="I156" s="182" t="s">
        <v>82</v>
      </c>
      <c r="J156" s="181">
        <v>3</v>
      </c>
      <c r="K156" s="181">
        <v>1</v>
      </c>
      <c r="L156" s="181">
        <v>1</v>
      </c>
      <c r="M156" s="181" t="str">
        <f t="shared" si="7"/>
        <v>לא לרכוש</v>
      </c>
      <c r="N156" s="181">
        <v>1000</v>
      </c>
      <c r="O156" s="183"/>
      <c r="P156" s="183">
        <v>5</v>
      </c>
      <c r="Q156" s="183"/>
    </row>
    <row r="157" spans="1:17" s="12" customFormat="1" ht="14.25" customHeight="1">
      <c r="A157" s="180" t="str">
        <f>'רשימת מכשור 2015'!A156</f>
        <v>אלקטרודת PH</v>
      </c>
      <c r="B157" s="180" t="str">
        <f>'רשימת מכשור 2015'!B156</f>
        <v>Mettler Toledo</v>
      </c>
      <c r="C157" s="180" t="str">
        <f>'רשימת מכשור 2015'!C156</f>
        <v>Inpro 3253/120/PT100
pH2100e</v>
      </c>
      <c r="D157" s="233" t="str">
        <f>'רשימת מכשור 2015'!D156</f>
        <v>COLUMN 1</v>
      </c>
      <c r="E157" s="180" t="str">
        <f>'רשימת מכשור 2015'!E156</f>
        <v>1-1-144-TV-PHT/I-6</v>
      </c>
      <c r="F157" s="180">
        <f>'רשימת מכשור 2015'!F156</f>
        <v>2000</v>
      </c>
      <c r="G157" s="181">
        <v>1</v>
      </c>
      <c r="H157" s="181">
        <f t="shared" si="8"/>
        <v>2000</v>
      </c>
      <c r="I157" s="182" t="s">
        <v>82</v>
      </c>
      <c r="J157" s="181">
        <v>3</v>
      </c>
      <c r="K157" s="181">
        <v>1</v>
      </c>
      <c r="L157" s="181">
        <v>1</v>
      </c>
      <c r="M157" s="181" t="str">
        <f t="shared" si="7"/>
        <v>לא לרכוש</v>
      </c>
      <c r="N157" s="181">
        <v>1000</v>
      </c>
      <c r="O157" s="183"/>
      <c r="P157" s="183">
        <v>5</v>
      </c>
      <c r="Q157" s="183"/>
    </row>
    <row r="158" spans="1:17" s="12" customFormat="1" ht="14.25" customHeight="1">
      <c r="A158" s="180" t="str">
        <f>'רשימת מכשור 2015'!A157</f>
        <v>אלקטרודת מוליכות</v>
      </c>
      <c r="B158" s="180" t="str">
        <f>'רשימת מכשור 2015'!B157</f>
        <v>Mettler Toledo</v>
      </c>
      <c r="C158" s="180" t="str">
        <f>'רשימת מכשור 2015'!C157</f>
        <v>Inpro 7108 1.5"TC 5200800 
cond 7100e</v>
      </c>
      <c r="D158" s="233" t="str">
        <f>'רשימת מכשור 2015'!D157</f>
        <v>COLUMN 1</v>
      </c>
      <c r="E158" s="180" t="str">
        <f>'רשימת מכשור 2015'!E157</f>
        <v>1-1-144-TV-CONDT/I-3</v>
      </c>
      <c r="F158" s="180">
        <f>'רשימת מכשור 2015'!F157</f>
        <v>2000</v>
      </c>
      <c r="G158" s="181">
        <v>1</v>
      </c>
      <c r="H158" s="181">
        <f t="shared" si="8"/>
        <v>2000</v>
      </c>
      <c r="I158" s="182" t="s">
        <v>82</v>
      </c>
      <c r="J158" s="181">
        <v>1</v>
      </c>
      <c r="K158" s="181">
        <v>1</v>
      </c>
      <c r="L158" s="181">
        <v>1</v>
      </c>
      <c r="M158" s="181" t="str">
        <f t="shared" si="7"/>
        <v>לא לרכוש</v>
      </c>
      <c r="N158" s="181">
        <v>1000</v>
      </c>
      <c r="O158" s="183"/>
      <c r="P158" s="183">
        <v>11</v>
      </c>
      <c r="Q158" s="183"/>
    </row>
    <row r="159" spans="1:17" s="12" customFormat="1" ht="14.25" customHeight="1">
      <c r="A159" s="180" t="str">
        <f>'רשימת מכשור 2015'!A158</f>
        <v>אלקטרודת מוליכות</v>
      </c>
      <c r="B159" s="180" t="str">
        <f>'רשימת מכשור 2015'!B158</f>
        <v>Mettler Toledo</v>
      </c>
      <c r="C159" s="180" t="str">
        <f>'רשימת מכשור 2015'!C158</f>
        <v>Inpro 7108 1.5"TC 5200800 
cond 7100e</v>
      </c>
      <c r="D159" s="233" t="str">
        <f>'רשימת מכשור 2015'!D158</f>
        <v>COLUMN 1</v>
      </c>
      <c r="E159" s="180" t="str">
        <f>'רשימת מכשור 2015'!E158</f>
        <v>1-1-144-TV-CONDT/I-6</v>
      </c>
      <c r="F159" s="180">
        <f>'רשימת מכשור 2015'!F158</f>
        <v>2000</v>
      </c>
      <c r="G159" s="181">
        <v>1</v>
      </c>
      <c r="H159" s="181">
        <f t="shared" si="8"/>
        <v>2000</v>
      </c>
      <c r="I159" s="182" t="s">
        <v>82</v>
      </c>
      <c r="J159" s="181">
        <v>1</v>
      </c>
      <c r="K159" s="181">
        <v>1</v>
      </c>
      <c r="L159" s="181">
        <v>1</v>
      </c>
      <c r="M159" s="181" t="str">
        <f t="shared" si="7"/>
        <v>לא לרכוש</v>
      </c>
      <c r="N159" s="181">
        <v>1000</v>
      </c>
      <c r="O159" s="183"/>
      <c r="P159" s="183">
        <v>11</v>
      </c>
      <c r="Q159" s="183"/>
    </row>
    <row r="160" spans="1:17" s="12" customFormat="1" ht="14.25" customHeight="1">
      <c r="A160" s="180" t="str">
        <f>'רשימת מכשור 2015'!A159</f>
        <v>אלקטרודת מוליכות</v>
      </c>
      <c r="B160" s="180" t="str">
        <f>'רשימת מכשור 2015'!B159</f>
        <v>Mettler Toledo</v>
      </c>
      <c r="C160" s="180" t="str">
        <f>'רשימת מכשור 2015'!C159</f>
        <v>Inpro 7108 1.5"TC 5200800 
cond 7100e</v>
      </c>
      <c r="D160" s="233" t="str">
        <f>'רשימת מכשור 2015'!D159</f>
        <v>COLUMN 2/3</v>
      </c>
      <c r="E160" s="180" t="str">
        <f>'רשימת מכשור 2015'!E159</f>
        <v>1-1-3-CIC-1</v>
      </c>
      <c r="F160" s="180">
        <f>'רשימת מכשור 2015'!F159</f>
        <v>2000</v>
      </c>
      <c r="G160" s="181">
        <v>1</v>
      </c>
      <c r="H160" s="181">
        <f t="shared" si="8"/>
        <v>2000</v>
      </c>
      <c r="I160" s="182" t="s">
        <v>82</v>
      </c>
      <c r="J160" s="181">
        <v>1</v>
      </c>
      <c r="K160" s="181">
        <v>1</v>
      </c>
      <c r="L160" s="181">
        <v>1</v>
      </c>
      <c r="M160" s="181" t="str">
        <f t="shared" si="7"/>
        <v>לא לרכוש</v>
      </c>
      <c r="N160" s="181">
        <v>1000</v>
      </c>
      <c r="O160" s="183"/>
      <c r="P160" s="183">
        <v>11</v>
      </c>
      <c r="Q160" s="183"/>
    </row>
    <row r="161" spans="1:17" s="124" customFormat="1" ht="51.75" customHeight="1">
      <c r="A161" s="180" t="str">
        <f>'רשימת מכשור 2015'!A160</f>
        <v>אלקטרודת מוליכות</v>
      </c>
      <c r="B161" s="180" t="str">
        <f>'רשימת מכשור 2015'!B160</f>
        <v>Mettler Toledo</v>
      </c>
      <c r="C161" s="180" t="str">
        <f>'רשימת מכשור 2015'!C160</f>
        <v>Inpro 7108 1.5"TC 5200800 
cond 7100e</v>
      </c>
      <c r="D161" s="233" t="str">
        <f>'רשימת מכשור 2015'!D160</f>
        <v>COLUMN 2/3</v>
      </c>
      <c r="E161" s="180" t="str">
        <f>'רשימת מכשור 2015'!E160</f>
        <v>1-1-3-CIC-2</v>
      </c>
      <c r="F161" s="180">
        <f>'רשימת מכשור 2015'!F160</f>
        <v>2000</v>
      </c>
      <c r="G161" s="181">
        <v>1</v>
      </c>
      <c r="H161" s="181">
        <f t="shared" si="8"/>
        <v>2000</v>
      </c>
      <c r="I161" s="182" t="s">
        <v>82</v>
      </c>
      <c r="J161" s="181">
        <v>1</v>
      </c>
      <c r="K161" s="181">
        <v>1</v>
      </c>
      <c r="L161" s="181">
        <v>1</v>
      </c>
      <c r="M161" s="181" t="str">
        <f t="shared" si="7"/>
        <v>לא לרכוש</v>
      </c>
      <c r="N161" s="181">
        <v>1000</v>
      </c>
      <c r="O161" s="183"/>
      <c r="P161" s="183">
        <v>11</v>
      </c>
      <c r="Q161" s="183"/>
    </row>
    <row r="162" spans="1:17" s="12" customFormat="1" ht="14.25" customHeight="1">
      <c r="A162" s="180" t="str">
        <f>'רשימת מכשור 2015'!A161</f>
        <v>משדר מוליכות</v>
      </c>
      <c r="B162" s="180" t="str">
        <f>'רשימת מכשור 2015'!B161</f>
        <v>Mettler Toledo</v>
      </c>
      <c r="C162" s="180">
        <f>'רשימת מכשור 2015'!C161</f>
        <v>7100</v>
      </c>
      <c r="D162" s="233" t="str">
        <f>'רשימת מכשור 2015'!D161</f>
        <v>COLUMN 1</v>
      </c>
      <c r="E162" s="180" t="str">
        <f>'רשימת מכשור 2015'!E161</f>
        <v>1-1-144-TV-CONDT/I-1</v>
      </c>
      <c r="F162" s="180">
        <f>'רשימת מכשור 2015'!F161</f>
        <v>2000</v>
      </c>
      <c r="G162" s="181">
        <v>1</v>
      </c>
      <c r="H162" s="181">
        <f t="shared" si="8"/>
        <v>2000</v>
      </c>
      <c r="I162" s="182" t="s">
        <v>82</v>
      </c>
      <c r="J162" s="181">
        <v>1</v>
      </c>
      <c r="K162" s="181">
        <v>1</v>
      </c>
      <c r="L162" s="181">
        <v>1</v>
      </c>
      <c r="M162" s="181" t="str">
        <f t="shared" si="7"/>
        <v>לא לרכוש</v>
      </c>
      <c r="N162" s="181">
        <v>1000</v>
      </c>
      <c r="O162" s="183"/>
      <c r="P162" s="183">
        <v>4</v>
      </c>
      <c r="Q162" s="183"/>
    </row>
    <row r="163" spans="1:17" s="12" customFormat="1" ht="14.25" customHeight="1">
      <c r="A163" s="180" t="str">
        <f>'רשימת מכשור 2015'!A162</f>
        <v>משדר מוליכות</v>
      </c>
      <c r="B163" s="180" t="str">
        <f>'רשימת מכשור 2015'!B162</f>
        <v>Mettler Toledo</v>
      </c>
      <c r="C163" s="180">
        <f>'רשימת מכשור 2015'!C162</f>
        <v>7100</v>
      </c>
      <c r="D163" s="233" t="str">
        <f>'רשימת מכשור 2015'!D162</f>
        <v>COLUMN 1</v>
      </c>
      <c r="E163" s="180" t="str">
        <f>'רשימת מכשור 2015'!E162</f>
        <v>1-1-144-TV-CONDT/I-4</v>
      </c>
      <c r="F163" s="180">
        <f>'רשימת מכשור 2015'!F162</f>
        <v>2000</v>
      </c>
      <c r="G163" s="181">
        <v>1</v>
      </c>
      <c r="H163" s="181">
        <f t="shared" si="8"/>
        <v>2000</v>
      </c>
      <c r="I163" s="182" t="s">
        <v>82</v>
      </c>
      <c r="J163" s="181">
        <v>1</v>
      </c>
      <c r="K163" s="181">
        <v>1</v>
      </c>
      <c r="L163" s="181">
        <v>1</v>
      </c>
      <c r="M163" s="181" t="str">
        <f t="shared" si="7"/>
        <v>לא לרכוש</v>
      </c>
      <c r="N163" s="181">
        <v>1000</v>
      </c>
      <c r="O163" s="183"/>
      <c r="P163" s="183">
        <v>4</v>
      </c>
      <c r="Q163" s="183"/>
    </row>
    <row r="164" spans="1:17" s="12" customFormat="1" ht="27" customHeight="1">
      <c r="A164" s="180" t="str">
        <f>'רשימת מכשור 2015'!A163</f>
        <v>משדר מוליכות</v>
      </c>
      <c r="B164" s="180" t="str">
        <f>'רשימת מכשור 2015'!B163</f>
        <v>Mettler Toledo</v>
      </c>
      <c r="C164" s="180">
        <f>'רשימת מכשור 2015'!C163</f>
        <v>7100</v>
      </c>
      <c r="D164" s="233" t="str">
        <f>'רשימת מכשור 2015'!D163</f>
        <v>COLUMN 1</v>
      </c>
      <c r="E164" s="180" t="str">
        <f>'רשימת מכשור 2015'!E163</f>
        <v>1-1-144-TV-CONDT/I-3</v>
      </c>
      <c r="F164" s="180">
        <f>'רשימת מכשור 2015'!F163</f>
        <v>2000</v>
      </c>
      <c r="G164" s="181">
        <v>1</v>
      </c>
      <c r="H164" s="181">
        <f t="shared" si="8"/>
        <v>2000</v>
      </c>
      <c r="I164" s="182" t="s">
        <v>82</v>
      </c>
      <c r="J164" s="181">
        <v>1</v>
      </c>
      <c r="K164" s="181">
        <v>1</v>
      </c>
      <c r="L164" s="181">
        <v>1</v>
      </c>
      <c r="M164" s="181" t="str">
        <f t="shared" si="7"/>
        <v>לא לרכוש</v>
      </c>
      <c r="N164" s="181">
        <v>1000</v>
      </c>
      <c r="O164" s="183"/>
      <c r="P164" s="183">
        <v>4</v>
      </c>
      <c r="Q164" s="183"/>
    </row>
    <row r="165" spans="1:17" s="12" customFormat="1" ht="14.25" customHeight="1">
      <c r="A165" s="180" t="str">
        <f>'רשימת מכשור 2015'!A164</f>
        <v>משדר מוליכות</v>
      </c>
      <c r="B165" s="180" t="str">
        <f>'רשימת מכשור 2015'!B164</f>
        <v>Mettler Toledo</v>
      </c>
      <c r="C165" s="180">
        <f>'רשימת מכשור 2015'!C164</f>
        <v>7100</v>
      </c>
      <c r="D165" s="233" t="str">
        <f>'רשימת מכשור 2015'!D164</f>
        <v>COLUMN 1</v>
      </c>
      <c r="E165" s="180" t="str">
        <f>'רשימת מכשור 2015'!E164</f>
        <v>1-1-144-TV-CONDT/I-6</v>
      </c>
      <c r="F165" s="180">
        <f>'רשימת מכשור 2015'!F164</f>
        <v>2000</v>
      </c>
      <c r="G165" s="181">
        <v>1</v>
      </c>
      <c r="H165" s="181">
        <f t="shared" si="8"/>
        <v>2000</v>
      </c>
      <c r="I165" s="182" t="s">
        <v>82</v>
      </c>
      <c r="J165" s="181">
        <v>1</v>
      </c>
      <c r="K165" s="181">
        <v>1</v>
      </c>
      <c r="L165" s="181">
        <v>1</v>
      </c>
      <c r="M165" s="181" t="str">
        <f t="shared" si="7"/>
        <v>לא לרכוש</v>
      </c>
      <c r="N165" s="181">
        <v>1000</v>
      </c>
      <c r="O165" s="183"/>
      <c r="P165" s="183">
        <v>4</v>
      </c>
      <c r="Q165" s="183"/>
    </row>
    <row r="166" spans="1:17" s="12" customFormat="1" ht="14.25" customHeight="1">
      <c r="A166" s="180" t="str">
        <f>'רשימת מכשור 2015'!A165</f>
        <v>אלקטרודת PH</v>
      </c>
      <c r="B166" s="180" t="str">
        <f>'רשימת מכשור 2015'!B165</f>
        <v>Mettler Toledo</v>
      </c>
      <c r="C166" s="180" t="str">
        <f>'רשימת מכשור 2015'!C165</f>
        <v>Inpro 3253/120/PT100
pH2100</v>
      </c>
      <c r="D166" s="233" t="str">
        <f>'רשימת מכשור 2015'!D165</f>
        <v>COLUMN 2/3</v>
      </c>
      <c r="E166" s="180" t="str">
        <f>'רשימת מכשור 2015'!E165</f>
        <v>1-1-3-PH-1</v>
      </c>
      <c r="F166" s="180">
        <f>'רשימת מכשור 2015'!F165</f>
        <v>2000</v>
      </c>
      <c r="G166" s="181">
        <v>1</v>
      </c>
      <c r="H166" s="181">
        <f t="shared" si="8"/>
        <v>2000</v>
      </c>
      <c r="I166" s="182" t="s">
        <v>82</v>
      </c>
      <c r="J166" s="181">
        <v>3</v>
      </c>
      <c r="K166" s="181">
        <v>1</v>
      </c>
      <c r="L166" s="181">
        <v>1</v>
      </c>
      <c r="M166" s="181" t="str">
        <f t="shared" si="7"/>
        <v>לא לרכוש</v>
      </c>
      <c r="N166" s="181">
        <v>1000</v>
      </c>
      <c r="O166" s="183"/>
      <c r="P166" s="183">
        <v>2</v>
      </c>
      <c r="Q166" s="183"/>
    </row>
    <row r="167" spans="1:17" s="12" customFormat="1" ht="14.25" customHeight="1">
      <c r="A167" s="180" t="str">
        <f>'רשימת מכשור 2015'!A166</f>
        <v>אלקטרודת מוליכות</v>
      </c>
      <c r="B167" s="180" t="str">
        <f>'רשימת מכשור 2015'!B166</f>
        <v>Mettler Toledo</v>
      </c>
      <c r="C167" s="180" t="str">
        <f>'רשימת מכשור 2015'!C166</f>
        <v>Inpro 7108 1.5"TC 5200800 
M400</v>
      </c>
      <c r="D167" s="233" t="str">
        <f>'רשימת מכשור 2015'!D166</f>
        <v>COLUMN 4/5</v>
      </c>
      <c r="E167" s="180" t="str">
        <f>'רשימת מכשור 2015'!E166</f>
        <v>1-1-4-CIC-1</v>
      </c>
      <c r="F167" s="180">
        <f>'רשימת מכשור 2015'!F166</f>
        <v>2000</v>
      </c>
      <c r="G167" s="181">
        <v>1</v>
      </c>
      <c r="H167" s="181">
        <f t="shared" si="8"/>
        <v>2000</v>
      </c>
      <c r="I167" s="182" t="s">
        <v>82</v>
      </c>
      <c r="J167" s="181">
        <v>1</v>
      </c>
      <c r="K167" s="181">
        <v>1</v>
      </c>
      <c r="L167" s="181">
        <v>1</v>
      </c>
      <c r="M167" s="181" t="str">
        <f t="shared" si="7"/>
        <v>לא לרכוש</v>
      </c>
      <c r="N167" s="181">
        <v>1000</v>
      </c>
      <c r="O167" s="183"/>
      <c r="P167" s="183">
        <v>11</v>
      </c>
      <c r="Q167" s="183"/>
    </row>
    <row r="168" spans="1:17" s="12" customFormat="1" ht="14.25" customHeight="1">
      <c r="A168" s="180" t="str">
        <f>'רשימת מכשור 2015'!A167</f>
        <v>משדר PH</v>
      </c>
      <c r="B168" s="180" t="str">
        <f>'רשימת מכשור 2015'!B167</f>
        <v>Mettler Toledo</v>
      </c>
      <c r="C168" s="180" t="str">
        <f>'רשימת מכשור 2015'!C167</f>
        <v>M400</v>
      </c>
      <c r="D168" s="233" t="str">
        <f>'רשימת מכשור 2015'!D167</f>
        <v>COLUMN 2/3</v>
      </c>
      <c r="E168" s="180" t="str">
        <f>'רשימת מכשור 2015'!E167</f>
        <v>1-1-3-PH-2</v>
      </c>
      <c r="F168" s="180">
        <f>'רשימת מכשור 2015'!F167</f>
        <v>4000</v>
      </c>
      <c r="G168" s="181">
        <v>1</v>
      </c>
      <c r="H168" s="181">
        <f t="shared" si="8"/>
        <v>4000</v>
      </c>
      <c r="I168" s="182" t="s">
        <v>82</v>
      </c>
      <c r="J168" s="181">
        <v>1</v>
      </c>
      <c r="K168" s="181">
        <v>1</v>
      </c>
      <c r="L168" s="181">
        <v>1</v>
      </c>
      <c r="M168" s="181" t="str">
        <f t="shared" si="7"/>
        <v>לא לרכוש</v>
      </c>
      <c r="N168" s="181">
        <v>1000</v>
      </c>
      <c r="O168" s="183"/>
      <c r="P168" s="183">
        <v>7</v>
      </c>
      <c r="Q168" s="183"/>
    </row>
    <row r="169" spans="1:17" s="12" customFormat="1" ht="14.25" customHeight="1">
      <c r="A169" s="180" t="str">
        <f>'רשימת מכשור 2015'!A168</f>
        <v>אלקטרודת PH</v>
      </c>
      <c r="B169" s="180" t="str">
        <f>'רשימת מכשור 2015'!B168</f>
        <v>Mettler Toledo</v>
      </c>
      <c r="C169" s="180" t="str">
        <f>'רשימת מכשור 2015'!C168</f>
        <v>Inpro 3253/120/PT100
pH2100e</v>
      </c>
      <c r="D169" s="233" t="str">
        <f>'רשימת מכשור 2015'!D168</f>
        <v>COLUMN 2/3</v>
      </c>
      <c r="E169" s="180" t="str">
        <f>'רשימת מכשור 2015'!E168</f>
        <v>1-1-3-PH-2</v>
      </c>
      <c r="F169" s="180">
        <f>'רשימת מכשור 2015'!F168</f>
        <v>2000</v>
      </c>
      <c r="G169" s="181">
        <v>1</v>
      </c>
      <c r="H169" s="181">
        <f t="shared" si="8"/>
        <v>2000</v>
      </c>
      <c r="I169" s="182" t="s">
        <v>82</v>
      </c>
      <c r="J169" s="181">
        <v>3</v>
      </c>
      <c r="K169" s="181">
        <v>1</v>
      </c>
      <c r="L169" s="181">
        <v>1</v>
      </c>
      <c r="M169" s="181" t="str">
        <f t="shared" si="7"/>
        <v>לא לרכוש</v>
      </c>
      <c r="N169" s="181">
        <v>1000</v>
      </c>
      <c r="O169" s="183"/>
      <c r="P169" s="183">
        <v>5</v>
      </c>
      <c r="Q169" s="183"/>
    </row>
    <row r="170" spans="1:17" s="12" customFormat="1" ht="14.25" customHeight="1">
      <c r="A170" s="180" t="str">
        <f>'רשימת מכשור 2015'!A169</f>
        <v>מד כלור</v>
      </c>
      <c r="B170" s="180" t="str">
        <f>'רשימת מכשור 2015'!B169</f>
        <v>Prominent</v>
      </c>
      <c r="C170" s="180" t="str">
        <f>'רשימת מכשור 2015'!C169</f>
        <v xml:space="preserve">Sensor: CLE3-DMT-5ppm
Transmitter: DMT AW 090C10E000 </v>
      </c>
      <c r="D170" s="233" t="str">
        <f>'רשימת מכשור 2015'!D169</f>
        <v>PW PRETREAMENT
2500</v>
      </c>
      <c r="E170" s="180" t="str">
        <f>'רשימת מכשור 2015'!E169</f>
        <v>1-1-605-CL-001</v>
      </c>
      <c r="F170" s="180">
        <f>'רשימת מכשור 2015'!F169</f>
        <v>10000</v>
      </c>
      <c r="G170" s="181">
        <v>1</v>
      </c>
      <c r="H170" s="181">
        <f t="shared" si="8"/>
        <v>10000</v>
      </c>
      <c r="I170" s="182" t="s">
        <v>82</v>
      </c>
      <c r="J170" s="181">
        <v>1</v>
      </c>
      <c r="K170" s="181">
        <v>1</v>
      </c>
      <c r="L170" s="181">
        <v>1</v>
      </c>
      <c r="M170" s="181" t="str">
        <f t="shared" si="7"/>
        <v>לא לרכוש</v>
      </c>
      <c r="N170" s="181">
        <v>1000</v>
      </c>
      <c r="O170" s="183"/>
      <c r="P170" s="183">
        <v>11</v>
      </c>
      <c r="Q170" s="183"/>
    </row>
    <row r="171" spans="1:17" s="12" customFormat="1" ht="14.25" customHeight="1">
      <c r="A171" s="180" t="str">
        <f>'רשימת מכשור 2015'!A170</f>
        <v xml:space="preserve">אלקטרודת מוליכות </v>
      </c>
      <c r="B171" s="180" t="str">
        <f>'רשימת מכשור 2015'!B170</f>
        <v>THORNTON</v>
      </c>
      <c r="C171" s="180" t="str">
        <f>'רשימת מכשור 2015'!C170</f>
        <v>58 031 234</v>
      </c>
      <c r="D171" s="233" t="str">
        <f>'רשימת מכשור 2015'!D170</f>
        <v>PW פיילוט</v>
      </c>
      <c r="E171" s="180" t="str">
        <f>'רשימת מכשור 2015'!E170</f>
        <v>1-CIC-1&amp;1-TIC-3</v>
      </c>
      <c r="F171" s="180">
        <f>'רשימת מכשור 2015'!F170</f>
        <v>4200</v>
      </c>
      <c r="G171" s="181">
        <v>1</v>
      </c>
      <c r="H171" s="181">
        <f t="shared" si="8"/>
        <v>4200</v>
      </c>
      <c r="I171" s="182" t="s">
        <v>82</v>
      </c>
      <c r="J171" s="181">
        <v>1</v>
      </c>
      <c r="K171" s="181">
        <v>1</v>
      </c>
      <c r="L171" s="181">
        <v>1</v>
      </c>
      <c r="M171" s="181" t="str">
        <f t="shared" si="7"/>
        <v>לא לרכוש</v>
      </c>
      <c r="N171" s="181">
        <v>1000</v>
      </c>
      <c r="O171" s="183"/>
      <c r="P171" s="183">
        <v>11</v>
      </c>
      <c r="Q171" s="183"/>
    </row>
    <row r="172" spans="1:17" s="12" customFormat="1" ht="14.25" customHeight="1">
      <c r="A172" s="180" t="str">
        <f>'רשימת מכשור 2015'!A171</f>
        <v>אלקטרודת PH</v>
      </c>
      <c r="B172" s="180" t="str">
        <f>'רשימת מכשור 2015'!B171</f>
        <v>Mettler Toledo</v>
      </c>
      <c r="C172" s="180" t="str">
        <f>'רשימת מכשור 2015'!C171</f>
        <v>Inpro 3253I/SV/120
M400</v>
      </c>
      <c r="D172" s="233" t="str">
        <f>'רשימת מכשור 2015'!D171</f>
        <v>COLUMN 4/5</v>
      </c>
      <c r="E172" s="180" t="str">
        <f>'רשימת מכשור 2015'!E171</f>
        <v>1-1-4-PH-1</v>
      </c>
      <c r="F172" s="180">
        <f>'רשימת מכשור 2015'!F171</f>
        <v>2000</v>
      </c>
      <c r="G172" s="181">
        <v>1</v>
      </c>
      <c r="H172" s="181">
        <f t="shared" si="8"/>
        <v>2000</v>
      </c>
      <c r="I172" s="182" t="s">
        <v>82</v>
      </c>
      <c r="J172" s="181">
        <v>3</v>
      </c>
      <c r="K172" s="181">
        <v>1</v>
      </c>
      <c r="L172" s="181">
        <v>1</v>
      </c>
      <c r="M172" s="181" t="str">
        <f t="shared" si="7"/>
        <v>לא לרכוש</v>
      </c>
      <c r="N172" s="181">
        <v>1000</v>
      </c>
      <c r="O172" s="183"/>
      <c r="P172" s="183">
        <v>5</v>
      </c>
      <c r="Q172" s="183"/>
    </row>
    <row r="173" spans="1:17" s="12" customFormat="1" ht="14.25" customHeight="1">
      <c r="A173" s="180" t="str">
        <f>'רשימת מכשור 2015'!A172</f>
        <v>ברז בקרה (מפעיל)</v>
      </c>
      <c r="B173" s="180" t="str">
        <f>'רשימת מכשור 2015'!B172</f>
        <v>SIMENS</v>
      </c>
      <c r="C173" s="180" t="str">
        <f>'רשימת מכשור 2015'!C172</f>
        <v>Acvatix SKD 60</v>
      </c>
      <c r="D173" s="233" t="str">
        <f>'רשימת מכשור 2015'!D172</f>
        <v>AHU-1 PILOT</v>
      </c>
      <c r="E173" s="180" t="str">
        <f>'רשימת מכשור 2015'!E172</f>
        <v>1-2-3-TCV-1</v>
      </c>
      <c r="F173" s="180">
        <f>'רשימת מכשור 2015'!F172</f>
        <v>1600</v>
      </c>
      <c r="G173" s="181">
        <v>1</v>
      </c>
      <c r="H173" s="181">
        <f t="shared" si="8"/>
        <v>1600</v>
      </c>
      <c r="I173" s="182" t="s">
        <v>82</v>
      </c>
      <c r="J173" s="181">
        <v>1</v>
      </c>
      <c r="K173" s="181">
        <v>1</v>
      </c>
      <c r="L173" s="181">
        <v>0.5</v>
      </c>
      <c r="M173" s="181" t="str">
        <f t="shared" si="7"/>
        <v>לא לרכוש</v>
      </c>
      <c r="N173" s="181">
        <v>1000</v>
      </c>
      <c r="O173" s="183"/>
      <c r="P173" s="183">
        <v>3</v>
      </c>
      <c r="Q173" s="183"/>
    </row>
    <row r="174" spans="1:17" s="12" customFormat="1">
      <c r="A174" s="180" t="str">
        <f>'רשימת מכשור 2015'!A173</f>
        <v>אלקטרודת PH</v>
      </c>
      <c r="B174" s="180" t="str">
        <f>'רשימת מכשור 2015'!B173</f>
        <v>Mettler Toledo</v>
      </c>
      <c r="C174" s="180" t="str">
        <f>'רשימת מכשור 2015'!C173</f>
        <v>inpro 3253i</v>
      </c>
      <c r="D174" s="233" t="str">
        <f>'רשימת מכשור 2015'!D173</f>
        <v>HARVST</v>
      </c>
      <c r="E174" s="180" t="str">
        <f>'רשימת מכשור 2015'!E173</f>
        <v>1-1-27-PH-1</v>
      </c>
      <c r="F174" s="180">
        <f>'רשימת מכשור 2015'!F173</f>
        <v>1505</v>
      </c>
      <c r="G174" s="181">
        <v>1</v>
      </c>
      <c r="H174" s="181">
        <f t="shared" si="8"/>
        <v>1505</v>
      </c>
      <c r="I174" s="182" t="s">
        <v>82</v>
      </c>
      <c r="J174" s="181">
        <v>3</v>
      </c>
      <c r="K174" s="181">
        <v>1</v>
      </c>
      <c r="L174" s="181">
        <v>1</v>
      </c>
      <c r="M174" s="181" t="str">
        <f t="shared" si="7"/>
        <v>לא לרכוש</v>
      </c>
      <c r="N174" s="181">
        <v>1000</v>
      </c>
      <c r="O174" s="183"/>
      <c r="P174" s="183">
        <v>5</v>
      </c>
      <c r="Q174" s="183" t="s">
        <v>194</v>
      </c>
    </row>
    <row r="175" spans="1:17" s="12" customFormat="1" ht="14.25" customHeight="1">
      <c r="A175" s="180" t="str">
        <f>'רשימת מכשור 2015'!A174</f>
        <v>אלקטרודת PH</v>
      </c>
      <c r="B175" s="180" t="str">
        <f>'רשימת מכשור 2015'!B174</f>
        <v>Mettler Toledo</v>
      </c>
      <c r="C175" s="180" t="str">
        <f>'רשימת מכשור 2015'!C174</f>
        <v>inpro 3253i</v>
      </c>
      <c r="D175" s="233" t="str">
        <f>'רשימת מכשור 2015'!D174</f>
        <v>CRUDE</v>
      </c>
      <c r="E175" s="180" t="str">
        <f>'רשימת מכשור 2015'!E174</f>
        <v>1-1-31-PH-1</v>
      </c>
      <c r="F175" s="180">
        <f>'רשימת מכשור 2015'!F174</f>
        <v>1505</v>
      </c>
      <c r="G175" s="181">
        <v>1</v>
      </c>
      <c r="H175" s="181">
        <f t="shared" si="8"/>
        <v>1505</v>
      </c>
      <c r="I175" s="182" t="s">
        <v>82</v>
      </c>
      <c r="J175" s="181">
        <v>3</v>
      </c>
      <c r="K175" s="181">
        <v>1</v>
      </c>
      <c r="L175" s="181">
        <v>1</v>
      </c>
      <c r="M175" s="181" t="str">
        <f t="shared" si="7"/>
        <v>לא לרכוש</v>
      </c>
      <c r="N175" s="181">
        <v>1000</v>
      </c>
      <c r="O175" s="183"/>
      <c r="P175" s="183">
        <v>5</v>
      </c>
      <c r="Q175" s="183" t="s">
        <v>194</v>
      </c>
    </row>
    <row r="176" spans="1:17" s="12" customFormat="1" ht="14.25" customHeight="1">
      <c r="A176" s="180" t="str">
        <f>'רשימת מכשור 2015'!A175</f>
        <v xml:space="preserve">ברז (מפעיל) בקרה </v>
      </c>
      <c r="B176" s="180" t="str">
        <f>'רשימת מכשור 2015'!B175</f>
        <v>siemens</v>
      </c>
      <c r="C176" s="180" t="str">
        <f>'רשימת מכשור 2015'!C175</f>
        <v>GMA 161.9E</v>
      </c>
      <c r="D176" s="233" t="str">
        <f>'רשימת מכשור 2015'!D175</f>
        <v>PW פיילוט</v>
      </c>
      <c r="E176" s="180" t="str">
        <f>'רשימת מכשור 2015'!E175</f>
        <v>1-TCV-1</v>
      </c>
      <c r="F176" s="180">
        <f>'רשימת מכשור 2015'!F175</f>
        <v>800</v>
      </c>
      <c r="G176" s="181">
        <v>1</v>
      </c>
      <c r="H176" s="181">
        <f t="shared" si="8"/>
        <v>800</v>
      </c>
      <c r="I176" s="182" t="s">
        <v>82</v>
      </c>
      <c r="J176" s="181">
        <v>1</v>
      </c>
      <c r="K176" s="181">
        <v>0</v>
      </c>
      <c r="L176" s="181">
        <v>0.5</v>
      </c>
      <c r="M176" s="181" t="str">
        <f t="shared" si="7"/>
        <v>לא לרכוש</v>
      </c>
      <c r="N176" s="181">
        <v>1000</v>
      </c>
      <c r="O176" s="183"/>
      <c r="P176" s="183">
        <v>1</v>
      </c>
      <c r="Q176" s="191" t="s">
        <v>86</v>
      </c>
    </row>
    <row r="177" spans="1:17" s="12" customFormat="1" ht="14.25" customHeight="1">
      <c r="A177" s="180" t="str">
        <f>'רשימת מכשור 2015'!A176</f>
        <v>משדר טמפרטורה</v>
      </c>
      <c r="B177" s="180" t="str">
        <f>'רשימת מכשור 2015'!B176</f>
        <v xml:space="preserve">Sensor: Elcon
Transmitter: E+H </v>
      </c>
      <c r="C177" s="180" t="str">
        <f>'רשימת מכשור 2015'!C176</f>
        <v>Sensor: PT-100 TH-39
Transmitter:TMT 121</v>
      </c>
      <c r="D177" s="233" t="str">
        <f>'רשימת מכשור 2015'!D176</f>
        <v>PW STORAGE
2500</v>
      </c>
      <c r="E177" s="180" t="str">
        <f>'רשימת מכשור 2015'!E176</f>
        <v>1-1-606-TE/TT-001</v>
      </c>
      <c r="F177" s="180">
        <f>'רשימת מכשור 2015'!F176</f>
        <v>1500</v>
      </c>
      <c r="G177" s="181">
        <v>1</v>
      </c>
      <c r="H177" s="181">
        <f t="shared" si="8"/>
        <v>1500</v>
      </c>
      <c r="I177" s="182" t="s">
        <v>82</v>
      </c>
      <c r="J177" s="181">
        <v>1</v>
      </c>
      <c r="K177" s="181">
        <v>0</v>
      </c>
      <c r="L177" s="181">
        <v>1</v>
      </c>
      <c r="M177" s="181" t="str">
        <f t="shared" si="7"/>
        <v>לא לרכוש</v>
      </c>
      <c r="N177" s="181">
        <v>1000</v>
      </c>
      <c r="O177" s="183"/>
      <c r="P177" s="183">
        <v>3</v>
      </c>
      <c r="Q177" s="183"/>
    </row>
    <row r="178" spans="1:17" s="12" customFormat="1" ht="14.25" customHeight="1">
      <c r="A178" s="180" t="str">
        <f>'רשימת מכשור 2015'!A177</f>
        <v>משדר טמפרטורה</v>
      </c>
      <c r="B178" s="180" t="str">
        <f>'רשימת מכשור 2015'!B177</f>
        <v xml:space="preserve">Sensor: Elcon
Transmitter: E+H </v>
      </c>
      <c r="C178" s="180" t="str">
        <f>'רשימת מכשור 2015'!C177</f>
        <v>Sensor: PT-100 TH-39
Transmitter:TMT 121</v>
      </c>
      <c r="D178" s="233" t="str">
        <f>'רשימת מכשור 2015'!D177</f>
        <v>PW STORAGE
2500</v>
      </c>
      <c r="E178" s="180" t="str">
        <f>'רשימת מכשור 2015'!E177</f>
        <v>1-1-606-TE/TT-003</v>
      </c>
      <c r="F178" s="180">
        <f>'רשימת מכשור 2015'!F177</f>
        <v>1500</v>
      </c>
      <c r="G178" s="181">
        <v>1</v>
      </c>
      <c r="H178" s="181">
        <f t="shared" si="8"/>
        <v>1500</v>
      </c>
      <c r="I178" s="182" t="s">
        <v>82</v>
      </c>
      <c r="J178" s="181">
        <v>1</v>
      </c>
      <c r="K178" s="181">
        <v>0</v>
      </c>
      <c r="L178" s="181">
        <v>1</v>
      </c>
      <c r="M178" s="181" t="str">
        <f t="shared" si="7"/>
        <v>לא לרכוש</v>
      </c>
      <c r="N178" s="181">
        <v>1000</v>
      </c>
      <c r="O178" s="183"/>
      <c r="P178" s="183">
        <v>3</v>
      </c>
      <c r="Q178" s="183"/>
    </row>
    <row r="179" spans="1:17" s="12" customFormat="1" ht="14.25" customHeight="1">
      <c r="A179" s="180" t="str">
        <f>'רשימת מכשור 2015'!A178</f>
        <v>משדר טמפרטורה</v>
      </c>
      <c r="B179" s="180" t="str">
        <f>'רשימת מכשור 2015'!B178</f>
        <v xml:space="preserve">Sensor: Elcon
Transmitter: E+H </v>
      </c>
      <c r="C179" s="180" t="str">
        <f>'רשימת מכשור 2015'!C178</f>
        <v>Sensor: PT-100 TH-39
Transmitter:TMT 121</v>
      </c>
      <c r="D179" s="233" t="str">
        <f>'רשימת מכשור 2015'!D178</f>
        <v>PW STORAGE
2500</v>
      </c>
      <c r="E179" s="180" t="str">
        <f>'רשימת מכשור 2015'!E178</f>
        <v>1-1-606-TE/TT-004</v>
      </c>
      <c r="F179" s="180">
        <f>'רשימת מכשור 2015'!F178</f>
        <v>1500</v>
      </c>
      <c r="G179" s="181">
        <v>1</v>
      </c>
      <c r="H179" s="181">
        <f t="shared" si="8"/>
        <v>1500</v>
      </c>
      <c r="I179" s="182" t="s">
        <v>82</v>
      </c>
      <c r="J179" s="181">
        <v>1</v>
      </c>
      <c r="K179" s="181">
        <v>0</v>
      </c>
      <c r="L179" s="181">
        <v>1</v>
      </c>
      <c r="M179" s="181" t="str">
        <f t="shared" si="7"/>
        <v>לא לרכוש</v>
      </c>
      <c r="N179" s="181">
        <v>1000</v>
      </c>
      <c r="O179" s="183"/>
      <c r="P179" s="183">
        <v>3</v>
      </c>
      <c r="Q179" s="183"/>
    </row>
    <row r="180" spans="1:17" s="12" customFormat="1" ht="14.25" customHeight="1">
      <c r="A180" s="180" t="str">
        <f>'רשימת מכשור 2015'!A179</f>
        <v>מפסק זרימה</v>
      </c>
      <c r="B180" s="180" t="str">
        <f>'רשימת מכשור 2015'!B179</f>
        <v>EGE</v>
      </c>
      <c r="C180" s="180" t="str">
        <f>'רשימת מכשור 2015'!C179</f>
        <v>ST-421-KH-A4</v>
      </c>
      <c r="D180" s="233" t="str">
        <f>'רשימת מכשור 2015'!D179</f>
        <v>CLW</v>
      </c>
      <c r="E180" s="180" t="str">
        <f>'רשימת מכשור 2015'!E179</f>
        <v>1-1-1-FS-1</v>
      </c>
      <c r="F180" s="180">
        <f>'רשימת מכשור 2015'!F179</f>
        <v>1500</v>
      </c>
      <c r="G180" s="181">
        <v>1</v>
      </c>
      <c r="H180" s="181">
        <f t="shared" si="8"/>
        <v>1500</v>
      </c>
      <c r="I180" s="182" t="s">
        <v>82</v>
      </c>
      <c r="J180" s="181">
        <v>1</v>
      </c>
      <c r="K180" s="181">
        <v>1</v>
      </c>
      <c r="L180" s="181">
        <v>1</v>
      </c>
      <c r="M180" s="181" t="str">
        <f t="shared" si="7"/>
        <v>לא לרכוש</v>
      </c>
      <c r="N180" s="181">
        <v>1000</v>
      </c>
      <c r="O180" s="183"/>
      <c r="P180" s="183">
        <v>4</v>
      </c>
      <c r="Q180" s="183"/>
    </row>
    <row r="181" spans="1:17" s="12" customFormat="1" ht="14.25" customHeight="1">
      <c r="A181" s="180" t="str">
        <f>'רשימת מכשור 2015'!A180</f>
        <v>מפסק זרימה</v>
      </c>
      <c r="B181" s="180" t="str">
        <f>'רשימת מכשור 2015'!B180</f>
        <v>EGE</v>
      </c>
      <c r="C181" s="180" t="str">
        <f>'רשימת מכשור 2015'!C180</f>
        <v>ST-421-KH-A4</v>
      </c>
      <c r="D181" s="233" t="str">
        <f>'רשימת מכשור 2015'!D180</f>
        <v>CLW</v>
      </c>
      <c r="E181" s="180" t="str">
        <f>'רשימת מכשור 2015'!E180</f>
        <v>1-1-1-FS-2</v>
      </c>
      <c r="F181" s="180">
        <f>'רשימת מכשור 2015'!F180</f>
        <v>1500</v>
      </c>
      <c r="G181" s="181">
        <v>1</v>
      </c>
      <c r="H181" s="181">
        <f t="shared" ref="H181:H212" si="9">G181*F181</f>
        <v>1500</v>
      </c>
      <c r="I181" s="182" t="s">
        <v>82</v>
      </c>
      <c r="J181" s="181">
        <v>1</v>
      </c>
      <c r="K181" s="181">
        <v>1</v>
      </c>
      <c r="L181" s="181">
        <v>1</v>
      </c>
      <c r="M181" s="181" t="str">
        <f t="shared" si="7"/>
        <v>לא לרכוש</v>
      </c>
      <c r="N181" s="181">
        <v>1000</v>
      </c>
      <c r="O181" s="183"/>
      <c r="P181" s="183">
        <v>4</v>
      </c>
      <c r="Q181" s="183"/>
    </row>
    <row r="182" spans="1:17" s="12" customFormat="1" ht="14.25" customHeight="1">
      <c r="A182" s="180" t="str">
        <f>'רשימת מכשור 2015'!A181</f>
        <v>מפסק זרימה</v>
      </c>
      <c r="B182" s="180" t="str">
        <f>'רשימת מכשור 2015'!B181</f>
        <v>EGE</v>
      </c>
      <c r="C182" s="180" t="str">
        <f>'רשימת מכשור 2015'!C181</f>
        <v>ST-421-KH-A4</v>
      </c>
      <c r="D182" s="233" t="str">
        <f>'רשימת מכשור 2015'!D181</f>
        <v>CLW</v>
      </c>
      <c r="E182" s="180" t="str">
        <f>'רשימת מכשור 2015'!E181</f>
        <v>1-1-1-FS-3</v>
      </c>
      <c r="F182" s="180">
        <f>'רשימת מכשור 2015'!F181</f>
        <v>1500</v>
      </c>
      <c r="G182" s="181">
        <v>1</v>
      </c>
      <c r="H182" s="181">
        <f t="shared" si="9"/>
        <v>1500</v>
      </c>
      <c r="I182" s="182" t="s">
        <v>82</v>
      </c>
      <c r="J182" s="181">
        <v>1</v>
      </c>
      <c r="K182" s="181">
        <v>1</v>
      </c>
      <c r="L182" s="181">
        <v>1</v>
      </c>
      <c r="M182" s="181" t="str">
        <f t="shared" si="7"/>
        <v>לא לרכוש</v>
      </c>
      <c r="N182" s="181">
        <v>1000</v>
      </c>
      <c r="O182" s="183"/>
      <c r="P182" s="183">
        <v>4</v>
      </c>
      <c r="Q182" s="183"/>
    </row>
    <row r="183" spans="1:17" s="12" customFormat="1" ht="14.25" customHeight="1">
      <c r="A183" s="180" t="str">
        <f>'רשימת מכשור 2015'!A182</f>
        <v>מפסק זרימה</v>
      </c>
      <c r="B183" s="180" t="str">
        <f>'רשימת מכשור 2015'!B182</f>
        <v>EGE</v>
      </c>
      <c r="C183" s="180" t="str">
        <f>'רשימת מכשור 2015'!C182</f>
        <v>ST-421-KH-A4</v>
      </c>
      <c r="D183" s="233" t="str">
        <f>'רשימת מכשור 2015'!D182</f>
        <v xml:space="preserve">HSW </v>
      </c>
      <c r="E183" s="180" t="str">
        <f>'רשימת מכשור 2015'!E182</f>
        <v>1-1-57-FS-1</v>
      </c>
      <c r="F183" s="180">
        <f>'רשימת מכשור 2015'!F182</f>
        <v>1500</v>
      </c>
      <c r="G183" s="181">
        <v>1</v>
      </c>
      <c r="H183" s="181">
        <f t="shared" si="9"/>
        <v>1500</v>
      </c>
      <c r="I183" s="182" t="s">
        <v>82</v>
      </c>
      <c r="J183" s="181">
        <v>1</v>
      </c>
      <c r="K183" s="181">
        <v>1</v>
      </c>
      <c r="L183" s="181">
        <v>1</v>
      </c>
      <c r="M183" s="181" t="str">
        <f t="shared" si="7"/>
        <v>לא לרכוש</v>
      </c>
      <c r="N183" s="181">
        <v>1000</v>
      </c>
      <c r="O183" s="183"/>
      <c r="P183" s="183">
        <v>4</v>
      </c>
      <c r="Q183" s="183"/>
    </row>
    <row r="184" spans="1:17" s="12" customFormat="1" ht="14.25" customHeight="1">
      <c r="A184" s="180" t="str">
        <f>'רשימת מכשור 2015'!A183</f>
        <v>משדר טמפרטורה</v>
      </c>
      <c r="B184" s="180" t="str">
        <f>'רשימת מכשור 2015'!B183</f>
        <v>E+H</v>
      </c>
      <c r="C184" s="180" t="str">
        <f>'רשימת מכשור 2015'!C183</f>
        <v>TMT 121</v>
      </c>
      <c r="D184" s="233" t="str">
        <f>'רשימת מכשור 2015'!D183</f>
        <v>WFI-PRODUCTION/STORAGE</v>
      </c>
      <c r="E184" s="180" t="str">
        <f>'רשימת מכשור 2015'!E183</f>
        <v>25-TT-1</v>
      </c>
      <c r="F184" s="180">
        <f>'רשימת מכשור 2015'!F183</f>
        <v>1500</v>
      </c>
      <c r="G184" s="181">
        <v>1</v>
      </c>
      <c r="H184" s="181">
        <f t="shared" si="9"/>
        <v>1500</v>
      </c>
      <c r="I184" s="182" t="s">
        <v>82</v>
      </c>
      <c r="J184" s="181">
        <v>1</v>
      </c>
      <c r="K184" s="181">
        <v>1</v>
      </c>
      <c r="L184" s="181">
        <v>1</v>
      </c>
      <c r="M184" s="181" t="str">
        <f t="shared" si="7"/>
        <v>לא לרכוש</v>
      </c>
      <c r="N184" s="181">
        <v>1000</v>
      </c>
      <c r="O184" s="183"/>
      <c r="P184" s="183">
        <v>5</v>
      </c>
      <c r="Q184" s="183"/>
    </row>
    <row r="185" spans="1:17" s="12" customFormat="1" ht="14.25" customHeight="1">
      <c r="A185" s="180" t="str">
        <f>'רשימת מכשור 2015'!A184</f>
        <v>מפסק זרימה</v>
      </c>
      <c r="B185" s="180" t="str">
        <f>'רשימת מכשור 2015'!B184</f>
        <v>EGE</v>
      </c>
      <c r="C185" s="180" t="str">
        <f>'רשימת מכשור 2015'!C184</f>
        <v>SN 450/1 A4-GR</v>
      </c>
      <c r="D185" s="233" t="str">
        <f>'רשימת מכשור 2015'!D184</f>
        <v>WFI DISTRIBUTION</v>
      </c>
      <c r="E185" s="180" t="str">
        <f>'רשימת מכשור 2015'!E184</f>
        <v>1-1-26-FS-1</v>
      </c>
      <c r="F185" s="180">
        <f>'רשימת מכשור 2015'!F184</f>
        <v>1500</v>
      </c>
      <c r="G185" s="181">
        <v>1</v>
      </c>
      <c r="H185" s="181">
        <f t="shared" si="9"/>
        <v>1500</v>
      </c>
      <c r="I185" s="182"/>
      <c r="J185" s="181">
        <v>1</v>
      </c>
      <c r="K185" s="181">
        <v>0</v>
      </c>
      <c r="L185" s="181">
        <v>1</v>
      </c>
      <c r="M185" s="181" t="str">
        <f t="shared" si="7"/>
        <v>לא לרכוש</v>
      </c>
      <c r="N185" s="181">
        <v>1000</v>
      </c>
      <c r="O185" s="183"/>
      <c r="P185" s="183">
        <v>1</v>
      </c>
      <c r="Q185" s="183"/>
    </row>
    <row r="186" spans="1:17" s="12" customFormat="1" ht="14.25" customHeight="1">
      <c r="A186" s="180" t="str">
        <f>'רשימת מכשור 2015'!A185</f>
        <v>ברז (מפעיל) בקרה</v>
      </c>
      <c r="B186" s="180" t="str">
        <f>'רשימת מכשור 2015'!B185</f>
        <v>Belimo</v>
      </c>
      <c r="C186" s="180" t="str">
        <f>'רשימת מכשור 2015'!C185</f>
        <v>NR C24A/SR</v>
      </c>
      <c r="D186" s="233" t="str">
        <f>'רשימת מכשור 2015'!D185</f>
        <v>WFI DISTRIBUTION</v>
      </c>
      <c r="E186" s="180" t="str">
        <f>'רשימת מכשור 2015'!E185</f>
        <v>1-1-26-TCV-2</v>
      </c>
      <c r="F186" s="180">
        <f>'רשימת מכשור 2015'!F185</f>
        <v>1500</v>
      </c>
      <c r="G186" s="181">
        <v>1</v>
      </c>
      <c r="H186" s="181">
        <f t="shared" si="9"/>
        <v>1500</v>
      </c>
      <c r="I186" s="182"/>
      <c r="J186" s="181">
        <v>1</v>
      </c>
      <c r="K186" s="181">
        <v>1</v>
      </c>
      <c r="L186" s="181">
        <v>1</v>
      </c>
      <c r="M186" s="181" t="str">
        <f t="shared" si="7"/>
        <v>לרכוש</v>
      </c>
      <c r="N186" s="181">
        <v>1000</v>
      </c>
      <c r="O186" s="183"/>
      <c r="P186" s="183">
        <v>15</v>
      </c>
      <c r="Q186" s="183"/>
    </row>
    <row r="187" spans="1:17" s="12" customFormat="1" ht="14.25" customHeight="1">
      <c r="A187" s="180" t="str">
        <f>'רשימת מכשור 2015'!A186</f>
        <v>ברז (מפעיל) בקרה</v>
      </c>
      <c r="B187" s="180" t="str">
        <f>'רשימת מכשור 2015'!B186</f>
        <v>Belimo</v>
      </c>
      <c r="C187" s="180" t="str">
        <f>'רשימת מכשור 2015'!C186</f>
        <v>NR C24A/SR</v>
      </c>
      <c r="D187" s="233" t="str">
        <f>'רשימת מכשור 2015'!D186</f>
        <v>WFI DISTRIBUTION</v>
      </c>
      <c r="E187" s="180" t="str">
        <f>'רשימת מכשור 2015'!E186</f>
        <v>1-1-26-TCV-1</v>
      </c>
      <c r="F187" s="180">
        <f>'רשימת מכשור 2015'!F186</f>
        <v>1500</v>
      </c>
      <c r="G187" s="181">
        <v>1</v>
      </c>
      <c r="H187" s="181">
        <f t="shared" si="9"/>
        <v>1500</v>
      </c>
      <c r="I187" s="182"/>
      <c r="J187" s="181">
        <v>1</v>
      </c>
      <c r="K187" s="181">
        <v>1</v>
      </c>
      <c r="L187" s="181">
        <v>1</v>
      </c>
      <c r="M187" s="181" t="str">
        <f t="shared" si="7"/>
        <v>לרכוש</v>
      </c>
      <c r="N187" s="181">
        <v>1000</v>
      </c>
      <c r="O187" s="183"/>
      <c r="P187" s="183">
        <v>15</v>
      </c>
      <c r="Q187" s="183"/>
    </row>
    <row r="188" spans="1:17" s="12" customFormat="1" ht="14.25" customHeight="1">
      <c r="A188" s="180" t="str">
        <f>'רשימת מכשור 2015'!A187</f>
        <v>מד ומשדר טמפ'</v>
      </c>
      <c r="B188" s="180" t="str">
        <f>'רשימת מכשור 2015'!B187</f>
        <v>E+H-משדר
סנסור-מגטרון</v>
      </c>
      <c r="C188" s="180" t="str">
        <f>'רשימת מכשור 2015'!C187</f>
        <v>TMT122-משדר
PT100-סנסור</v>
      </c>
      <c r="D188" s="233" t="str">
        <f>'רשימת מכשור 2015'!D187</f>
        <v>SW SYSTEM</v>
      </c>
      <c r="E188" s="180" t="str">
        <f>'רשימת מכשור 2015'!E187</f>
        <v>1-1-2010-TI-513</v>
      </c>
      <c r="F188" s="180">
        <f>'רשימת מכשור 2015'!F187</f>
        <v>1500</v>
      </c>
      <c r="G188" s="181">
        <v>1</v>
      </c>
      <c r="H188" s="181">
        <f t="shared" si="9"/>
        <v>1500</v>
      </c>
      <c r="I188" s="182" t="s">
        <v>82</v>
      </c>
      <c r="J188" s="181">
        <v>1</v>
      </c>
      <c r="K188" s="181">
        <v>1</v>
      </c>
      <c r="L188" s="181">
        <v>1</v>
      </c>
      <c r="M188" s="181" t="str">
        <f t="shared" si="7"/>
        <v>לא לרכוש</v>
      </c>
      <c r="N188" s="181">
        <v>1000</v>
      </c>
      <c r="O188" s="183"/>
      <c r="P188" s="183">
        <v>70</v>
      </c>
      <c r="Q188" s="183"/>
    </row>
    <row r="189" spans="1:17" s="12" customFormat="1" ht="14.25" customHeight="1">
      <c r="A189" s="180" t="str">
        <f>'רשימת מכשור 2015'!A188</f>
        <v>LOAD CELL</v>
      </c>
      <c r="B189" s="180" t="str">
        <f>'רשימת מכשור 2015'!B188</f>
        <v>ZEMIC</v>
      </c>
      <c r="C189" s="180" t="str">
        <f>'רשימת מכשור 2015'!C188</f>
        <v>ZEMIC</v>
      </c>
      <c r="D189" s="233" t="str">
        <f>'רשימת מכשור 2015'!D188</f>
        <v>MEDIA PILOT</v>
      </c>
      <c r="E189" s="180" t="str">
        <f>'רשימת מכשור 2015'!E188</f>
        <v>1-2-2-WC-1</v>
      </c>
      <c r="F189" s="180">
        <f>'רשימת מכשור 2015'!F188</f>
        <v>500</v>
      </c>
      <c r="G189" s="181">
        <v>1</v>
      </c>
      <c r="H189" s="181">
        <f t="shared" si="9"/>
        <v>500</v>
      </c>
      <c r="I189" s="182"/>
      <c r="J189" s="181">
        <v>1</v>
      </c>
      <c r="K189" s="181">
        <v>1</v>
      </c>
      <c r="L189" s="181">
        <v>1</v>
      </c>
      <c r="M189" s="181" t="str">
        <f t="shared" si="7"/>
        <v>לרכוש</v>
      </c>
      <c r="N189" s="181">
        <v>1000</v>
      </c>
      <c r="O189" s="183"/>
      <c r="P189" s="183">
        <v>3</v>
      </c>
      <c r="Q189" s="183"/>
    </row>
    <row r="190" spans="1:17" s="12" customFormat="1" ht="14.25" customHeight="1">
      <c r="A190" s="180" t="str">
        <f>'רשימת מכשור 2015'!A189</f>
        <v>LOAD CELL</v>
      </c>
      <c r="B190" s="180" t="str">
        <f>'רשימת מכשור 2015'!B189</f>
        <v>ZEMIC</v>
      </c>
      <c r="C190" s="180" t="str">
        <f>'רשימת מכשור 2015'!C189</f>
        <v>BM8H-C3-2.09-6B-6-AI (X3)</v>
      </c>
      <c r="D190" s="233" t="str">
        <f>'רשימת מכשור 2015'!D189</f>
        <v>MEDIA PILOT</v>
      </c>
      <c r="E190" s="180" t="str">
        <f>'רשימת מכשור 2015'!E189</f>
        <v>1-2-2-W-1</v>
      </c>
      <c r="F190" s="180">
        <f>'רשימת מכשור 2015'!F189</f>
        <v>500</v>
      </c>
      <c r="G190" s="181">
        <v>1</v>
      </c>
      <c r="H190" s="181">
        <f t="shared" si="9"/>
        <v>500</v>
      </c>
      <c r="I190" s="182"/>
      <c r="J190" s="181">
        <v>1</v>
      </c>
      <c r="K190" s="181">
        <v>1</v>
      </c>
      <c r="L190" s="181">
        <v>1</v>
      </c>
      <c r="M190" s="181" t="str">
        <f t="shared" si="7"/>
        <v>לרכוש</v>
      </c>
      <c r="N190" s="181">
        <v>1000</v>
      </c>
      <c r="O190" s="183"/>
      <c r="P190" s="183">
        <v>3</v>
      </c>
      <c r="Q190" s="183"/>
    </row>
    <row r="191" spans="1:17" s="12" customFormat="1" ht="14.25" customHeight="1">
      <c r="A191" s="180" t="str">
        <f>'רשימת מכשור 2015'!A190</f>
        <v>ראש שקילה</v>
      </c>
      <c r="B191" s="180" t="str">
        <f>'רשימת מכשור 2015'!B190</f>
        <v>מאזני שקל</v>
      </c>
      <c r="C191" s="180" t="str">
        <f>'רשימת מכשור 2015'!C190</f>
        <v>מירב 5000</v>
      </c>
      <c r="D191" s="233" t="str">
        <f>'רשימת מכשור 2015'!D190</f>
        <v>QC LAB</v>
      </c>
      <c r="E191" s="180" t="str">
        <f>'רשימת מכשור 2015'!E190</f>
        <v>1-2-2010-W-130</v>
      </c>
      <c r="F191" s="180">
        <f>'רשימת מכשור 2015'!F190</f>
        <v>1500</v>
      </c>
      <c r="G191" s="181">
        <v>1</v>
      </c>
      <c r="H191" s="181">
        <f t="shared" si="9"/>
        <v>1500</v>
      </c>
      <c r="I191" s="182"/>
      <c r="J191" s="181">
        <v>1</v>
      </c>
      <c r="K191" s="181">
        <v>0</v>
      </c>
      <c r="L191" s="181">
        <v>0.3</v>
      </c>
      <c r="M191" s="181" t="str">
        <f t="shared" si="7"/>
        <v>לא לרכוש</v>
      </c>
      <c r="N191" s="181">
        <v>1000</v>
      </c>
      <c r="O191" s="183"/>
      <c r="P191" s="183">
        <v>2</v>
      </c>
      <c r="Q191" s="183"/>
    </row>
    <row r="192" spans="1:17" s="12" customFormat="1" ht="14.25" customHeight="1">
      <c r="A192" s="180" t="str">
        <f>'רשימת מכשור 2015'!A191</f>
        <v>ראש שקילה</v>
      </c>
      <c r="B192" s="180" t="str">
        <f>'רשימת מכשור 2015'!B191</f>
        <v>מאזני שקל</v>
      </c>
      <c r="C192" s="180" t="str">
        <f>'רשימת מכשור 2015'!C191</f>
        <v>מירב 4000</v>
      </c>
      <c r="D192" s="233" t="str">
        <f>'רשימת מכשור 2015'!D191</f>
        <v>QC LAB</v>
      </c>
      <c r="E192" s="180" t="str">
        <f>'רשימת מכשור 2015'!E191</f>
        <v>1-2-2010-W-129</v>
      </c>
      <c r="F192" s="180">
        <f>'רשימת מכשור 2015'!F191</f>
        <v>1500</v>
      </c>
      <c r="G192" s="181">
        <v>1</v>
      </c>
      <c r="H192" s="181">
        <f t="shared" si="9"/>
        <v>1500</v>
      </c>
      <c r="I192" s="182"/>
      <c r="J192" s="181">
        <v>1</v>
      </c>
      <c r="K192" s="181">
        <v>0</v>
      </c>
      <c r="L192" s="181">
        <v>0.3</v>
      </c>
      <c r="M192" s="181" t="str">
        <f t="shared" si="7"/>
        <v>לא לרכוש</v>
      </c>
      <c r="N192" s="181">
        <v>1000</v>
      </c>
      <c r="O192" s="183"/>
      <c r="P192" s="183">
        <v>4</v>
      </c>
      <c r="Q192" s="183"/>
    </row>
    <row r="193" spans="1:17" s="12" customFormat="1" ht="14.25" customHeight="1">
      <c r="A193" s="180" t="str">
        <f>'רשימת מכשור 2015'!A192</f>
        <v>ראש שקילה</v>
      </c>
      <c r="B193" s="180" t="str">
        <f>'רשימת מכשור 2015'!B192</f>
        <v>מאזני שקל</v>
      </c>
      <c r="C193" s="180" t="str">
        <f>'רשימת מכשור 2015'!C192</f>
        <v>מירב 4000</v>
      </c>
      <c r="D193" s="233" t="str">
        <f>'רשימת מכשור 2015'!D192</f>
        <v>QC LAB</v>
      </c>
      <c r="E193" s="180" t="str">
        <f>'רשימת מכשור 2015'!E192</f>
        <v>1-2-2010-W-128</v>
      </c>
      <c r="F193" s="180">
        <f>'רשימת מכשור 2015'!F192</f>
        <v>1500</v>
      </c>
      <c r="G193" s="181">
        <v>1</v>
      </c>
      <c r="H193" s="181">
        <f t="shared" si="9"/>
        <v>1500</v>
      </c>
      <c r="I193" s="182"/>
      <c r="J193" s="181">
        <v>1</v>
      </c>
      <c r="K193" s="181">
        <v>0</v>
      </c>
      <c r="L193" s="181">
        <v>0.3</v>
      </c>
      <c r="M193" s="181" t="str">
        <f t="shared" si="7"/>
        <v>לא לרכוש</v>
      </c>
      <c r="N193" s="181">
        <v>1000</v>
      </c>
      <c r="O193" s="183"/>
      <c r="P193" s="183">
        <v>4</v>
      </c>
      <c r="Q193" s="183"/>
    </row>
    <row r="194" spans="1:17" s="12" customFormat="1">
      <c r="A194" s="180" t="str">
        <f>'רשימת מכשור 2015'!A193</f>
        <v>ראש שקילה</v>
      </c>
      <c r="B194" s="180" t="str">
        <f>'רשימת מכשור 2015'!B193</f>
        <v>מאזני שקל</v>
      </c>
      <c r="C194" s="180" t="str">
        <f>'רשימת מכשור 2015'!C193</f>
        <v>מירב 5000</v>
      </c>
      <c r="D194" s="233" t="str">
        <f>'רשימת מכשור 2015'!D193</f>
        <v>QC LAB</v>
      </c>
      <c r="E194" s="180" t="str">
        <f>'רשימת מכשור 2015'!E193</f>
        <v>1-2-2010-W-10</v>
      </c>
      <c r="F194" s="180">
        <f>'רשימת מכשור 2015'!F193</f>
        <v>1500</v>
      </c>
      <c r="G194" s="181">
        <v>1</v>
      </c>
      <c r="H194" s="181">
        <f t="shared" si="9"/>
        <v>1500</v>
      </c>
      <c r="I194" s="182"/>
      <c r="J194" s="181">
        <v>1</v>
      </c>
      <c r="K194" s="181">
        <v>0</v>
      </c>
      <c r="L194" s="181">
        <v>0.3</v>
      </c>
      <c r="M194" s="181" t="str">
        <f t="shared" si="7"/>
        <v>לא לרכוש</v>
      </c>
      <c r="N194" s="181">
        <v>1000</v>
      </c>
      <c r="O194" s="183"/>
      <c r="P194" s="183">
        <v>2</v>
      </c>
      <c r="Q194" s="183"/>
    </row>
    <row r="195" spans="1:17" s="12" customFormat="1" ht="14.25" customHeight="1">
      <c r="A195" s="180" t="str">
        <f>'רשימת מכשור 2015'!A194</f>
        <v>ראש שקילה</v>
      </c>
      <c r="B195" s="180" t="str">
        <f>'רשימת מכשור 2015'!B194</f>
        <v>BW</v>
      </c>
      <c r="C195" s="180" t="str">
        <f>'רשימת מכשור 2015'!C194</f>
        <v>BW</v>
      </c>
      <c r="D195" s="233" t="str">
        <f>'רשימת מכשור 2015'!D194</f>
        <v>GAS  phase cell bank</v>
      </c>
      <c r="E195" s="180" t="str">
        <f>'רשימת מכשור 2015'!E194</f>
        <v>1-2-2010-W-131</v>
      </c>
      <c r="F195" s="180">
        <f>'רשימת מכשור 2015'!F194</f>
        <v>1500</v>
      </c>
      <c r="G195" s="181">
        <v>1</v>
      </c>
      <c r="H195" s="181">
        <f t="shared" si="9"/>
        <v>1500</v>
      </c>
      <c r="I195" s="182"/>
      <c r="J195" s="181">
        <v>1</v>
      </c>
      <c r="K195" s="181">
        <v>0</v>
      </c>
      <c r="L195" s="181">
        <v>0.5</v>
      </c>
      <c r="M195" s="181" t="str">
        <f t="shared" si="7"/>
        <v>לא לרכוש</v>
      </c>
      <c r="N195" s="181">
        <v>1000</v>
      </c>
      <c r="O195" s="183"/>
      <c r="P195" s="183">
        <v>1</v>
      </c>
      <c r="Q195" s="183"/>
    </row>
    <row r="196" spans="1:17" s="12" customFormat="1" ht="14.25" customHeight="1">
      <c r="A196" s="180" t="str">
        <f>'רשימת מכשור 2015'!A195</f>
        <v>ראש שקילה</v>
      </c>
      <c r="B196" s="180" t="str">
        <f>'רשימת מכשור 2015'!B195</f>
        <v>מאזני שקל</v>
      </c>
      <c r="C196" s="180" t="str">
        <f>'רשימת מכשור 2015'!C195</f>
        <v>מירב 4000</v>
      </c>
      <c r="D196" s="233" t="str">
        <f>'רשימת מכשור 2015'!D195</f>
        <v>WH-B2 DEVICE MONITORING</v>
      </c>
      <c r="E196" s="180" t="str">
        <f>'רשימת מכשור 2015'!E195</f>
        <v>1-2-2010-W-139</v>
      </c>
      <c r="F196" s="180">
        <f>'רשימת מכשור 2015'!F195</f>
        <v>1500</v>
      </c>
      <c r="G196" s="181">
        <v>1</v>
      </c>
      <c r="H196" s="181">
        <f t="shared" si="9"/>
        <v>1500</v>
      </c>
      <c r="I196" s="182" t="s">
        <v>82</v>
      </c>
      <c r="J196" s="181">
        <v>1</v>
      </c>
      <c r="K196" s="181">
        <v>0</v>
      </c>
      <c r="L196" s="181">
        <v>1</v>
      </c>
      <c r="M196" s="181" t="str">
        <f t="shared" si="7"/>
        <v>לא לרכוש</v>
      </c>
      <c r="N196" s="181">
        <v>1000</v>
      </c>
      <c r="O196" s="183"/>
      <c r="P196" s="183">
        <v>4</v>
      </c>
      <c r="Q196" s="183"/>
    </row>
    <row r="197" spans="1:17" s="12" customFormat="1" ht="14.25" customHeight="1">
      <c r="A197" s="180" t="str">
        <f>'רשימת מכשור 2015'!A196</f>
        <v>משדר נק' הטל</v>
      </c>
      <c r="B197" s="180" t="str">
        <f>'רשימת מכשור 2015'!B196</f>
        <v>COMET</v>
      </c>
      <c r="C197" s="180" t="str">
        <f>'רשימת מכשור 2015'!C196</f>
        <v>T0213</v>
      </c>
      <c r="D197" s="233" t="str">
        <f>'רשימת מכשור 2015'!D196</f>
        <v>AHU-N01</v>
      </c>
      <c r="E197" s="180" t="str">
        <f>'רשימת מכשור 2015'!E196</f>
        <v>1-1-51005-DPTE-N01-01</v>
      </c>
      <c r="F197" s="180">
        <f>'רשימת מכשור 2015'!F196</f>
        <v>1500</v>
      </c>
      <c r="G197" s="181">
        <v>1</v>
      </c>
      <c r="H197" s="181">
        <f t="shared" si="9"/>
        <v>1500</v>
      </c>
      <c r="I197" s="182"/>
      <c r="J197" s="181">
        <v>1</v>
      </c>
      <c r="K197" s="181">
        <v>1</v>
      </c>
      <c r="L197" s="181">
        <v>1</v>
      </c>
      <c r="M197" s="181" t="str">
        <f t="shared" si="7"/>
        <v>לרכוש</v>
      </c>
      <c r="N197" s="181">
        <v>1000</v>
      </c>
      <c r="O197" s="183"/>
      <c r="P197" s="183">
        <v>2</v>
      </c>
      <c r="Q197" s="183"/>
    </row>
    <row r="198" spans="1:17" s="12" customFormat="1" ht="14.25" customHeight="1">
      <c r="A198" s="180" t="str">
        <f>'רשימת מכשור 2015'!A197</f>
        <v>משדר נק' הטל</v>
      </c>
      <c r="B198" s="180" t="str">
        <f>'רשימת מכשור 2015'!B197</f>
        <v>COMET</v>
      </c>
      <c r="C198" s="180" t="str">
        <f>'רשימת מכשור 2015'!C197</f>
        <v>T0213</v>
      </c>
      <c r="D198" s="233" t="str">
        <f>'רשימת מכשור 2015'!D197</f>
        <v>AHU-N02</v>
      </c>
      <c r="E198" s="180" t="str">
        <f>'רשימת מכשור 2015'!E197</f>
        <v>1-1-51005-DPTE-N02-01</v>
      </c>
      <c r="F198" s="180">
        <f>'רשימת מכשור 2015'!F197</f>
        <v>1500</v>
      </c>
      <c r="G198" s="181">
        <v>1</v>
      </c>
      <c r="H198" s="181">
        <f t="shared" si="9"/>
        <v>1500</v>
      </c>
      <c r="I198" s="182"/>
      <c r="J198" s="181">
        <v>1</v>
      </c>
      <c r="K198" s="181">
        <v>1</v>
      </c>
      <c r="L198" s="181">
        <v>1</v>
      </c>
      <c r="M198" s="181" t="str">
        <f t="shared" si="7"/>
        <v>לרכוש</v>
      </c>
      <c r="N198" s="181">
        <v>1000</v>
      </c>
      <c r="O198" s="183"/>
      <c r="P198" s="183">
        <v>2</v>
      </c>
      <c r="Q198" s="183"/>
    </row>
    <row r="199" spans="1:17" s="12" customFormat="1" ht="14.25" customHeight="1">
      <c r="A199" s="180" t="str">
        <f>'רשימת מכשור 2015'!A198</f>
        <v>משדר נקודת טל</v>
      </c>
      <c r="B199" s="180" t="str">
        <f>'רשימת מכשור 2015'!B198</f>
        <v>Rotronic</v>
      </c>
      <c r="C199" s="180" t="str">
        <f>'רשימת מכשור 2015'!C198</f>
        <v>HygroFlex</v>
      </c>
      <c r="D199" s="233" t="str">
        <f>'רשימת מכשור 2015'!D198</f>
        <v>Air Compressor</v>
      </c>
      <c r="E199" s="180" t="str">
        <f>'רשימת מכשור 2015'!E198</f>
        <v>41001-DPT-2</v>
      </c>
      <c r="F199" s="180">
        <f>'רשימת מכשור 2015'!F198</f>
        <v>1500</v>
      </c>
      <c r="G199" s="181">
        <v>1</v>
      </c>
      <c r="H199" s="181">
        <f t="shared" si="9"/>
        <v>1500</v>
      </c>
      <c r="I199" s="182"/>
      <c r="J199" s="181">
        <v>1</v>
      </c>
      <c r="K199" s="181">
        <v>1</v>
      </c>
      <c r="L199" s="181">
        <v>0.7</v>
      </c>
      <c r="M199" s="181" t="str">
        <f t="shared" si="7"/>
        <v>לרכוש</v>
      </c>
      <c r="N199" s="181">
        <v>1000</v>
      </c>
      <c r="O199" s="183"/>
      <c r="P199" s="183">
        <v>2</v>
      </c>
      <c r="Q199" s="183"/>
    </row>
    <row r="200" spans="1:17" s="12" customFormat="1" ht="14.25" customHeight="1">
      <c r="A200" s="180" t="str">
        <f>'רשימת מכשור 2015'!A199</f>
        <v>משדר נקודת טל</v>
      </c>
      <c r="B200" s="180" t="str">
        <f>'רשימת מכשור 2015'!B199</f>
        <v>Rotronic</v>
      </c>
      <c r="C200" s="180" t="str">
        <f>'רשימת מכשור 2015'!C199</f>
        <v>HygroFlex</v>
      </c>
      <c r="D200" s="233" t="str">
        <f>'רשימת מכשור 2015'!D199</f>
        <v>Air Compressor</v>
      </c>
      <c r="E200" s="180" t="str">
        <f>'רשימת מכשור 2015'!E199</f>
        <v>41001-DPT-1</v>
      </c>
      <c r="F200" s="180">
        <f>'רשימת מכשור 2015'!F199</f>
        <v>1500</v>
      </c>
      <c r="G200" s="181">
        <v>1</v>
      </c>
      <c r="H200" s="181">
        <f t="shared" si="9"/>
        <v>1500</v>
      </c>
      <c r="I200" s="182"/>
      <c r="J200" s="181">
        <v>1</v>
      </c>
      <c r="K200" s="181">
        <v>0</v>
      </c>
      <c r="L200" s="181">
        <v>0.7</v>
      </c>
      <c r="M200" s="181" t="str">
        <f t="shared" si="7"/>
        <v>לא לרכוש</v>
      </c>
      <c r="N200" s="181">
        <v>1000</v>
      </c>
      <c r="O200" s="183"/>
      <c r="P200" s="183">
        <v>2</v>
      </c>
      <c r="Q200" s="183"/>
    </row>
    <row r="201" spans="1:17" s="12" customFormat="1" ht="14.25" customHeight="1">
      <c r="A201" s="180" t="str">
        <f>'רשימת מכשור 2015'!A200</f>
        <v>מפסק גובה</v>
      </c>
      <c r="B201" s="180" t="str">
        <f>'רשימת מכשור 2015'!B200</f>
        <v>Custom Biogenic system</v>
      </c>
      <c r="C201" s="180" t="str">
        <f>'רשימת מכשור 2015'!C200</f>
        <v>LA-2B</v>
      </c>
      <c r="D201" s="233" t="str">
        <f>'רשימת מכשור 2015'!D200</f>
        <v xml:space="preserve">R&amp;D </v>
      </c>
      <c r="E201" s="180" t="str">
        <f>'רשימת מכשור 2015'!E200</f>
        <v>1-2-TA-33</v>
      </c>
      <c r="F201" s="180">
        <f>'רשימת מכשור 2015'!F200</f>
        <v>1500</v>
      </c>
      <c r="G201" s="181">
        <v>1</v>
      </c>
      <c r="H201" s="181">
        <f t="shared" si="9"/>
        <v>1500</v>
      </c>
      <c r="I201" s="182" t="s">
        <v>82</v>
      </c>
      <c r="J201" s="181">
        <v>1</v>
      </c>
      <c r="K201" s="181">
        <v>1</v>
      </c>
      <c r="L201" s="181">
        <v>0.5</v>
      </c>
      <c r="M201" s="181" t="str">
        <f t="shared" si="7"/>
        <v>לא לרכוש</v>
      </c>
      <c r="N201" s="181">
        <v>1000</v>
      </c>
      <c r="O201" s="183"/>
      <c r="P201" s="183">
        <v>10</v>
      </c>
      <c r="Q201" s="183"/>
    </row>
    <row r="202" spans="1:17" s="12" customFormat="1" ht="14.25" customHeight="1">
      <c r="A202" s="180" t="str">
        <f>'רשימת מכשור 2015'!A201</f>
        <v>מפסק גובה</v>
      </c>
      <c r="B202" s="180" t="str">
        <f>'רשימת מכשור 2015'!B201</f>
        <v>Custom Biogenic system</v>
      </c>
      <c r="C202" s="180" t="str">
        <f>'רשימת מכשור 2015'!C201</f>
        <v>LA-2B</v>
      </c>
      <c r="D202" s="233" t="str">
        <f>'רשימת מכשור 2015'!D201</f>
        <v xml:space="preserve">R&amp;D </v>
      </c>
      <c r="E202" s="180" t="str">
        <f>'רשימת מכשור 2015'!E201</f>
        <v>1-2-TA-34</v>
      </c>
      <c r="F202" s="180">
        <f>'רשימת מכשור 2015'!F201</f>
        <v>1500</v>
      </c>
      <c r="G202" s="181">
        <v>1</v>
      </c>
      <c r="H202" s="181">
        <f t="shared" si="9"/>
        <v>1500</v>
      </c>
      <c r="I202" s="182" t="s">
        <v>82</v>
      </c>
      <c r="J202" s="181">
        <v>1</v>
      </c>
      <c r="K202" s="181">
        <v>1</v>
      </c>
      <c r="L202" s="181">
        <v>0.5</v>
      </c>
      <c r="M202" s="181" t="str">
        <f t="shared" si="7"/>
        <v>לא לרכוש</v>
      </c>
      <c r="N202" s="181">
        <v>1000</v>
      </c>
      <c r="O202" s="183"/>
      <c r="P202" s="183">
        <v>10</v>
      </c>
      <c r="Q202" s="183"/>
    </row>
    <row r="203" spans="1:17" s="12" customFormat="1" ht="14.25" customHeight="1">
      <c r="A203" s="180" t="str">
        <f>'רשימת מכשור 2015'!A202</f>
        <v>מפסק גובה</v>
      </c>
      <c r="B203" s="180" t="str">
        <f>'רשימת מכשור 2015'!B202</f>
        <v>Custom Biogenic system</v>
      </c>
      <c r="C203" s="180" t="str">
        <f>'רשימת מכשור 2015'!C202</f>
        <v>LA-2B</v>
      </c>
      <c r="D203" s="233" t="str">
        <f>'רשימת מכשור 2015'!D202</f>
        <v xml:space="preserve">R&amp;D </v>
      </c>
      <c r="E203" s="180" t="str">
        <f>'רשימת מכשור 2015'!E202</f>
        <v>1-2-TA-35</v>
      </c>
      <c r="F203" s="180">
        <f>'רשימת מכשור 2015'!F202</f>
        <v>1500</v>
      </c>
      <c r="G203" s="181">
        <v>1</v>
      </c>
      <c r="H203" s="181">
        <f t="shared" si="9"/>
        <v>1500</v>
      </c>
      <c r="I203" s="182" t="s">
        <v>82</v>
      </c>
      <c r="J203" s="181">
        <v>1</v>
      </c>
      <c r="K203" s="181">
        <v>1</v>
      </c>
      <c r="L203" s="181">
        <v>0.5</v>
      </c>
      <c r="M203" s="181" t="str">
        <f t="shared" ref="M203:M257" si="10">IF(AND(K203*L203*30*N203&gt;H203/J203,I203=""),"לרכוש","לא לרכוש")</f>
        <v>לא לרכוש</v>
      </c>
      <c r="N203" s="181">
        <v>1000</v>
      </c>
      <c r="O203" s="183"/>
      <c r="P203" s="183">
        <v>10</v>
      </c>
      <c r="Q203" s="183"/>
    </row>
    <row r="204" spans="1:17" s="12" customFormat="1" ht="14.25" customHeight="1">
      <c r="A204" s="180" t="str">
        <f>'רשימת מכשור 2015'!A203</f>
        <v>מפסק גובה</v>
      </c>
      <c r="B204" s="180" t="str">
        <f>'רשימת מכשור 2015'!B203</f>
        <v>Custom Biogenic system</v>
      </c>
      <c r="C204" s="180" t="str">
        <f>'רשימת מכשור 2015'!C203</f>
        <v>LA-2B</v>
      </c>
      <c r="D204" s="233" t="str">
        <f>'רשימת מכשור 2015'!D203</f>
        <v xml:space="preserve">R&amp;D </v>
      </c>
      <c r="E204" s="180" t="str">
        <f>'רשימת מכשור 2015'!E203</f>
        <v>1-2-TA-06</v>
      </c>
      <c r="F204" s="180">
        <f>'רשימת מכשור 2015'!F203</f>
        <v>1500</v>
      </c>
      <c r="G204" s="181">
        <v>1</v>
      </c>
      <c r="H204" s="181">
        <f t="shared" si="9"/>
        <v>1500</v>
      </c>
      <c r="I204" s="182" t="s">
        <v>82</v>
      </c>
      <c r="J204" s="181">
        <v>1</v>
      </c>
      <c r="K204" s="181">
        <v>1</v>
      </c>
      <c r="L204" s="181">
        <v>0.5</v>
      </c>
      <c r="M204" s="181" t="str">
        <f t="shared" si="10"/>
        <v>לא לרכוש</v>
      </c>
      <c r="N204" s="181">
        <v>1000</v>
      </c>
      <c r="O204" s="183"/>
      <c r="P204" s="183">
        <v>10</v>
      </c>
      <c r="Q204" s="183"/>
    </row>
    <row r="205" spans="1:17" s="12" customFormat="1" ht="14.25" customHeight="1">
      <c r="A205" s="180" t="str">
        <f>'רשימת מכשור 2015'!A204</f>
        <v>ראש שקילה</v>
      </c>
      <c r="B205" s="180" t="str">
        <f>'רשימת מכשור 2015'!B204</f>
        <v>מאזני שקל</v>
      </c>
      <c r="C205" s="180" t="str">
        <f>'רשימת מכשור 2015'!C204</f>
        <v>מירב 4000</v>
      </c>
      <c r="D205" s="233" t="str">
        <f>'רשימת מכשור 2015'!D204</f>
        <v xml:space="preserve">R&amp;D </v>
      </c>
      <c r="E205" s="180" t="str">
        <f>'רשימת מכשור 2015'!E204</f>
        <v>W-130</v>
      </c>
      <c r="F205" s="180">
        <f>'רשימת מכשור 2015'!F204</f>
        <v>1500</v>
      </c>
      <c r="G205" s="181">
        <v>1</v>
      </c>
      <c r="H205" s="181">
        <f t="shared" si="9"/>
        <v>1500</v>
      </c>
      <c r="I205" s="182"/>
      <c r="J205" s="181">
        <v>1</v>
      </c>
      <c r="K205" s="181">
        <v>0</v>
      </c>
      <c r="L205" s="181">
        <v>0.5</v>
      </c>
      <c r="M205" s="181" t="str">
        <f t="shared" si="10"/>
        <v>לא לרכוש</v>
      </c>
      <c r="N205" s="181">
        <v>1000</v>
      </c>
      <c r="O205" s="183"/>
      <c r="P205" s="183">
        <v>4</v>
      </c>
      <c r="Q205" s="183"/>
    </row>
    <row r="206" spans="1:17" s="12" customFormat="1" ht="14.25" customHeight="1">
      <c r="A206" s="180" t="str">
        <f>'רשימת מכשור 2015'!A205</f>
        <v>מפסק גובה</v>
      </c>
      <c r="B206" s="180" t="str">
        <f>'רשימת מכשור 2015'!B205</f>
        <v>Custom Biogenic system</v>
      </c>
      <c r="C206" s="180" t="str">
        <f>'רשימת מכשור 2015'!C205</f>
        <v>LA-2B</v>
      </c>
      <c r="D206" s="233" t="str">
        <f>'רשימת מכשור 2015'!D205</f>
        <v>WH-B4 DEVICE MONITORING</v>
      </c>
      <c r="E206" s="180" t="str">
        <f>'רשימת מכשור 2015'!E205</f>
        <v>1-4-LSL-13</v>
      </c>
      <c r="F206" s="180">
        <f>'רשימת מכשור 2015'!F205</f>
        <v>1500</v>
      </c>
      <c r="G206" s="181">
        <v>1</v>
      </c>
      <c r="H206" s="181">
        <f t="shared" si="9"/>
        <v>1500</v>
      </c>
      <c r="I206" s="182" t="s">
        <v>82</v>
      </c>
      <c r="J206" s="181">
        <v>1</v>
      </c>
      <c r="K206" s="181">
        <v>1</v>
      </c>
      <c r="L206" s="181">
        <v>1</v>
      </c>
      <c r="M206" s="181" t="str">
        <f t="shared" si="10"/>
        <v>לא לרכוש</v>
      </c>
      <c r="N206" s="181">
        <v>1000</v>
      </c>
      <c r="O206" s="183"/>
      <c r="P206" s="183">
        <v>10</v>
      </c>
      <c r="Q206" s="183"/>
    </row>
    <row r="207" spans="1:17" s="12" customFormat="1" ht="14.25" customHeight="1">
      <c r="A207" s="180" t="str">
        <f>'רשימת מכשור 2015'!A206</f>
        <v>מפסק גובה</v>
      </c>
      <c r="B207" s="180" t="str">
        <f>'רשימת מכשור 2015'!B206</f>
        <v>Custom Biogenic system</v>
      </c>
      <c r="C207" s="180" t="str">
        <f>'רשימת מכשור 2015'!C206</f>
        <v>LA-2B</v>
      </c>
      <c r="D207" s="233" t="str">
        <f>'רשימת מכשור 2015'!D206</f>
        <v>WH-B4 DEVICE MONITORING</v>
      </c>
      <c r="E207" s="180" t="str">
        <f>'רשימת מכשור 2015'!E206</f>
        <v>1-4-LSL-14</v>
      </c>
      <c r="F207" s="180">
        <f>'רשימת מכשור 2015'!F206</f>
        <v>1500</v>
      </c>
      <c r="G207" s="181">
        <v>1</v>
      </c>
      <c r="H207" s="181">
        <f t="shared" si="9"/>
        <v>1500</v>
      </c>
      <c r="I207" s="182" t="s">
        <v>82</v>
      </c>
      <c r="J207" s="181">
        <v>1</v>
      </c>
      <c r="K207" s="181">
        <v>1</v>
      </c>
      <c r="L207" s="181">
        <v>1</v>
      </c>
      <c r="M207" s="181" t="str">
        <f t="shared" si="10"/>
        <v>לא לרכוש</v>
      </c>
      <c r="N207" s="181">
        <v>1000</v>
      </c>
      <c r="O207" s="183"/>
      <c r="P207" s="183">
        <v>10</v>
      </c>
      <c r="Q207" s="183"/>
    </row>
    <row r="208" spans="1:17" s="12" customFormat="1" ht="14.25" customHeight="1">
      <c r="A208" s="180" t="str">
        <f>'רשימת מכשור 2015'!A207</f>
        <v>מפסק גובה</v>
      </c>
      <c r="B208" s="180" t="str">
        <f>'רשימת מכשור 2015'!B207</f>
        <v>Custom Biogenic system</v>
      </c>
      <c r="C208" s="180" t="str">
        <f>'רשימת מכשור 2015'!C207</f>
        <v>LA-2B</v>
      </c>
      <c r="D208" s="233" t="str">
        <f>'רשימת מכשור 2015'!D207</f>
        <v>WH-B4 DEVICE MONITORING</v>
      </c>
      <c r="E208" s="180" t="str">
        <f>'רשימת מכשור 2015'!E207</f>
        <v>1-4-LSL-22</v>
      </c>
      <c r="F208" s="180">
        <f>'רשימת מכשור 2015'!F207</f>
        <v>1500</v>
      </c>
      <c r="G208" s="181">
        <v>1</v>
      </c>
      <c r="H208" s="181">
        <f t="shared" si="9"/>
        <v>1500</v>
      </c>
      <c r="I208" s="182" t="s">
        <v>82</v>
      </c>
      <c r="J208" s="181">
        <v>1</v>
      </c>
      <c r="K208" s="181">
        <v>1</v>
      </c>
      <c r="L208" s="181">
        <v>1</v>
      </c>
      <c r="M208" s="181" t="str">
        <f t="shared" si="10"/>
        <v>לא לרכוש</v>
      </c>
      <c r="N208" s="181">
        <v>1000</v>
      </c>
      <c r="O208" s="183"/>
      <c r="P208" s="183">
        <v>10</v>
      </c>
      <c r="Q208" s="183"/>
    </row>
    <row r="209" spans="1:17" s="12" customFormat="1" ht="14.25" customHeight="1">
      <c r="A209" s="180" t="str">
        <f>'רשימת מכשור 2015'!A208</f>
        <v>מפסק גובה</v>
      </c>
      <c r="B209" s="180" t="str">
        <f>'רשימת מכשור 2015'!B208</f>
        <v>Custom Biogenic system</v>
      </c>
      <c r="C209" s="180" t="str">
        <f>'רשימת מכשור 2015'!C208</f>
        <v>LA-2B</v>
      </c>
      <c r="D209" s="233" t="str">
        <f>'רשימת מכשור 2015'!D208</f>
        <v>WH-B4 DEVICE MONITORING</v>
      </c>
      <c r="E209" s="180" t="str">
        <f>'רשימת מכשור 2015'!E208</f>
        <v>1-4-LSL-23</v>
      </c>
      <c r="F209" s="180">
        <f>'רשימת מכשור 2015'!F208</f>
        <v>1500</v>
      </c>
      <c r="G209" s="181">
        <v>1</v>
      </c>
      <c r="H209" s="181">
        <f t="shared" si="9"/>
        <v>1500</v>
      </c>
      <c r="I209" s="182" t="s">
        <v>82</v>
      </c>
      <c r="J209" s="181">
        <v>1</v>
      </c>
      <c r="K209" s="181">
        <v>1</v>
      </c>
      <c r="L209" s="181">
        <v>1</v>
      </c>
      <c r="M209" s="181" t="str">
        <f t="shared" si="10"/>
        <v>לא לרכוש</v>
      </c>
      <c r="N209" s="181">
        <v>1000</v>
      </c>
      <c r="O209" s="183"/>
      <c r="P209" s="183">
        <v>10</v>
      </c>
      <c r="Q209" s="183"/>
    </row>
    <row r="210" spans="1:17" s="12" customFormat="1" ht="14.25" customHeight="1">
      <c r="A210" s="180" t="str">
        <f>'רשימת מכשור 2015'!A209</f>
        <v>מפסק גובה</v>
      </c>
      <c r="B210" s="180" t="str">
        <f>'רשימת מכשור 2015'!B209</f>
        <v>custom biogenic systems</v>
      </c>
      <c r="C210" s="180" t="str">
        <f>'רשימת מכשור 2015'!C209</f>
        <v>LA-2B</v>
      </c>
      <c r="D210" s="233" t="str">
        <f>'רשימת מכשור 2015'!D209</f>
        <v>DS ייצור</v>
      </c>
      <c r="E210" s="180" t="str">
        <f>'רשימת מכשור 2015'!E209</f>
        <v>1-1- 2010-LSL-18</v>
      </c>
      <c r="F210" s="180">
        <f>'רשימת מכשור 2015'!F209</f>
        <v>1500</v>
      </c>
      <c r="G210" s="181">
        <v>1</v>
      </c>
      <c r="H210" s="181">
        <f t="shared" si="9"/>
        <v>1500</v>
      </c>
      <c r="I210" s="182" t="s">
        <v>82</v>
      </c>
      <c r="J210" s="181">
        <v>1</v>
      </c>
      <c r="K210" s="181">
        <v>1</v>
      </c>
      <c r="L210" s="181">
        <v>0.5</v>
      </c>
      <c r="M210" s="181" t="str">
        <f t="shared" si="10"/>
        <v>לא לרכוש</v>
      </c>
      <c r="N210" s="181">
        <v>1000</v>
      </c>
      <c r="O210" s="183"/>
      <c r="P210" s="183">
        <v>10</v>
      </c>
      <c r="Q210" s="183"/>
    </row>
    <row r="211" spans="1:17" s="12" customFormat="1" ht="14.25" customHeight="1">
      <c r="A211" s="180" t="str">
        <f>'רשימת מכשור 2015'!A210</f>
        <v>מפסק גובה</v>
      </c>
      <c r="B211" s="180" t="str">
        <f>'רשימת מכשור 2015'!B210</f>
        <v>custom biogenic systems</v>
      </c>
      <c r="C211" s="180" t="str">
        <f>'רשימת מכשור 2015'!C210</f>
        <v>LA-2B</v>
      </c>
      <c r="D211" s="233" t="str">
        <f>'רשימת מכשור 2015'!D210</f>
        <v>DS ייצור</v>
      </c>
      <c r="E211" s="180" t="str">
        <f>'רשימת מכשור 2015'!E210</f>
        <v>1-1- 2010-LSL-19</v>
      </c>
      <c r="F211" s="180">
        <f>'רשימת מכשור 2015'!F210</f>
        <v>1500</v>
      </c>
      <c r="G211" s="181">
        <v>1</v>
      </c>
      <c r="H211" s="181">
        <f t="shared" si="9"/>
        <v>1500</v>
      </c>
      <c r="I211" s="182" t="s">
        <v>82</v>
      </c>
      <c r="J211" s="181">
        <v>1</v>
      </c>
      <c r="K211" s="181">
        <v>1</v>
      </c>
      <c r="L211" s="181">
        <v>0.5</v>
      </c>
      <c r="M211" s="181" t="str">
        <f t="shared" si="10"/>
        <v>לא לרכוש</v>
      </c>
      <c r="N211" s="181">
        <v>1000</v>
      </c>
      <c r="O211" s="183"/>
      <c r="P211" s="183">
        <v>10</v>
      </c>
      <c r="Q211" s="183"/>
    </row>
    <row r="212" spans="1:17" s="12" customFormat="1" ht="14.25" customHeight="1">
      <c r="A212" s="180" t="str">
        <f>'רשימת מכשור 2015'!A211</f>
        <v>משדר טמפרטורה</v>
      </c>
      <c r="B212" s="180" t="str">
        <f>'רשימת מכשור 2015'!B211</f>
        <v>WIKA</v>
      </c>
      <c r="C212" s="180" t="str">
        <f>'רשימת מכשור 2015'!C211</f>
        <v>T32.1S.01S-Z</v>
      </c>
      <c r="D212" s="233" t="str">
        <f>'רשימת מכשור 2015'!D211</f>
        <v>COLUMN 1</v>
      </c>
      <c r="E212" s="180" t="str">
        <f>'רשימת מכשור 2015'!E211</f>
        <v>1-1-144-TV-TT-2</v>
      </c>
      <c r="F212" s="180">
        <f>'רשימת מכשור 2015'!F211</f>
        <v>1500</v>
      </c>
      <c r="G212" s="181">
        <v>1</v>
      </c>
      <c r="H212" s="181">
        <f t="shared" si="9"/>
        <v>1500</v>
      </c>
      <c r="I212" s="182" t="s">
        <v>82</v>
      </c>
      <c r="J212" s="181">
        <v>1</v>
      </c>
      <c r="K212" s="181">
        <v>1</v>
      </c>
      <c r="L212" s="181">
        <v>0.5</v>
      </c>
      <c r="M212" s="181" t="str">
        <f t="shared" si="10"/>
        <v>לא לרכוש</v>
      </c>
      <c r="N212" s="181">
        <v>1000</v>
      </c>
      <c r="O212" s="183"/>
      <c r="P212" s="183">
        <v>1</v>
      </c>
      <c r="Q212" s="183"/>
    </row>
    <row r="213" spans="1:17" s="12" customFormat="1" ht="14.25" customHeight="1">
      <c r="A213" s="180" t="str">
        <f>'רשימת מכשור 2015'!A212</f>
        <v>משדר טמפרטורה</v>
      </c>
      <c r="B213" s="180" t="str">
        <f>'רשימת מכשור 2015'!B212</f>
        <v>Controtec.</v>
      </c>
      <c r="C213" s="180" t="str">
        <f>'רשימת מכשור 2015'!C212</f>
        <v>משדר+PT-100</v>
      </c>
      <c r="D213" s="233" t="str">
        <f>'רשימת מכשור 2015'!D212</f>
        <v>COLUMN 1</v>
      </c>
      <c r="E213" s="180" t="str">
        <f>'רשימת מכשור 2015'!E212</f>
        <v>1-1-144-TV-TT-3</v>
      </c>
      <c r="F213" s="180">
        <f>'רשימת מכשור 2015'!F212</f>
        <v>1500</v>
      </c>
      <c r="G213" s="181">
        <v>1</v>
      </c>
      <c r="H213" s="181">
        <f t="shared" ref="H213:H217" si="11">G213*F213</f>
        <v>1500</v>
      </c>
      <c r="I213" s="182"/>
      <c r="J213" s="181">
        <v>1</v>
      </c>
      <c r="K213" s="181">
        <v>1</v>
      </c>
      <c r="L213" s="181">
        <v>0.5</v>
      </c>
      <c r="M213" s="181" t="str">
        <f t="shared" si="10"/>
        <v>לרכוש</v>
      </c>
      <c r="N213" s="181">
        <v>1000</v>
      </c>
      <c r="O213" s="183"/>
      <c r="P213" s="183">
        <v>4</v>
      </c>
      <c r="Q213" s="183"/>
    </row>
    <row r="214" spans="1:17" s="12" customFormat="1" ht="14.25" customHeight="1">
      <c r="A214" s="180" t="str">
        <f>'רשימת מכשור 2015'!A213</f>
        <v>משדר טמפרטורה</v>
      </c>
      <c r="B214" s="180" t="str">
        <f>'רשימת מכשור 2015'!B213</f>
        <v>Controtec.</v>
      </c>
      <c r="C214" s="180" t="str">
        <f>'רשימת מכשור 2015'!C213</f>
        <v>משדר+PT-100</v>
      </c>
      <c r="D214" s="233" t="str">
        <f>'רשימת מכשור 2015'!D213</f>
        <v>COLUMN 1</v>
      </c>
      <c r="E214" s="180" t="str">
        <f>'רשימת מכשור 2015'!E213</f>
        <v>1-1-144-TV-TT-4</v>
      </c>
      <c r="F214" s="180">
        <f>'רשימת מכשור 2015'!F213</f>
        <v>1500</v>
      </c>
      <c r="G214" s="181">
        <v>1</v>
      </c>
      <c r="H214" s="181">
        <f t="shared" si="11"/>
        <v>1500</v>
      </c>
      <c r="I214" s="182"/>
      <c r="J214" s="181">
        <v>1</v>
      </c>
      <c r="K214" s="181">
        <v>1</v>
      </c>
      <c r="L214" s="181">
        <v>0.5</v>
      </c>
      <c r="M214" s="181" t="str">
        <f t="shared" si="10"/>
        <v>לרכוש</v>
      </c>
      <c r="N214" s="181">
        <v>1000</v>
      </c>
      <c r="O214" s="183"/>
      <c r="P214" s="183">
        <v>4</v>
      </c>
      <c r="Q214" s="183"/>
    </row>
    <row r="215" spans="1:17" s="12" customFormat="1" ht="14.25" customHeight="1">
      <c r="A215" s="180" t="str">
        <f>'רשימת מכשור 2015'!A214</f>
        <v>משדר טמפרטורה</v>
      </c>
      <c r="B215" s="180" t="str">
        <f>'רשימת מכשור 2015'!B214</f>
        <v>Controtec.</v>
      </c>
      <c r="C215" s="180" t="str">
        <f>'רשימת מכשור 2015'!C214</f>
        <v>משדר+PT-100</v>
      </c>
      <c r="D215" s="233" t="str">
        <f>'רשימת מכשור 2015'!D214</f>
        <v>COLUMN 1</v>
      </c>
      <c r="E215" s="180" t="str">
        <f>'רשימת מכשור 2015'!E214</f>
        <v>1-1-144-TV-TT-5</v>
      </c>
      <c r="F215" s="180">
        <f>'רשימת מכשור 2015'!F214</f>
        <v>1500</v>
      </c>
      <c r="G215" s="181">
        <v>1</v>
      </c>
      <c r="H215" s="181">
        <f t="shared" si="11"/>
        <v>1500</v>
      </c>
      <c r="I215" s="182"/>
      <c r="J215" s="181">
        <v>1</v>
      </c>
      <c r="K215" s="181">
        <v>1</v>
      </c>
      <c r="L215" s="181">
        <v>0.5</v>
      </c>
      <c r="M215" s="181" t="str">
        <f t="shared" si="10"/>
        <v>לרכוש</v>
      </c>
      <c r="N215" s="181">
        <v>1000</v>
      </c>
      <c r="O215" s="183"/>
      <c r="P215" s="183">
        <v>4</v>
      </c>
      <c r="Q215" s="183"/>
    </row>
    <row r="216" spans="1:17" s="12" customFormat="1" ht="14.25" customHeight="1">
      <c r="A216" s="180" t="str">
        <f>'רשימת מכשור 2015'!A215</f>
        <v>משדר טמפרטורה</v>
      </c>
      <c r="B216" s="180" t="str">
        <f>'רשימת מכשור 2015'!B215</f>
        <v>Controtec.</v>
      </c>
      <c r="C216" s="180" t="str">
        <f>'רשימת מכשור 2015'!C215</f>
        <v>משדר+PT-100</v>
      </c>
      <c r="D216" s="233" t="str">
        <f>'רשימת מכשור 2015'!D215</f>
        <v>COLUMN 1</v>
      </c>
      <c r="E216" s="180" t="str">
        <f>'רשימת מכשור 2015'!E215</f>
        <v>1-1-144-144-TT-6</v>
      </c>
      <c r="F216" s="180">
        <f>'רשימת מכשור 2015'!F215</f>
        <v>1500</v>
      </c>
      <c r="G216" s="181">
        <v>1</v>
      </c>
      <c r="H216" s="181">
        <f t="shared" si="11"/>
        <v>1500</v>
      </c>
      <c r="I216" s="182"/>
      <c r="J216" s="181">
        <v>1</v>
      </c>
      <c r="K216" s="181">
        <v>1</v>
      </c>
      <c r="L216" s="181">
        <v>0.5</v>
      </c>
      <c r="M216" s="181" t="str">
        <f t="shared" si="10"/>
        <v>לרכוש</v>
      </c>
      <c r="N216" s="181">
        <v>1000</v>
      </c>
      <c r="O216" s="183"/>
      <c r="P216" s="183">
        <v>4</v>
      </c>
      <c r="Q216" s="183"/>
    </row>
    <row r="217" spans="1:17" s="12" customFormat="1" ht="14.25" customHeight="1">
      <c r="A217" s="180" t="str">
        <f>'רשימת מכשור 2015'!A216</f>
        <v>אלקטרודת PH</v>
      </c>
      <c r="B217" s="180" t="str">
        <f>'רשימת מכשור 2015'!B216</f>
        <v>Mettler Toledo</v>
      </c>
      <c r="C217" s="180" t="str">
        <f>'רשימת מכשור 2015'!C216</f>
        <v>inpro 3250</v>
      </c>
      <c r="D217" s="233" t="str">
        <f>'רשימת מכשור 2015'!D216</f>
        <v>MEDIA</v>
      </c>
      <c r="E217" s="180" t="str">
        <f>'רשימת מכשור 2015'!E216</f>
        <v>1-1-8-PH-1</v>
      </c>
      <c r="F217" s="180">
        <f>'רשימת מכשור 2015'!F216</f>
        <v>1467</v>
      </c>
      <c r="G217" s="181">
        <v>1</v>
      </c>
      <c r="H217" s="181">
        <f t="shared" si="11"/>
        <v>1467</v>
      </c>
      <c r="I217" s="182" t="s">
        <v>82</v>
      </c>
      <c r="J217" s="181">
        <v>3</v>
      </c>
      <c r="K217" s="181">
        <v>1</v>
      </c>
      <c r="L217" s="181">
        <v>1</v>
      </c>
      <c r="M217" s="181" t="str">
        <f t="shared" si="10"/>
        <v>לא לרכוש</v>
      </c>
      <c r="N217" s="181">
        <v>1000</v>
      </c>
      <c r="O217" s="183"/>
      <c r="P217" s="183">
        <v>1</v>
      </c>
      <c r="Q217" s="183" t="s">
        <v>194</v>
      </c>
    </row>
    <row r="218" spans="1:17" s="12" customFormat="1" ht="14.25" customHeight="1">
      <c r="A218" s="180" t="str">
        <f>'רשימת מכשור 2015'!A217</f>
        <v>מד טמפרטורה</v>
      </c>
      <c r="B218" s="180" t="str">
        <f>'רשימת מכשור 2015'!B217</f>
        <v xml:space="preserve">E+H </v>
      </c>
      <c r="C218" s="180" t="str">
        <f>'רשימת מכשור 2015'!C217</f>
        <v>Sensor: PT-100
Transmitter:TMT 121</v>
      </c>
      <c r="D218" s="233" t="str">
        <f>'רשימת מכשור 2015'!D217</f>
        <v>PW PRETREAMENT
2500</v>
      </c>
      <c r="E218" s="180" t="str">
        <f>'רשימת מכשור 2015'!E217</f>
        <v>1-1-605-TT-002</v>
      </c>
      <c r="F218" s="180">
        <f>'רשימת מכשור 2015'!F217</f>
        <v>1200</v>
      </c>
      <c r="G218" s="181">
        <v>1</v>
      </c>
      <c r="H218" s="181">
        <v>1200</v>
      </c>
      <c r="I218" s="182" t="s">
        <v>82</v>
      </c>
      <c r="J218" s="181">
        <v>1</v>
      </c>
      <c r="K218" s="181">
        <v>1</v>
      </c>
      <c r="L218" s="181">
        <v>1</v>
      </c>
      <c r="M218" s="181" t="str">
        <f t="shared" si="10"/>
        <v>לא לרכוש</v>
      </c>
      <c r="N218" s="181">
        <v>1000</v>
      </c>
      <c r="O218" s="183"/>
      <c r="P218" s="183">
        <v>2</v>
      </c>
      <c r="Q218" s="183"/>
    </row>
    <row r="219" spans="1:17" s="12" customFormat="1" ht="14.25" customHeight="1">
      <c r="A219" s="180" t="str">
        <f>'רשימת מכשור 2015'!A218</f>
        <v>מד טמפרטורה</v>
      </c>
      <c r="B219" s="180" t="str">
        <f>'רשימת מכשור 2015'!B218</f>
        <v xml:space="preserve">E+H </v>
      </c>
      <c r="C219" s="180" t="str">
        <f>'רשימת מכשור 2015'!C218</f>
        <v>Sensor: PT-100
Transmitter:TMT 121</v>
      </c>
      <c r="D219" s="233" t="str">
        <f>'רשימת מכשור 2015'!D218</f>
        <v>PW PRETREAMENT
2500</v>
      </c>
      <c r="E219" s="180" t="str">
        <f>'רשימת מכשור 2015'!E218</f>
        <v>1-1-605-TT-001</v>
      </c>
      <c r="F219" s="180">
        <f>'רשימת מכשור 2015'!F218</f>
        <v>1200</v>
      </c>
      <c r="G219" s="181">
        <v>1</v>
      </c>
      <c r="H219" s="181">
        <f t="shared" ref="H219:H282" si="12">G219*F219</f>
        <v>1200</v>
      </c>
      <c r="I219" s="182" t="s">
        <v>82</v>
      </c>
      <c r="J219" s="181">
        <v>1</v>
      </c>
      <c r="K219" s="181">
        <v>0</v>
      </c>
      <c r="L219" s="181">
        <v>1</v>
      </c>
      <c r="M219" s="181" t="str">
        <f t="shared" si="10"/>
        <v>לא לרכוש</v>
      </c>
      <c r="N219" s="181">
        <v>1000</v>
      </c>
      <c r="O219" s="183"/>
      <c r="P219" s="183">
        <v>2</v>
      </c>
      <c r="Q219" s="183"/>
    </row>
    <row r="220" spans="1:17" s="12" customFormat="1" ht="14.25" customHeight="1">
      <c r="A220" s="180" t="str">
        <f>'רשימת מכשור 2015'!A219</f>
        <v>משדר לחץ</v>
      </c>
      <c r="B220" s="180" t="str">
        <f>'רשימת מכשור 2015'!B219</f>
        <v>ELCON</v>
      </c>
      <c r="C220" s="180" t="str">
        <f>'רשימת מכשור 2015'!C219</f>
        <v>30.800G</v>
      </c>
      <c r="D220" s="233" t="str">
        <f>'רשימת מכשור 2015'!D219</f>
        <v>CLW</v>
      </c>
      <c r="E220" s="180" t="str">
        <f>'רשימת מכשור 2015'!E219</f>
        <v>1-1-1-PC-1</v>
      </c>
      <c r="F220" s="180">
        <f>'רשימת מכשור 2015'!F219</f>
        <v>1200</v>
      </c>
      <c r="G220" s="181">
        <v>1</v>
      </c>
      <c r="H220" s="181">
        <f t="shared" si="12"/>
        <v>1200</v>
      </c>
      <c r="I220" s="182"/>
      <c r="J220" s="181">
        <v>1</v>
      </c>
      <c r="K220" s="181">
        <v>1</v>
      </c>
      <c r="L220" s="181">
        <v>1</v>
      </c>
      <c r="M220" s="181" t="str">
        <f t="shared" si="10"/>
        <v>לרכוש</v>
      </c>
      <c r="N220" s="181">
        <v>1000</v>
      </c>
      <c r="O220" s="183"/>
      <c r="P220" s="183">
        <v>2</v>
      </c>
      <c r="Q220" s="183"/>
    </row>
    <row r="221" spans="1:17" s="12" customFormat="1" ht="14.25" customHeight="1">
      <c r="A221" s="180" t="str">
        <f>'רשימת מכשור 2015'!A220</f>
        <v>משדר לחץ</v>
      </c>
      <c r="B221" s="180" t="str">
        <f>'רשימת מכשור 2015'!B220</f>
        <v>ELCON</v>
      </c>
      <c r="C221" s="180" t="str">
        <f>'רשימת מכשור 2015'!C220</f>
        <v>30.800G</v>
      </c>
      <c r="D221" s="233" t="str">
        <f>'רשימת מכשור 2015'!D220</f>
        <v xml:space="preserve">HSW </v>
      </c>
      <c r="E221" s="180" t="str">
        <f>'רשימת מכשור 2015'!E220</f>
        <v>1-1-57-PC-1</v>
      </c>
      <c r="F221" s="180">
        <f>'רשימת מכשור 2015'!F220</f>
        <v>1200</v>
      </c>
      <c r="G221" s="181">
        <v>1</v>
      </c>
      <c r="H221" s="181">
        <f t="shared" si="12"/>
        <v>1200</v>
      </c>
      <c r="I221" s="182"/>
      <c r="J221" s="181">
        <v>1</v>
      </c>
      <c r="K221" s="181">
        <v>1</v>
      </c>
      <c r="L221" s="181">
        <v>1</v>
      </c>
      <c r="M221" s="181" t="str">
        <f t="shared" si="10"/>
        <v>לרכוש</v>
      </c>
      <c r="N221" s="181">
        <v>1000</v>
      </c>
      <c r="O221" s="183"/>
      <c r="P221" s="183">
        <v>2</v>
      </c>
      <c r="Q221" s="183"/>
    </row>
    <row r="222" spans="1:17" s="12" customFormat="1" ht="14.25" customHeight="1">
      <c r="A222" s="180" t="str">
        <f>'רשימת מכשור 2015'!A221</f>
        <v>משדר לחץ הפרשי</v>
      </c>
      <c r="B222" s="180" t="str">
        <f>'רשימת מכשור 2015'!B221</f>
        <v>Micatrone</v>
      </c>
      <c r="C222" s="180" t="str">
        <f>'רשימת מכשור 2015'!C221</f>
        <v>MF-P</v>
      </c>
      <c r="D222" s="233" t="str">
        <f>'רשימת מכשור 2015'!D221</f>
        <v>51001-AHU-01</v>
      </c>
      <c r="E222" s="180" t="str">
        <f>'רשימת מכשור 2015'!E221</f>
        <v>1-1-51001-PDT-201</v>
      </c>
      <c r="F222" s="180">
        <f>'רשימת מכשור 2015'!F221</f>
        <v>1200</v>
      </c>
      <c r="G222" s="181">
        <v>1</v>
      </c>
      <c r="H222" s="181">
        <f t="shared" si="12"/>
        <v>1200</v>
      </c>
      <c r="I222" s="182" t="s">
        <v>82</v>
      </c>
      <c r="J222" s="181">
        <v>1</v>
      </c>
      <c r="K222" s="181">
        <v>1</v>
      </c>
      <c r="L222" s="181">
        <v>1</v>
      </c>
      <c r="M222" s="181" t="str">
        <f t="shared" si="10"/>
        <v>לא לרכוש</v>
      </c>
      <c r="N222" s="181">
        <v>1000</v>
      </c>
      <c r="O222" s="183"/>
      <c r="P222" s="183">
        <v>60</v>
      </c>
      <c r="Q222" s="183"/>
    </row>
    <row r="223" spans="1:17" s="12" customFormat="1" ht="14.25" customHeight="1">
      <c r="A223" s="180" t="str">
        <f>'רשימת מכשור 2015'!A222</f>
        <v>משדר לחץ הפרשי</v>
      </c>
      <c r="B223" s="180" t="str">
        <f>'רשימת מכשור 2015'!B222</f>
        <v>Micatrone</v>
      </c>
      <c r="C223" s="180" t="str">
        <f>'רשימת מכשור 2015'!C222</f>
        <v>MF-P</v>
      </c>
      <c r="D223" s="233" t="str">
        <f>'רשימת מכשור 2015'!D222</f>
        <v>51001-AHU-01</v>
      </c>
      <c r="E223" s="180" t="str">
        <f>'רשימת מכשור 2015'!E222</f>
        <v>1-1-51001-PDT-204</v>
      </c>
      <c r="F223" s="180">
        <f>'רשימת מכשור 2015'!F222</f>
        <v>1200</v>
      </c>
      <c r="G223" s="181">
        <v>1</v>
      </c>
      <c r="H223" s="181">
        <f t="shared" si="12"/>
        <v>1200</v>
      </c>
      <c r="I223" s="182" t="s">
        <v>82</v>
      </c>
      <c r="J223" s="181">
        <v>1</v>
      </c>
      <c r="K223" s="181">
        <v>1</v>
      </c>
      <c r="L223" s="181">
        <v>1</v>
      </c>
      <c r="M223" s="181" t="str">
        <f t="shared" si="10"/>
        <v>לא לרכוש</v>
      </c>
      <c r="N223" s="181">
        <v>1000</v>
      </c>
      <c r="O223" s="183"/>
      <c r="P223" s="183">
        <v>60</v>
      </c>
      <c r="Q223" s="183"/>
    </row>
    <row r="224" spans="1:17" s="12" customFormat="1" ht="14.25" customHeight="1">
      <c r="A224" s="180" t="str">
        <f>'רשימת מכשור 2015'!A223</f>
        <v>משדר לחץ הפרשי</v>
      </c>
      <c r="B224" s="180" t="str">
        <f>'רשימת מכשור 2015'!B223</f>
        <v>Micatrone</v>
      </c>
      <c r="C224" s="180" t="str">
        <f>'רשימת מכשור 2015'!C223</f>
        <v>MF-P</v>
      </c>
      <c r="D224" s="233" t="str">
        <f>'רשימת מכשור 2015'!D223</f>
        <v>51001-AHU-01</v>
      </c>
      <c r="E224" s="180" t="str">
        <f>'רשימת מכשור 2015'!E223</f>
        <v>1-1-51001-PDT-29</v>
      </c>
      <c r="F224" s="180">
        <f>'רשימת מכשור 2015'!F223</f>
        <v>1200</v>
      </c>
      <c r="G224" s="181">
        <v>1</v>
      </c>
      <c r="H224" s="181">
        <f t="shared" si="12"/>
        <v>1200</v>
      </c>
      <c r="I224" s="182" t="s">
        <v>82</v>
      </c>
      <c r="J224" s="181">
        <v>1</v>
      </c>
      <c r="K224" s="181">
        <v>1</v>
      </c>
      <c r="L224" s="181">
        <v>1</v>
      </c>
      <c r="M224" s="181" t="str">
        <f t="shared" si="10"/>
        <v>לא לרכוש</v>
      </c>
      <c r="N224" s="181">
        <v>1000</v>
      </c>
      <c r="O224" s="183"/>
      <c r="P224" s="183">
        <v>60</v>
      </c>
      <c r="Q224" s="183"/>
    </row>
    <row r="225" spans="1:17" s="12" customFormat="1" ht="14.25" customHeight="1">
      <c r="A225" s="180" t="str">
        <f>'רשימת מכשור 2015'!A224</f>
        <v>משדר לחץ הפרשי</v>
      </c>
      <c r="B225" s="180" t="str">
        <f>'רשימת מכשור 2015'!B224</f>
        <v>Micatrone</v>
      </c>
      <c r="C225" s="180" t="str">
        <f>'רשימת מכשור 2015'!C224</f>
        <v>MF-P</v>
      </c>
      <c r="D225" s="233" t="str">
        <f>'רשימת מכשור 2015'!D224</f>
        <v>51001-AHU-01</v>
      </c>
      <c r="E225" s="180" t="str">
        <f>'רשימת מכשור 2015'!E224</f>
        <v>1-1-51001-PDT-216</v>
      </c>
      <c r="F225" s="180">
        <f>'רשימת מכשור 2015'!F224</f>
        <v>1200</v>
      </c>
      <c r="G225" s="181">
        <v>1</v>
      </c>
      <c r="H225" s="181">
        <f t="shared" si="12"/>
        <v>1200</v>
      </c>
      <c r="I225" s="182" t="s">
        <v>82</v>
      </c>
      <c r="J225" s="181">
        <v>1</v>
      </c>
      <c r="K225" s="181">
        <v>1</v>
      </c>
      <c r="L225" s="181">
        <v>1</v>
      </c>
      <c r="M225" s="181" t="str">
        <f t="shared" si="10"/>
        <v>לא לרכוש</v>
      </c>
      <c r="N225" s="181">
        <v>1000</v>
      </c>
      <c r="O225" s="183"/>
      <c r="P225" s="183">
        <v>60</v>
      </c>
      <c r="Q225" s="183"/>
    </row>
    <row r="226" spans="1:17" s="12" customFormat="1" ht="14.25" customHeight="1">
      <c r="A226" s="180" t="str">
        <f>'רשימת מכשור 2015'!A225</f>
        <v>משדר לחץ הפרשי</v>
      </c>
      <c r="B226" s="180" t="str">
        <f>'רשימת מכשור 2015'!B225</f>
        <v>Micatrone</v>
      </c>
      <c r="C226" s="180" t="str">
        <f>'רשימת מכשור 2015'!C225</f>
        <v>MF-P</v>
      </c>
      <c r="D226" s="233" t="str">
        <f>'רשימת מכשור 2015'!D225</f>
        <v>51001-AHU-01</v>
      </c>
      <c r="E226" s="180" t="str">
        <f>'רשימת מכשור 2015'!E225</f>
        <v>1-1-51001-PDT-221</v>
      </c>
      <c r="F226" s="180">
        <f>'רשימת מכשור 2015'!F225</f>
        <v>1200</v>
      </c>
      <c r="G226" s="181">
        <v>1</v>
      </c>
      <c r="H226" s="181">
        <f t="shared" si="12"/>
        <v>1200</v>
      </c>
      <c r="I226" s="182" t="s">
        <v>82</v>
      </c>
      <c r="J226" s="181">
        <v>1</v>
      </c>
      <c r="K226" s="181">
        <v>1</v>
      </c>
      <c r="L226" s="181">
        <v>1</v>
      </c>
      <c r="M226" s="181" t="str">
        <f t="shared" si="10"/>
        <v>לא לרכוש</v>
      </c>
      <c r="N226" s="181">
        <v>1000</v>
      </c>
      <c r="O226" s="183"/>
      <c r="P226" s="183">
        <v>60</v>
      </c>
      <c r="Q226" s="183"/>
    </row>
    <row r="227" spans="1:17" s="12" customFormat="1" ht="14.25" customHeight="1">
      <c r="A227" s="180" t="str">
        <f>'רשימת מכשור 2015'!A226</f>
        <v>משדר לחץ הפרשי</v>
      </c>
      <c r="B227" s="180" t="str">
        <f>'רשימת מכשור 2015'!B226</f>
        <v>Micatrone</v>
      </c>
      <c r="C227" s="180" t="str">
        <f>'רשימת מכשור 2015'!C226</f>
        <v>MF-P</v>
      </c>
      <c r="D227" s="233" t="str">
        <f>'רשימת מכשור 2015'!D226</f>
        <v>51001-AHU-02</v>
      </c>
      <c r="E227" s="180" t="str">
        <f>'רשימת מכשור 2015'!E226</f>
        <v>1-1-51001-PDT-214</v>
      </c>
      <c r="F227" s="180">
        <f>'רשימת מכשור 2015'!F226</f>
        <v>1200</v>
      </c>
      <c r="G227" s="181">
        <v>1</v>
      </c>
      <c r="H227" s="181">
        <f t="shared" si="12"/>
        <v>1200</v>
      </c>
      <c r="I227" s="182" t="s">
        <v>82</v>
      </c>
      <c r="J227" s="181">
        <v>1</v>
      </c>
      <c r="K227" s="181">
        <v>1</v>
      </c>
      <c r="L227" s="181">
        <v>1</v>
      </c>
      <c r="M227" s="181" t="str">
        <f t="shared" si="10"/>
        <v>לא לרכוש</v>
      </c>
      <c r="N227" s="181">
        <v>1000</v>
      </c>
      <c r="O227" s="183"/>
      <c r="P227" s="183">
        <v>60</v>
      </c>
      <c r="Q227" s="183"/>
    </row>
    <row r="228" spans="1:17" s="12" customFormat="1" ht="14.25" customHeight="1">
      <c r="A228" s="180" t="str">
        <f>'רשימת מכשור 2015'!A227</f>
        <v>משדר לחץ הפרשי</v>
      </c>
      <c r="B228" s="180" t="str">
        <f>'רשימת מכשור 2015'!B227</f>
        <v>Micatrone</v>
      </c>
      <c r="C228" s="180" t="str">
        <f>'רשימת מכשור 2015'!C227</f>
        <v>MF-P</v>
      </c>
      <c r="D228" s="233" t="str">
        <f>'רשימת מכשור 2015'!D227</f>
        <v>51001-AHU-02</v>
      </c>
      <c r="E228" s="180" t="str">
        <f>'רשימת מכשור 2015'!E227</f>
        <v>1-1-51001-PDT-215</v>
      </c>
      <c r="F228" s="180">
        <f>'רשימת מכשור 2015'!F227</f>
        <v>1200</v>
      </c>
      <c r="G228" s="181">
        <v>1</v>
      </c>
      <c r="H228" s="181">
        <f t="shared" si="12"/>
        <v>1200</v>
      </c>
      <c r="I228" s="182" t="s">
        <v>82</v>
      </c>
      <c r="J228" s="181">
        <v>1</v>
      </c>
      <c r="K228" s="181">
        <v>1</v>
      </c>
      <c r="L228" s="181">
        <v>1</v>
      </c>
      <c r="M228" s="181" t="str">
        <f t="shared" si="10"/>
        <v>לא לרכוש</v>
      </c>
      <c r="N228" s="181">
        <v>1000</v>
      </c>
      <c r="O228" s="183"/>
      <c r="P228" s="183">
        <v>60</v>
      </c>
      <c r="Q228" s="183"/>
    </row>
    <row r="229" spans="1:17" s="12" customFormat="1" ht="14.25" customHeight="1">
      <c r="A229" s="180" t="str">
        <f>'רשימת מכשור 2015'!A228</f>
        <v>משדר לחץ הפרשי</v>
      </c>
      <c r="B229" s="180" t="str">
        <f>'רשימת מכשור 2015'!B228</f>
        <v>Micatrone</v>
      </c>
      <c r="C229" s="180" t="str">
        <f>'רשימת מכשור 2015'!C228</f>
        <v>MF-P</v>
      </c>
      <c r="D229" s="233" t="str">
        <f>'רשימת מכשור 2015'!D228</f>
        <v>51001-AHU-02</v>
      </c>
      <c r="E229" s="180" t="str">
        <f>'רשימת מכשור 2015'!E228</f>
        <v>1-1-51001-PDT-217</v>
      </c>
      <c r="F229" s="180">
        <f>'רשימת מכשור 2015'!F228</f>
        <v>1200</v>
      </c>
      <c r="G229" s="181">
        <v>1</v>
      </c>
      <c r="H229" s="181">
        <f t="shared" si="12"/>
        <v>1200</v>
      </c>
      <c r="I229" s="182" t="s">
        <v>82</v>
      </c>
      <c r="J229" s="181">
        <v>1</v>
      </c>
      <c r="K229" s="181">
        <v>1</v>
      </c>
      <c r="L229" s="181">
        <v>1</v>
      </c>
      <c r="M229" s="181" t="str">
        <f t="shared" si="10"/>
        <v>לא לרכוש</v>
      </c>
      <c r="N229" s="181">
        <v>1000</v>
      </c>
      <c r="O229" s="183"/>
      <c r="P229" s="183">
        <v>60</v>
      </c>
      <c r="Q229" s="183"/>
    </row>
    <row r="230" spans="1:17" s="12" customFormat="1" ht="14.25" customHeight="1">
      <c r="A230" s="180" t="str">
        <f>'רשימת מכשור 2015'!A229</f>
        <v>משדר לחץ הפרשי</v>
      </c>
      <c r="B230" s="180" t="str">
        <f>'רשימת מכשור 2015'!B229</f>
        <v>Micatrone</v>
      </c>
      <c r="C230" s="180" t="str">
        <f>'רשימת מכשור 2015'!C229</f>
        <v>MF-P</v>
      </c>
      <c r="D230" s="233" t="str">
        <f>'רשימת מכשור 2015'!D229</f>
        <v>51001-AHU-03</v>
      </c>
      <c r="E230" s="180" t="str">
        <f>'רשימת מכשור 2015'!E229</f>
        <v>1-1-51001-PDT-200</v>
      </c>
      <c r="F230" s="180">
        <f>'רשימת מכשור 2015'!F229</f>
        <v>1200</v>
      </c>
      <c r="G230" s="181">
        <v>1</v>
      </c>
      <c r="H230" s="181">
        <f t="shared" si="12"/>
        <v>1200</v>
      </c>
      <c r="I230" s="182" t="s">
        <v>82</v>
      </c>
      <c r="J230" s="181">
        <v>1</v>
      </c>
      <c r="K230" s="181">
        <v>1</v>
      </c>
      <c r="L230" s="181">
        <v>1</v>
      </c>
      <c r="M230" s="181" t="str">
        <f t="shared" si="10"/>
        <v>לא לרכוש</v>
      </c>
      <c r="N230" s="181">
        <v>1000</v>
      </c>
      <c r="O230" s="183"/>
      <c r="P230" s="183">
        <v>60</v>
      </c>
      <c r="Q230" s="183"/>
    </row>
    <row r="231" spans="1:17" s="12" customFormat="1" ht="14.25" customHeight="1">
      <c r="A231" s="180" t="str">
        <f>'רשימת מכשור 2015'!A230</f>
        <v>מד לחץ הפרשי</v>
      </c>
      <c r="B231" s="180" t="str">
        <f>'רשימת מכשור 2015'!B230</f>
        <v>Micatrone</v>
      </c>
      <c r="C231" s="180" t="str">
        <f>'רשימת מכשור 2015'!C230</f>
        <v>MF-P</v>
      </c>
      <c r="D231" s="233" t="str">
        <f>'רשימת מכשור 2015'!D230</f>
        <v>AHU-1 PILOT</v>
      </c>
      <c r="E231" s="180" t="str">
        <f>'רשימת מכשור 2015'!E230</f>
        <v>1-2- 3-PDI-142</v>
      </c>
      <c r="F231" s="180">
        <f>'רשימת מכשור 2015'!F230</f>
        <v>1200</v>
      </c>
      <c r="G231" s="181">
        <v>1</v>
      </c>
      <c r="H231" s="181">
        <f t="shared" si="12"/>
        <v>1200</v>
      </c>
      <c r="I231" s="182" t="s">
        <v>82</v>
      </c>
      <c r="J231" s="181">
        <v>1</v>
      </c>
      <c r="K231" s="181">
        <v>1</v>
      </c>
      <c r="L231" s="181">
        <v>0.5</v>
      </c>
      <c r="M231" s="181" t="str">
        <f t="shared" si="10"/>
        <v>לא לרכוש</v>
      </c>
      <c r="N231" s="181">
        <v>1000</v>
      </c>
      <c r="O231" s="183"/>
      <c r="P231" s="183">
        <v>60</v>
      </c>
      <c r="Q231" s="183"/>
    </row>
    <row r="232" spans="1:17" s="12" customFormat="1" ht="14.25" customHeight="1">
      <c r="A232" s="180" t="str">
        <f>'רשימת מכשור 2015'!A231</f>
        <v>מד לחץ הפרשי</v>
      </c>
      <c r="B232" s="180" t="str">
        <f>'רשימת מכשור 2015'!B231</f>
        <v>Micatrone</v>
      </c>
      <c r="C232" s="180" t="str">
        <f>'רשימת מכשור 2015'!C231</f>
        <v>MF-P</v>
      </c>
      <c r="D232" s="233" t="str">
        <f>'רשימת מכשור 2015'!D231</f>
        <v>AHU-1 PILOT</v>
      </c>
      <c r="E232" s="180" t="str">
        <f>'רשימת מכשור 2015'!E231</f>
        <v>1-2- 3-PDI-143</v>
      </c>
      <c r="F232" s="180">
        <f>'רשימת מכשור 2015'!F231</f>
        <v>1200</v>
      </c>
      <c r="G232" s="181">
        <v>1</v>
      </c>
      <c r="H232" s="181">
        <f t="shared" si="12"/>
        <v>1200</v>
      </c>
      <c r="I232" s="182" t="s">
        <v>82</v>
      </c>
      <c r="J232" s="181">
        <v>1</v>
      </c>
      <c r="K232" s="181">
        <v>1</v>
      </c>
      <c r="L232" s="181">
        <v>0.5</v>
      </c>
      <c r="M232" s="181" t="str">
        <f t="shared" si="10"/>
        <v>לא לרכוש</v>
      </c>
      <c r="N232" s="181">
        <v>1000</v>
      </c>
      <c r="O232" s="183"/>
      <c r="P232" s="183">
        <v>60</v>
      </c>
      <c r="Q232" s="183"/>
    </row>
    <row r="233" spans="1:17" s="12" customFormat="1" ht="14.25" customHeight="1">
      <c r="A233" s="180" t="str">
        <f>'רשימת מכשור 2015'!A232</f>
        <v>מד לחץ הפרשי</v>
      </c>
      <c r="B233" s="180" t="str">
        <f>'רשימת מכשור 2015'!B232</f>
        <v>Micatrone</v>
      </c>
      <c r="C233" s="180" t="str">
        <f>'רשימת מכשור 2015'!C232</f>
        <v>MF-P</v>
      </c>
      <c r="D233" s="233" t="str">
        <f>'רשימת מכשור 2015'!D232</f>
        <v>AHU-1 PILOT</v>
      </c>
      <c r="E233" s="180" t="str">
        <f>'רשימת מכשור 2015'!E232</f>
        <v>1-2- 3-PDI-141</v>
      </c>
      <c r="F233" s="180">
        <f>'רשימת מכשור 2015'!F232</f>
        <v>1200</v>
      </c>
      <c r="G233" s="181">
        <v>1</v>
      </c>
      <c r="H233" s="181">
        <f t="shared" si="12"/>
        <v>1200</v>
      </c>
      <c r="I233" s="182" t="s">
        <v>82</v>
      </c>
      <c r="J233" s="181">
        <v>1</v>
      </c>
      <c r="K233" s="181">
        <v>1</v>
      </c>
      <c r="L233" s="181">
        <v>0.5</v>
      </c>
      <c r="M233" s="181" t="str">
        <f t="shared" si="10"/>
        <v>לא לרכוש</v>
      </c>
      <c r="N233" s="181">
        <v>1000</v>
      </c>
      <c r="O233" s="183"/>
      <c r="P233" s="183">
        <v>60</v>
      </c>
      <c r="Q233" s="183"/>
    </row>
    <row r="234" spans="1:17" s="12" customFormat="1" ht="14.25" customHeight="1">
      <c r="A234" s="180" t="str">
        <f>'רשימת מכשור 2015'!A233</f>
        <v>מד לחץ הפרשי</v>
      </c>
      <c r="B234" s="180" t="str">
        <f>'רשימת מכשור 2015'!B233</f>
        <v>Micatrone</v>
      </c>
      <c r="C234" s="180" t="str">
        <f>'רשימת מכשור 2015'!C233</f>
        <v>MF-P</v>
      </c>
      <c r="D234" s="233" t="str">
        <f>'רשימת מכשור 2015'!D233</f>
        <v>AHU-1 PILOT</v>
      </c>
      <c r="E234" s="180" t="str">
        <f>'רשימת מכשור 2015'!E233</f>
        <v>1-2- 3-PDI-148</v>
      </c>
      <c r="F234" s="180">
        <f>'רשימת מכשור 2015'!F233</f>
        <v>1200</v>
      </c>
      <c r="G234" s="181">
        <v>1</v>
      </c>
      <c r="H234" s="181">
        <f t="shared" si="12"/>
        <v>1200</v>
      </c>
      <c r="I234" s="182" t="s">
        <v>82</v>
      </c>
      <c r="J234" s="181">
        <v>1</v>
      </c>
      <c r="K234" s="181">
        <v>1</v>
      </c>
      <c r="L234" s="181">
        <v>0.5</v>
      </c>
      <c r="M234" s="181" t="str">
        <f t="shared" si="10"/>
        <v>לא לרכוש</v>
      </c>
      <c r="N234" s="181">
        <v>1000</v>
      </c>
      <c r="O234" s="183"/>
      <c r="P234" s="183">
        <v>60</v>
      </c>
      <c r="Q234" s="183"/>
    </row>
    <row r="235" spans="1:17" s="12" customFormat="1" ht="14.25" customHeight="1">
      <c r="A235" s="180" t="str">
        <f>'רשימת מכשור 2015'!A234</f>
        <v>מד לחץ הפרשי</v>
      </c>
      <c r="B235" s="180" t="str">
        <f>'רשימת מכשור 2015'!B234</f>
        <v>Micatrone</v>
      </c>
      <c r="C235" s="180" t="str">
        <f>'רשימת מכשור 2015'!C234</f>
        <v>MF-P</v>
      </c>
      <c r="D235" s="233" t="str">
        <f>'רשימת מכשור 2015'!D234</f>
        <v>AHU-1 PILOT</v>
      </c>
      <c r="E235" s="180" t="str">
        <f>'רשימת מכשור 2015'!E234</f>
        <v>1-2- 3-PDI-146</v>
      </c>
      <c r="F235" s="180">
        <f>'רשימת מכשור 2015'!F234</f>
        <v>1200</v>
      </c>
      <c r="G235" s="181">
        <v>1</v>
      </c>
      <c r="H235" s="181">
        <f t="shared" si="12"/>
        <v>1200</v>
      </c>
      <c r="I235" s="182" t="s">
        <v>82</v>
      </c>
      <c r="J235" s="181">
        <v>1</v>
      </c>
      <c r="K235" s="181">
        <v>1</v>
      </c>
      <c r="L235" s="181">
        <v>0.5</v>
      </c>
      <c r="M235" s="181" t="str">
        <f t="shared" si="10"/>
        <v>לא לרכוש</v>
      </c>
      <c r="N235" s="181">
        <v>1000</v>
      </c>
      <c r="O235" s="183"/>
      <c r="P235" s="183">
        <v>60</v>
      </c>
      <c r="Q235" s="183"/>
    </row>
    <row r="236" spans="1:17" s="12" customFormat="1" ht="14.25" customHeight="1">
      <c r="A236" s="180" t="str">
        <f>'רשימת מכשור 2015'!A235</f>
        <v>מד לחץ הפרשי</v>
      </c>
      <c r="B236" s="180" t="str">
        <f>'רשימת מכשור 2015'!B235</f>
        <v>Micatrone</v>
      </c>
      <c r="C236" s="180" t="str">
        <f>'רשימת מכשור 2015'!C235</f>
        <v>MF-P</v>
      </c>
      <c r="D236" s="233" t="str">
        <f>'רשימת מכשור 2015'!D235</f>
        <v>AHU-1 PILOT</v>
      </c>
      <c r="E236" s="180" t="str">
        <f>'רשימת מכשור 2015'!E235</f>
        <v>1-2- 3-PDI-145</v>
      </c>
      <c r="F236" s="180">
        <f>'רשימת מכשור 2015'!F235</f>
        <v>1200</v>
      </c>
      <c r="G236" s="181">
        <v>1</v>
      </c>
      <c r="H236" s="181">
        <f t="shared" si="12"/>
        <v>1200</v>
      </c>
      <c r="I236" s="182" t="s">
        <v>82</v>
      </c>
      <c r="J236" s="181">
        <v>1</v>
      </c>
      <c r="K236" s="181">
        <v>1</v>
      </c>
      <c r="L236" s="181">
        <v>0.5</v>
      </c>
      <c r="M236" s="181" t="str">
        <f t="shared" si="10"/>
        <v>לא לרכוש</v>
      </c>
      <c r="N236" s="181">
        <v>1000</v>
      </c>
      <c r="O236" s="183"/>
      <c r="P236" s="183">
        <v>60</v>
      </c>
      <c r="Q236" s="183"/>
    </row>
    <row r="237" spans="1:17" s="12" customFormat="1" ht="14.25" customHeight="1">
      <c r="A237" s="180" t="str">
        <f>'רשימת מכשור 2015'!A236</f>
        <v>מד לחץ הפרשי</v>
      </c>
      <c r="B237" s="180" t="str">
        <f>'רשימת מכשור 2015'!B236</f>
        <v>Micatrone</v>
      </c>
      <c r="C237" s="180" t="str">
        <f>'רשימת מכשור 2015'!C236</f>
        <v>MF-P</v>
      </c>
      <c r="D237" s="233" t="str">
        <f>'רשימת מכשור 2015'!D236</f>
        <v>AHU-1 PILOT</v>
      </c>
      <c r="E237" s="180" t="str">
        <f>'רשימת מכשור 2015'!E236</f>
        <v>1-2-3-PDI-135</v>
      </c>
      <c r="F237" s="180">
        <f>'רשימת מכשור 2015'!F236</f>
        <v>1200</v>
      </c>
      <c r="G237" s="181">
        <v>1</v>
      </c>
      <c r="H237" s="181">
        <f t="shared" si="12"/>
        <v>1200</v>
      </c>
      <c r="I237" s="182" t="s">
        <v>82</v>
      </c>
      <c r="J237" s="181">
        <v>1</v>
      </c>
      <c r="K237" s="181">
        <v>1</v>
      </c>
      <c r="L237" s="181">
        <v>0.5</v>
      </c>
      <c r="M237" s="181" t="str">
        <f t="shared" si="10"/>
        <v>לא לרכוש</v>
      </c>
      <c r="N237" s="181">
        <v>1000</v>
      </c>
      <c r="O237" s="183"/>
      <c r="P237" s="183">
        <v>60</v>
      </c>
      <c r="Q237" s="183"/>
    </row>
    <row r="238" spans="1:17" s="12" customFormat="1" ht="14.25" customHeight="1">
      <c r="A238" s="180" t="str">
        <f>'רשימת מכשור 2015'!A237</f>
        <v>מד לחץ הפרשי</v>
      </c>
      <c r="B238" s="180" t="str">
        <f>'רשימת מכשור 2015'!B237</f>
        <v>Micatrone</v>
      </c>
      <c r="C238" s="180" t="str">
        <f>'רשימת מכשור 2015'!C237</f>
        <v>MF-P</v>
      </c>
      <c r="D238" s="233" t="str">
        <f>'רשימת מכשור 2015'!D237</f>
        <v>AHU-1 PILOT</v>
      </c>
      <c r="E238" s="180" t="str">
        <f>'רשימת מכשור 2015'!E237</f>
        <v>1-2- 3-PDI-133</v>
      </c>
      <c r="F238" s="180">
        <f>'רשימת מכשור 2015'!F237</f>
        <v>1200</v>
      </c>
      <c r="G238" s="181">
        <v>1</v>
      </c>
      <c r="H238" s="181">
        <f t="shared" si="12"/>
        <v>1200</v>
      </c>
      <c r="I238" s="182" t="s">
        <v>82</v>
      </c>
      <c r="J238" s="181">
        <v>1</v>
      </c>
      <c r="K238" s="181">
        <v>1</v>
      </c>
      <c r="L238" s="181">
        <v>0.5</v>
      </c>
      <c r="M238" s="181" t="str">
        <f t="shared" si="10"/>
        <v>לא לרכוש</v>
      </c>
      <c r="N238" s="181">
        <v>1000</v>
      </c>
      <c r="O238" s="183"/>
      <c r="P238" s="183">
        <v>60</v>
      </c>
      <c r="Q238" s="183"/>
    </row>
    <row r="239" spans="1:17" s="12" customFormat="1" ht="14.25" customHeight="1">
      <c r="A239" s="180" t="str">
        <f>'רשימת מכשור 2015'!A238</f>
        <v>מד לחץ הפרשי</v>
      </c>
      <c r="B239" s="180" t="str">
        <f>'רשימת מכשור 2015'!B238</f>
        <v>Micatrone</v>
      </c>
      <c r="C239" s="180" t="str">
        <f>'רשימת מכשור 2015'!C238</f>
        <v>MF-P</v>
      </c>
      <c r="D239" s="233" t="str">
        <f>'רשימת מכשור 2015'!D238</f>
        <v>AHU-1 PILOT</v>
      </c>
      <c r="E239" s="180" t="str">
        <f>'רשימת מכשור 2015'!E238</f>
        <v>1-2-3-PDI-132</v>
      </c>
      <c r="F239" s="180">
        <f>'רשימת מכשור 2015'!F238</f>
        <v>1200</v>
      </c>
      <c r="G239" s="181">
        <v>1</v>
      </c>
      <c r="H239" s="181">
        <f t="shared" si="12"/>
        <v>1200</v>
      </c>
      <c r="I239" s="182" t="s">
        <v>82</v>
      </c>
      <c r="J239" s="181">
        <v>1</v>
      </c>
      <c r="K239" s="181">
        <v>1</v>
      </c>
      <c r="L239" s="181">
        <v>0.5</v>
      </c>
      <c r="M239" s="181" t="str">
        <f t="shared" si="10"/>
        <v>לא לרכוש</v>
      </c>
      <c r="N239" s="181">
        <v>1000</v>
      </c>
      <c r="O239" s="183"/>
      <c r="P239" s="183">
        <v>60</v>
      </c>
      <c r="Q239" s="183"/>
    </row>
    <row r="240" spans="1:17" s="12" customFormat="1" ht="14.25" customHeight="1">
      <c r="A240" s="180" t="str">
        <f>'רשימת מכשור 2015'!A239</f>
        <v>מד לחץ הפרשי</v>
      </c>
      <c r="B240" s="180" t="str">
        <f>'רשימת מכשור 2015'!B239</f>
        <v>Micatrone</v>
      </c>
      <c r="C240" s="180" t="str">
        <f>'רשימת מכשור 2015'!C239</f>
        <v>MF-P</v>
      </c>
      <c r="D240" s="233" t="str">
        <f>'רשימת מכשור 2015'!D239</f>
        <v>AHU-1 PILOT</v>
      </c>
      <c r="E240" s="180" t="str">
        <f>'רשימת מכשור 2015'!E239</f>
        <v>1-2-3-PDI-140</v>
      </c>
      <c r="F240" s="180">
        <f>'רשימת מכשור 2015'!F239</f>
        <v>1200</v>
      </c>
      <c r="G240" s="181">
        <v>1</v>
      </c>
      <c r="H240" s="181">
        <f t="shared" si="12"/>
        <v>1200</v>
      </c>
      <c r="I240" s="182" t="s">
        <v>82</v>
      </c>
      <c r="J240" s="181">
        <v>1</v>
      </c>
      <c r="K240" s="181">
        <v>1</v>
      </c>
      <c r="L240" s="181">
        <v>0.5</v>
      </c>
      <c r="M240" s="181" t="str">
        <f t="shared" si="10"/>
        <v>לא לרכוש</v>
      </c>
      <c r="N240" s="181">
        <v>1000</v>
      </c>
      <c r="O240" s="183"/>
      <c r="P240" s="183">
        <v>60</v>
      </c>
      <c r="Q240" s="183"/>
    </row>
    <row r="241" spans="1:17" s="12" customFormat="1" ht="14.25" customHeight="1">
      <c r="A241" s="180" t="str">
        <f>'רשימת מכשור 2015'!A240</f>
        <v>משדר טמפרטורה</v>
      </c>
      <c r="B241" s="180" t="str">
        <f>'רשימת מכשור 2015'!B240</f>
        <v>ROTRONIC</v>
      </c>
      <c r="C241" s="180" t="str">
        <f>'רשימת מכשור 2015'!C240</f>
        <v>Higroflex HF320-DB1XXXX</v>
      </c>
      <c r="D241" s="233" t="str">
        <f>'רשימת מכשור 2015'!D240</f>
        <v>AHU-1 PILOT</v>
      </c>
      <c r="E241" s="180" t="str">
        <f>'רשימת מכשור 2015'!E240</f>
        <v>1-2-3-TIC-140</v>
      </c>
      <c r="F241" s="180">
        <f>'רשימת מכשור 2015'!F240</f>
        <v>1200</v>
      </c>
      <c r="G241" s="181">
        <v>1</v>
      </c>
      <c r="H241" s="181">
        <f t="shared" si="12"/>
        <v>1200</v>
      </c>
      <c r="I241" s="182" t="s">
        <v>82</v>
      </c>
      <c r="J241" s="181">
        <v>1</v>
      </c>
      <c r="K241" s="181">
        <v>1</v>
      </c>
      <c r="L241" s="181">
        <v>0.5</v>
      </c>
      <c r="M241" s="181" t="str">
        <f t="shared" si="10"/>
        <v>לא לרכוש</v>
      </c>
      <c r="N241" s="181">
        <v>1000</v>
      </c>
      <c r="O241" s="183"/>
      <c r="P241" s="183">
        <v>6</v>
      </c>
      <c r="Q241" s="183"/>
    </row>
    <row r="242" spans="1:17" s="12" customFormat="1" ht="14.25" customHeight="1">
      <c r="A242" s="180" t="str">
        <f>'רשימת מכשור 2015'!A241</f>
        <v>מד לחץ הפרשי</v>
      </c>
      <c r="B242" s="180" t="str">
        <f>'רשימת מכשור 2015'!B241</f>
        <v>Micatrone</v>
      </c>
      <c r="C242" s="180" t="str">
        <f>'רשימת מכשור 2015'!C241</f>
        <v>MF-P</v>
      </c>
      <c r="D242" s="233" t="str">
        <f>'רשימת מכשור 2015'!D241</f>
        <v>AHU-1 PILOT</v>
      </c>
      <c r="E242" s="180" t="str">
        <f>'רשימת מכשור 2015'!E241</f>
        <v xml:space="preserve"> 1-2-3-PDI-139</v>
      </c>
      <c r="F242" s="180">
        <f>'רשימת מכשור 2015'!F241</f>
        <v>1200</v>
      </c>
      <c r="G242" s="181">
        <v>1</v>
      </c>
      <c r="H242" s="181">
        <f t="shared" si="12"/>
        <v>1200</v>
      </c>
      <c r="I242" s="182" t="s">
        <v>82</v>
      </c>
      <c r="J242" s="181">
        <v>1</v>
      </c>
      <c r="K242" s="181">
        <v>1</v>
      </c>
      <c r="L242" s="181">
        <v>0.5</v>
      </c>
      <c r="M242" s="181" t="str">
        <f t="shared" si="10"/>
        <v>לא לרכוש</v>
      </c>
      <c r="N242" s="181">
        <v>1000</v>
      </c>
      <c r="O242" s="183"/>
      <c r="P242" s="183">
        <v>60</v>
      </c>
      <c r="Q242" s="183"/>
    </row>
    <row r="243" spans="1:17" s="12" customFormat="1" ht="14.25" customHeight="1">
      <c r="A243" s="180" t="str">
        <f>'רשימת מכשור 2015'!A242</f>
        <v>משדר לחות</v>
      </c>
      <c r="B243" s="180" t="str">
        <f>'רשימת מכשור 2015'!B242</f>
        <v>ROTRONIC</v>
      </c>
      <c r="C243" s="180" t="str">
        <f>'רשימת מכשור 2015'!C242</f>
        <v>Higroflex HF320-DB1XXXX</v>
      </c>
      <c r="D243" s="233" t="str">
        <f>'רשימת מכשור 2015'!D242</f>
        <v>AHU-1 PILOT</v>
      </c>
      <c r="E243" s="180" t="str">
        <f>'רשימת מכשור 2015'!E242</f>
        <v>1-2-3-RHIC-139</v>
      </c>
      <c r="F243" s="180">
        <f>'רשימת מכשור 2015'!F242</f>
        <v>1200</v>
      </c>
      <c r="G243" s="181">
        <v>1</v>
      </c>
      <c r="H243" s="181">
        <f t="shared" si="12"/>
        <v>1200</v>
      </c>
      <c r="I243" s="182" t="s">
        <v>82</v>
      </c>
      <c r="J243" s="181">
        <v>1</v>
      </c>
      <c r="K243" s="181">
        <v>1</v>
      </c>
      <c r="L243" s="181">
        <v>0.5</v>
      </c>
      <c r="M243" s="181" t="str">
        <f t="shared" si="10"/>
        <v>לא לרכוש</v>
      </c>
      <c r="N243" s="181">
        <v>1000</v>
      </c>
      <c r="O243" s="183"/>
      <c r="P243" s="183">
        <v>2</v>
      </c>
      <c r="Q243" s="183"/>
    </row>
    <row r="244" spans="1:17" s="12" customFormat="1" ht="14.25" customHeight="1">
      <c r="A244" s="180" t="str">
        <f>'רשימת מכשור 2015'!A243</f>
        <v>מד טמפרטורה</v>
      </c>
      <c r="B244" s="180" t="str">
        <f>'רשימת מכשור 2015'!B243</f>
        <v>ROTRONIC</v>
      </c>
      <c r="C244" s="180" t="str">
        <f>'רשימת מכשור 2015'!C243</f>
        <v>Higroflex HF320-DB1XXXX</v>
      </c>
      <c r="D244" s="233" t="str">
        <f>'רשימת מכשור 2015'!D243</f>
        <v>AHU-1 PILOT</v>
      </c>
      <c r="E244" s="180" t="str">
        <f>'רשימת מכשור 2015'!E243</f>
        <v>1-2-3-TIC-139</v>
      </c>
      <c r="F244" s="180">
        <f>'רשימת מכשור 2015'!F243</f>
        <v>1200</v>
      </c>
      <c r="G244" s="181">
        <v>1</v>
      </c>
      <c r="H244" s="181">
        <f t="shared" si="12"/>
        <v>1200</v>
      </c>
      <c r="I244" s="182" t="s">
        <v>82</v>
      </c>
      <c r="J244" s="181">
        <v>1</v>
      </c>
      <c r="K244" s="181">
        <v>1</v>
      </c>
      <c r="L244" s="181">
        <v>0.5</v>
      </c>
      <c r="M244" s="181" t="str">
        <f t="shared" si="10"/>
        <v>לא לרכוש</v>
      </c>
      <c r="N244" s="181">
        <v>1000</v>
      </c>
      <c r="O244" s="183"/>
      <c r="P244" s="183">
        <v>3</v>
      </c>
      <c r="Q244" s="183"/>
    </row>
    <row r="245" spans="1:17" s="12" customFormat="1" ht="14.25" customHeight="1">
      <c r="A245" s="180" t="str">
        <f>'רשימת מכשור 2015'!A244</f>
        <v>מד לחץ הפרשי</v>
      </c>
      <c r="B245" s="180" t="str">
        <f>'רשימת מכשור 2015'!B244</f>
        <v>Micatrone</v>
      </c>
      <c r="C245" s="180" t="str">
        <f>'רשימת מכשור 2015'!C244</f>
        <v>MF-P</v>
      </c>
      <c r="D245" s="233" t="str">
        <f>'רשימת מכשור 2015'!D244</f>
        <v>AHU-1 PILOT</v>
      </c>
      <c r="E245" s="180" t="str">
        <f>'רשימת מכשור 2015'!E244</f>
        <v xml:space="preserve"> 1-2-3-PDI-138</v>
      </c>
      <c r="F245" s="180">
        <f>'רשימת מכשור 2015'!F244</f>
        <v>1200</v>
      </c>
      <c r="G245" s="181">
        <v>1</v>
      </c>
      <c r="H245" s="181">
        <f t="shared" si="12"/>
        <v>1200</v>
      </c>
      <c r="I245" s="182" t="s">
        <v>82</v>
      </c>
      <c r="J245" s="181">
        <v>1</v>
      </c>
      <c r="K245" s="181">
        <v>1</v>
      </c>
      <c r="L245" s="181">
        <v>0.5</v>
      </c>
      <c r="M245" s="181" t="str">
        <f t="shared" si="10"/>
        <v>לא לרכוש</v>
      </c>
      <c r="N245" s="181">
        <v>1000</v>
      </c>
      <c r="O245" s="183"/>
      <c r="P245" s="183">
        <v>60</v>
      </c>
      <c r="Q245" s="183"/>
    </row>
    <row r="246" spans="1:17" s="12" customFormat="1" ht="14.25" customHeight="1">
      <c r="A246" s="180" t="str">
        <f>'רשימת מכשור 2015'!A245</f>
        <v>מד לחץ הפרשי</v>
      </c>
      <c r="B246" s="180" t="str">
        <f>'רשימת מכשור 2015'!B245</f>
        <v>Micatrone</v>
      </c>
      <c r="C246" s="180" t="str">
        <f>'רשימת מכשור 2015'!C245</f>
        <v>MF-P</v>
      </c>
      <c r="D246" s="233" t="str">
        <f>'רשימת מכשור 2015'!D245</f>
        <v>AHU-1 PILOT</v>
      </c>
      <c r="E246" s="180" t="str">
        <f>'רשימת מכשור 2015'!E245</f>
        <v>1-2-3-PDI-136</v>
      </c>
      <c r="F246" s="180">
        <f>'רשימת מכשור 2015'!F245</f>
        <v>1200</v>
      </c>
      <c r="G246" s="181">
        <v>1</v>
      </c>
      <c r="H246" s="181">
        <f t="shared" si="12"/>
        <v>1200</v>
      </c>
      <c r="I246" s="182" t="s">
        <v>82</v>
      </c>
      <c r="J246" s="181">
        <v>1</v>
      </c>
      <c r="K246" s="181">
        <v>1</v>
      </c>
      <c r="L246" s="181">
        <v>0.5</v>
      </c>
      <c r="M246" s="181" t="str">
        <f t="shared" si="10"/>
        <v>לא לרכוש</v>
      </c>
      <c r="N246" s="181">
        <v>1000</v>
      </c>
      <c r="O246" s="183"/>
      <c r="P246" s="183">
        <v>60</v>
      </c>
      <c r="Q246" s="183"/>
    </row>
    <row r="247" spans="1:17" s="12" customFormat="1" ht="14.25" customHeight="1">
      <c r="A247" s="180" t="str">
        <f>'רשימת מכשור 2015'!A246</f>
        <v>משדר לחות</v>
      </c>
      <c r="B247" s="180" t="str">
        <f>'רשימת מכשור 2015'!B246</f>
        <v>ROTRONIC</v>
      </c>
      <c r="C247" s="180" t="str">
        <f>'רשימת מכשור 2015'!C246</f>
        <v>Higroflex HF320-DB1XXXX</v>
      </c>
      <c r="D247" s="233" t="str">
        <f>'רשימת מכשור 2015'!D246</f>
        <v>AHU-1 PILOT</v>
      </c>
      <c r="E247" s="180" t="str">
        <f>'רשימת מכשור 2015'!E246</f>
        <v>1-2-3-RHIC-136</v>
      </c>
      <c r="F247" s="180">
        <f>'רשימת מכשור 2015'!F246</f>
        <v>1200</v>
      </c>
      <c r="G247" s="181">
        <v>1</v>
      </c>
      <c r="H247" s="181">
        <f t="shared" si="12"/>
        <v>1200</v>
      </c>
      <c r="I247" s="182" t="s">
        <v>82</v>
      </c>
      <c r="J247" s="181">
        <v>1</v>
      </c>
      <c r="K247" s="181">
        <v>1</v>
      </c>
      <c r="L247" s="181">
        <v>0.5</v>
      </c>
      <c r="M247" s="181" t="str">
        <f t="shared" si="10"/>
        <v>לא לרכוש</v>
      </c>
      <c r="N247" s="181">
        <v>1000</v>
      </c>
      <c r="O247" s="183"/>
      <c r="P247" s="183">
        <v>2</v>
      </c>
      <c r="Q247" s="183"/>
    </row>
    <row r="248" spans="1:17" s="12" customFormat="1" ht="14.25" customHeight="1">
      <c r="A248" s="180" t="str">
        <f>'רשימת מכשור 2015'!A247</f>
        <v>מד טמפרטורה</v>
      </c>
      <c r="B248" s="180" t="str">
        <f>'רשימת מכשור 2015'!B247</f>
        <v>ROTRONIC</v>
      </c>
      <c r="C248" s="180" t="str">
        <f>'רשימת מכשור 2015'!C247</f>
        <v>Higroflex HF320-DB1XXXX</v>
      </c>
      <c r="D248" s="233" t="str">
        <f>'רשימת מכשור 2015'!D247</f>
        <v>AHU-1 PILOT</v>
      </c>
      <c r="E248" s="180" t="str">
        <f>'רשימת מכשור 2015'!E247</f>
        <v>1-2-3-TIC-136</v>
      </c>
      <c r="F248" s="180">
        <f>'רשימת מכשור 2015'!F247</f>
        <v>1200</v>
      </c>
      <c r="G248" s="181">
        <v>1</v>
      </c>
      <c r="H248" s="181">
        <f t="shared" si="12"/>
        <v>1200</v>
      </c>
      <c r="I248" s="182" t="s">
        <v>82</v>
      </c>
      <c r="J248" s="181">
        <v>1</v>
      </c>
      <c r="K248" s="181">
        <v>1</v>
      </c>
      <c r="L248" s="181">
        <v>0.5</v>
      </c>
      <c r="M248" s="181" t="str">
        <f t="shared" si="10"/>
        <v>לא לרכוש</v>
      </c>
      <c r="N248" s="181">
        <v>1000</v>
      </c>
      <c r="O248" s="183"/>
      <c r="P248" s="183">
        <v>3</v>
      </c>
      <c r="Q248" s="183"/>
    </row>
    <row r="249" spans="1:17" s="12" customFormat="1" ht="14.25" customHeight="1">
      <c r="A249" s="180" t="str">
        <f>'רשימת מכשור 2015'!A248</f>
        <v>מד לחץ הפרשי</v>
      </c>
      <c r="B249" s="180" t="str">
        <f>'רשימת מכשור 2015'!B248</f>
        <v>Micatrone</v>
      </c>
      <c r="C249" s="180" t="str">
        <f>'רשימת מכשור 2015'!C248</f>
        <v>MF-P</v>
      </c>
      <c r="D249" s="233" t="str">
        <f>'רשימת מכשור 2015'!D248</f>
        <v>AHU-1 PILOT</v>
      </c>
      <c r="E249" s="180" t="str">
        <f>'רשימת מכשור 2015'!E248</f>
        <v xml:space="preserve"> 1-2-3-PDI-134</v>
      </c>
      <c r="F249" s="180">
        <f>'רשימת מכשור 2015'!F248</f>
        <v>1200</v>
      </c>
      <c r="G249" s="181">
        <v>1</v>
      </c>
      <c r="H249" s="181">
        <f t="shared" si="12"/>
        <v>1200</v>
      </c>
      <c r="I249" s="182" t="s">
        <v>82</v>
      </c>
      <c r="J249" s="181">
        <v>1</v>
      </c>
      <c r="K249" s="181">
        <v>1</v>
      </c>
      <c r="L249" s="181">
        <v>0.5</v>
      </c>
      <c r="M249" s="181" t="str">
        <f t="shared" si="10"/>
        <v>לא לרכוש</v>
      </c>
      <c r="N249" s="181">
        <v>1000</v>
      </c>
      <c r="O249" s="183"/>
      <c r="P249" s="183">
        <v>60</v>
      </c>
      <c r="Q249" s="183"/>
    </row>
    <row r="250" spans="1:17" s="12" customFormat="1" ht="14.25" customHeight="1">
      <c r="A250" s="180" t="str">
        <f>'רשימת מכשור 2015'!A249</f>
        <v>מד טמפרטורה</v>
      </c>
      <c r="B250" s="180" t="str">
        <f>'רשימת מכשור 2015'!B249</f>
        <v>ROTRONIC</v>
      </c>
      <c r="C250" s="180" t="str">
        <f>'רשימת מכשור 2015'!C249</f>
        <v>Higroflex HF320-DB1XXXX</v>
      </c>
      <c r="D250" s="233" t="str">
        <f>'רשימת מכשור 2015'!D249</f>
        <v>AHU-1 PILOT</v>
      </c>
      <c r="E250" s="180" t="str">
        <f>'רשימת מכשור 2015'!E249</f>
        <v>1-2-3-TIC-134</v>
      </c>
      <c r="F250" s="180">
        <f>'רשימת מכשור 2015'!F249</f>
        <v>1200</v>
      </c>
      <c r="G250" s="181">
        <v>1</v>
      </c>
      <c r="H250" s="181">
        <f t="shared" si="12"/>
        <v>1200</v>
      </c>
      <c r="I250" s="182" t="s">
        <v>82</v>
      </c>
      <c r="J250" s="181">
        <v>1</v>
      </c>
      <c r="K250" s="181">
        <v>1</v>
      </c>
      <c r="L250" s="181">
        <v>0.5</v>
      </c>
      <c r="M250" s="181" t="str">
        <f t="shared" si="10"/>
        <v>לא לרכוש</v>
      </c>
      <c r="N250" s="181">
        <v>1000</v>
      </c>
      <c r="O250" s="183"/>
      <c r="P250" s="183">
        <v>3</v>
      </c>
      <c r="Q250" s="183"/>
    </row>
    <row r="251" spans="1:17" s="12" customFormat="1" ht="14.25" customHeight="1">
      <c r="A251" s="180" t="str">
        <f>'רשימת מכשור 2015'!A250</f>
        <v>מד לחץ הפרשי</v>
      </c>
      <c r="B251" s="180" t="str">
        <f>'רשימת מכשור 2015'!B250</f>
        <v>Micatrone</v>
      </c>
      <c r="C251" s="180" t="str">
        <f>'רשימת מכשור 2015'!C250</f>
        <v>MF-P</v>
      </c>
      <c r="D251" s="233" t="str">
        <f>'רשימת מכשור 2015'!D250</f>
        <v>AHU-1 PILOT</v>
      </c>
      <c r="E251" s="180" t="str">
        <f>'רשימת מכשור 2015'!E250</f>
        <v xml:space="preserve"> 1-2-3-PDIC-21</v>
      </c>
      <c r="F251" s="180">
        <f>'רשימת מכשור 2015'!F250</f>
        <v>1200</v>
      </c>
      <c r="G251" s="181">
        <v>1</v>
      </c>
      <c r="H251" s="181">
        <f t="shared" si="12"/>
        <v>1200</v>
      </c>
      <c r="I251" s="182" t="s">
        <v>82</v>
      </c>
      <c r="J251" s="181">
        <v>1</v>
      </c>
      <c r="K251" s="181">
        <v>1</v>
      </c>
      <c r="L251" s="181">
        <v>0.5</v>
      </c>
      <c r="M251" s="181" t="str">
        <f t="shared" si="10"/>
        <v>לא לרכוש</v>
      </c>
      <c r="N251" s="181">
        <v>1000</v>
      </c>
      <c r="O251" s="183"/>
      <c r="P251" s="183">
        <v>60</v>
      </c>
      <c r="Q251" s="183"/>
    </row>
    <row r="252" spans="1:17" s="12" customFormat="1" ht="14.25" customHeight="1">
      <c r="A252" s="180" t="str">
        <f>'רשימת מכשור 2015'!A251</f>
        <v>מד לחות משולב טמפ'</v>
      </c>
      <c r="B252" s="180" t="str">
        <f>'רשימת מכשור 2015'!B251</f>
        <v>Comet</v>
      </c>
      <c r="C252" s="180" t="str">
        <f>'רשימת מכשור 2015'!C251</f>
        <v>T3113 4-20ma</v>
      </c>
      <c r="D252" s="233" t="str">
        <f>'רשימת מכשור 2015'!D251</f>
        <v>AHU-WH</v>
      </c>
      <c r="E252" s="180" t="str">
        <f>'רשימת מכשור 2015'!E251</f>
        <v>1-2-51021-HIC-1</v>
      </c>
      <c r="F252" s="180">
        <f>'רשימת מכשור 2015'!F251</f>
        <v>1200</v>
      </c>
      <c r="G252" s="181">
        <v>1</v>
      </c>
      <c r="H252" s="181">
        <f t="shared" si="12"/>
        <v>1200</v>
      </c>
      <c r="I252" s="182"/>
      <c r="J252" s="181">
        <v>1</v>
      </c>
      <c r="K252" s="181">
        <v>1</v>
      </c>
      <c r="L252" s="181">
        <v>1</v>
      </c>
      <c r="M252" s="181" t="str">
        <f t="shared" si="10"/>
        <v>לרכוש</v>
      </c>
      <c r="N252" s="181">
        <v>1000</v>
      </c>
      <c r="O252" s="183"/>
      <c r="P252" s="183">
        <v>1</v>
      </c>
      <c r="Q252" s="183"/>
    </row>
    <row r="253" spans="1:17" s="12" customFormat="1" ht="14.25" customHeight="1">
      <c r="A253" s="180" t="str">
        <f>'רשימת מכשור 2015'!A252</f>
        <v>משדר לחות</v>
      </c>
      <c r="B253" s="180" t="str">
        <f>'רשימת מכשור 2015'!B252</f>
        <v>Autonics</v>
      </c>
      <c r="C253" s="180" t="str">
        <f>'רשימת מכשור 2015'!C252</f>
        <v>RH+T</v>
      </c>
      <c r="D253" s="233" t="str">
        <f>'רשימת מכשור 2015'!D252</f>
        <v>AHU-WH</v>
      </c>
      <c r="E253" s="180" t="str">
        <f>'רשימת מכשור 2015'!E252</f>
        <v>1-2-2010-HIC-2</v>
      </c>
      <c r="F253" s="180">
        <f>'רשימת מכשור 2015'!F252</f>
        <v>1200</v>
      </c>
      <c r="G253" s="181">
        <v>1</v>
      </c>
      <c r="H253" s="181">
        <f t="shared" si="12"/>
        <v>1200</v>
      </c>
      <c r="I253" s="182"/>
      <c r="J253" s="181">
        <v>1</v>
      </c>
      <c r="K253" s="181">
        <v>1</v>
      </c>
      <c r="L253" s="181">
        <v>1</v>
      </c>
      <c r="M253" s="181" t="str">
        <f t="shared" si="10"/>
        <v>לרכוש</v>
      </c>
      <c r="N253" s="181">
        <v>1000</v>
      </c>
      <c r="O253" s="183"/>
      <c r="P253" s="183">
        <v>2</v>
      </c>
      <c r="Q253" s="183"/>
    </row>
    <row r="254" spans="1:17" s="12" customFormat="1" ht="14.25" customHeight="1">
      <c r="A254" s="180" t="str">
        <f>'רשימת מכשור 2015'!A253</f>
        <v>מד טמפרטורה</v>
      </c>
      <c r="B254" s="180" t="str">
        <f>'רשימת מכשור 2015'!B253</f>
        <v>Autonics</v>
      </c>
      <c r="C254" s="180" t="str">
        <f>'רשימת מכשור 2015'!C253</f>
        <v>RH+T</v>
      </c>
      <c r="D254" s="233" t="str">
        <f>'רשימת מכשור 2015'!D253</f>
        <v>AHU-WH</v>
      </c>
      <c r="E254" s="180" t="str">
        <f>'רשימת מכשור 2015'!E253</f>
        <v>1-2-2010-TIC-2</v>
      </c>
      <c r="F254" s="180">
        <f>'רשימת מכשור 2015'!F253</f>
        <v>1200</v>
      </c>
      <c r="G254" s="181">
        <v>1</v>
      </c>
      <c r="H254" s="181">
        <f t="shared" si="12"/>
        <v>1200</v>
      </c>
      <c r="I254" s="182"/>
      <c r="J254" s="181">
        <v>1</v>
      </c>
      <c r="K254" s="181">
        <v>1</v>
      </c>
      <c r="L254" s="181">
        <v>1</v>
      </c>
      <c r="M254" s="181" t="str">
        <f t="shared" si="10"/>
        <v>לרכוש</v>
      </c>
      <c r="N254" s="181">
        <v>1000</v>
      </c>
      <c r="O254" s="183"/>
      <c r="P254" s="183">
        <v>2</v>
      </c>
      <c r="Q254" s="183"/>
    </row>
    <row r="255" spans="1:17" s="12" customFormat="1" ht="14.25" customHeight="1">
      <c r="A255" s="180" t="str">
        <f>'רשימת מכשור 2015'!A254</f>
        <v>מד לחץ הפרשי</v>
      </c>
      <c r="B255" s="180" t="str">
        <f>'רשימת מכשור 2015'!B254</f>
        <v>Micatrone</v>
      </c>
      <c r="C255" s="180" t="str">
        <f>'רשימת מכשור 2015'!C254</f>
        <v>MF-P</v>
      </c>
      <c r="D255" s="233" t="str">
        <f>'רשימת מכשור 2015'!D254</f>
        <v>AHU-WH</v>
      </c>
      <c r="E255" s="180" t="str">
        <f>'רשימת מכשור 2015'!E254</f>
        <v>1-2-2010-PI-4</v>
      </c>
      <c r="F255" s="180">
        <f>'רשימת מכשור 2015'!F254</f>
        <v>1200</v>
      </c>
      <c r="G255" s="181">
        <v>1</v>
      </c>
      <c r="H255" s="181">
        <f t="shared" si="12"/>
        <v>1200</v>
      </c>
      <c r="I255" s="182" t="s">
        <v>82</v>
      </c>
      <c r="J255" s="181">
        <v>1</v>
      </c>
      <c r="K255" s="181">
        <v>1</v>
      </c>
      <c r="L255" s="181">
        <v>0.5</v>
      </c>
      <c r="M255" s="181" t="str">
        <f t="shared" si="10"/>
        <v>לא לרכוש</v>
      </c>
      <c r="N255" s="181">
        <v>1000</v>
      </c>
      <c r="O255" s="183"/>
      <c r="P255" s="183">
        <v>60</v>
      </c>
      <c r="Q255" s="183"/>
    </row>
    <row r="256" spans="1:17" s="12" customFormat="1" ht="14.25" customHeight="1">
      <c r="A256" s="180" t="str">
        <f>'רשימת מכשור 2015'!A255</f>
        <v>משדר לחות</v>
      </c>
      <c r="B256" s="180" t="str">
        <f>'רשימת מכשור 2015'!B255</f>
        <v>Autonics</v>
      </c>
      <c r="C256" s="180" t="str">
        <f>'רשימת מכשור 2015'!C255</f>
        <v>RH+T</v>
      </c>
      <c r="D256" s="233" t="str">
        <f>'רשימת מכשור 2015'!D255</f>
        <v>AHU-WH</v>
      </c>
      <c r="E256" s="180" t="str">
        <f>'רשימת מכשור 2015'!E255</f>
        <v>1-2-2010-HI-1</v>
      </c>
      <c r="F256" s="180">
        <f>'רשימת מכשור 2015'!F255</f>
        <v>1200</v>
      </c>
      <c r="G256" s="181">
        <v>1</v>
      </c>
      <c r="H256" s="181">
        <f t="shared" si="12"/>
        <v>1200</v>
      </c>
      <c r="I256" s="182"/>
      <c r="J256" s="181">
        <v>1</v>
      </c>
      <c r="K256" s="181">
        <v>1</v>
      </c>
      <c r="L256" s="181">
        <v>1</v>
      </c>
      <c r="M256" s="181" t="str">
        <f t="shared" si="10"/>
        <v>לרכוש</v>
      </c>
      <c r="N256" s="181">
        <v>1000</v>
      </c>
      <c r="O256" s="183"/>
      <c r="P256" s="183">
        <v>2</v>
      </c>
      <c r="Q256" s="183"/>
    </row>
    <row r="257" spans="1:17" s="12" customFormat="1" ht="14.25" customHeight="1">
      <c r="A257" s="180" t="str">
        <f>'רשימת מכשור 2015'!A256</f>
        <v>מד טמפרטורה</v>
      </c>
      <c r="B257" s="180" t="str">
        <f>'רשימת מכשור 2015'!B256</f>
        <v>Autonics</v>
      </c>
      <c r="C257" s="180" t="str">
        <f>'רשימת מכשור 2015'!C256</f>
        <v>RH+T</v>
      </c>
      <c r="D257" s="233" t="str">
        <f>'רשימת מכשור 2015'!D256</f>
        <v>AHU-WH</v>
      </c>
      <c r="E257" s="180" t="str">
        <f>'רשימת מכשור 2015'!E256</f>
        <v>1-2-2010-TI-3</v>
      </c>
      <c r="F257" s="180">
        <f>'רשימת מכשור 2015'!F256</f>
        <v>1200</v>
      </c>
      <c r="G257" s="181">
        <v>1</v>
      </c>
      <c r="H257" s="181">
        <f t="shared" si="12"/>
        <v>1200</v>
      </c>
      <c r="I257" s="182"/>
      <c r="J257" s="181">
        <v>1</v>
      </c>
      <c r="K257" s="181">
        <v>1</v>
      </c>
      <c r="L257" s="181">
        <v>1</v>
      </c>
      <c r="M257" s="181" t="str">
        <f t="shared" si="10"/>
        <v>לרכוש</v>
      </c>
      <c r="N257" s="181">
        <v>1000</v>
      </c>
      <c r="O257" s="183"/>
      <c r="P257" s="183">
        <v>2</v>
      </c>
      <c r="Q257" s="183"/>
    </row>
    <row r="258" spans="1:17" s="12" customFormat="1" ht="14.25" customHeight="1">
      <c r="A258" s="180" t="str">
        <f>'רשימת מכשור 2015'!A257</f>
        <v>משדר טמפרטורה</v>
      </c>
      <c r="B258" s="180" t="str">
        <f>'רשימת מכשור 2015'!B257</f>
        <v>ROTRONIC</v>
      </c>
      <c r="C258" s="180" t="str">
        <f>'רשימת מכשור 2015'!C257</f>
        <v>HF4</v>
      </c>
      <c r="D258" s="233" t="str">
        <f>'רשימת מכשור 2015'!D257</f>
        <v>AHU-38</v>
      </c>
      <c r="E258" s="180" t="str">
        <f>'רשימת מכשור 2015'!E257</f>
        <v>1-1-38-TC-1</v>
      </c>
      <c r="F258" s="180">
        <f>'רשימת מכשור 2015'!F257</f>
        <v>1200</v>
      </c>
      <c r="G258" s="181">
        <v>2222</v>
      </c>
      <c r="H258" s="181">
        <f t="shared" si="12"/>
        <v>2666400</v>
      </c>
      <c r="I258" s="182" t="s">
        <v>82</v>
      </c>
      <c r="J258" s="181">
        <v>1</v>
      </c>
      <c r="K258" s="181">
        <v>1</v>
      </c>
      <c r="L258" s="181">
        <v>0.5</v>
      </c>
      <c r="M258" s="181" t="e">
        <f>IF(AND(K258*L258*30*N258&gt;H258/#REF!,I258=""),"לרכוש","לא לרכוש")</f>
        <v>#REF!</v>
      </c>
      <c r="N258" s="181">
        <v>1000</v>
      </c>
      <c r="O258" s="183"/>
      <c r="P258" s="183">
        <v>2</v>
      </c>
      <c r="Q258" s="183"/>
    </row>
    <row r="259" spans="1:17" s="12" customFormat="1" ht="14.25" customHeight="1">
      <c r="A259" s="180" t="str">
        <f>'רשימת מכשור 2015'!A258</f>
        <v>משדר לחות</v>
      </c>
      <c r="B259" s="180" t="str">
        <f>'רשימת מכשור 2015'!B258</f>
        <v>ROTRONIC</v>
      </c>
      <c r="C259" s="180" t="str">
        <f>'רשימת מכשור 2015'!C258</f>
        <v>HF4</v>
      </c>
      <c r="D259" s="233" t="str">
        <f>'רשימת מכשור 2015'!D258</f>
        <v>AHU-38</v>
      </c>
      <c r="E259" s="180" t="str">
        <f>'רשימת מכשור 2015'!E258</f>
        <v>1-1-38-HC-1</v>
      </c>
      <c r="F259" s="180">
        <f>'רשימת מכשור 2015'!F258</f>
        <v>1200</v>
      </c>
      <c r="G259" s="181">
        <v>1</v>
      </c>
      <c r="H259" s="181">
        <f t="shared" si="12"/>
        <v>1200</v>
      </c>
      <c r="I259" s="182" t="s">
        <v>82</v>
      </c>
      <c r="J259" s="181">
        <v>1</v>
      </c>
      <c r="K259" s="181">
        <v>1</v>
      </c>
      <c r="L259" s="181">
        <v>0.5</v>
      </c>
      <c r="M259" s="181" t="str">
        <f t="shared" ref="M259:M294" si="13">IF(AND(K259*L259*30*N259&gt;H259/J259,I259=""),"לרכוש","לא לרכוש")</f>
        <v>לא לרכוש</v>
      </c>
      <c r="N259" s="181">
        <v>1000</v>
      </c>
      <c r="O259" s="183"/>
      <c r="P259" s="183">
        <v>1</v>
      </c>
      <c r="Q259" s="183"/>
    </row>
    <row r="260" spans="1:17" s="12" customFormat="1" ht="14.25" customHeight="1">
      <c r="A260" s="180" t="str">
        <f>'רשימת מכשור 2015'!A259</f>
        <v>מד לחץ הפרשי</v>
      </c>
      <c r="B260" s="180" t="str">
        <f>'רשימת מכשור 2015'!B259</f>
        <v>Micatrone</v>
      </c>
      <c r="C260" s="180" t="str">
        <f>'רשימת מכשור 2015'!C259</f>
        <v>MF-P</v>
      </c>
      <c r="D260" s="233" t="str">
        <f>'רשימת מכשור 2015'!D259</f>
        <v>AHU-38</v>
      </c>
      <c r="E260" s="180" t="str">
        <f>'רשימת מכשור 2015'!E259</f>
        <v>1-1-38-PC-1</v>
      </c>
      <c r="F260" s="180">
        <f>'רשימת מכשור 2015'!F259</f>
        <v>1200</v>
      </c>
      <c r="G260" s="181">
        <v>1</v>
      </c>
      <c r="H260" s="181">
        <f t="shared" si="12"/>
        <v>1200</v>
      </c>
      <c r="I260" s="182" t="s">
        <v>82</v>
      </c>
      <c r="J260" s="181">
        <v>1</v>
      </c>
      <c r="K260" s="181">
        <v>1</v>
      </c>
      <c r="L260" s="181">
        <v>0.5</v>
      </c>
      <c r="M260" s="181" t="str">
        <f t="shared" si="13"/>
        <v>לא לרכוש</v>
      </c>
      <c r="N260" s="181">
        <v>1000</v>
      </c>
      <c r="O260" s="183"/>
      <c r="P260" s="183">
        <v>60</v>
      </c>
      <c r="Q260" s="183"/>
    </row>
    <row r="261" spans="1:17" s="12" customFormat="1" ht="14.25" customHeight="1">
      <c r="A261" s="180" t="str">
        <f>'רשימת מכשור 2015'!A260</f>
        <v>משדר טמפרטורה</v>
      </c>
      <c r="B261" s="180" t="str">
        <f>'רשימת מכשור 2015'!B260</f>
        <v>ROTRONIC</v>
      </c>
      <c r="C261" s="180" t="str">
        <f>'רשימת מכשור 2015'!C260</f>
        <v>HF332SB1XDX</v>
      </c>
      <c r="D261" s="233" t="str">
        <f>'רשימת מכשור 2015'!D260</f>
        <v>AHU-39</v>
      </c>
      <c r="E261" s="180" t="str">
        <f>'רשימת מכשור 2015'!E260</f>
        <v>1-1-39-TIC-2</v>
      </c>
      <c r="F261" s="180">
        <f>'רשימת מכשור 2015'!F260</f>
        <v>1200</v>
      </c>
      <c r="G261" s="181">
        <v>66</v>
      </c>
      <c r="H261" s="181">
        <f t="shared" si="12"/>
        <v>79200</v>
      </c>
      <c r="I261" s="182" t="s">
        <v>82</v>
      </c>
      <c r="J261" s="181">
        <v>1</v>
      </c>
      <c r="K261" s="181">
        <v>1</v>
      </c>
      <c r="L261" s="181">
        <v>0.5</v>
      </c>
      <c r="M261" s="181" t="str">
        <f t="shared" si="13"/>
        <v>לא לרכוש</v>
      </c>
      <c r="N261" s="181">
        <v>1000</v>
      </c>
      <c r="O261" s="183"/>
      <c r="P261" s="183">
        <v>6</v>
      </c>
      <c r="Q261" s="183"/>
    </row>
    <row r="262" spans="1:17" s="12" customFormat="1" ht="14.25" customHeight="1">
      <c r="A262" s="180" t="str">
        <f>'רשימת מכשור 2015'!A261</f>
        <v>משדר לחות</v>
      </c>
      <c r="B262" s="180" t="str">
        <f>'רשימת מכשור 2015'!B261</f>
        <v>ROTRONIC</v>
      </c>
      <c r="C262" s="180" t="str">
        <f>'רשימת מכשור 2015'!C261</f>
        <v>HF332SB1XDX</v>
      </c>
      <c r="D262" s="233" t="str">
        <f>'רשימת מכשור 2015'!D261</f>
        <v>AHU-39</v>
      </c>
      <c r="E262" s="180" t="str">
        <f>'רשימת מכשור 2015'!E261</f>
        <v>1-1-39-HC-2</v>
      </c>
      <c r="F262" s="180">
        <f>'רשימת מכשור 2015'!F261</f>
        <v>1200</v>
      </c>
      <c r="G262" s="181">
        <v>1</v>
      </c>
      <c r="H262" s="181">
        <f t="shared" si="12"/>
        <v>1200</v>
      </c>
      <c r="I262" s="182" t="s">
        <v>82</v>
      </c>
      <c r="J262" s="181">
        <v>1</v>
      </c>
      <c r="K262" s="181">
        <v>1</v>
      </c>
      <c r="L262" s="181">
        <v>0.5</v>
      </c>
      <c r="M262" s="181" t="str">
        <f t="shared" si="13"/>
        <v>לא לרכוש</v>
      </c>
      <c r="N262" s="181">
        <v>1000</v>
      </c>
      <c r="O262" s="183"/>
      <c r="P262" s="183">
        <v>6</v>
      </c>
      <c r="Q262" s="183"/>
    </row>
    <row r="263" spans="1:17" s="12" customFormat="1" ht="14.25" customHeight="1">
      <c r="A263" s="180" t="str">
        <f>'רשימת מכשור 2015'!A262</f>
        <v>משדר טמפרטורה</v>
      </c>
      <c r="B263" s="180" t="str">
        <f>'רשימת מכשור 2015'!B262</f>
        <v>ROTRONIC</v>
      </c>
      <c r="C263" s="180" t="str">
        <f>'רשימת מכשור 2015'!C262</f>
        <v>HF332SB1XDX</v>
      </c>
      <c r="D263" s="233" t="str">
        <f>'רשימת מכשור 2015'!D262</f>
        <v>AHU-39</v>
      </c>
      <c r="E263" s="180" t="str">
        <f>'רשימת מכשור 2015'!E262</f>
        <v>1-1-39-TIC-4</v>
      </c>
      <c r="F263" s="180">
        <f>'רשימת מכשור 2015'!F262</f>
        <v>1200</v>
      </c>
      <c r="G263" s="181">
        <v>1</v>
      </c>
      <c r="H263" s="181">
        <f t="shared" si="12"/>
        <v>1200</v>
      </c>
      <c r="I263" s="182" t="s">
        <v>82</v>
      </c>
      <c r="J263" s="181">
        <v>1</v>
      </c>
      <c r="K263" s="181">
        <v>1</v>
      </c>
      <c r="L263" s="181">
        <v>0.5</v>
      </c>
      <c r="M263" s="181" t="str">
        <f t="shared" si="13"/>
        <v>לא לרכוש</v>
      </c>
      <c r="N263" s="181">
        <v>1000</v>
      </c>
      <c r="O263" s="183"/>
      <c r="P263" s="183">
        <v>6</v>
      </c>
      <c r="Q263" s="183"/>
    </row>
    <row r="264" spans="1:17" s="12" customFormat="1" ht="14.25" customHeight="1">
      <c r="A264" s="180" t="str">
        <f>'רשימת מכשור 2015'!A263</f>
        <v>משדר טמפרטורה</v>
      </c>
      <c r="B264" s="180" t="str">
        <f>'רשימת מכשור 2015'!B263</f>
        <v>ROTRONIC</v>
      </c>
      <c r="C264" s="180" t="str">
        <f>'רשימת מכשור 2015'!C263</f>
        <v>HF332SB1XDX</v>
      </c>
      <c r="D264" s="233" t="str">
        <f>'רשימת מכשור 2015'!D263</f>
        <v>AHU-39</v>
      </c>
      <c r="E264" s="180" t="str">
        <f>'רשימת מכשור 2015'!E263</f>
        <v>1-1-39-TIC-3</v>
      </c>
      <c r="F264" s="180">
        <f>'רשימת מכשור 2015'!F263</f>
        <v>1200</v>
      </c>
      <c r="G264" s="181">
        <v>1</v>
      </c>
      <c r="H264" s="181">
        <f t="shared" si="12"/>
        <v>1200</v>
      </c>
      <c r="I264" s="182" t="s">
        <v>82</v>
      </c>
      <c r="J264" s="181">
        <v>1</v>
      </c>
      <c r="K264" s="181">
        <v>1</v>
      </c>
      <c r="L264" s="181">
        <v>0.5</v>
      </c>
      <c r="M264" s="181" t="str">
        <f t="shared" si="13"/>
        <v>לא לרכוש</v>
      </c>
      <c r="N264" s="181">
        <v>1000</v>
      </c>
      <c r="O264" s="183"/>
      <c r="P264" s="183">
        <v>6</v>
      </c>
      <c r="Q264" s="183"/>
    </row>
    <row r="265" spans="1:17" s="12" customFormat="1" ht="14.25" customHeight="1">
      <c r="A265" s="180" t="str">
        <f>'רשימת מכשור 2015'!A264</f>
        <v>משדר טמפרטורה</v>
      </c>
      <c r="B265" s="180" t="str">
        <f>'רשימת מכשור 2015'!B264</f>
        <v>ROTRONIC</v>
      </c>
      <c r="C265" s="180" t="str">
        <f>'רשימת מכשור 2015'!C264</f>
        <v>HF332SB1XDX</v>
      </c>
      <c r="D265" s="233" t="str">
        <f>'רשימת מכשור 2015'!D264</f>
        <v>AHU-39</v>
      </c>
      <c r="E265" s="180" t="str">
        <f>'רשימת מכשור 2015'!E264</f>
        <v>1-1-39-TIC-5</v>
      </c>
      <c r="F265" s="180">
        <f>'רשימת מכשור 2015'!F264</f>
        <v>1200</v>
      </c>
      <c r="G265" s="181">
        <v>1</v>
      </c>
      <c r="H265" s="181">
        <f t="shared" si="12"/>
        <v>1200</v>
      </c>
      <c r="I265" s="182" t="s">
        <v>82</v>
      </c>
      <c r="J265" s="181">
        <v>1</v>
      </c>
      <c r="K265" s="181">
        <v>1</v>
      </c>
      <c r="L265" s="181">
        <v>0.5</v>
      </c>
      <c r="M265" s="181" t="str">
        <f t="shared" si="13"/>
        <v>לא לרכוש</v>
      </c>
      <c r="N265" s="181">
        <v>1000</v>
      </c>
      <c r="O265" s="183"/>
      <c r="P265" s="183">
        <v>6</v>
      </c>
      <c r="Q265" s="183"/>
    </row>
    <row r="266" spans="1:17" s="12" customFormat="1" ht="14.25" customHeight="1">
      <c r="A266" s="180" t="str">
        <f>'רשימת מכשור 2015'!A265</f>
        <v>משדר טמפרטורה</v>
      </c>
      <c r="B266" s="180" t="str">
        <f>'רשימת מכשור 2015'!B265</f>
        <v>ROTRONIC</v>
      </c>
      <c r="C266" s="180" t="str">
        <f>'רשימת מכשור 2015'!C265</f>
        <v>HF332SB1XDX</v>
      </c>
      <c r="D266" s="233" t="str">
        <f>'רשימת מכשור 2015'!D265</f>
        <v>AHU-39</v>
      </c>
      <c r="E266" s="180" t="str">
        <f>'רשימת מכשור 2015'!E265</f>
        <v>1-1-39-TIC-1</v>
      </c>
      <c r="F266" s="180">
        <f>'רשימת מכשור 2015'!F265</f>
        <v>1200</v>
      </c>
      <c r="G266" s="181">
        <v>1</v>
      </c>
      <c r="H266" s="181">
        <f t="shared" si="12"/>
        <v>1200</v>
      </c>
      <c r="I266" s="182" t="s">
        <v>82</v>
      </c>
      <c r="J266" s="181">
        <v>1</v>
      </c>
      <c r="K266" s="181">
        <v>1</v>
      </c>
      <c r="L266" s="181">
        <v>0.5</v>
      </c>
      <c r="M266" s="181" t="str">
        <f t="shared" si="13"/>
        <v>לא לרכוש</v>
      </c>
      <c r="N266" s="181">
        <v>1000</v>
      </c>
      <c r="O266" s="183"/>
      <c r="P266" s="183">
        <v>6</v>
      </c>
      <c r="Q266" s="183"/>
    </row>
    <row r="267" spans="1:17" s="12" customFormat="1" ht="14.25" customHeight="1">
      <c r="A267" s="180" t="str">
        <f>'רשימת מכשור 2015'!A266</f>
        <v>מד לחץ הפרשי</v>
      </c>
      <c r="B267" s="180" t="str">
        <f>'רשימת מכשור 2015'!B266</f>
        <v>Micatrone</v>
      </c>
      <c r="C267" s="180" t="str">
        <f>'רשימת מכשור 2015'!C266</f>
        <v>MF-P</v>
      </c>
      <c r="D267" s="233" t="str">
        <f>'רשימת מכשור 2015'!D266</f>
        <v>AHU-39</v>
      </c>
      <c r="E267" s="180" t="str">
        <f>'רשימת מכשור 2015'!E266</f>
        <v>1-1-39-PIC-1</v>
      </c>
      <c r="F267" s="180">
        <f>'רשימת מכשור 2015'!F266</f>
        <v>1200</v>
      </c>
      <c r="G267" s="181">
        <v>1</v>
      </c>
      <c r="H267" s="181">
        <f t="shared" si="12"/>
        <v>1200</v>
      </c>
      <c r="I267" s="182" t="s">
        <v>82</v>
      </c>
      <c r="J267" s="181">
        <v>1</v>
      </c>
      <c r="K267" s="181">
        <v>1</v>
      </c>
      <c r="L267" s="181">
        <v>0.5</v>
      </c>
      <c r="M267" s="181" t="str">
        <f t="shared" si="13"/>
        <v>לא לרכוש</v>
      </c>
      <c r="N267" s="181">
        <v>1000</v>
      </c>
      <c r="O267" s="183"/>
      <c r="P267" s="183">
        <v>60</v>
      </c>
      <c r="Q267" s="183"/>
    </row>
    <row r="268" spans="1:17" s="12" customFormat="1" ht="14.25" customHeight="1">
      <c r="A268" s="180" t="str">
        <f>'רשימת מכשור 2015'!A267</f>
        <v>מד לחץ הפרשי</v>
      </c>
      <c r="B268" s="180" t="str">
        <f>'רשימת מכשור 2015'!B267</f>
        <v>Micatrone</v>
      </c>
      <c r="C268" s="180" t="str">
        <f>'רשימת מכשור 2015'!C267</f>
        <v>MF-P</v>
      </c>
      <c r="D268" s="233" t="str">
        <f>'רשימת מכשור 2015'!D267</f>
        <v>AHU-39</v>
      </c>
      <c r="E268" s="180" t="str">
        <f>'רשימת מכשור 2015'!E267</f>
        <v>1-1-39-PIC-2</v>
      </c>
      <c r="F268" s="180">
        <f>'רשימת מכשור 2015'!F267</f>
        <v>1200</v>
      </c>
      <c r="G268" s="181">
        <v>1</v>
      </c>
      <c r="H268" s="181">
        <f t="shared" si="12"/>
        <v>1200</v>
      </c>
      <c r="I268" s="182" t="s">
        <v>82</v>
      </c>
      <c r="J268" s="181">
        <v>1</v>
      </c>
      <c r="K268" s="181">
        <v>1</v>
      </c>
      <c r="L268" s="181">
        <v>0.5</v>
      </c>
      <c r="M268" s="181" t="str">
        <f t="shared" si="13"/>
        <v>לא לרכוש</v>
      </c>
      <c r="N268" s="181">
        <v>1000</v>
      </c>
      <c r="O268" s="183"/>
      <c r="P268" s="183">
        <v>60</v>
      </c>
      <c r="Q268" s="183"/>
    </row>
    <row r="269" spans="1:17" s="12" customFormat="1" ht="14.25" customHeight="1">
      <c r="A269" s="180" t="str">
        <f>'רשימת מכשור 2015'!A268</f>
        <v>מד לחץ הפרשי</v>
      </c>
      <c r="B269" s="180" t="str">
        <f>'רשימת מכשור 2015'!B268</f>
        <v>Micatrone</v>
      </c>
      <c r="C269" s="180" t="str">
        <f>'רשימת מכשור 2015'!C268</f>
        <v>MF-P</v>
      </c>
      <c r="D269" s="233" t="str">
        <f>'רשימת מכשור 2015'!D268</f>
        <v>AHU-39</v>
      </c>
      <c r="E269" s="180" t="str">
        <f>'רשימת מכשור 2015'!E268</f>
        <v>1-1-39-PIC-3</v>
      </c>
      <c r="F269" s="180">
        <f>'רשימת מכשור 2015'!F268</f>
        <v>1200</v>
      </c>
      <c r="G269" s="181">
        <v>1</v>
      </c>
      <c r="H269" s="181">
        <f t="shared" si="12"/>
        <v>1200</v>
      </c>
      <c r="I269" s="182" t="s">
        <v>82</v>
      </c>
      <c r="J269" s="181">
        <v>1</v>
      </c>
      <c r="K269" s="181">
        <v>1</v>
      </c>
      <c r="L269" s="181">
        <v>0.5</v>
      </c>
      <c r="M269" s="181" t="str">
        <f t="shared" si="13"/>
        <v>לא לרכוש</v>
      </c>
      <c r="N269" s="181">
        <v>1000</v>
      </c>
      <c r="O269" s="183"/>
      <c r="P269" s="183">
        <v>60</v>
      </c>
      <c r="Q269" s="183"/>
    </row>
    <row r="270" spans="1:17" s="12" customFormat="1" ht="14.25" customHeight="1">
      <c r="A270" s="180" t="str">
        <f>'רשימת מכשור 2015'!A269</f>
        <v>מד לחץ הפרשי</v>
      </c>
      <c r="B270" s="180" t="str">
        <f>'רשימת מכשור 2015'!B269</f>
        <v>Micatrone</v>
      </c>
      <c r="C270" s="180" t="str">
        <f>'רשימת מכשור 2015'!C269</f>
        <v>MF-P</v>
      </c>
      <c r="D270" s="233" t="str">
        <f>'רשימת מכשור 2015'!D269</f>
        <v>AHU-39</v>
      </c>
      <c r="E270" s="180" t="str">
        <f>'רשימת מכשור 2015'!E269</f>
        <v>1-1-39-PIC-4</v>
      </c>
      <c r="F270" s="180">
        <f>'רשימת מכשור 2015'!F269</f>
        <v>1200</v>
      </c>
      <c r="G270" s="181">
        <v>1</v>
      </c>
      <c r="H270" s="181">
        <f t="shared" si="12"/>
        <v>1200</v>
      </c>
      <c r="I270" s="182" t="s">
        <v>82</v>
      </c>
      <c r="J270" s="181">
        <v>1</v>
      </c>
      <c r="K270" s="181">
        <v>1</v>
      </c>
      <c r="L270" s="181">
        <v>0.5</v>
      </c>
      <c r="M270" s="181" t="str">
        <f t="shared" si="13"/>
        <v>לא לרכוש</v>
      </c>
      <c r="N270" s="181">
        <v>1000</v>
      </c>
      <c r="O270" s="183"/>
      <c r="P270" s="183">
        <v>60</v>
      </c>
      <c r="Q270" s="183"/>
    </row>
    <row r="271" spans="1:17" s="12" customFormat="1" ht="14.25" customHeight="1">
      <c r="A271" s="180" t="str">
        <f>'רשימת מכשור 2015'!A270</f>
        <v>מד לחץ הפרשי</v>
      </c>
      <c r="B271" s="180" t="str">
        <f>'רשימת מכשור 2015'!B270</f>
        <v>Micatrone</v>
      </c>
      <c r="C271" s="180" t="str">
        <f>'רשימת מכשור 2015'!C270</f>
        <v>MF-P</v>
      </c>
      <c r="D271" s="233" t="str">
        <f>'רשימת מכשור 2015'!D270</f>
        <v>AHU-39</v>
      </c>
      <c r="E271" s="180" t="str">
        <f>'רשימת מכשור 2015'!E270</f>
        <v>1-1-39-PIC-5</v>
      </c>
      <c r="F271" s="180">
        <f>'רשימת מכשור 2015'!F270</f>
        <v>1200</v>
      </c>
      <c r="G271" s="181">
        <v>1</v>
      </c>
      <c r="H271" s="181">
        <f t="shared" si="12"/>
        <v>1200</v>
      </c>
      <c r="I271" s="182" t="s">
        <v>82</v>
      </c>
      <c r="J271" s="181">
        <v>1</v>
      </c>
      <c r="K271" s="181">
        <v>1</v>
      </c>
      <c r="L271" s="181">
        <v>0.5</v>
      </c>
      <c r="M271" s="181" t="str">
        <f t="shared" si="13"/>
        <v>לא לרכוש</v>
      </c>
      <c r="N271" s="181">
        <v>1000</v>
      </c>
      <c r="O271" s="183"/>
      <c r="P271" s="183">
        <v>60</v>
      </c>
      <c r="Q271" s="183"/>
    </row>
    <row r="272" spans="1:17" s="12" customFormat="1" ht="14.25" customHeight="1">
      <c r="A272" s="180" t="str">
        <f>'רשימת מכשור 2015'!A271</f>
        <v>משדר טמפרטורה</v>
      </c>
      <c r="B272" s="180" t="str">
        <f>'רשימת מכשור 2015'!B271</f>
        <v>ROTRONIC</v>
      </c>
      <c r="C272" s="180" t="str">
        <f>'רשימת מכשור 2015'!C271</f>
        <v>HF3</v>
      </c>
      <c r="D272" s="233" t="str">
        <f>'רשימת מכשור 2015'!D271</f>
        <v>AHU-40</v>
      </c>
      <c r="E272" s="180" t="str">
        <f>'רשימת מכשור 2015'!E271</f>
        <v>1-1-40-TIC-1</v>
      </c>
      <c r="F272" s="180">
        <f>'רשימת מכשור 2015'!F271</f>
        <v>1200</v>
      </c>
      <c r="G272" s="181">
        <v>1</v>
      </c>
      <c r="H272" s="181">
        <f t="shared" si="12"/>
        <v>1200</v>
      </c>
      <c r="I272" s="182" t="s">
        <v>82</v>
      </c>
      <c r="J272" s="181">
        <v>1</v>
      </c>
      <c r="K272" s="181">
        <v>1</v>
      </c>
      <c r="L272" s="181">
        <v>0.5</v>
      </c>
      <c r="M272" s="181" t="str">
        <f t="shared" si="13"/>
        <v>לא לרכוש</v>
      </c>
      <c r="N272" s="181">
        <v>1000</v>
      </c>
      <c r="O272" s="183"/>
      <c r="P272" s="183">
        <v>10</v>
      </c>
      <c r="Q272" s="183"/>
    </row>
    <row r="273" spans="1:17" s="12" customFormat="1" ht="14.25" customHeight="1">
      <c r="A273" s="180" t="str">
        <f>'רשימת מכשור 2015'!A272</f>
        <v>משדר טמפרטורה</v>
      </c>
      <c r="B273" s="180" t="str">
        <f>'רשימת מכשור 2015'!B272</f>
        <v>ROTRONIC</v>
      </c>
      <c r="C273" s="180" t="str">
        <f>'רשימת מכשור 2015'!C272</f>
        <v>HF3</v>
      </c>
      <c r="D273" s="233" t="str">
        <f>'רשימת מכשור 2015'!D272</f>
        <v>AHU-40</v>
      </c>
      <c r="E273" s="180" t="str">
        <f>'רשימת מכשור 2015'!E272</f>
        <v>1-1-40-TIC-5</v>
      </c>
      <c r="F273" s="180">
        <f>'רשימת מכשור 2015'!F272</f>
        <v>1200</v>
      </c>
      <c r="G273" s="181">
        <v>1</v>
      </c>
      <c r="H273" s="181">
        <f t="shared" si="12"/>
        <v>1200</v>
      </c>
      <c r="I273" s="182" t="s">
        <v>82</v>
      </c>
      <c r="J273" s="181">
        <v>1</v>
      </c>
      <c r="K273" s="181">
        <v>1</v>
      </c>
      <c r="L273" s="181">
        <v>0.5</v>
      </c>
      <c r="M273" s="181" t="str">
        <f t="shared" si="13"/>
        <v>לא לרכוש</v>
      </c>
      <c r="N273" s="181">
        <v>1000</v>
      </c>
      <c r="O273" s="183"/>
      <c r="P273" s="183">
        <v>10</v>
      </c>
      <c r="Q273" s="183"/>
    </row>
    <row r="274" spans="1:17" s="12" customFormat="1" ht="14.25" customHeight="1">
      <c r="A274" s="180" t="str">
        <f>'רשימת מכשור 2015'!A273</f>
        <v>משדר טמפרטורה</v>
      </c>
      <c r="B274" s="180" t="str">
        <f>'רשימת מכשור 2015'!B273</f>
        <v>ROTRONIC</v>
      </c>
      <c r="C274" s="180" t="str">
        <f>'רשימת מכשור 2015'!C273</f>
        <v>HF3</v>
      </c>
      <c r="D274" s="233" t="str">
        <f>'רשימת מכשור 2015'!D273</f>
        <v>AHU-40</v>
      </c>
      <c r="E274" s="180" t="str">
        <f>'רשימת מכשור 2015'!E273</f>
        <v>1-1-40-TIC-6</v>
      </c>
      <c r="F274" s="180">
        <f>'רשימת מכשור 2015'!F273</f>
        <v>1200</v>
      </c>
      <c r="G274" s="181">
        <v>1</v>
      </c>
      <c r="H274" s="181">
        <f t="shared" si="12"/>
        <v>1200</v>
      </c>
      <c r="I274" s="182" t="s">
        <v>82</v>
      </c>
      <c r="J274" s="181">
        <v>1</v>
      </c>
      <c r="K274" s="181">
        <v>1</v>
      </c>
      <c r="L274" s="181">
        <v>0.5</v>
      </c>
      <c r="M274" s="181" t="str">
        <f t="shared" si="13"/>
        <v>לא לרכוש</v>
      </c>
      <c r="N274" s="181">
        <v>1000</v>
      </c>
      <c r="O274" s="183"/>
      <c r="P274" s="183">
        <v>10</v>
      </c>
      <c r="Q274" s="183"/>
    </row>
    <row r="275" spans="1:17" s="12" customFormat="1" ht="14.25" customHeight="1">
      <c r="A275" s="180" t="str">
        <f>'רשימת מכשור 2015'!A274</f>
        <v>משדר טמפרטורה</v>
      </c>
      <c r="B275" s="180" t="str">
        <f>'רשימת מכשור 2015'!B274</f>
        <v>ROTRONIC</v>
      </c>
      <c r="C275" s="180" t="str">
        <f>'רשימת מכשור 2015'!C274</f>
        <v>HF332SB1XDX</v>
      </c>
      <c r="D275" s="233" t="str">
        <f>'רשימת מכשור 2015'!D274</f>
        <v>AHU-40</v>
      </c>
      <c r="E275" s="180" t="str">
        <f>'רשימת מכשור 2015'!E274</f>
        <v>1-1-40-TIC-2</v>
      </c>
      <c r="F275" s="180">
        <f>'רשימת מכשור 2015'!F274</f>
        <v>1200</v>
      </c>
      <c r="G275" s="181">
        <v>1</v>
      </c>
      <c r="H275" s="181">
        <f t="shared" si="12"/>
        <v>1200</v>
      </c>
      <c r="I275" s="182" t="s">
        <v>82</v>
      </c>
      <c r="J275" s="181">
        <v>1</v>
      </c>
      <c r="K275" s="181">
        <v>1</v>
      </c>
      <c r="L275" s="181">
        <v>0.5</v>
      </c>
      <c r="M275" s="181" t="str">
        <f t="shared" si="13"/>
        <v>לא לרכוש</v>
      </c>
      <c r="N275" s="181">
        <v>1000</v>
      </c>
      <c r="O275" s="183"/>
      <c r="P275" s="183">
        <v>10</v>
      </c>
      <c r="Q275" s="183"/>
    </row>
    <row r="276" spans="1:17" s="12" customFormat="1" ht="14.25" customHeight="1">
      <c r="A276" s="180" t="str">
        <f>'רשימת מכשור 2015'!A275</f>
        <v>משדר טמפרטורה</v>
      </c>
      <c r="B276" s="180" t="str">
        <f>'רשימת מכשור 2015'!B275</f>
        <v>ROTRONIC</v>
      </c>
      <c r="C276" s="180" t="str">
        <f>'רשימת מכשור 2015'!C275</f>
        <v>HF332SB1XDX</v>
      </c>
      <c r="D276" s="233" t="str">
        <f>'רשימת מכשור 2015'!D275</f>
        <v>AHU-40</v>
      </c>
      <c r="E276" s="180" t="str">
        <f>'רשימת מכשור 2015'!E275</f>
        <v>1-1-40-HIC-2</v>
      </c>
      <c r="F276" s="180">
        <f>'רשימת מכשור 2015'!F275</f>
        <v>1200</v>
      </c>
      <c r="G276" s="181">
        <v>1</v>
      </c>
      <c r="H276" s="181">
        <f t="shared" si="12"/>
        <v>1200</v>
      </c>
      <c r="I276" s="182" t="s">
        <v>82</v>
      </c>
      <c r="J276" s="181">
        <v>1</v>
      </c>
      <c r="K276" s="181">
        <v>1</v>
      </c>
      <c r="L276" s="181">
        <v>0.5</v>
      </c>
      <c r="M276" s="181" t="str">
        <f t="shared" si="13"/>
        <v>לא לרכוש</v>
      </c>
      <c r="N276" s="181">
        <v>1000</v>
      </c>
      <c r="O276" s="183"/>
      <c r="P276" s="183">
        <v>10</v>
      </c>
      <c r="Q276" s="183"/>
    </row>
    <row r="277" spans="1:17" s="12" customFormat="1" ht="14.25" customHeight="1">
      <c r="A277" s="180" t="str">
        <f>'רשימת מכשור 2015'!A276</f>
        <v>משדר טמפרטורה</v>
      </c>
      <c r="B277" s="180" t="str">
        <f>'רשימת מכשור 2015'!B276</f>
        <v>ROTRONIC</v>
      </c>
      <c r="C277" s="180" t="str">
        <f>'רשימת מכשור 2015'!C276</f>
        <v>HF3</v>
      </c>
      <c r="D277" s="233" t="str">
        <f>'רשימת מכשור 2015'!D276</f>
        <v>AHU-40</v>
      </c>
      <c r="E277" s="180" t="str">
        <f>'רשימת מכשור 2015'!E276</f>
        <v>1-1-40-TIC-7</v>
      </c>
      <c r="F277" s="180">
        <f>'רשימת מכשור 2015'!F276</f>
        <v>1200</v>
      </c>
      <c r="G277" s="181">
        <v>1</v>
      </c>
      <c r="H277" s="181">
        <f t="shared" si="12"/>
        <v>1200</v>
      </c>
      <c r="I277" s="182" t="s">
        <v>82</v>
      </c>
      <c r="J277" s="181">
        <v>1</v>
      </c>
      <c r="K277" s="181">
        <v>1</v>
      </c>
      <c r="L277" s="181">
        <v>0.5</v>
      </c>
      <c r="M277" s="181" t="str">
        <f t="shared" si="13"/>
        <v>לא לרכוש</v>
      </c>
      <c r="N277" s="181">
        <v>1000</v>
      </c>
      <c r="O277" s="183"/>
      <c r="P277" s="183">
        <v>10</v>
      </c>
      <c r="Q277" s="183"/>
    </row>
    <row r="278" spans="1:17" s="12" customFormat="1" ht="14.25" customHeight="1">
      <c r="A278" s="180" t="str">
        <f>'רשימת מכשור 2015'!A277</f>
        <v>משדר טמפרטורה</v>
      </c>
      <c r="B278" s="180" t="str">
        <f>'רשימת מכשור 2015'!B277</f>
        <v>ROTRONIC</v>
      </c>
      <c r="C278" s="180" t="str">
        <f>'רשימת מכשור 2015'!C277</f>
        <v>HF332SB1XDX</v>
      </c>
      <c r="D278" s="233" t="str">
        <f>'רשימת מכשור 2015'!D277</f>
        <v>AHU-40</v>
      </c>
      <c r="E278" s="180" t="str">
        <f>'רשימת מכשור 2015'!E277</f>
        <v>1-1-40-TIC-3</v>
      </c>
      <c r="F278" s="180">
        <f>'רשימת מכשור 2015'!F277</f>
        <v>1200</v>
      </c>
      <c r="G278" s="181">
        <v>1</v>
      </c>
      <c r="H278" s="181">
        <f t="shared" si="12"/>
        <v>1200</v>
      </c>
      <c r="I278" s="182" t="s">
        <v>82</v>
      </c>
      <c r="J278" s="181">
        <v>1</v>
      </c>
      <c r="K278" s="181">
        <v>1</v>
      </c>
      <c r="L278" s="181">
        <v>0.5</v>
      </c>
      <c r="M278" s="181" t="str">
        <f t="shared" si="13"/>
        <v>לא לרכוש</v>
      </c>
      <c r="N278" s="181">
        <v>1000</v>
      </c>
      <c r="O278" s="183"/>
      <c r="P278" s="183">
        <v>10</v>
      </c>
      <c r="Q278" s="183"/>
    </row>
    <row r="279" spans="1:17" s="12" customFormat="1" ht="14.25" customHeight="1">
      <c r="A279" s="180" t="str">
        <f>'רשימת מכשור 2015'!A278</f>
        <v>משדר לחות</v>
      </c>
      <c r="B279" s="180" t="str">
        <f>'רשימת מכשור 2015'!B278</f>
        <v>ROTRONIC</v>
      </c>
      <c r="C279" s="180" t="str">
        <f>'רשימת מכשור 2015'!C278</f>
        <v>HF332SB1XDX</v>
      </c>
      <c r="D279" s="233" t="str">
        <f>'רשימת מכשור 2015'!D278</f>
        <v>AHU-40</v>
      </c>
      <c r="E279" s="180" t="str">
        <f>'רשימת מכשור 2015'!E278</f>
        <v>1-1-40-HC-3</v>
      </c>
      <c r="F279" s="180">
        <f>'רשימת מכשור 2015'!F278</f>
        <v>1200</v>
      </c>
      <c r="G279" s="181">
        <v>1</v>
      </c>
      <c r="H279" s="181">
        <f t="shared" si="12"/>
        <v>1200</v>
      </c>
      <c r="I279" s="182" t="s">
        <v>82</v>
      </c>
      <c r="J279" s="181">
        <v>1</v>
      </c>
      <c r="K279" s="181">
        <v>1</v>
      </c>
      <c r="L279" s="181">
        <v>0.5</v>
      </c>
      <c r="M279" s="181" t="str">
        <f t="shared" si="13"/>
        <v>לא לרכוש</v>
      </c>
      <c r="N279" s="181">
        <v>1000</v>
      </c>
      <c r="O279" s="183"/>
      <c r="P279" s="183">
        <v>10</v>
      </c>
      <c r="Q279" s="183"/>
    </row>
    <row r="280" spans="1:17" s="12" customFormat="1" ht="14.25" customHeight="1">
      <c r="A280" s="180" t="str">
        <f>'רשימת מכשור 2015'!A279</f>
        <v>משדר טמפרטורה</v>
      </c>
      <c r="B280" s="180" t="str">
        <f>'רשימת מכשור 2015'!B279</f>
        <v>ROTRONIC</v>
      </c>
      <c r="C280" s="180" t="str">
        <f>'רשימת מכשור 2015'!C279</f>
        <v>HF332SB1XDX</v>
      </c>
      <c r="D280" s="233" t="str">
        <f>'רשימת מכשור 2015'!D279</f>
        <v>AHU-40</v>
      </c>
      <c r="E280" s="180" t="str">
        <f>'רשימת מכשור 2015'!E279</f>
        <v>1-1-40-TIC-4</v>
      </c>
      <c r="F280" s="180">
        <f>'רשימת מכשור 2015'!F279</f>
        <v>1200</v>
      </c>
      <c r="G280" s="181">
        <v>1</v>
      </c>
      <c r="H280" s="181">
        <f t="shared" si="12"/>
        <v>1200</v>
      </c>
      <c r="I280" s="182" t="s">
        <v>82</v>
      </c>
      <c r="J280" s="181">
        <v>1</v>
      </c>
      <c r="K280" s="181">
        <v>1</v>
      </c>
      <c r="L280" s="181">
        <v>0.5</v>
      </c>
      <c r="M280" s="181" t="str">
        <f t="shared" si="13"/>
        <v>לא לרכוש</v>
      </c>
      <c r="N280" s="181">
        <v>1000</v>
      </c>
      <c r="O280" s="183"/>
      <c r="P280" s="183">
        <v>10</v>
      </c>
      <c r="Q280" s="183"/>
    </row>
    <row r="281" spans="1:17" s="12" customFormat="1" ht="14.25" customHeight="1">
      <c r="A281" s="180" t="str">
        <f>'רשימת מכשור 2015'!A280</f>
        <v>משדר לחות</v>
      </c>
      <c r="B281" s="180" t="str">
        <f>'רשימת מכשור 2015'!B280</f>
        <v>ROTRONIC</v>
      </c>
      <c r="C281" s="180" t="str">
        <f>'רשימת מכשור 2015'!C280</f>
        <v>HF332SB1XDX</v>
      </c>
      <c r="D281" s="233" t="str">
        <f>'רשימת מכשור 2015'!D280</f>
        <v>AHU-40</v>
      </c>
      <c r="E281" s="180" t="str">
        <f>'רשימת מכשור 2015'!E280</f>
        <v>1-1-40-HC-4</v>
      </c>
      <c r="F281" s="180">
        <f>'רשימת מכשור 2015'!F280</f>
        <v>1200</v>
      </c>
      <c r="G281" s="181">
        <v>1</v>
      </c>
      <c r="H281" s="181">
        <f t="shared" si="12"/>
        <v>1200</v>
      </c>
      <c r="I281" s="182" t="s">
        <v>82</v>
      </c>
      <c r="J281" s="181">
        <v>1</v>
      </c>
      <c r="K281" s="181">
        <v>1</v>
      </c>
      <c r="L281" s="181">
        <v>0.5</v>
      </c>
      <c r="M281" s="181" t="str">
        <f t="shared" si="13"/>
        <v>לא לרכוש</v>
      </c>
      <c r="N281" s="181">
        <v>1000</v>
      </c>
      <c r="O281" s="183"/>
      <c r="P281" s="183">
        <v>10</v>
      </c>
      <c r="Q281" s="183"/>
    </row>
    <row r="282" spans="1:17" s="12" customFormat="1" ht="14.25" customHeight="1">
      <c r="A282" s="180" t="str">
        <f>'רשימת מכשור 2015'!A281</f>
        <v>משדר טמפרטורה</v>
      </c>
      <c r="B282" s="180" t="str">
        <f>'רשימת מכשור 2015'!B281</f>
        <v>ROTRONIC</v>
      </c>
      <c r="C282" s="180" t="str">
        <f>'רשימת מכשור 2015'!C281</f>
        <v>HF3</v>
      </c>
      <c r="D282" s="233" t="str">
        <f>'רשימת מכשור 2015'!D281</f>
        <v>AHU-40</v>
      </c>
      <c r="E282" s="180" t="str">
        <f>'רשימת מכשור 2015'!E281</f>
        <v>1-1-40-TIC-10</v>
      </c>
      <c r="F282" s="180">
        <f>'רשימת מכשור 2015'!F281</f>
        <v>1200</v>
      </c>
      <c r="G282" s="181">
        <v>1</v>
      </c>
      <c r="H282" s="181">
        <f t="shared" si="12"/>
        <v>1200</v>
      </c>
      <c r="I282" s="182" t="s">
        <v>82</v>
      </c>
      <c r="J282" s="181">
        <v>1</v>
      </c>
      <c r="K282" s="181">
        <v>1</v>
      </c>
      <c r="L282" s="181">
        <v>0.5</v>
      </c>
      <c r="M282" s="181" t="str">
        <f t="shared" si="13"/>
        <v>לא לרכוש</v>
      </c>
      <c r="N282" s="181">
        <v>1000</v>
      </c>
      <c r="O282" s="183"/>
      <c r="P282" s="183">
        <v>10</v>
      </c>
      <c r="Q282" s="183"/>
    </row>
    <row r="283" spans="1:17" s="12" customFormat="1" ht="14.25" customHeight="1">
      <c r="A283" s="180" t="str">
        <f>'רשימת מכשור 2015'!A282</f>
        <v>משדר טמפרטורה</v>
      </c>
      <c r="B283" s="180" t="str">
        <f>'רשימת מכשור 2015'!B282</f>
        <v>ROTRONIC</v>
      </c>
      <c r="C283" s="180" t="str">
        <f>'רשימת מכשור 2015'!C282</f>
        <v>HF3</v>
      </c>
      <c r="D283" s="233" t="str">
        <f>'רשימת מכשור 2015'!D282</f>
        <v>AHU-40</v>
      </c>
      <c r="E283" s="180" t="str">
        <f>'רשימת מכשור 2015'!E282</f>
        <v>1-1-40-TIC-8</v>
      </c>
      <c r="F283" s="180">
        <f>'רשימת מכשור 2015'!F282</f>
        <v>1200</v>
      </c>
      <c r="G283" s="181">
        <v>1</v>
      </c>
      <c r="H283" s="181">
        <f t="shared" ref="H283:H346" si="14">G283*F283</f>
        <v>1200</v>
      </c>
      <c r="I283" s="182" t="s">
        <v>82</v>
      </c>
      <c r="J283" s="181">
        <v>1</v>
      </c>
      <c r="K283" s="181">
        <v>1</v>
      </c>
      <c r="L283" s="181">
        <v>0.5</v>
      </c>
      <c r="M283" s="181" t="str">
        <f t="shared" si="13"/>
        <v>לא לרכוש</v>
      </c>
      <c r="N283" s="181">
        <v>1000</v>
      </c>
      <c r="O283" s="183"/>
      <c r="P283" s="183">
        <v>10</v>
      </c>
      <c r="Q283" s="183"/>
    </row>
    <row r="284" spans="1:17" s="12" customFormat="1" ht="14.25" customHeight="1">
      <c r="A284" s="180" t="str">
        <f>'רשימת מכשור 2015'!A283</f>
        <v>משדר לחות</v>
      </c>
      <c r="B284" s="180" t="str">
        <f>'רשימת מכשור 2015'!B283</f>
        <v>ROTRONIC</v>
      </c>
      <c r="C284" s="180" t="str">
        <f>'רשימת מכשור 2015'!C283</f>
        <v>HF332SB1XDX</v>
      </c>
      <c r="D284" s="233" t="str">
        <f>'רשימת מכשור 2015'!D283</f>
        <v>AHU-40</v>
      </c>
      <c r="E284" s="180" t="str">
        <f>'רשימת מכשור 2015'!E283</f>
        <v>1-1-40-HC-8</v>
      </c>
      <c r="F284" s="180">
        <f>'רשימת מכשור 2015'!F283</f>
        <v>1200</v>
      </c>
      <c r="G284" s="181">
        <v>1</v>
      </c>
      <c r="H284" s="181">
        <f t="shared" si="14"/>
        <v>1200</v>
      </c>
      <c r="I284" s="182" t="s">
        <v>82</v>
      </c>
      <c r="J284" s="181">
        <v>1</v>
      </c>
      <c r="K284" s="181">
        <v>1</v>
      </c>
      <c r="L284" s="181">
        <v>0.5</v>
      </c>
      <c r="M284" s="181" t="str">
        <f t="shared" si="13"/>
        <v>לא לרכוש</v>
      </c>
      <c r="N284" s="181">
        <v>1000</v>
      </c>
      <c r="O284" s="183"/>
      <c r="P284" s="183">
        <v>10</v>
      </c>
      <c r="Q284" s="183"/>
    </row>
    <row r="285" spans="1:17" s="12" customFormat="1" ht="14.25" customHeight="1">
      <c r="A285" s="180" t="str">
        <f>'רשימת מכשור 2015'!A284</f>
        <v>מד לחץ הפרשי</v>
      </c>
      <c r="B285" s="180" t="str">
        <f>'רשימת מכשור 2015'!B284</f>
        <v>Micatrone</v>
      </c>
      <c r="C285" s="180" t="str">
        <f>'רשימת מכשור 2015'!C284</f>
        <v>MF-P</v>
      </c>
      <c r="D285" s="233" t="str">
        <f>'רשימת מכשור 2015'!D284</f>
        <v>AHU-40</v>
      </c>
      <c r="E285" s="180" t="str">
        <f>'רשימת מכשור 2015'!E284</f>
        <v>1-1-40-PIC-1</v>
      </c>
      <c r="F285" s="180">
        <f>'רשימת מכשור 2015'!F284</f>
        <v>1200</v>
      </c>
      <c r="G285" s="181">
        <v>1</v>
      </c>
      <c r="H285" s="181">
        <f t="shared" si="14"/>
        <v>1200</v>
      </c>
      <c r="I285" s="182" t="s">
        <v>82</v>
      </c>
      <c r="J285" s="181">
        <v>1</v>
      </c>
      <c r="K285" s="181">
        <v>1</v>
      </c>
      <c r="L285" s="181">
        <v>0.5</v>
      </c>
      <c r="M285" s="181" t="str">
        <f t="shared" si="13"/>
        <v>לא לרכוש</v>
      </c>
      <c r="N285" s="181">
        <v>1000</v>
      </c>
      <c r="O285" s="183"/>
      <c r="P285" s="183">
        <v>60</v>
      </c>
      <c r="Q285" s="183"/>
    </row>
    <row r="286" spans="1:17" s="12" customFormat="1" ht="14.25" customHeight="1">
      <c r="A286" s="180" t="str">
        <f>'רשימת מכשור 2015'!A285</f>
        <v>מד לחץ הפרשי</v>
      </c>
      <c r="B286" s="180" t="str">
        <f>'רשימת מכשור 2015'!B285</f>
        <v>Micatrone</v>
      </c>
      <c r="C286" s="180" t="str">
        <f>'רשימת מכשור 2015'!C285</f>
        <v>MF-P</v>
      </c>
      <c r="D286" s="233" t="str">
        <f>'רשימת מכשור 2015'!D285</f>
        <v>AHU-40</v>
      </c>
      <c r="E286" s="180" t="str">
        <f>'רשימת מכשור 2015'!E285</f>
        <v>1-1-40-PIC-2</v>
      </c>
      <c r="F286" s="180">
        <f>'רשימת מכשור 2015'!F285</f>
        <v>1200</v>
      </c>
      <c r="G286" s="181">
        <v>1</v>
      </c>
      <c r="H286" s="181">
        <f t="shared" si="14"/>
        <v>1200</v>
      </c>
      <c r="I286" s="182" t="s">
        <v>82</v>
      </c>
      <c r="J286" s="181">
        <v>1</v>
      </c>
      <c r="K286" s="181">
        <v>1</v>
      </c>
      <c r="L286" s="181">
        <v>0.5</v>
      </c>
      <c r="M286" s="181" t="str">
        <f t="shared" si="13"/>
        <v>לא לרכוש</v>
      </c>
      <c r="N286" s="181">
        <v>1000</v>
      </c>
      <c r="O286" s="183"/>
      <c r="P286" s="183">
        <v>60</v>
      </c>
      <c r="Q286" s="183"/>
    </row>
    <row r="287" spans="1:17" s="12" customFormat="1" ht="14.25" customHeight="1">
      <c r="A287" s="180" t="str">
        <f>'רשימת מכשור 2015'!A286</f>
        <v>מד לחץ הפרשי</v>
      </c>
      <c r="B287" s="180" t="str">
        <f>'רשימת מכשור 2015'!B286</f>
        <v>Micatrone</v>
      </c>
      <c r="C287" s="180" t="str">
        <f>'רשימת מכשור 2015'!C286</f>
        <v>MF-P</v>
      </c>
      <c r="D287" s="233" t="str">
        <f>'רשימת מכשור 2015'!D286</f>
        <v>AHU-40</v>
      </c>
      <c r="E287" s="180" t="str">
        <f>'רשימת מכשור 2015'!E286</f>
        <v>1-1-40-PIC-3</v>
      </c>
      <c r="F287" s="180">
        <f>'רשימת מכשור 2015'!F286</f>
        <v>1200</v>
      </c>
      <c r="G287" s="181">
        <v>1</v>
      </c>
      <c r="H287" s="181">
        <f t="shared" si="14"/>
        <v>1200</v>
      </c>
      <c r="I287" s="182" t="s">
        <v>82</v>
      </c>
      <c r="J287" s="181">
        <v>1</v>
      </c>
      <c r="K287" s="181">
        <v>1</v>
      </c>
      <c r="L287" s="181">
        <v>0.5</v>
      </c>
      <c r="M287" s="181" t="str">
        <f t="shared" si="13"/>
        <v>לא לרכוש</v>
      </c>
      <c r="N287" s="181">
        <v>1000</v>
      </c>
      <c r="O287" s="183"/>
      <c r="P287" s="183">
        <v>60</v>
      </c>
      <c r="Q287" s="183"/>
    </row>
    <row r="288" spans="1:17" s="12" customFormat="1" ht="14.25" customHeight="1">
      <c r="A288" s="180" t="str">
        <f>'רשימת מכשור 2015'!A287</f>
        <v>מד לחץ הפרשי</v>
      </c>
      <c r="B288" s="180" t="str">
        <f>'רשימת מכשור 2015'!B287</f>
        <v>Micatrone</v>
      </c>
      <c r="C288" s="180" t="str">
        <f>'רשימת מכשור 2015'!C287</f>
        <v>MF-P</v>
      </c>
      <c r="D288" s="233" t="str">
        <f>'רשימת מכשור 2015'!D287</f>
        <v>AHU-40</v>
      </c>
      <c r="E288" s="180" t="str">
        <f>'רשימת מכשור 2015'!E287</f>
        <v>1-1-40-PIC-4</v>
      </c>
      <c r="F288" s="180">
        <f>'רשימת מכשור 2015'!F287</f>
        <v>1200</v>
      </c>
      <c r="G288" s="181">
        <v>1</v>
      </c>
      <c r="H288" s="181">
        <f t="shared" si="14"/>
        <v>1200</v>
      </c>
      <c r="I288" s="182" t="s">
        <v>82</v>
      </c>
      <c r="J288" s="181">
        <v>1</v>
      </c>
      <c r="K288" s="181">
        <v>1</v>
      </c>
      <c r="L288" s="181">
        <v>0.5</v>
      </c>
      <c r="M288" s="181" t="str">
        <f t="shared" si="13"/>
        <v>לא לרכוש</v>
      </c>
      <c r="N288" s="181">
        <v>1000</v>
      </c>
      <c r="O288" s="183"/>
      <c r="P288" s="183">
        <v>60</v>
      </c>
      <c r="Q288" s="183"/>
    </row>
    <row r="289" spans="1:17" s="12" customFormat="1" ht="14.25" customHeight="1">
      <c r="A289" s="180" t="str">
        <f>'רשימת מכשור 2015'!A288</f>
        <v>מד לחץ הפרשי</v>
      </c>
      <c r="B289" s="180" t="str">
        <f>'רשימת מכשור 2015'!B288</f>
        <v>Micatrone</v>
      </c>
      <c r="C289" s="180" t="str">
        <f>'רשימת מכשור 2015'!C288</f>
        <v>MF-P</v>
      </c>
      <c r="D289" s="233" t="str">
        <f>'רשימת מכשור 2015'!D288</f>
        <v>AHU-40</v>
      </c>
      <c r="E289" s="180" t="str">
        <f>'רשימת מכשור 2015'!E288</f>
        <v>1-1-40-PIC-5</v>
      </c>
      <c r="F289" s="180">
        <f>'רשימת מכשור 2015'!F288</f>
        <v>1200</v>
      </c>
      <c r="G289" s="181">
        <v>1</v>
      </c>
      <c r="H289" s="181">
        <f t="shared" si="14"/>
        <v>1200</v>
      </c>
      <c r="I289" s="182" t="s">
        <v>82</v>
      </c>
      <c r="J289" s="181">
        <v>1</v>
      </c>
      <c r="K289" s="181">
        <v>1</v>
      </c>
      <c r="L289" s="181">
        <v>0.5</v>
      </c>
      <c r="M289" s="181" t="str">
        <f t="shared" si="13"/>
        <v>לא לרכוש</v>
      </c>
      <c r="N289" s="181">
        <v>1000</v>
      </c>
      <c r="O289" s="183"/>
      <c r="P289" s="183">
        <v>60</v>
      </c>
      <c r="Q289" s="183"/>
    </row>
    <row r="290" spans="1:17" s="12" customFormat="1" ht="14.25" customHeight="1">
      <c r="A290" s="180" t="str">
        <f>'רשימת מכשור 2015'!A289</f>
        <v>מד לחץ הפרשי</v>
      </c>
      <c r="B290" s="180" t="str">
        <f>'רשימת מכשור 2015'!B289</f>
        <v>Micatrone</v>
      </c>
      <c r="C290" s="180" t="str">
        <f>'רשימת מכשור 2015'!C289</f>
        <v>MF-P</v>
      </c>
      <c r="D290" s="233" t="str">
        <f>'רשימת מכשור 2015'!D289</f>
        <v>AHU-40</v>
      </c>
      <c r="E290" s="180" t="str">
        <f>'רשימת מכשור 2015'!E289</f>
        <v>1-1-40-PIC-6</v>
      </c>
      <c r="F290" s="180">
        <f>'רשימת מכשור 2015'!F289</f>
        <v>1200</v>
      </c>
      <c r="G290" s="181">
        <v>1</v>
      </c>
      <c r="H290" s="181">
        <f t="shared" si="14"/>
        <v>1200</v>
      </c>
      <c r="I290" s="182" t="s">
        <v>82</v>
      </c>
      <c r="J290" s="181">
        <v>1</v>
      </c>
      <c r="K290" s="181">
        <v>1</v>
      </c>
      <c r="L290" s="181">
        <v>0.5</v>
      </c>
      <c r="M290" s="181" t="str">
        <f t="shared" si="13"/>
        <v>לא לרכוש</v>
      </c>
      <c r="N290" s="181">
        <v>1000</v>
      </c>
      <c r="O290" s="183"/>
      <c r="P290" s="183">
        <v>60</v>
      </c>
      <c r="Q290" s="183"/>
    </row>
    <row r="291" spans="1:17" s="12" customFormat="1" ht="14.25" customHeight="1">
      <c r="A291" s="180" t="str">
        <f>'רשימת מכשור 2015'!A290</f>
        <v>מד לחץ הפרשי</v>
      </c>
      <c r="B291" s="180" t="str">
        <f>'רשימת מכשור 2015'!B290</f>
        <v>Micatrone</v>
      </c>
      <c r="C291" s="180" t="str">
        <f>'רשימת מכשור 2015'!C290</f>
        <v>MF-P</v>
      </c>
      <c r="D291" s="233" t="str">
        <f>'רשימת מכשור 2015'!D290</f>
        <v>AHU-40</v>
      </c>
      <c r="E291" s="180" t="str">
        <f>'רשימת מכשור 2015'!E290</f>
        <v>1-1-40-PIC-8</v>
      </c>
      <c r="F291" s="180">
        <f>'רשימת מכשור 2015'!F290</f>
        <v>1200</v>
      </c>
      <c r="G291" s="181">
        <v>1</v>
      </c>
      <c r="H291" s="181">
        <f t="shared" si="14"/>
        <v>1200</v>
      </c>
      <c r="I291" s="182" t="s">
        <v>82</v>
      </c>
      <c r="J291" s="181">
        <v>1</v>
      </c>
      <c r="K291" s="181">
        <v>1</v>
      </c>
      <c r="L291" s="181">
        <v>0.5</v>
      </c>
      <c r="M291" s="181" t="str">
        <f t="shared" si="13"/>
        <v>לא לרכוש</v>
      </c>
      <c r="N291" s="181">
        <v>1000</v>
      </c>
      <c r="O291" s="183"/>
      <c r="P291" s="183">
        <v>60</v>
      </c>
      <c r="Q291" s="183"/>
    </row>
    <row r="292" spans="1:17" s="12" customFormat="1" ht="14.25" customHeight="1">
      <c r="A292" s="180" t="str">
        <f>'רשימת מכשור 2015'!A291</f>
        <v>מד לחץ הפרשי</v>
      </c>
      <c r="B292" s="180" t="str">
        <f>'רשימת מכשור 2015'!B291</f>
        <v>Micatrone</v>
      </c>
      <c r="C292" s="180" t="str">
        <f>'רשימת מכשור 2015'!C291</f>
        <v>MF-P</v>
      </c>
      <c r="D292" s="233" t="str">
        <f>'רשימת מכשור 2015'!D291</f>
        <v>AHU-40</v>
      </c>
      <c r="E292" s="180" t="str">
        <f>'רשימת מכשור 2015'!E291</f>
        <v>1-1-40-PIC-7</v>
      </c>
      <c r="F292" s="180">
        <f>'רשימת מכשור 2015'!F291</f>
        <v>1200</v>
      </c>
      <c r="G292" s="181">
        <v>1</v>
      </c>
      <c r="H292" s="181">
        <f t="shared" si="14"/>
        <v>1200</v>
      </c>
      <c r="I292" s="182" t="s">
        <v>82</v>
      </c>
      <c r="J292" s="181">
        <v>1</v>
      </c>
      <c r="K292" s="181">
        <v>1</v>
      </c>
      <c r="L292" s="181">
        <v>0.5</v>
      </c>
      <c r="M292" s="181" t="str">
        <f t="shared" si="13"/>
        <v>לא לרכוש</v>
      </c>
      <c r="N292" s="181">
        <v>1000</v>
      </c>
      <c r="O292" s="183"/>
      <c r="P292" s="183">
        <v>60</v>
      </c>
      <c r="Q292" s="183"/>
    </row>
    <row r="293" spans="1:17" s="12" customFormat="1" ht="14.25" customHeight="1">
      <c r="A293" s="180" t="str">
        <f>'רשימת מכשור 2015'!A292</f>
        <v>מד לחץ הפרשי</v>
      </c>
      <c r="B293" s="180" t="str">
        <f>'רשימת מכשור 2015'!B292</f>
        <v>Micatrone</v>
      </c>
      <c r="C293" s="180" t="str">
        <f>'רשימת מכשור 2015'!C292</f>
        <v>MF-P</v>
      </c>
      <c r="D293" s="233" t="str">
        <f>'רשימת מכשור 2015'!D292</f>
        <v>AHU-40</v>
      </c>
      <c r="E293" s="180" t="str">
        <f>'רשימת מכשור 2015'!E292</f>
        <v>1-1-40-PIC-9</v>
      </c>
      <c r="F293" s="180">
        <f>'רשימת מכשור 2015'!F292</f>
        <v>1200</v>
      </c>
      <c r="G293" s="181">
        <v>1</v>
      </c>
      <c r="H293" s="181">
        <f t="shared" si="14"/>
        <v>1200</v>
      </c>
      <c r="I293" s="182" t="s">
        <v>82</v>
      </c>
      <c r="J293" s="181">
        <v>1</v>
      </c>
      <c r="K293" s="181">
        <v>1</v>
      </c>
      <c r="L293" s="181">
        <v>0.5</v>
      </c>
      <c r="M293" s="181" t="str">
        <f t="shared" si="13"/>
        <v>לא לרכוש</v>
      </c>
      <c r="N293" s="181">
        <v>1000</v>
      </c>
      <c r="O293" s="183"/>
      <c r="P293" s="183">
        <v>60</v>
      </c>
      <c r="Q293" s="183"/>
    </row>
    <row r="294" spans="1:17" s="12" customFormat="1" ht="14.25" customHeight="1">
      <c r="A294" s="180" t="str">
        <f>'רשימת מכשור 2015'!A293</f>
        <v>מד לחץ הפרשי</v>
      </c>
      <c r="B294" s="180" t="str">
        <f>'רשימת מכשור 2015'!B293</f>
        <v>Micatrone</v>
      </c>
      <c r="C294" s="180" t="str">
        <f>'רשימת מכשור 2015'!C293</f>
        <v>MF-P</v>
      </c>
      <c r="D294" s="233" t="str">
        <f>'רשימת מכשור 2015'!D293</f>
        <v>AHU-40</v>
      </c>
      <c r="E294" s="180" t="str">
        <f>'רשימת מכשור 2015'!E293</f>
        <v>1-1-40-PIC-10</v>
      </c>
      <c r="F294" s="180">
        <f>'רשימת מכשור 2015'!F293</f>
        <v>1200</v>
      </c>
      <c r="G294" s="181">
        <v>1</v>
      </c>
      <c r="H294" s="181">
        <f t="shared" si="14"/>
        <v>1200</v>
      </c>
      <c r="I294" s="182" t="s">
        <v>82</v>
      </c>
      <c r="J294" s="181">
        <v>1</v>
      </c>
      <c r="K294" s="181">
        <v>1</v>
      </c>
      <c r="L294" s="181">
        <v>0.5</v>
      </c>
      <c r="M294" s="181" t="str">
        <f t="shared" si="13"/>
        <v>לא לרכוש</v>
      </c>
      <c r="N294" s="181">
        <v>1000</v>
      </c>
      <c r="O294" s="183"/>
      <c r="P294" s="183">
        <v>60</v>
      </c>
      <c r="Q294" s="183"/>
    </row>
    <row r="295" spans="1:17" s="12" customFormat="1" ht="14.25" customHeight="1">
      <c r="A295" s="180" t="str">
        <f>'רשימת מכשור 2015'!A294</f>
        <v>מד לחץ הפרשי</v>
      </c>
      <c r="B295" s="180" t="str">
        <f>'רשימת מכשור 2015'!B294</f>
        <v>Micatrone</v>
      </c>
      <c r="C295" s="180" t="str">
        <f>'רשימת מכשור 2015'!C294</f>
        <v>MF-P</v>
      </c>
      <c r="D295" s="233" t="str">
        <f>'רשימת מכשור 2015'!D294</f>
        <v>AHU-N01</v>
      </c>
      <c r="E295" s="180" t="str">
        <f>'רשימת מכשור 2015'!E294</f>
        <v>1-1-51005-PET-N01-02</v>
      </c>
      <c r="F295" s="180">
        <f>'רשימת מכשור 2015'!F294</f>
        <v>1200</v>
      </c>
      <c r="G295" s="181">
        <v>1</v>
      </c>
      <c r="H295" s="181">
        <f t="shared" si="14"/>
        <v>1200</v>
      </c>
      <c r="I295" s="182" t="s">
        <v>82</v>
      </c>
      <c r="J295" s="181">
        <v>1</v>
      </c>
      <c r="K295" s="181">
        <v>1</v>
      </c>
      <c r="L295" s="181">
        <v>0.5</v>
      </c>
      <c r="M295" s="181" t="str">
        <f>IF(AND(K295*L296*30*N295&gt;H295/J295,I295=""),"לרכוש","לא לרכוש")</f>
        <v>לא לרכוש</v>
      </c>
      <c r="N295" s="181">
        <v>1000</v>
      </c>
      <c r="O295" s="183"/>
      <c r="P295" s="183">
        <v>60</v>
      </c>
      <c r="Q295" s="183"/>
    </row>
    <row r="296" spans="1:17" s="12" customFormat="1" ht="14.25" customHeight="1">
      <c r="A296" s="180" t="str">
        <f>'רשימת מכשור 2015'!A295</f>
        <v>מד לחץ הפרשי</v>
      </c>
      <c r="B296" s="180" t="str">
        <f>'רשימת מכשור 2015'!B295</f>
        <v>Micatrone</v>
      </c>
      <c r="C296" s="180" t="str">
        <f>'רשימת מכשור 2015'!C295</f>
        <v>MF-P</v>
      </c>
      <c r="D296" s="233" t="str">
        <f>'רשימת מכשור 2015'!D295</f>
        <v>AHU-N01</v>
      </c>
      <c r="E296" s="180" t="str">
        <f>'רשימת מכשור 2015'!E295</f>
        <v>1-1-51005-PET-N01-03</v>
      </c>
      <c r="F296" s="180">
        <f>'רשימת מכשור 2015'!F295</f>
        <v>1200</v>
      </c>
      <c r="G296" s="181">
        <v>1</v>
      </c>
      <c r="H296" s="181">
        <f t="shared" si="14"/>
        <v>1200</v>
      </c>
      <c r="I296" s="182" t="s">
        <v>82</v>
      </c>
      <c r="J296" s="181">
        <v>1</v>
      </c>
      <c r="K296" s="181">
        <v>1</v>
      </c>
      <c r="L296" s="181">
        <v>0.5</v>
      </c>
      <c r="M296" s="181" t="str">
        <f>IF(AND(K296*L297*30*N296&gt;H296/J296,I296=""),"לרכוש","לא לרכוש")</f>
        <v>לא לרכוש</v>
      </c>
      <c r="N296" s="181">
        <v>1000</v>
      </c>
      <c r="O296" s="183"/>
      <c r="P296" s="183">
        <v>60</v>
      </c>
      <c r="Q296" s="183"/>
    </row>
    <row r="297" spans="1:17" s="12" customFormat="1" ht="14.25" customHeight="1">
      <c r="A297" s="180" t="str">
        <f>'רשימת מכשור 2015'!A296</f>
        <v>מד לחץ הפרשי</v>
      </c>
      <c r="B297" s="180" t="str">
        <f>'רשימת מכשור 2015'!B296</f>
        <v>Micatrone</v>
      </c>
      <c r="C297" s="180" t="str">
        <f>'רשימת מכשור 2015'!C296</f>
        <v>MF-P</v>
      </c>
      <c r="D297" s="233" t="str">
        <f>'רשימת מכשור 2015'!D296</f>
        <v>AHU-N02</v>
      </c>
      <c r="E297" s="180" t="str">
        <f>'רשימת מכשור 2015'!E296</f>
        <v>1-1-51005-PET-N02-01</v>
      </c>
      <c r="F297" s="180">
        <f>'רשימת מכשור 2015'!F296</f>
        <v>1200</v>
      </c>
      <c r="G297" s="181">
        <v>1</v>
      </c>
      <c r="H297" s="181">
        <f t="shared" si="14"/>
        <v>1200</v>
      </c>
      <c r="I297" s="182" t="s">
        <v>82</v>
      </c>
      <c r="J297" s="181">
        <v>1</v>
      </c>
      <c r="K297" s="181">
        <v>1</v>
      </c>
      <c r="L297" s="181">
        <v>0.5</v>
      </c>
      <c r="M297" s="181" t="str">
        <f t="shared" ref="M297:M328" si="15">IF(AND(K297*L297*30*N297&gt;H297/J297,I297=""),"לרכוש","לא לרכוש")</f>
        <v>לא לרכוש</v>
      </c>
      <c r="N297" s="181">
        <v>1000</v>
      </c>
      <c r="O297" s="183"/>
      <c r="P297" s="183">
        <v>60</v>
      </c>
      <c r="Q297" s="183"/>
    </row>
    <row r="298" spans="1:17" s="12" customFormat="1" ht="14.25" customHeight="1">
      <c r="A298" s="180" t="str">
        <f>'רשימת מכשור 2015'!A297</f>
        <v>מד לחץ הפרשי</v>
      </c>
      <c r="B298" s="180" t="str">
        <f>'רשימת מכשור 2015'!B297</f>
        <v>Micatrone</v>
      </c>
      <c r="C298" s="180" t="str">
        <f>'רשימת מכשור 2015'!C297</f>
        <v>MF-P</v>
      </c>
      <c r="D298" s="233" t="str">
        <f>'רשימת מכשור 2015'!D297</f>
        <v>AHU-N02</v>
      </c>
      <c r="E298" s="180" t="str">
        <f>'רשימת מכשור 2015'!E297</f>
        <v>1-1-51005-PT-N02-236-01</v>
      </c>
      <c r="F298" s="180">
        <f>'רשימת מכשור 2015'!F297</f>
        <v>1200</v>
      </c>
      <c r="G298" s="181">
        <v>1</v>
      </c>
      <c r="H298" s="181">
        <f t="shared" si="14"/>
        <v>1200</v>
      </c>
      <c r="I298" s="182" t="s">
        <v>82</v>
      </c>
      <c r="J298" s="181">
        <v>1</v>
      </c>
      <c r="K298" s="181">
        <v>1</v>
      </c>
      <c r="L298" s="181">
        <v>0.5</v>
      </c>
      <c r="M298" s="181" t="str">
        <f t="shared" si="15"/>
        <v>לא לרכוש</v>
      </c>
      <c r="N298" s="181">
        <v>1000</v>
      </c>
      <c r="O298" s="183"/>
      <c r="P298" s="183">
        <v>60</v>
      </c>
      <c r="Q298" s="183"/>
    </row>
    <row r="299" spans="1:17" s="12" customFormat="1" ht="14.25" customHeight="1">
      <c r="A299" s="180" t="str">
        <f>'רשימת מכשור 2015'!A298</f>
        <v>מד לחץ הפרשי</v>
      </c>
      <c r="B299" s="180" t="str">
        <f>'רשימת מכשור 2015'!B298</f>
        <v>Micatrone</v>
      </c>
      <c r="C299" s="180" t="str">
        <f>'רשימת מכשור 2015'!C298</f>
        <v>MF-P</v>
      </c>
      <c r="D299" s="233" t="str">
        <f>'רשימת מכשור 2015'!D298</f>
        <v>AHU-N01</v>
      </c>
      <c r="E299" s="180" t="str">
        <f>'רשימת מכשור 2015'!E298</f>
        <v>1-1-51005-PT-N01-202-01</v>
      </c>
      <c r="F299" s="180">
        <f>'רשימת מכשור 2015'!F298</f>
        <v>1200</v>
      </c>
      <c r="G299" s="181">
        <v>1</v>
      </c>
      <c r="H299" s="181">
        <f t="shared" si="14"/>
        <v>1200</v>
      </c>
      <c r="I299" s="182" t="s">
        <v>82</v>
      </c>
      <c r="J299" s="181">
        <v>1</v>
      </c>
      <c r="K299" s="181">
        <v>1</v>
      </c>
      <c r="L299" s="181">
        <v>0.5</v>
      </c>
      <c r="M299" s="181" t="str">
        <f t="shared" si="15"/>
        <v>לא לרכוש</v>
      </c>
      <c r="N299" s="181">
        <v>1000</v>
      </c>
      <c r="O299" s="183"/>
      <c r="P299" s="183">
        <v>60</v>
      </c>
      <c r="Q299" s="183"/>
    </row>
    <row r="300" spans="1:17" s="12" customFormat="1" ht="14.25" customHeight="1">
      <c r="A300" s="180" t="str">
        <f>'רשימת מכשור 2015'!A299</f>
        <v>מד לחץ הפרשי</v>
      </c>
      <c r="B300" s="180" t="str">
        <f>'רשימת מכשור 2015'!B299</f>
        <v>Micatrone</v>
      </c>
      <c r="C300" s="180" t="str">
        <f>'רשימת מכשור 2015'!C299</f>
        <v>MF-P</v>
      </c>
      <c r="D300" s="233" t="str">
        <f>'רשימת מכשור 2015'!D299</f>
        <v>AHU-N01</v>
      </c>
      <c r="E300" s="180" t="str">
        <f>'רשימת מכשור 2015'!E299</f>
        <v>1-1-51005-PT-N01-203-01</v>
      </c>
      <c r="F300" s="180">
        <f>'רשימת מכשור 2015'!F299</f>
        <v>1200</v>
      </c>
      <c r="G300" s="181">
        <v>1</v>
      </c>
      <c r="H300" s="181">
        <f t="shared" si="14"/>
        <v>1200</v>
      </c>
      <c r="I300" s="182" t="s">
        <v>82</v>
      </c>
      <c r="J300" s="181">
        <v>1</v>
      </c>
      <c r="K300" s="181">
        <v>1</v>
      </c>
      <c r="L300" s="181">
        <v>0.5</v>
      </c>
      <c r="M300" s="181" t="str">
        <f t="shared" si="15"/>
        <v>לא לרכוש</v>
      </c>
      <c r="N300" s="181">
        <v>1000</v>
      </c>
      <c r="O300" s="183"/>
      <c r="P300" s="183">
        <v>60</v>
      </c>
      <c r="Q300" s="183"/>
    </row>
    <row r="301" spans="1:17" s="12" customFormat="1" ht="14.25" customHeight="1">
      <c r="A301" s="180" t="str">
        <f>'רשימת מכשור 2015'!A300</f>
        <v>מד לחץ הפרשי</v>
      </c>
      <c r="B301" s="180" t="str">
        <f>'רשימת מכשור 2015'!B300</f>
        <v>Micatrone</v>
      </c>
      <c r="C301" s="180" t="str">
        <f>'רשימת מכשור 2015'!C300</f>
        <v>MF-P</v>
      </c>
      <c r="D301" s="233" t="str">
        <f>'רשימת מכשור 2015'!D300</f>
        <v>AHU-N01</v>
      </c>
      <c r="E301" s="180" t="str">
        <f>'רשימת מכשור 2015'!E300</f>
        <v>1-1-51005-PT-N01-205-01</v>
      </c>
      <c r="F301" s="180">
        <f>'רשימת מכשור 2015'!F300</f>
        <v>1200</v>
      </c>
      <c r="G301" s="181">
        <v>1</v>
      </c>
      <c r="H301" s="181">
        <f t="shared" si="14"/>
        <v>1200</v>
      </c>
      <c r="I301" s="182" t="s">
        <v>82</v>
      </c>
      <c r="J301" s="181">
        <v>1</v>
      </c>
      <c r="K301" s="181">
        <v>1</v>
      </c>
      <c r="L301" s="181">
        <v>0.5</v>
      </c>
      <c r="M301" s="181" t="str">
        <f t="shared" si="15"/>
        <v>לא לרכוש</v>
      </c>
      <c r="N301" s="181">
        <v>1000</v>
      </c>
      <c r="O301" s="183"/>
      <c r="P301" s="183">
        <v>60</v>
      </c>
      <c r="Q301" s="183"/>
    </row>
    <row r="302" spans="1:17" s="12" customFormat="1" ht="14.25" customHeight="1">
      <c r="A302" s="180" t="str">
        <f>'רשימת מכשור 2015'!A301</f>
        <v>מד לחץ הפרשי</v>
      </c>
      <c r="B302" s="180" t="str">
        <f>'רשימת מכשור 2015'!B301</f>
        <v>Micatrone</v>
      </c>
      <c r="C302" s="180" t="str">
        <f>'רשימת מכשור 2015'!C301</f>
        <v>MF-P</v>
      </c>
      <c r="D302" s="233" t="str">
        <f>'רשימת מכשור 2015'!D301</f>
        <v>AHU-N02</v>
      </c>
      <c r="E302" s="180" t="str">
        <f>'רשימת מכשור 2015'!E301</f>
        <v>1-1-51005-PT-N02-109-01</v>
      </c>
      <c r="F302" s="180">
        <f>'רשימת מכשור 2015'!F301</f>
        <v>1200</v>
      </c>
      <c r="G302" s="181">
        <v>1</v>
      </c>
      <c r="H302" s="181">
        <f t="shared" si="14"/>
        <v>1200</v>
      </c>
      <c r="I302" s="182" t="s">
        <v>82</v>
      </c>
      <c r="J302" s="181">
        <v>1</v>
      </c>
      <c r="K302" s="181">
        <v>1</v>
      </c>
      <c r="L302" s="181">
        <v>0.5</v>
      </c>
      <c r="M302" s="181" t="str">
        <f t="shared" si="15"/>
        <v>לא לרכוש</v>
      </c>
      <c r="N302" s="181">
        <v>1000</v>
      </c>
      <c r="O302" s="183"/>
      <c r="P302" s="183">
        <v>60</v>
      </c>
      <c r="Q302" s="183"/>
    </row>
    <row r="303" spans="1:17" s="12" customFormat="1" ht="14.25" customHeight="1">
      <c r="A303" s="180" t="str">
        <f>'רשימת מכשור 2015'!A302</f>
        <v>מד לחץ הפרשי</v>
      </c>
      <c r="B303" s="180" t="str">
        <f>'רשימת מכשור 2015'!B302</f>
        <v>Micatrone</v>
      </c>
      <c r="C303" s="180" t="str">
        <f>'רשימת מכשור 2015'!C302</f>
        <v>MF-P</v>
      </c>
      <c r="D303" s="233" t="str">
        <f>'רשימת מכשור 2015'!D302</f>
        <v>AHU-N02</v>
      </c>
      <c r="E303" s="180" t="str">
        <f>'רשימת מכשור 2015'!E302</f>
        <v>1-1-51005-PT-N02-237-01</v>
      </c>
      <c r="F303" s="180">
        <f>'רשימת מכשור 2015'!F302</f>
        <v>1200</v>
      </c>
      <c r="G303" s="181">
        <v>1</v>
      </c>
      <c r="H303" s="181">
        <f t="shared" si="14"/>
        <v>1200</v>
      </c>
      <c r="I303" s="182" t="s">
        <v>82</v>
      </c>
      <c r="J303" s="181">
        <v>1</v>
      </c>
      <c r="K303" s="181">
        <v>1</v>
      </c>
      <c r="L303" s="181">
        <v>0.5</v>
      </c>
      <c r="M303" s="181" t="str">
        <f t="shared" si="15"/>
        <v>לא לרכוש</v>
      </c>
      <c r="N303" s="181">
        <v>1000</v>
      </c>
      <c r="O303" s="183"/>
      <c r="P303" s="183">
        <v>60</v>
      </c>
      <c r="Q303" s="183"/>
    </row>
    <row r="304" spans="1:17" s="12" customFormat="1" ht="14.25" customHeight="1">
      <c r="A304" s="180" t="str">
        <f>'רשימת מכשור 2015'!A303</f>
        <v>מד לחץ הפרשי</v>
      </c>
      <c r="B304" s="180" t="str">
        <f>'רשימת מכשור 2015'!B303</f>
        <v>Micatrone</v>
      </c>
      <c r="C304" s="180" t="str">
        <f>'רשימת מכשור 2015'!C303</f>
        <v>MF-P</v>
      </c>
      <c r="D304" s="233" t="str">
        <f>'רשימת מכשור 2015'!D303</f>
        <v>AHU-N02</v>
      </c>
      <c r="E304" s="180" t="str">
        <f>'רשימת מכשור 2015'!E303</f>
        <v>1-1-51005-PT-N02-208-01</v>
      </c>
      <c r="F304" s="180">
        <f>'רשימת מכשור 2015'!F303</f>
        <v>1200</v>
      </c>
      <c r="G304" s="181">
        <v>1</v>
      </c>
      <c r="H304" s="181">
        <f t="shared" si="14"/>
        <v>1200</v>
      </c>
      <c r="I304" s="182" t="s">
        <v>82</v>
      </c>
      <c r="J304" s="181">
        <v>1</v>
      </c>
      <c r="K304" s="181">
        <v>1</v>
      </c>
      <c r="L304" s="181">
        <v>0.5</v>
      </c>
      <c r="M304" s="181" t="str">
        <f t="shared" si="15"/>
        <v>לא לרכוש</v>
      </c>
      <c r="N304" s="181">
        <v>1000</v>
      </c>
      <c r="O304" s="183"/>
      <c r="P304" s="183">
        <v>60</v>
      </c>
      <c r="Q304" s="183"/>
    </row>
    <row r="305" spans="1:17" s="12" customFormat="1" ht="14.25" customHeight="1">
      <c r="A305" s="180" t="str">
        <f>'רשימת מכשור 2015'!A304</f>
        <v>מד לחץ הפרשי</v>
      </c>
      <c r="B305" s="180" t="str">
        <f>'רשימת מכשור 2015'!B304</f>
        <v>Micatrone</v>
      </c>
      <c r="C305" s="180" t="str">
        <f>'רשימת מכשור 2015'!C304</f>
        <v>MF-P</v>
      </c>
      <c r="D305" s="233" t="str">
        <f>'רשימת מכשור 2015'!D304</f>
        <v>AHU-N02</v>
      </c>
      <c r="E305" s="180" t="str">
        <f>'רשימת מכשור 2015'!E304</f>
        <v>1-1-51005-PT-N02-230-01</v>
      </c>
      <c r="F305" s="180">
        <f>'רשימת מכשור 2015'!F304</f>
        <v>1200</v>
      </c>
      <c r="G305" s="181">
        <v>1</v>
      </c>
      <c r="H305" s="181">
        <f t="shared" si="14"/>
        <v>1200</v>
      </c>
      <c r="I305" s="182" t="s">
        <v>82</v>
      </c>
      <c r="J305" s="181">
        <v>1</v>
      </c>
      <c r="K305" s="181">
        <v>1</v>
      </c>
      <c r="L305" s="181">
        <v>0.5</v>
      </c>
      <c r="M305" s="181" t="str">
        <f t="shared" si="15"/>
        <v>לא לרכוש</v>
      </c>
      <c r="N305" s="181">
        <v>1000</v>
      </c>
      <c r="O305" s="183"/>
      <c r="P305" s="183">
        <v>60</v>
      </c>
      <c r="Q305" s="183"/>
    </row>
    <row r="306" spans="1:17" s="12" customFormat="1" ht="14.25" customHeight="1">
      <c r="A306" s="180" t="str">
        <f>'רשימת מכשור 2015'!A305</f>
        <v>מד לחץ הפרשי</v>
      </c>
      <c r="B306" s="180" t="str">
        <f>'רשימת מכשור 2015'!B305</f>
        <v>Micatrone</v>
      </c>
      <c r="C306" s="180" t="str">
        <f>'רשימת מכשור 2015'!C305</f>
        <v>MF-P</v>
      </c>
      <c r="D306" s="233" t="str">
        <f>'רשימת מכשור 2015'!D305</f>
        <v>AHU-N02</v>
      </c>
      <c r="E306" s="180" t="str">
        <f>'רשימת מכשור 2015'!E305</f>
        <v>1-1-51005-PT-N02-150-01</v>
      </c>
      <c r="F306" s="180">
        <f>'רשימת מכשור 2015'!F305</f>
        <v>1200</v>
      </c>
      <c r="G306" s="181">
        <v>1</v>
      </c>
      <c r="H306" s="181">
        <f t="shared" si="14"/>
        <v>1200</v>
      </c>
      <c r="I306" s="182" t="s">
        <v>82</v>
      </c>
      <c r="J306" s="181">
        <v>1</v>
      </c>
      <c r="K306" s="181">
        <v>1</v>
      </c>
      <c r="L306" s="181">
        <v>0.5</v>
      </c>
      <c r="M306" s="181" t="str">
        <f t="shared" si="15"/>
        <v>לא לרכוש</v>
      </c>
      <c r="N306" s="181">
        <v>1000</v>
      </c>
      <c r="O306" s="183"/>
      <c r="P306" s="183">
        <v>60</v>
      </c>
      <c r="Q306" s="183"/>
    </row>
    <row r="307" spans="1:17" s="12" customFormat="1" ht="14.25" customHeight="1">
      <c r="A307" s="180" t="str">
        <f>'רשימת מכשור 2015'!A306</f>
        <v>מד לחץ הפרשי</v>
      </c>
      <c r="B307" s="180" t="str">
        <f>'רשימת מכשור 2015'!B306</f>
        <v>Micatrone</v>
      </c>
      <c r="C307" s="180" t="str">
        <f>'רשימת מכשור 2015'!C306</f>
        <v>MF-P</v>
      </c>
      <c r="D307" s="233" t="str">
        <f>'רשימת מכשור 2015'!D306</f>
        <v>AHU-N02</v>
      </c>
      <c r="E307" s="180" t="str">
        <f>'רשימת מכשור 2015'!E306</f>
        <v>1-1-51005-PT-N02-149-01</v>
      </c>
      <c r="F307" s="180">
        <f>'רשימת מכשור 2015'!F306</f>
        <v>1200</v>
      </c>
      <c r="G307" s="181">
        <v>1</v>
      </c>
      <c r="H307" s="181">
        <f t="shared" si="14"/>
        <v>1200</v>
      </c>
      <c r="I307" s="182" t="s">
        <v>82</v>
      </c>
      <c r="J307" s="181">
        <v>1</v>
      </c>
      <c r="K307" s="181">
        <v>1</v>
      </c>
      <c r="L307" s="181">
        <v>0.5</v>
      </c>
      <c r="M307" s="181" t="str">
        <f t="shared" si="15"/>
        <v>לא לרכוש</v>
      </c>
      <c r="N307" s="181">
        <v>1000</v>
      </c>
      <c r="O307" s="183"/>
      <c r="P307" s="183">
        <v>60</v>
      </c>
      <c r="Q307" s="183"/>
    </row>
    <row r="308" spans="1:17" s="12" customFormat="1" ht="14.25" customHeight="1">
      <c r="A308" s="180" t="str">
        <f>'רשימת מכשור 2015'!A307</f>
        <v>משדר טמפרטורה</v>
      </c>
      <c r="B308" s="180" t="str">
        <f>'רשימת מכשור 2015'!B307</f>
        <v>Rotronic</v>
      </c>
      <c r="C308" s="180" t="str">
        <f>'רשימת מכשור 2015'!C307</f>
        <v>HygroFlex</v>
      </c>
      <c r="D308" s="233" t="str">
        <f>'רשימת מכשור 2015'!D307</f>
        <v>Air Compressor</v>
      </c>
      <c r="E308" s="180" t="str">
        <f>'רשימת מכשור 2015'!E307</f>
        <v>1-1-41001-TT-2</v>
      </c>
      <c r="F308" s="180">
        <f>'רשימת מכשור 2015'!F307</f>
        <v>1200</v>
      </c>
      <c r="G308" s="181">
        <v>1</v>
      </c>
      <c r="H308" s="181">
        <f t="shared" si="14"/>
        <v>1200</v>
      </c>
      <c r="I308" s="182"/>
      <c r="J308" s="181">
        <v>1</v>
      </c>
      <c r="K308" s="181"/>
      <c r="L308" s="181">
        <v>0.5</v>
      </c>
      <c r="M308" s="181" t="str">
        <f t="shared" si="15"/>
        <v>לא לרכוש</v>
      </c>
      <c r="N308" s="181">
        <v>1000</v>
      </c>
      <c r="O308" s="183"/>
      <c r="P308" s="183">
        <v>1</v>
      </c>
      <c r="Q308" s="183"/>
    </row>
    <row r="309" spans="1:17" s="12" customFormat="1" ht="14.25" customHeight="1">
      <c r="A309" s="180" t="str">
        <f>'רשימת מכשור 2015'!A308</f>
        <v>משדר טמפרטורה</v>
      </c>
      <c r="B309" s="180" t="str">
        <f>'רשימת מכשור 2015'!B308</f>
        <v>Rotronic</v>
      </c>
      <c r="C309" s="180" t="str">
        <f>'רשימת מכשור 2015'!C308</f>
        <v>Hygroflex</v>
      </c>
      <c r="D309" s="233" t="str">
        <f>'רשימת מכשור 2015'!D308</f>
        <v>WH-B4 DEVICE MONITORING</v>
      </c>
      <c r="E309" s="180" t="str">
        <f>'רשימת מכשור 2015'!E308</f>
        <v>1-4-TI-29</v>
      </c>
      <c r="F309" s="180">
        <f>'רשימת מכשור 2015'!F308</f>
        <v>1200</v>
      </c>
      <c r="G309" s="181">
        <v>1</v>
      </c>
      <c r="H309" s="181">
        <f t="shared" si="14"/>
        <v>1200</v>
      </c>
      <c r="I309" s="182"/>
      <c r="J309" s="181">
        <v>1</v>
      </c>
      <c r="K309" s="181">
        <v>1</v>
      </c>
      <c r="L309" s="181">
        <v>0.5</v>
      </c>
      <c r="M309" s="181" t="str">
        <f t="shared" si="15"/>
        <v>לרכוש</v>
      </c>
      <c r="N309" s="181">
        <v>1000</v>
      </c>
      <c r="O309" s="183"/>
      <c r="P309" s="183">
        <v>1</v>
      </c>
      <c r="Q309" s="183"/>
    </row>
    <row r="310" spans="1:17" s="12" customFormat="1" ht="14.25" customHeight="1">
      <c r="A310" s="180" t="str">
        <f>'רשימת מכשור 2015'!A309</f>
        <v xml:space="preserve">משדר לחות </v>
      </c>
      <c r="B310" s="180" t="str">
        <f>'רשימת מכשור 2015'!B309</f>
        <v>Rotronic</v>
      </c>
      <c r="C310" s="180" t="str">
        <f>'רשימת מכשור 2015'!C309</f>
        <v>Hygroflex</v>
      </c>
      <c r="D310" s="233" t="str">
        <f>'רשימת מכשור 2015'!D309</f>
        <v>WH-B4 DEVICE MONITORING</v>
      </c>
      <c r="E310" s="180" t="str">
        <f>'רשימת מכשור 2015'!E309</f>
        <v>1-4-RHI-3</v>
      </c>
      <c r="F310" s="180">
        <f>'רשימת מכשור 2015'!F309</f>
        <v>1200</v>
      </c>
      <c r="G310" s="181">
        <v>1</v>
      </c>
      <c r="H310" s="181">
        <f t="shared" si="14"/>
        <v>1200</v>
      </c>
      <c r="I310" s="182"/>
      <c r="J310" s="181">
        <v>1</v>
      </c>
      <c r="K310" s="181">
        <v>1</v>
      </c>
      <c r="L310" s="181">
        <v>0.5</v>
      </c>
      <c r="M310" s="181" t="str">
        <f t="shared" si="15"/>
        <v>לרכוש</v>
      </c>
      <c r="N310" s="181">
        <v>1000</v>
      </c>
      <c r="O310" s="183"/>
      <c r="P310" s="183">
        <v>8</v>
      </c>
      <c r="Q310" s="183"/>
    </row>
    <row r="311" spans="1:17" s="12" customFormat="1" ht="14.25" customHeight="1">
      <c r="A311" s="180" t="str">
        <f>'רשימת מכשור 2015'!A310</f>
        <v>משדר טמפרטורה</v>
      </c>
      <c r="B311" s="180" t="str">
        <f>'רשימת מכשור 2015'!B310</f>
        <v>Rotronic</v>
      </c>
      <c r="C311" s="180" t="str">
        <f>'רשימת מכשור 2015'!C310</f>
        <v>Hygroflex</v>
      </c>
      <c r="D311" s="233" t="str">
        <f>'רשימת מכשור 2015'!D310</f>
        <v>WH-B4 DEVICE MONITORING</v>
      </c>
      <c r="E311" s="180" t="str">
        <f>'רשימת מכשור 2015'!E310</f>
        <v>1-4-TI-28</v>
      </c>
      <c r="F311" s="180">
        <f>'רשימת מכשור 2015'!F310</f>
        <v>1200</v>
      </c>
      <c r="G311" s="181">
        <v>1</v>
      </c>
      <c r="H311" s="181">
        <f t="shared" si="14"/>
        <v>1200</v>
      </c>
      <c r="I311" s="182"/>
      <c r="J311" s="181">
        <v>1</v>
      </c>
      <c r="K311" s="181">
        <v>1</v>
      </c>
      <c r="L311" s="181">
        <v>0.5</v>
      </c>
      <c r="M311" s="181" t="str">
        <f t="shared" si="15"/>
        <v>לרכוש</v>
      </c>
      <c r="N311" s="181">
        <v>1000</v>
      </c>
      <c r="O311" s="183"/>
      <c r="P311" s="183">
        <v>8</v>
      </c>
      <c r="Q311" s="183"/>
    </row>
    <row r="312" spans="1:17" s="12" customFormat="1" ht="14.25" customHeight="1">
      <c r="A312" s="180" t="str">
        <f>'רשימת מכשור 2015'!A311</f>
        <v xml:space="preserve">משדר לחות </v>
      </c>
      <c r="B312" s="180" t="str">
        <f>'רשימת מכשור 2015'!B311</f>
        <v>Rotronic</v>
      </c>
      <c r="C312" s="180" t="str">
        <f>'רשימת מכשור 2015'!C311</f>
        <v>Hygroflex</v>
      </c>
      <c r="D312" s="233" t="str">
        <f>'רשימת מכשור 2015'!D311</f>
        <v>WH-B4 DEVICE MONITORING</v>
      </c>
      <c r="E312" s="180" t="str">
        <f>'רשימת מכשור 2015'!E311</f>
        <v>1-4-RHI-4</v>
      </c>
      <c r="F312" s="180">
        <f>'רשימת מכשור 2015'!F311</f>
        <v>1200</v>
      </c>
      <c r="G312" s="181">
        <v>1</v>
      </c>
      <c r="H312" s="181">
        <f t="shared" si="14"/>
        <v>1200</v>
      </c>
      <c r="I312" s="182"/>
      <c r="J312" s="181">
        <v>1</v>
      </c>
      <c r="K312" s="181">
        <v>1</v>
      </c>
      <c r="L312" s="181">
        <v>0.5</v>
      </c>
      <c r="M312" s="181" t="str">
        <f t="shared" si="15"/>
        <v>לרכוש</v>
      </c>
      <c r="N312" s="181">
        <v>1000</v>
      </c>
      <c r="O312" s="183"/>
      <c r="P312" s="183">
        <v>8</v>
      </c>
      <c r="Q312" s="183"/>
    </row>
    <row r="313" spans="1:17" s="12" customFormat="1" ht="14.25" customHeight="1">
      <c r="A313" s="180" t="str">
        <f>'רשימת מכשור 2015'!A312</f>
        <v>משדר טמפרטורה</v>
      </c>
      <c r="B313" s="180" t="str">
        <f>'רשימת מכשור 2015'!B312</f>
        <v>Rotronic</v>
      </c>
      <c r="C313" s="180" t="str">
        <f>'רשימת מכשור 2015'!C312</f>
        <v>Hygroflex</v>
      </c>
      <c r="D313" s="233" t="str">
        <f>'רשימת מכשור 2015'!D312</f>
        <v>WH-B4 DEVICE MONITORING</v>
      </c>
      <c r="E313" s="180" t="str">
        <f>'רשימת מכשור 2015'!E312</f>
        <v>1-4-TI-27</v>
      </c>
      <c r="F313" s="180">
        <f>'רשימת מכשור 2015'!F312</f>
        <v>1200</v>
      </c>
      <c r="G313" s="181">
        <v>1</v>
      </c>
      <c r="H313" s="181">
        <f t="shared" si="14"/>
        <v>1200</v>
      </c>
      <c r="I313" s="182"/>
      <c r="J313" s="181">
        <v>1</v>
      </c>
      <c r="K313" s="181">
        <v>1</v>
      </c>
      <c r="L313" s="181">
        <v>0.5</v>
      </c>
      <c r="M313" s="181" t="str">
        <f t="shared" si="15"/>
        <v>לרכוש</v>
      </c>
      <c r="N313" s="181">
        <v>1000</v>
      </c>
      <c r="O313" s="183"/>
      <c r="P313" s="183">
        <v>8</v>
      </c>
      <c r="Q313" s="183"/>
    </row>
    <row r="314" spans="1:17" s="12" customFormat="1" ht="14.25" customHeight="1">
      <c r="A314" s="180" t="str">
        <f>'רשימת מכשור 2015'!A313</f>
        <v xml:space="preserve">משדר לחות </v>
      </c>
      <c r="B314" s="180" t="str">
        <f>'רשימת מכשור 2015'!B313</f>
        <v>Rotronic</v>
      </c>
      <c r="C314" s="180" t="str">
        <f>'רשימת מכשור 2015'!C313</f>
        <v>Hygroflex</v>
      </c>
      <c r="D314" s="233" t="str">
        <f>'רשימת מכשור 2015'!D313</f>
        <v>WH-B4 DEVICE MONITORING</v>
      </c>
      <c r="E314" s="180" t="str">
        <f>'רשימת מכשור 2015'!E313</f>
        <v>1-4-RHI-1</v>
      </c>
      <c r="F314" s="180">
        <f>'רשימת מכשור 2015'!F313</f>
        <v>1200</v>
      </c>
      <c r="G314" s="181">
        <v>1</v>
      </c>
      <c r="H314" s="181">
        <f t="shared" si="14"/>
        <v>1200</v>
      </c>
      <c r="I314" s="182"/>
      <c r="J314" s="181">
        <v>1</v>
      </c>
      <c r="K314" s="181">
        <v>1</v>
      </c>
      <c r="L314" s="181">
        <v>0.5</v>
      </c>
      <c r="M314" s="181" t="str">
        <f t="shared" si="15"/>
        <v>לרכוש</v>
      </c>
      <c r="N314" s="181">
        <v>1000</v>
      </c>
      <c r="O314" s="183"/>
      <c r="P314" s="183">
        <v>8</v>
      </c>
      <c r="Q314" s="183"/>
    </row>
    <row r="315" spans="1:17" s="12" customFormat="1" ht="14.25" customHeight="1">
      <c r="A315" s="180" t="str">
        <f>'רשימת מכשור 2015'!A314</f>
        <v>משדר טמפרטורה</v>
      </c>
      <c r="B315" s="180" t="str">
        <f>'רשימת מכשור 2015'!B314</f>
        <v>Rotronic</v>
      </c>
      <c r="C315" s="180" t="str">
        <f>'רשימת מכשור 2015'!C314</f>
        <v>Hygroflex</v>
      </c>
      <c r="D315" s="233" t="str">
        <f>'רשימת מכשור 2015'!D314</f>
        <v>WH-B4 DEVICE MONITORING</v>
      </c>
      <c r="E315" s="180" t="str">
        <f>'רשימת מכשור 2015'!E314</f>
        <v>1-4-TI-32</v>
      </c>
      <c r="F315" s="180">
        <f>'רשימת מכשור 2015'!F314</f>
        <v>1200</v>
      </c>
      <c r="G315" s="181">
        <v>1</v>
      </c>
      <c r="H315" s="181">
        <f t="shared" si="14"/>
        <v>1200</v>
      </c>
      <c r="I315" s="182"/>
      <c r="J315" s="181">
        <v>1</v>
      </c>
      <c r="K315" s="181">
        <v>1</v>
      </c>
      <c r="L315" s="181">
        <v>0.5</v>
      </c>
      <c r="M315" s="181" t="str">
        <f t="shared" si="15"/>
        <v>לרכוש</v>
      </c>
      <c r="N315" s="181">
        <v>1000</v>
      </c>
      <c r="O315" s="183"/>
      <c r="P315" s="183">
        <v>8</v>
      </c>
      <c r="Q315" s="183"/>
    </row>
    <row r="316" spans="1:17" s="12" customFormat="1" ht="14.25" customHeight="1">
      <c r="A316" s="180" t="str">
        <f>'רשימת מכשור 2015'!A315</f>
        <v xml:space="preserve">משדר לחות </v>
      </c>
      <c r="B316" s="180" t="str">
        <f>'רשימת מכשור 2015'!B315</f>
        <v>Rotronic</v>
      </c>
      <c r="C316" s="180" t="str">
        <f>'רשימת מכשור 2015'!C315</f>
        <v>Hygroflex</v>
      </c>
      <c r="D316" s="233" t="str">
        <f>'רשימת מכשור 2015'!D315</f>
        <v>WH-B4 DEVICE MONITORING</v>
      </c>
      <c r="E316" s="180" t="str">
        <f>'רשימת מכשור 2015'!E315</f>
        <v>1-4-RHI-5</v>
      </c>
      <c r="F316" s="180">
        <f>'רשימת מכשור 2015'!F315</f>
        <v>1200</v>
      </c>
      <c r="G316" s="181">
        <v>1</v>
      </c>
      <c r="H316" s="181">
        <f t="shared" si="14"/>
        <v>1200</v>
      </c>
      <c r="I316" s="182"/>
      <c r="J316" s="181">
        <v>1</v>
      </c>
      <c r="K316" s="181">
        <v>1</v>
      </c>
      <c r="L316" s="181">
        <v>0.5</v>
      </c>
      <c r="M316" s="181" t="str">
        <f t="shared" si="15"/>
        <v>לרכוש</v>
      </c>
      <c r="N316" s="181">
        <v>1000</v>
      </c>
      <c r="O316" s="183"/>
      <c r="P316" s="183">
        <v>8</v>
      </c>
      <c r="Q316" s="183"/>
    </row>
    <row r="317" spans="1:17" s="12" customFormat="1" ht="14.25" customHeight="1">
      <c r="A317" s="180" t="str">
        <f>'רשימת מכשור 2015'!A316</f>
        <v>משדר טמפרטורה</v>
      </c>
      <c r="B317" s="180" t="str">
        <f>'רשימת מכשור 2015'!B316</f>
        <v>Rotronic</v>
      </c>
      <c r="C317" s="180" t="str">
        <f>'רשימת מכשור 2015'!C316</f>
        <v>Hygroflex</v>
      </c>
      <c r="D317" s="233" t="str">
        <f>'רשימת מכשור 2015'!D316</f>
        <v>WH-B4 DEVICE MONITORING</v>
      </c>
      <c r="E317" s="180" t="str">
        <f>'רשימת מכשור 2015'!E316</f>
        <v>1-4-TI-31</v>
      </c>
      <c r="F317" s="180">
        <f>'רשימת מכשור 2015'!F316</f>
        <v>1200</v>
      </c>
      <c r="G317" s="181">
        <v>1</v>
      </c>
      <c r="H317" s="181">
        <f t="shared" si="14"/>
        <v>1200</v>
      </c>
      <c r="I317" s="182"/>
      <c r="J317" s="181">
        <v>1</v>
      </c>
      <c r="K317" s="181">
        <v>1</v>
      </c>
      <c r="L317" s="181">
        <v>0.5</v>
      </c>
      <c r="M317" s="181" t="str">
        <f t="shared" si="15"/>
        <v>לרכוש</v>
      </c>
      <c r="N317" s="181">
        <v>1000</v>
      </c>
      <c r="O317" s="183"/>
      <c r="P317" s="183">
        <v>8</v>
      </c>
      <c r="Q317" s="183"/>
    </row>
    <row r="318" spans="1:17" s="12" customFormat="1" ht="14.25" customHeight="1">
      <c r="A318" s="180" t="str">
        <f>'רשימת מכשור 2015'!A317</f>
        <v xml:space="preserve">משדר לחות </v>
      </c>
      <c r="B318" s="180" t="str">
        <f>'רשימת מכשור 2015'!B317</f>
        <v>Rotronic</v>
      </c>
      <c r="C318" s="180" t="str">
        <f>'רשימת מכשור 2015'!C317</f>
        <v>Hygroflex</v>
      </c>
      <c r="D318" s="233" t="str">
        <f>'רשימת מכשור 2015'!D317</f>
        <v>WH-B4 DEVICE MONITORING</v>
      </c>
      <c r="E318" s="180" t="str">
        <f>'רשימת מכשור 2015'!E317</f>
        <v>1-4-RHI-2</v>
      </c>
      <c r="F318" s="180">
        <f>'רשימת מכשור 2015'!F317</f>
        <v>1200</v>
      </c>
      <c r="G318" s="181">
        <v>1</v>
      </c>
      <c r="H318" s="181">
        <f t="shared" si="14"/>
        <v>1200</v>
      </c>
      <c r="I318" s="182"/>
      <c r="J318" s="181">
        <v>1</v>
      </c>
      <c r="K318" s="181">
        <v>1</v>
      </c>
      <c r="L318" s="181">
        <v>0.5</v>
      </c>
      <c r="M318" s="181" t="str">
        <f t="shared" si="15"/>
        <v>לרכוש</v>
      </c>
      <c r="N318" s="181">
        <v>1000</v>
      </c>
      <c r="O318" s="183"/>
      <c r="P318" s="183">
        <v>8</v>
      </c>
      <c r="Q318" s="183"/>
    </row>
    <row r="319" spans="1:17" s="12" customFormat="1" ht="14.25" customHeight="1">
      <c r="A319" s="180" t="str">
        <f>'רשימת מכשור 2015'!A318</f>
        <v>משדר טמפרטורה</v>
      </c>
      <c r="B319" s="180" t="str">
        <f>'רשימת מכשור 2015'!B318</f>
        <v>Rotronic</v>
      </c>
      <c r="C319" s="180" t="str">
        <f>'רשימת מכשור 2015'!C318</f>
        <v>Hygroflex</v>
      </c>
      <c r="D319" s="233" t="str">
        <f>'רשימת מכשור 2015'!D318</f>
        <v>WH-B4 DEVICE MONITORING</v>
      </c>
      <c r="E319" s="180" t="str">
        <f>'רשימת מכשור 2015'!E318</f>
        <v>1-4-TI-381</v>
      </c>
      <c r="F319" s="180">
        <f>'רשימת מכשור 2015'!F318</f>
        <v>1200</v>
      </c>
      <c r="G319" s="181">
        <v>1</v>
      </c>
      <c r="H319" s="181">
        <f t="shared" si="14"/>
        <v>1200</v>
      </c>
      <c r="I319" s="182"/>
      <c r="J319" s="181">
        <v>1</v>
      </c>
      <c r="K319" s="181">
        <v>1</v>
      </c>
      <c r="L319" s="181">
        <v>0.5</v>
      </c>
      <c r="M319" s="181" t="str">
        <f t="shared" si="15"/>
        <v>לרכוש</v>
      </c>
      <c r="N319" s="181">
        <v>1000</v>
      </c>
      <c r="O319" s="183"/>
      <c r="P319" s="183">
        <v>8</v>
      </c>
      <c r="Q319" s="183"/>
    </row>
    <row r="320" spans="1:17" s="12" customFormat="1" ht="14.25" customHeight="1">
      <c r="A320" s="180" t="str">
        <f>'רשימת מכשור 2015'!A319</f>
        <v xml:space="preserve">משדר לחות </v>
      </c>
      <c r="B320" s="180" t="str">
        <f>'רשימת מכשור 2015'!B319</f>
        <v>Rotronic</v>
      </c>
      <c r="C320" s="180" t="str">
        <f>'רשימת מכשור 2015'!C319</f>
        <v>Hygroflex</v>
      </c>
      <c r="D320" s="233" t="str">
        <f>'רשימת מכשור 2015'!D319</f>
        <v>WH-B4 DEVICE MONITORING</v>
      </c>
      <c r="E320" s="180" t="str">
        <f>'רשימת מכשור 2015'!E319</f>
        <v>1-4-RHI-14</v>
      </c>
      <c r="F320" s="180">
        <f>'רשימת מכשור 2015'!F319</f>
        <v>1200</v>
      </c>
      <c r="G320" s="181">
        <v>1</v>
      </c>
      <c r="H320" s="181">
        <f t="shared" si="14"/>
        <v>1200</v>
      </c>
      <c r="I320" s="182"/>
      <c r="J320" s="181">
        <v>1</v>
      </c>
      <c r="K320" s="181">
        <v>1</v>
      </c>
      <c r="L320" s="181">
        <v>0.5</v>
      </c>
      <c r="M320" s="181" t="str">
        <f t="shared" si="15"/>
        <v>לרכוש</v>
      </c>
      <c r="N320" s="181">
        <v>1000</v>
      </c>
      <c r="O320" s="183"/>
      <c r="P320" s="183">
        <v>8</v>
      </c>
      <c r="Q320" s="183"/>
    </row>
    <row r="321" spans="1:17" s="12" customFormat="1" ht="14.25" customHeight="1">
      <c r="A321" s="180" t="str">
        <f>'רשימת מכשור 2015'!A320</f>
        <v>משדר טמפרטורה</v>
      </c>
      <c r="B321" s="180" t="str">
        <f>'רשימת מכשור 2015'!B320</f>
        <v>Rotronic</v>
      </c>
      <c r="C321" s="180" t="str">
        <f>'רשימת מכשור 2015'!C320</f>
        <v>Hygroflex</v>
      </c>
      <c r="D321" s="233" t="str">
        <f>'רשימת מכשור 2015'!D320</f>
        <v>WH-B4 DEVICE MONITORING</v>
      </c>
      <c r="E321" s="180" t="str">
        <f>'רשימת מכשור 2015'!E320</f>
        <v>1-4-TI-37</v>
      </c>
      <c r="F321" s="180">
        <f>'רשימת מכשור 2015'!F320</f>
        <v>1200</v>
      </c>
      <c r="G321" s="181">
        <v>1</v>
      </c>
      <c r="H321" s="181">
        <f t="shared" si="14"/>
        <v>1200</v>
      </c>
      <c r="I321" s="182"/>
      <c r="J321" s="181">
        <v>1</v>
      </c>
      <c r="K321" s="181">
        <v>1</v>
      </c>
      <c r="L321" s="181">
        <v>0.5</v>
      </c>
      <c r="M321" s="181" t="str">
        <f t="shared" si="15"/>
        <v>לרכוש</v>
      </c>
      <c r="N321" s="181">
        <v>1000</v>
      </c>
      <c r="O321" s="183"/>
      <c r="P321" s="183">
        <v>8</v>
      </c>
      <c r="Q321" s="183"/>
    </row>
    <row r="322" spans="1:17" s="12" customFormat="1" ht="14.25" customHeight="1">
      <c r="A322" s="180" t="str">
        <f>'רשימת מכשור 2015'!A321</f>
        <v>משדר טמפרטורה</v>
      </c>
      <c r="B322" s="180" t="str">
        <f>'רשימת מכשור 2015'!B321</f>
        <v>Rotronic</v>
      </c>
      <c r="C322" s="180" t="str">
        <f>'רשימת מכשור 2015'!C321</f>
        <v>Hygroflex</v>
      </c>
      <c r="D322" s="233" t="str">
        <f>'רשימת מכשור 2015'!D321</f>
        <v>WH-B4 DEVICE MONITORING</v>
      </c>
      <c r="E322" s="180" t="str">
        <f>'רשימת מכשור 2015'!E321</f>
        <v>1-4-TI-30</v>
      </c>
      <c r="F322" s="180">
        <f>'רשימת מכשור 2015'!F321</f>
        <v>1200</v>
      </c>
      <c r="G322" s="181">
        <v>1</v>
      </c>
      <c r="H322" s="181">
        <f t="shared" si="14"/>
        <v>1200</v>
      </c>
      <c r="I322" s="182"/>
      <c r="J322" s="181">
        <v>1</v>
      </c>
      <c r="K322" s="181">
        <v>1</v>
      </c>
      <c r="L322" s="181">
        <v>0.5</v>
      </c>
      <c r="M322" s="181" t="str">
        <f t="shared" si="15"/>
        <v>לרכוש</v>
      </c>
      <c r="N322" s="181">
        <v>1000</v>
      </c>
      <c r="O322" s="183"/>
      <c r="P322" s="183">
        <v>8</v>
      </c>
      <c r="Q322" s="183"/>
    </row>
    <row r="323" spans="1:17" s="12" customFormat="1" ht="14.25" customHeight="1">
      <c r="A323" s="180" t="str">
        <f>'רשימת מכשור 2015'!A322</f>
        <v xml:space="preserve">משדר לחות </v>
      </c>
      <c r="B323" s="180" t="str">
        <f>'רשימת מכשור 2015'!B322</f>
        <v>Rotronic</v>
      </c>
      <c r="C323" s="180" t="str">
        <f>'רשימת מכשור 2015'!C322</f>
        <v>Hygroflex</v>
      </c>
      <c r="D323" s="233" t="str">
        <f>'רשימת מכשור 2015'!D322</f>
        <v>WH-B4 DEVICE MONITORING</v>
      </c>
      <c r="E323" s="180" t="str">
        <f>'רשימת מכשור 2015'!E322</f>
        <v>1-4-RHI-6</v>
      </c>
      <c r="F323" s="180">
        <f>'רשימת מכשור 2015'!F322</f>
        <v>1200</v>
      </c>
      <c r="G323" s="181">
        <v>1</v>
      </c>
      <c r="H323" s="181">
        <f t="shared" si="14"/>
        <v>1200</v>
      </c>
      <c r="I323" s="182"/>
      <c r="J323" s="181">
        <v>1</v>
      </c>
      <c r="K323" s="181">
        <v>1</v>
      </c>
      <c r="L323" s="181">
        <v>0.5</v>
      </c>
      <c r="M323" s="181" t="str">
        <f t="shared" si="15"/>
        <v>לרכוש</v>
      </c>
      <c r="N323" s="181">
        <v>1000</v>
      </c>
      <c r="O323" s="183"/>
      <c r="P323" s="183">
        <v>8</v>
      </c>
      <c r="Q323" s="183"/>
    </row>
    <row r="324" spans="1:17" s="12" customFormat="1" ht="14.25" customHeight="1">
      <c r="A324" s="180" t="str">
        <f>'רשימת מכשור 2015'!A323</f>
        <v>משדר טמפרטורה</v>
      </c>
      <c r="B324" s="180" t="str">
        <f>'רשימת מכשור 2015'!B323</f>
        <v>Rotronic</v>
      </c>
      <c r="C324" s="180" t="str">
        <f>'רשימת מכשור 2015'!C323</f>
        <v>Hygroflex</v>
      </c>
      <c r="D324" s="233" t="str">
        <f>'רשימת מכשור 2015'!D323</f>
        <v>WH-B4 DEVICE MONITORING</v>
      </c>
      <c r="E324" s="180" t="str">
        <f>'רשימת מכשור 2015'!E323</f>
        <v>1-4-TI-36</v>
      </c>
      <c r="F324" s="180">
        <f>'רשימת מכשור 2015'!F323</f>
        <v>1200</v>
      </c>
      <c r="G324" s="181">
        <v>1</v>
      </c>
      <c r="H324" s="181">
        <f t="shared" si="14"/>
        <v>1200</v>
      </c>
      <c r="I324" s="182"/>
      <c r="J324" s="181">
        <v>1</v>
      </c>
      <c r="K324" s="181">
        <v>1</v>
      </c>
      <c r="L324" s="181">
        <v>0.5</v>
      </c>
      <c r="M324" s="181" t="str">
        <f t="shared" si="15"/>
        <v>לרכוש</v>
      </c>
      <c r="N324" s="181">
        <v>1000</v>
      </c>
      <c r="O324" s="183"/>
      <c r="P324" s="183">
        <v>8</v>
      </c>
      <c r="Q324" s="183"/>
    </row>
    <row r="325" spans="1:17" s="12" customFormat="1" ht="14.25" customHeight="1">
      <c r="A325" s="180" t="str">
        <f>'רשימת מכשור 2015'!A324</f>
        <v xml:space="preserve">משדר לחות </v>
      </c>
      <c r="B325" s="180" t="str">
        <f>'רשימת מכשור 2015'!B324</f>
        <v>Rotronic</v>
      </c>
      <c r="C325" s="180" t="str">
        <f>'רשימת מכשור 2015'!C324</f>
        <v>Hygroflex</v>
      </c>
      <c r="D325" s="233" t="str">
        <f>'רשימת מכשור 2015'!D324</f>
        <v>WH-B4 DEVICE MONITORING</v>
      </c>
      <c r="E325" s="180" t="str">
        <f>'רשימת מכשור 2015'!E324</f>
        <v>1-4-RHI-7</v>
      </c>
      <c r="F325" s="180">
        <f>'רשימת מכשור 2015'!F324</f>
        <v>1200</v>
      </c>
      <c r="G325" s="181">
        <v>1</v>
      </c>
      <c r="H325" s="181">
        <f t="shared" si="14"/>
        <v>1200</v>
      </c>
      <c r="I325" s="182"/>
      <c r="J325" s="181">
        <v>1</v>
      </c>
      <c r="K325" s="181">
        <v>1</v>
      </c>
      <c r="L325" s="181">
        <v>0.5</v>
      </c>
      <c r="M325" s="181" t="str">
        <f t="shared" si="15"/>
        <v>לרכוש</v>
      </c>
      <c r="N325" s="181">
        <v>1000</v>
      </c>
      <c r="O325" s="183"/>
      <c r="P325" s="183">
        <v>8</v>
      </c>
      <c r="Q325" s="183"/>
    </row>
    <row r="326" spans="1:17" s="12" customFormat="1" ht="14.25" customHeight="1">
      <c r="A326" s="180" t="str">
        <f>'רשימת מכשור 2015'!A325</f>
        <v>מד לחץ הפרשי</v>
      </c>
      <c r="B326" s="180" t="str">
        <f>'רשימת מכשור 2015'!B325</f>
        <v>Micatron</v>
      </c>
      <c r="C326" s="180" t="str">
        <f>'רשימת מכשור 2015'!C325</f>
        <v>Micaflex MF-P</v>
      </c>
      <c r="D326" s="233" t="str">
        <f>'רשימת מכשור 2015'!D325</f>
        <v>WH-B4 AHU-1</v>
      </c>
      <c r="E326" s="180" t="str">
        <f>'רשימת מכשור 2015'!E325</f>
        <v>1-4-1-PDIC-3</v>
      </c>
      <c r="F326" s="180">
        <f>'רשימת מכשור 2015'!F325</f>
        <v>1200</v>
      </c>
      <c r="G326" s="181">
        <v>1</v>
      </c>
      <c r="H326" s="181">
        <f t="shared" si="14"/>
        <v>1200</v>
      </c>
      <c r="I326" s="182" t="s">
        <v>82</v>
      </c>
      <c r="J326" s="181">
        <v>1</v>
      </c>
      <c r="K326" s="181">
        <v>1</v>
      </c>
      <c r="L326" s="181">
        <v>1</v>
      </c>
      <c r="M326" s="181" t="str">
        <f t="shared" si="15"/>
        <v>לא לרכוש</v>
      </c>
      <c r="N326" s="181">
        <v>1000</v>
      </c>
      <c r="O326" s="183"/>
      <c r="P326" s="183">
        <v>60</v>
      </c>
      <c r="Q326" s="183"/>
    </row>
    <row r="327" spans="1:17" s="12" customFormat="1" ht="14.25" customHeight="1">
      <c r="A327" s="180" t="str">
        <f>'רשימת מכשור 2015'!A326</f>
        <v>מד לחץ הפרשי</v>
      </c>
      <c r="B327" s="180" t="str">
        <f>'רשימת מכשור 2015'!B326</f>
        <v>Micatron</v>
      </c>
      <c r="C327" s="180" t="str">
        <f>'רשימת מכשור 2015'!C326</f>
        <v>Micaflex MF-P</v>
      </c>
      <c r="D327" s="233" t="str">
        <f>'רשימת מכשור 2015'!D326</f>
        <v>WH-B4 AHU-3</v>
      </c>
      <c r="E327" s="180" t="str">
        <f>'רשימת מכשור 2015'!E326</f>
        <v>1-4-1-AHU-3-PDIC-9</v>
      </c>
      <c r="F327" s="180">
        <f>'רשימת מכשור 2015'!F326</f>
        <v>1200</v>
      </c>
      <c r="G327" s="181">
        <v>1</v>
      </c>
      <c r="H327" s="181">
        <f t="shared" si="14"/>
        <v>1200</v>
      </c>
      <c r="I327" s="182" t="s">
        <v>82</v>
      </c>
      <c r="J327" s="181">
        <v>1</v>
      </c>
      <c r="K327" s="181">
        <v>1</v>
      </c>
      <c r="L327" s="181">
        <v>0.5</v>
      </c>
      <c r="M327" s="181" t="str">
        <f t="shared" si="15"/>
        <v>לא לרכוש</v>
      </c>
      <c r="N327" s="181">
        <v>1000</v>
      </c>
      <c r="O327" s="183"/>
      <c r="P327" s="183">
        <v>60</v>
      </c>
      <c r="Q327" s="183"/>
    </row>
    <row r="328" spans="1:17" s="12" customFormat="1" ht="14.25" customHeight="1">
      <c r="A328" s="180" t="str">
        <f>'רשימת מכשור 2015'!A327</f>
        <v>מד לחץ הפרשי</v>
      </c>
      <c r="B328" s="180" t="str">
        <f>'רשימת מכשור 2015'!B327</f>
        <v>Micatron</v>
      </c>
      <c r="C328" s="180" t="str">
        <f>'רשימת מכשור 2015'!C327</f>
        <v>Micaflex MF-P</v>
      </c>
      <c r="D328" s="233" t="str">
        <f>'רשימת מכשור 2015'!D327</f>
        <v>WH-B4 AHU-4</v>
      </c>
      <c r="E328" s="180" t="str">
        <f>'רשימת מכשור 2015'!E327</f>
        <v>1-4-4-PDIC-1</v>
      </c>
      <c r="F328" s="180">
        <f>'רשימת מכשור 2015'!F327</f>
        <v>1200</v>
      </c>
      <c r="G328" s="181">
        <v>1</v>
      </c>
      <c r="H328" s="181">
        <f t="shared" si="14"/>
        <v>1200</v>
      </c>
      <c r="I328" s="182" t="s">
        <v>82</v>
      </c>
      <c r="J328" s="181">
        <v>1</v>
      </c>
      <c r="K328" s="181">
        <v>1</v>
      </c>
      <c r="L328" s="181">
        <v>1</v>
      </c>
      <c r="M328" s="181" t="str">
        <f t="shared" si="15"/>
        <v>לא לרכוש</v>
      </c>
      <c r="N328" s="181">
        <v>1000</v>
      </c>
      <c r="O328" s="183"/>
      <c r="P328" s="183">
        <v>60</v>
      </c>
      <c r="Q328" s="183"/>
    </row>
    <row r="329" spans="1:17" s="12" customFormat="1" ht="14.25" customHeight="1">
      <c r="A329" s="180" t="str">
        <f>'רשימת מכשור 2015'!A328</f>
        <v>מד לחץ הפרשי</v>
      </c>
      <c r="B329" s="180" t="str">
        <f>'רשימת מכשור 2015'!B328</f>
        <v>Micatron</v>
      </c>
      <c r="C329" s="180" t="str">
        <f>'רשימת מכשור 2015'!C328</f>
        <v>Micaflex MF-P</v>
      </c>
      <c r="D329" s="233" t="str">
        <f>'רשימת מכשור 2015'!D328</f>
        <v>WH-B4 AHU-4</v>
      </c>
      <c r="E329" s="180" t="str">
        <f>'רשימת מכשור 2015'!E328</f>
        <v>1-4-4-PIC-3</v>
      </c>
      <c r="F329" s="180">
        <f>'רשימת מכשור 2015'!F328</f>
        <v>1200</v>
      </c>
      <c r="G329" s="181">
        <v>1</v>
      </c>
      <c r="H329" s="181">
        <f t="shared" si="14"/>
        <v>1200</v>
      </c>
      <c r="I329" s="182" t="s">
        <v>82</v>
      </c>
      <c r="J329" s="181">
        <v>1</v>
      </c>
      <c r="K329" s="181">
        <v>1</v>
      </c>
      <c r="L329" s="181">
        <v>1</v>
      </c>
      <c r="M329" s="181" t="str">
        <f t="shared" ref="M329:M360" si="16">IF(AND(K329*L329*30*N329&gt;H329/J329,I329=""),"לרכוש","לא לרכוש")</f>
        <v>לא לרכוש</v>
      </c>
      <c r="N329" s="181">
        <v>1000</v>
      </c>
      <c r="O329" s="183"/>
      <c r="P329" s="183">
        <v>60</v>
      </c>
      <c r="Q329" s="183"/>
    </row>
    <row r="330" spans="1:17" s="12" customFormat="1" ht="14.25" customHeight="1">
      <c r="A330" s="180" t="str">
        <f>'רשימת מכשור 2015'!A329</f>
        <v>מד לחץ הפרשי</v>
      </c>
      <c r="B330" s="180" t="str">
        <f>'רשימת מכשור 2015'!B329</f>
        <v>Micatron</v>
      </c>
      <c r="C330" s="180" t="str">
        <f>'רשימת מכשור 2015'!C329</f>
        <v>Micaflex MF-P</v>
      </c>
      <c r="D330" s="233" t="str">
        <f>'רשימת מכשור 2015'!D329</f>
        <v>WH-B4 AHU-4</v>
      </c>
      <c r="E330" s="180" t="str">
        <f>'רשימת מכשור 2015'!E329</f>
        <v>1-4-4-PDIC-5</v>
      </c>
      <c r="F330" s="180">
        <f>'רשימת מכשור 2015'!F329</f>
        <v>1200</v>
      </c>
      <c r="G330" s="181">
        <v>1</v>
      </c>
      <c r="H330" s="181">
        <f t="shared" si="14"/>
        <v>1200</v>
      </c>
      <c r="I330" s="182" t="s">
        <v>82</v>
      </c>
      <c r="J330" s="181">
        <v>1</v>
      </c>
      <c r="K330" s="181">
        <v>1</v>
      </c>
      <c r="L330" s="181">
        <v>1</v>
      </c>
      <c r="M330" s="181" t="str">
        <f t="shared" si="16"/>
        <v>לא לרכוש</v>
      </c>
      <c r="N330" s="181">
        <v>1000</v>
      </c>
      <c r="O330" s="183"/>
      <c r="P330" s="183">
        <v>60</v>
      </c>
      <c r="Q330" s="183"/>
    </row>
    <row r="331" spans="1:17" s="12" customFormat="1" ht="14.25" customHeight="1">
      <c r="A331" s="180" t="str">
        <f>'רשימת מכשור 2015'!A330</f>
        <v>משדר טמפרטורה</v>
      </c>
      <c r="B331" s="180" t="str">
        <f>'רשימת מכשור 2015'!B330</f>
        <v>ROTRONIC</v>
      </c>
      <c r="C331" s="180" t="str">
        <f>'רשימת מכשור 2015'!C330</f>
        <v>HF3</v>
      </c>
      <c r="D331" s="233" t="str">
        <f>'רשימת מכשור 2015'!D330</f>
        <v>51001-AHU-01</v>
      </c>
      <c r="E331" s="180" t="str">
        <f>'רשימת מכשור 2015'!E330</f>
        <v>1-1-51001-TT-201</v>
      </c>
      <c r="F331" s="180">
        <f>'רשימת מכשור 2015'!F330</f>
        <v>1100</v>
      </c>
      <c r="G331" s="181">
        <v>1</v>
      </c>
      <c r="H331" s="181">
        <f t="shared" si="14"/>
        <v>1100</v>
      </c>
      <c r="I331" s="182" t="s">
        <v>82</v>
      </c>
      <c r="J331" s="181">
        <v>1</v>
      </c>
      <c r="K331" s="181">
        <v>1</v>
      </c>
      <c r="L331" s="181">
        <v>0.5</v>
      </c>
      <c r="M331" s="181" t="str">
        <f t="shared" si="16"/>
        <v>לא לרכוש</v>
      </c>
      <c r="N331" s="181">
        <v>1000</v>
      </c>
      <c r="O331" s="183"/>
      <c r="P331" s="183">
        <v>11</v>
      </c>
      <c r="Q331" s="183"/>
    </row>
    <row r="332" spans="1:17" s="12" customFormat="1" ht="14.25" customHeight="1">
      <c r="A332" s="180" t="str">
        <f>'רשימת מכשור 2015'!A331</f>
        <v>משדר טמפרטורה</v>
      </c>
      <c r="B332" s="180" t="str">
        <f>'רשימת מכשור 2015'!B331</f>
        <v>ROTRONIC</v>
      </c>
      <c r="C332" s="180" t="str">
        <f>'רשימת מכשור 2015'!C331</f>
        <v>HF3</v>
      </c>
      <c r="D332" s="233" t="str">
        <f>'רשימת מכשור 2015'!D331</f>
        <v>51001-AHU-01</v>
      </c>
      <c r="E332" s="180" t="str">
        <f>'רשימת מכשור 2015'!E331</f>
        <v>1-1-51001-TT-204</v>
      </c>
      <c r="F332" s="180">
        <f>'רשימת מכשור 2015'!F331</f>
        <v>1100</v>
      </c>
      <c r="G332" s="181">
        <v>1</v>
      </c>
      <c r="H332" s="181">
        <f t="shared" si="14"/>
        <v>1100</v>
      </c>
      <c r="I332" s="182" t="s">
        <v>82</v>
      </c>
      <c r="J332" s="181">
        <v>1</v>
      </c>
      <c r="K332" s="181">
        <v>1</v>
      </c>
      <c r="L332" s="181">
        <v>0.5</v>
      </c>
      <c r="M332" s="181" t="str">
        <f t="shared" si="16"/>
        <v>לא לרכוש</v>
      </c>
      <c r="N332" s="181">
        <v>1000</v>
      </c>
      <c r="O332" s="183"/>
      <c r="P332" s="183">
        <v>11</v>
      </c>
      <c r="Q332" s="183"/>
    </row>
    <row r="333" spans="1:17" s="12" customFormat="1" ht="14.25" customHeight="1">
      <c r="A333" s="180" t="str">
        <f>'רשימת מכשור 2015'!A332</f>
        <v>משדר טמפרטורה</v>
      </c>
      <c r="B333" s="180" t="str">
        <f>'רשימת מכשור 2015'!B332</f>
        <v>ROTRONIC</v>
      </c>
      <c r="C333" s="180" t="str">
        <f>'רשימת מכשור 2015'!C332</f>
        <v>HF3</v>
      </c>
      <c r="D333" s="233" t="str">
        <f>'רשימת מכשור 2015'!D332</f>
        <v>51001-AHU-01</v>
      </c>
      <c r="E333" s="180" t="str">
        <f>'רשימת מכשור 2015'!E332</f>
        <v>1-1-51001-TT-29</v>
      </c>
      <c r="F333" s="180">
        <f>'רשימת מכשור 2015'!F332</f>
        <v>1100</v>
      </c>
      <c r="G333" s="181">
        <v>1</v>
      </c>
      <c r="H333" s="181">
        <f t="shared" si="14"/>
        <v>1100</v>
      </c>
      <c r="I333" s="182" t="s">
        <v>82</v>
      </c>
      <c r="J333" s="181">
        <v>1</v>
      </c>
      <c r="K333" s="181">
        <v>1</v>
      </c>
      <c r="L333" s="181">
        <v>0.5</v>
      </c>
      <c r="M333" s="181" t="str">
        <f t="shared" si="16"/>
        <v>לא לרכוש</v>
      </c>
      <c r="N333" s="181">
        <v>1000</v>
      </c>
      <c r="O333" s="183"/>
      <c r="P333" s="183">
        <v>11</v>
      </c>
      <c r="Q333" s="183"/>
    </row>
    <row r="334" spans="1:17" s="12" customFormat="1" ht="14.25" customHeight="1">
      <c r="A334" s="180" t="str">
        <f>'רשימת מכשור 2015'!A333</f>
        <v>משדר טמפרטורה</v>
      </c>
      <c r="B334" s="180" t="str">
        <f>'רשימת מכשור 2015'!B333</f>
        <v>ROTRONIC</v>
      </c>
      <c r="C334" s="180" t="str">
        <f>'רשימת מכשור 2015'!C333</f>
        <v>HF3</v>
      </c>
      <c r="D334" s="233" t="str">
        <f>'רשימת מכשור 2015'!D333</f>
        <v>51001-AHU-01</v>
      </c>
      <c r="E334" s="180" t="str">
        <f>'רשימת מכשור 2015'!E333</f>
        <v>1-1-51001-TT-216</v>
      </c>
      <c r="F334" s="180">
        <f>'רשימת מכשור 2015'!F333</f>
        <v>1100</v>
      </c>
      <c r="G334" s="181">
        <v>1</v>
      </c>
      <c r="H334" s="181">
        <f t="shared" si="14"/>
        <v>1100</v>
      </c>
      <c r="I334" s="182" t="s">
        <v>82</v>
      </c>
      <c r="J334" s="181">
        <v>1</v>
      </c>
      <c r="K334" s="181">
        <v>1</v>
      </c>
      <c r="L334" s="181">
        <v>0.5</v>
      </c>
      <c r="M334" s="181" t="str">
        <f t="shared" si="16"/>
        <v>לא לרכוש</v>
      </c>
      <c r="N334" s="181">
        <v>1000</v>
      </c>
      <c r="O334" s="183"/>
      <c r="P334" s="183">
        <v>11</v>
      </c>
      <c r="Q334" s="183"/>
    </row>
    <row r="335" spans="1:17" s="12" customFormat="1" ht="14.25" customHeight="1">
      <c r="A335" s="180" t="str">
        <f>'רשימת מכשור 2015'!A334</f>
        <v>משדר טמפרטורה</v>
      </c>
      <c r="B335" s="180" t="str">
        <f>'רשימת מכשור 2015'!B334</f>
        <v>ROTRONIC</v>
      </c>
      <c r="C335" s="180" t="str">
        <f>'רשימת מכשור 2015'!C334</f>
        <v>HF3</v>
      </c>
      <c r="D335" s="233" t="str">
        <f>'רשימת מכשור 2015'!D334</f>
        <v>51001-AHU-01</v>
      </c>
      <c r="E335" s="180" t="str">
        <f>'רשימת מכשור 2015'!E334</f>
        <v>1-1-51001-TT-221</v>
      </c>
      <c r="F335" s="180">
        <f>'רשימת מכשור 2015'!F334</f>
        <v>1100</v>
      </c>
      <c r="G335" s="181">
        <v>1</v>
      </c>
      <c r="H335" s="181">
        <f t="shared" si="14"/>
        <v>1100</v>
      </c>
      <c r="I335" s="182" t="s">
        <v>82</v>
      </c>
      <c r="J335" s="181">
        <v>1</v>
      </c>
      <c r="K335" s="181">
        <v>1</v>
      </c>
      <c r="L335" s="181">
        <v>0.5</v>
      </c>
      <c r="M335" s="181" t="str">
        <f t="shared" si="16"/>
        <v>לא לרכוש</v>
      </c>
      <c r="N335" s="181">
        <v>1000</v>
      </c>
      <c r="O335" s="183"/>
      <c r="P335" s="183">
        <v>11</v>
      </c>
      <c r="Q335" s="183"/>
    </row>
    <row r="336" spans="1:17" s="12" customFormat="1" ht="14.25" customHeight="1">
      <c r="A336" s="180" t="str">
        <f>'רשימת מכשור 2015'!A335</f>
        <v>משדר טמפרטורה</v>
      </c>
      <c r="B336" s="180" t="str">
        <f>'רשימת מכשור 2015'!B335</f>
        <v>ROTRONIC</v>
      </c>
      <c r="C336" s="180" t="str">
        <f>'רשימת מכשור 2015'!C335</f>
        <v>HF3</v>
      </c>
      <c r="D336" s="233" t="str">
        <f>'רשימת מכשור 2015'!D335</f>
        <v>51001-AHU-01</v>
      </c>
      <c r="E336" s="180" t="str">
        <f>'רשימת מכשור 2015'!E335</f>
        <v>1-1-51001-TIC-5</v>
      </c>
      <c r="F336" s="180">
        <f>'רשימת מכשור 2015'!F335</f>
        <v>1100</v>
      </c>
      <c r="G336" s="181">
        <v>1</v>
      </c>
      <c r="H336" s="181">
        <f t="shared" si="14"/>
        <v>1100</v>
      </c>
      <c r="I336" s="182" t="s">
        <v>82</v>
      </c>
      <c r="J336" s="181">
        <v>1</v>
      </c>
      <c r="K336" s="181">
        <v>1</v>
      </c>
      <c r="L336" s="181">
        <v>0.5</v>
      </c>
      <c r="M336" s="181" t="str">
        <f t="shared" si="16"/>
        <v>לא לרכוש</v>
      </c>
      <c r="N336" s="181">
        <v>1000</v>
      </c>
      <c r="O336" s="183"/>
      <c r="P336" s="183">
        <v>11</v>
      </c>
      <c r="Q336" s="183"/>
    </row>
    <row r="337" spans="1:17" s="12" customFormat="1" ht="14.25" customHeight="1">
      <c r="A337" s="180" t="str">
        <f>'רשימת מכשור 2015'!A336</f>
        <v>משדר טמפרטורה</v>
      </c>
      <c r="B337" s="180" t="str">
        <f>'רשימת מכשור 2015'!B336</f>
        <v>ROTRONIC</v>
      </c>
      <c r="C337" s="180" t="str">
        <f>'רשימת מכשור 2015'!C336</f>
        <v>HF3</v>
      </c>
      <c r="D337" s="233" t="str">
        <f>'רשימת מכשור 2015'!D336</f>
        <v>51001-AHU-01</v>
      </c>
      <c r="E337" s="180" t="str">
        <f>'רשימת מכשור 2015'!E336</f>
        <v>1-1-51001-TT-224</v>
      </c>
      <c r="F337" s="180">
        <f>'רשימת מכשור 2015'!F336</f>
        <v>1100</v>
      </c>
      <c r="G337" s="181">
        <v>1</v>
      </c>
      <c r="H337" s="181">
        <f t="shared" si="14"/>
        <v>1100</v>
      </c>
      <c r="I337" s="182" t="s">
        <v>82</v>
      </c>
      <c r="J337" s="181">
        <v>1</v>
      </c>
      <c r="K337" s="181">
        <v>1</v>
      </c>
      <c r="L337" s="181">
        <v>0.5</v>
      </c>
      <c r="M337" s="181" t="str">
        <f t="shared" si="16"/>
        <v>לא לרכוש</v>
      </c>
      <c r="N337" s="181">
        <v>1000</v>
      </c>
      <c r="O337" s="183"/>
      <c r="P337" s="183">
        <v>11</v>
      </c>
      <c r="Q337" s="183"/>
    </row>
    <row r="338" spans="1:17" s="12" customFormat="1" ht="14.25" customHeight="1">
      <c r="A338" s="180" t="str">
        <f>'רשימת מכשור 2015'!A337</f>
        <v>משדר טמפרטורה</v>
      </c>
      <c r="B338" s="180" t="str">
        <f>'רשימת מכשור 2015'!B337</f>
        <v>ROTRONIC</v>
      </c>
      <c r="C338" s="180" t="str">
        <f>'רשימת מכשור 2015'!C337</f>
        <v>HF3</v>
      </c>
      <c r="D338" s="233" t="str">
        <f>'רשימת מכשור 2015'!D337</f>
        <v>51001-AHU-02</v>
      </c>
      <c r="E338" s="180" t="str">
        <f>'רשימת מכשור 2015'!E337</f>
        <v>1-1-51001-TT-214</v>
      </c>
      <c r="F338" s="180">
        <f>'רשימת מכשור 2015'!F337</f>
        <v>1100</v>
      </c>
      <c r="G338" s="181">
        <v>1</v>
      </c>
      <c r="H338" s="181">
        <f t="shared" si="14"/>
        <v>1100</v>
      </c>
      <c r="I338" s="182" t="s">
        <v>82</v>
      </c>
      <c r="J338" s="181">
        <v>1</v>
      </c>
      <c r="K338" s="181">
        <v>1</v>
      </c>
      <c r="L338" s="181">
        <v>0.5</v>
      </c>
      <c r="M338" s="181" t="str">
        <f t="shared" si="16"/>
        <v>לא לרכוש</v>
      </c>
      <c r="N338" s="181">
        <v>1000</v>
      </c>
      <c r="O338" s="183"/>
      <c r="P338" s="183">
        <v>11</v>
      </c>
      <c r="Q338" s="183"/>
    </row>
    <row r="339" spans="1:17" s="12" customFormat="1" ht="14.25" customHeight="1">
      <c r="A339" s="180" t="str">
        <f>'רשימת מכשור 2015'!A338</f>
        <v>משדר טמפרטורה</v>
      </c>
      <c r="B339" s="180" t="str">
        <f>'רשימת מכשור 2015'!B338</f>
        <v>ROTRONIC</v>
      </c>
      <c r="C339" s="180" t="str">
        <f>'רשימת מכשור 2015'!C338</f>
        <v>HF3</v>
      </c>
      <c r="D339" s="233" t="str">
        <f>'רשימת מכשור 2015'!D338</f>
        <v>51001-AHU-02</v>
      </c>
      <c r="E339" s="180" t="str">
        <f>'רשימת מכשור 2015'!E338</f>
        <v>1-1-51001-TT-215</v>
      </c>
      <c r="F339" s="180">
        <f>'רשימת מכשור 2015'!F338</f>
        <v>1100</v>
      </c>
      <c r="G339" s="181">
        <v>1</v>
      </c>
      <c r="H339" s="181">
        <f t="shared" si="14"/>
        <v>1100</v>
      </c>
      <c r="I339" s="182" t="s">
        <v>82</v>
      </c>
      <c r="J339" s="181">
        <v>1</v>
      </c>
      <c r="K339" s="181">
        <v>1</v>
      </c>
      <c r="L339" s="181">
        <v>0.5</v>
      </c>
      <c r="M339" s="181" t="str">
        <f t="shared" si="16"/>
        <v>לא לרכוש</v>
      </c>
      <c r="N339" s="181">
        <v>1000</v>
      </c>
      <c r="O339" s="183"/>
      <c r="P339" s="183">
        <v>11</v>
      </c>
      <c r="Q339" s="183"/>
    </row>
    <row r="340" spans="1:17" s="12" customFormat="1" ht="14.25" customHeight="1">
      <c r="A340" s="180" t="str">
        <f>'רשימת מכשור 2015'!A339</f>
        <v>משדר טמפרטורה</v>
      </c>
      <c r="B340" s="180" t="str">
        <f>'רשימת מכשור 2015'!B339</f>
        <v>ROTRONIC</v>
      </c>
      <c r="C340" s="180" t="str">
        <f>'רשימת מכשור 2015'!C339</f>
        <v>HF3</v>
      </c>
      <c r="D340" s="233" t="str">
        <f>'רשימת מכשור 2015'!D339</f>
        <v>51001-AHU-02</v>
      </c>
      <c r="E340" s="180" t="str">
        <f>'רשימת מכשור 2015'!E339</f>
        <v>1-1-51001-TT-217</v>
      </c>
      <c r="F340" s="180">
        <f>'רשימת מכשור 2015'!F339</f>
        <v>1100</v>
      </c>
      <c r="G340" s="181">
        <v>1</v>
      </c>
      <c r="H340" s="181">
        <f t="shared" si="14"/>
        <v>1100</v>
      </c>
      <c r="I340" s="182" t="s">
        <v>82</v>
      </c>
      <c r="J340" s="181">
        <v>1</v>
      </c>
      <c r="K340" s="181">
        <v>1</v>
      </c>
      <c r="L340" s="181">
        <v>0.5</v>
      </c>
      <c r="M340" s="181" t="str">
        <f t="shared" si="16"/>
        <v>לא לרכוש</v>
      </c>
      <c r="N340" s="181">
        <v>1000</v>
      </c>
      <c r="O340" s="183"/>
      <c r="P340" s="183">
        <v>11</v>
      </c>
      <c r="Q340" s="183"/>
    </row>
    <row r="341" spans="1:17" s="12" customFormat="1" ht="14.25" customHeight="1">
      <c r="A341" s="180" t="str">
        <f>'רשימת מכשור 2015'!A340</f>
        <v>משדר טמפרטורה</v>
      </c>
      <c r="B341" s="180" t="str">
        <f>'רשימת מכשור 2015'!B340</f>
        <v>ROTRONIC</v>
      </c>
      <c r="C341" s="180" t="str">
        <f>'רשימת מכשור 2015'!C340</f>
        <v>HF3</v>
      </c>
      <c r="D341" s="233" t="str">
        <f>'רשימת מכשור 2015'!D340</f>
        <v>51001-AHU-03</v>
      </c>
      <c r="E341" s="180" t="str">
        <f>'רשימת מכשור 2015'!E340</f>
        <v>1-1-51001-TT-200</v>
      </c>
      <c r="F341" s="180">
        <f>'רשימת מכשור 2015'!F340</f>
        <v>1100</v>
      </c>
      <c r="G341" s="181">
        <v>1</v>
      </c>
      <c r="H341" s="181">
        <f t="shared" si="14"/>
        <v>1100</v>
      </c>
      <c r="I341" s="182" t="s">
        <v>82</v>
      </c>
      <c r="J341" s="181">
        <v>1</v>
      </c>
      <c r="K341" s="181">
        <v>1</v>
      </c>
      <c r="L341" s="181">
        <v>1</v>
      </c>
      <c r="M341" s="181" t="str">
        <f t="shared" si="16"/>
        <v>לא לרכוש</v>
      </c>
      <c r="N341" s="181">
        <v>1000</v>
      </c>
      <c r="O341" s="183"/>
      <c r="P341" s="183">
        <v>11</v>
      </c>
      <c r="Q341" s="183"/>
    </row>
    <row r="342" spans="1:17" s="12" customFormat="1" ht="14.25" customHeight="1">
      <c r="A342" s="180" t="str">
        <f>'רשימת מכשור 2015'!A341</f>
        <v>משדר טמפרטורה</v>
      </c>
      <c r="B342" s="180" t="str">
        <f>'רשימת מכשור 2015'!B341</f>
        <v>ROTRONIC</v>
      </c>
      <c r="C342" s="180" t="str">
        <f>'רשימת מכשור 2015'!C341</f>
        <v>HF3</v>
      </c>
      <c r="D342" s="233" t="str">
        <f>'רשימת מכשור 2015'!D341</f>
        <v>51001-AHU-03</v>
      </c>
      <c r="E342" s="180" t="str">
        <f>'רשימת מכשור 2015'!E341</f>
        <v>1-1-51001-TIC-200-01</v>
      </c>
      <c r="F342" s="180">
        <f>'רשימת מכשור 2015'!F341</f>
        <v>1100</v>
      </c>
      <c r="G342" s="181">
        <v>1</v>
      </c>
      <c r="H342" s="181">
        <f t="shared" si="14"/>
        <v>1100</v>
      </c>
      <c r="I342" s="182" t="s">
        <v>82</v>
      </c>
      <c r="J342" s="181">
        <v>1</v>
      </c>
      <c r="K342" s="181">
        <v>1</v>
      </c>
      <c r="L342" s="181">
        <v>1</v>
      </c>
      <c r="M342" s="181" t="str">
        <f t="shared" si="16"/>
        <v>לא לרכוש</v>
      </c>
      <c r="N342" s="181">
        <v>1000</v>
      </c>
      <c r="O342" s="183"/>
      <c r="P342" s="183">
        <v>11</v>
      </c>
      <c r="Q342" s="183"/>
    </row>
    <row r="343" spans="1:17" s="12" customFormat="1" ht="14.25" customHeight="1">
      <c r="A343" s="180" t="str">
        <f>'רשימת מכשור 2015'!A342</f>
        <v>מד ספיקה</v>
      </c>
      <c r="B343" s="180" t="str">
        <f>'רשימת מכשור 2015'!B342</f>
        <v>ARAD DALIA</v>
      </c>
      <c r="C343" s="180" t="str">
        <f>'רשימת מכשור 2015'!C342</f>
        <v>M20 REED-SWITCH</v>
      </c>
      <c r="D343" s="233" t="str">
        <f>'רשימת מכשור 2015'!D342</f>
        <v>PW PRETREAMENT
2500</v>
      </c>
      <c r="E343" s="180" t="str">
        <f>'רשימת מכשור 2015'!E342</f>
        <v>1-1-605-QIT-001</v>
      </c>
      <c r="F343" s="180">
        <f>'רשימת מכשור 2015'!F342</f>
        <v>1000</v>
      </c>
      <c r="G343" s="181">
        <v>1</v>
      </c>
      <c r="H343" s="181">
        <f t="shared" si="14"/>
        <v>1000</v>
      </c>
      <c r="I343" s="182" t="s">
        <v>82</v>
      </c>
      <c r="J343" s="181">
        <v>1</v>
      </c>
      <c r="K343" s="181">
        <v>0</v>
      </c>
      <c r="L343" s="181">
        <v>0.2</v>
      </c>
      <c r="M343" s="181" t="str">
        <f t="shared" si="16"/>
        <v>לא לרכוש</v>
      </c>
      <c r="N343" s="181">
        <v>1000</v>
      </c>
      <c r="O343" s="183"/>
      <c r="P343" s="183">
        <v>1</v>
      </c>
      <c r="Q343" s="183"/>
    </row>
    <row r="344" spans="1:17" s="12" customFormat="1" ht="14.25" customHeight="1">
      <c r="A344" s="180" t="str">
        <f>'רשימת מכשור 2015'!A343</f>
        <v>משדר טמפרטורה</v>
      </c>
      <c r="B344" s="180" t="str">
        <f>'רשימת מכשור 2015'!B343</f>
        <v>COR</v>
      </c>
      <c r="C344" s="180" t="str">
        <f>'רשימת מכשור 2015'!C343</f>
        <v>PT-100</v>
      </c>
      <c r="D344" s="233" t="str">
        <f>'רשימת מכשור 2015'!D343</f>
        <v>DISTILLERY</v>
      </c>
      <c r="E344" s="180" t="str">
        <f>'רשימת מכשור 2015'!E343</f>
        <v>1-1-40-TT-02</v>
      </c>
      <c r="F344" s="180">
        <f>'רשימת מכשור 2015'!F343</f>
        <v>1000</v>
      </c>
      <c r="G344" s="181">
        <v>1</v>
      </c>
      <c r="H344" s="181">
        <f t="shared" si="14"/>
        <v>1000</v>
      </c>
      <c r="I344" s="182"/>
      <c r="J344" s="181">
        <v>1</v>
      </c>
      <c r="K344" s="181">
        <v>1</v>
      </c>
      <c r="L344" s="181">
        <v>0.5</v>
      </c>
      <c r="M344" s="181" t="str">
        <f t="shared" si="16"/>
        <v>לרכוש</v>
      </c>
      <c r="N344" s="181">
        <v>1000</v>
      </c>
      <c r="O344" s="183"/>
      <c r="P344" s="183">
        <v>1</v>
      </c>
      <c r="Q344" s="183"/>
    </row>
    <row r="345" spans="1:17" s="12" customFormat="1" ht="14.25" customHeight="1">
      <c r="A345" s="180" t="str">
        <f>'רשימת מכשור 2015'!A344</f>
        <v>משדר לחות</v>
      </c>
      <c r="B345" s="180" t="str">
        <f>'רשימת מכשור 2015'!B344</f>
        <v>ACI</v>
      </c>
      <c r="C345" s="180" t="str">
        <f>'רשימת מכשור 2015'!C344</f>
        <v>DU/RH5-D</v>
      </c>
      <c r="D345" s="233" t="str">
        <f>'רשימת מכשור 2015'!D344</f>
        <v>51001-AHU-01</v>
      </c>
      <c r="E345" s="180" t="str">
        <f>'רשימת מכשור 2015'!E344</f>
        <v>1-1-51001-MTR-01</v>
      </c>
      <c r="F345" s="180">
        <f>'רשימת מכשור 2015'!F344</f>
        <v>1000</v>
      </c>
      <c r="G345" s="181">
        <v>1</v>
      </c>
      <c r="H345" s="181">
        <f t="shared" si="14"/>
        <v>1000</v>
      </c>
      <c r="I345" s="182"/>
      <c r="J345" s="181">
        <v>1</v>
      </c>
      <c r="K345" s="181">
        <v>1</v>
      </c>
      <c r="L345" s="181">
        <v>1</v>
      </c>
      <c r="M345" s="181" t="str">
        <f t="shared" si="16"/>
        <v>לרכוש</v>
      </c>
      <c r="N345" s="181">
        <v>1000</v>
      </c>
      <c r="O345" s="183"/>
      <c r="P345" s="183">
        <v>3</v>
      </c>
      <c r="Q345" s="183"/>
    </row>
    <row r="346" spans="1:17" s="12" customFormat="1" ht="14.25" customHeight="1">
      <c r="A346" s="180" t="str">
        <f>'רשימת מכשור 2015'!A345</f>
        <v>משדר לחות</v>
      </c>
      <c r="B346" s="180" t="str">
        <f>'רשימת מכשור 2015'!B345</f>
        <v>ACI</v>
      </c>
      <c r="C346" s="180" t="str">
        <f>'רשימת מכשור 2015'!C345</f>
        <v>DU/RH5-D</v>
      </c>
      <c r="D346" s="233" t="str">
        <f>'רשימת מכשור 2015'!D345</f>
        <v>51001-AHU-03</v>
      </c>
      <c r="E346" s="180" t="str">
        <f>'רשימת מכשור 2015'!E345</f>
        <v>1-1-51001-MTR-03</v>
      </c>
      <c r="F346" s="180">
        <f>'רשימת מכשור 2015'!F345</f>
        <v>1000</v>
      </c>
      <c r="G346" s="181">
        <v>1</v>
      </c>
      <c r="H346" s="181">
        <f t="shared" si="14"/>
        <v>1000</v>
      </c>
      <c r="I346" s="182"/>
      <c r="J346" s="181">
        <v>1</v>
      </c>
      <c r="K346" s="181">
        <v>1</v>
      </c>
      <c r="L346" s="181">
        <v>1</v>
      </c>
      <c r="M346" s="181" t="str">
        <f t="shared" si="16"/>
        <v>לרכוש</v>
      </c>
      <c r="N346" s="181">
        <v>1000</v>
      </c>
      <c r="O346" s="183"/>
      <c r="P346" s="183">
        <v>3</v>
      </c>
      <c r="Q346" s="183"/>
    </row>
    <row r="347" spans="1:17" s="12" customFormat="1" ht="14.25" customHeight="1">
      <c r="A347" s="180" t="str">
        <f>'רשימת מכשור 2015'!A346</f>
        <v>משדר טמפרטורה</v>
      </c>
      <c r="B347" s="180" t="str">
        <f>'רשימת מכשור 2015'!B346</f>
        <v>ELCON</v>
      </c>
      <c r="C347" s="180" t="str">
        <f>'רשימת מכשור 2015'!C346</f>
        <v>Sensor: PT-100 TH-39
Transmitter:TMT 121</v>
      </c>
      <c r="D347" s="233" t="str">
        <f>'רשימת מכשור 2015'!D346</f>
        <v>PRETREATMENT SYSTEM</v>
      </c>
      <c r="E347" s="180" t="str">
        <f>'רשימת מכשור 2015'!E346</f>
        <v>1-1-131-TIC-1</v>
      </c>
      <c r="F347" s="180">
        <f>'רשימת מכשור 2015'!F346</f>
        <v>1000</v>
      </c>
      <c r="G347" s="181">
        <v>1</v>
      </c>
      <c r="H347" s="181">
        <f t="shared" ref="H347:H410" si="17">G347*F347</f>
        <v>1000</v>
      </c>
      <c r="I347" s="182"/>
      <c r="J347" s="181">
        <v>1</v>
      </c>
      <c r="K347" s="181">
        <v>0</v>
      </c>
      <c r="L347" s="181">
        <v>0.5</v>
      </c>
      <c r="M347" s="181" t="str">
        <f t="shared" si="16"/>
        <v>לא לרכוש</v>
      </c>
      <c r="N347" s="181">
        <v>1000</v>
      </c>
      <c r="O347" s="183"/>
      <c r="P347" s="183">
        <v>1</v>
      </c>
      <c r="Q347" s="183"/>
    </row>
    <row r="348" spans="1:17" s="12" customFormat="1" ht="14.25" customHeight="1">
      <c r="A348" s="180" t="str">
        <f>'רשימת מכשור 2015'!A347</f>
        <v>משדר זרימה</v>
      </c>
      <c r="B348" s="180" t="str">
        <f>'רשימת מכשור 2015'!B347</f>
        <v>arad dalia</v>
      </c>
      <c r="C348" s="180" t="str">
        <f>'רשימת מכשור 2015'!C347</f>
        <v>m40</v>
      </c>
      <c r="D348" s="233" t="str">
        <f>'רשימת מכשור 2015'!D347</f>
        <v>PRETREATMENT SYSTEM</v>
      </c>
      <c r="E348" s="180" t="str">
        <f>'רשימת מכשור 2015'!E347</f>
        <v>1-1-131-QIC-1</v>
      </c>
      <c r="F348" s="180">
        <f>'רשימת מכשור 2015'!F347</f>
        <v>1000</v>
      </c>
      <c r="G348" s="181">
        <v>1</v>
      </c>
      <c r="H348" s="181">
        <f t="shared" si="17"/>
        <v>1000</v>
      </c>
      <c r="I348" s="182" t="s">
        <v>82</v>
      </c>
      <c r="J348" s="181">
        <v>1</v>
      </c>
      <c r="K348" s="181">
        <v>1</v>
      </c>
      <c r="L348" s="181">
        <v>0.5</v>
      </c>
      <c r="M348" s="181" t="str">
        <f t="shared" si="16"/>
        <v>לא לרכוש</v>
      </c>
      <c r="N348" s="181">
        <v>1000</v>
      </c>
      <c r="O348" s="183"/>
      <c r="P348" s="183">
        <v>4</v>
      </c>
      <c r="Q348" s="183"/>
    </row>
    <row r="349" spans="1:17" s="12" customFormat="1" ht="14.25" customHeight="1">
      <c r="A349" s="180" t="str">
        <f>'רשימת מכשור 2015'!A348</f>
        <v>משדר זרימה</v>
      </c>
      <c r="B349" s="180" t="str">
        <f>'רשימת מכשור 2015'!B348</f>
        <v>arad dalia</v>
      </c>
      <c r="C349" s="180" t="str">
        <f>'רשימת מכשור 2015'!C348</f>
        <v>m40</v>
      </c>
      <c r="D349" s="233" t="str">
        <f>'רשימת מכשור 2015'!D348</f>
        <v>PRETREATMENT SYSTEM</v>
      </c>
      <c r="E349" s="180" t="str">
        <f>'רשימת מכשור 2015'!E348</f>
        <v>1-1-131-QIT-1</v>
      </c>
      <c r="F349" s="180">
        <f>'רשימת מכשור 2015'!F348</f>
        <v>1000</v>
      </c>
      <c r="G349" s="181">
        <v>1</v>
      </c>
      <c r="H349" s="181">
        <f t="shared" si="17"/>
        <v>1000</v>
      </c>
      <c r="I349" s="182" t="s">
        <v>82</v>
      </c>
      <c r="J349" s="181">
        <v>1</v>
      </c>
      <c r="K349" s="181">
        <v>1</v>
      </c>
      <c r="L349" s="181">
        <v>0.5</v>
      </c>
      <c r="M349" s="181" t="str">
        <f t="shared" si="16"/>
        <v>לא לרכוש</v>
      </c>
      <c r="N349" s="181">
        <v>1000</v>
      </c>
      <c r="O349" s="183"/>
      <c r="P349" s="183">
        <v>4</v>
      </c>
      <c r="Q349" s="183"/>
    </row>
    <row r="350" spans="1:17" s="12" customFormat="1" ht="14.25" customHeight="1">
      <c r="A350" s="180" t="str">
        <f>'רשימת מכשור 2015'!A349</f>
        <v>משדר זרימה</v>
      </c>
      <c r="B350" s="180" t="str">
        <f>'רשימת מכשור 2015'!B349</f>
        <v>arad dalia</v>
      </c>
      <c r="C350" s="180" t="str">
        <f>'רשימת מכשור 2015'!C349</f>
        <v>m40</v>
      </c>
      <c r="D350" s="233" t="str">
        <f>'רשימת מכשור 2015'!D349</f>
        <v>PRETREATMENT SYSTEM</v>
      </c>
      <c r="E350" s="180" t="str">
        <f>'רשימת מכשור 2015'!E349</f>
        <v>1-1-131-QIC-2</v>
      </c>
      <c r="F350" s="180">
        <f>'רשימת מכשור 2015'!F349</f>
        <v>1000</v>
      </c>
      <c r="G350" s="181">
        <v>1</v>
      </c>
      <c r="H350" s="181">
        <f t="shared" si="17"/>
        <v>1000</v>
      </c>
      <c r="I350" s="182" t="s">
        <v>82</v>
      </c>
      <c r="J350" s="181">
        <v>1</v>
      </c>
      <c r="K350" s="181">
        <v>1</v>
      </c>
      <c r="L350" s="181">
        <v>0.5</v>
      </c>
      <c r="M350" s="181" t="str">
        <f t="shared" si="16"/>
        <v>לא לרכוש</v>
      </c>
      <c r="N350" s="181">
        <v>1000</v>
      </c>
      <c r="O350" s="183"/>
      <c r="P350" s="183">
        <v>4</v>
      </c>
      <c r="Q350" s="183"/>
    </row>
    <row r="351" spans="1:17" s="12" customFormat="1" ht="14.25" customHeight="1">
      <c r="A351" s="180" t="str">
        <f>'רשימת מכשור 2015'!A350</f>
        <v>משדר זרימה</v>
      </c>
      <c r="B351" s="180" t="str">
        <f>'רשימת מכשור 2015'!B350</f>
        <v>arad dalia</v>
      </c>
      <c r="C351" s="180" t="str">
        <f>'רשימת מכשור 2015'!C350</f>
        <v>m40</v>
      </c>
      <c r="D351" s="233" t="str">
        <f>'רשימת מכשור 2015'!D350</f>
        <v>PRETREATMENT SYSTEM</v>
      </c>
      <c r="E351" s="180" t="str">
        <f>'רשימת מכשור 2015'!E350</f>
        <v>1-1-131-QIT-2</v>
      </c>
      <c r="F351" s="180">
        <f>'רשימת מכשור 2015'!F350</f>
        <v>1000</v>
      </c>
      <c r="G351" s="181">
        <v>1</v>
      </c>
      <c r="H351" s="181">
        <f t="shared" si="17"/>
        <v>1000</v>
      </c>
      <c r="I351" s="182" t="s">
        <v>82</v>
      </c>
      <c r="J351" s="181">
        <v>1</v>
      </c>
      <c r="K351" s="181">
        <v>1</v>
      </c>
      <c r="L351" s="181">
        <v>0.5</v>
      </c>
      <c r="M351" s="181" t="str">
        <f t="shared" si="16"/>
        <v>לא לרכוש</v>
      </c>
      <c r="N351" s="181">
        <v>1000</v>
      </c>
      <c r="O351" s="183"/>
      <c r="P351" s="183">
        <v>4</v>
      </c>
      <c r="Q351" s="183"/>
    </row>
    <row r="352" spans="1:17" s="12" customFormat="1" ht="14.25" customHeight="1">
      <c r="A352" s="180" t="str">
        <f>'רשימת מכשור 2015'!A351</f>
        <v>משדר זרימה</v>
      </c>
      <c r="B352" s="180" t="str">
        <f>'רשימת מכשור 2015'!B351</f>
        <v>arad dalia</v>
      </c>
      <c r="C352" s="180" t="str">
        <f>'רשימת מכשור 2015'!C351</f>
        <v>m25</v>
      </c>
      <c r="D352" s="233" t="str">
        <f>'רשימת מכשור 2015'!D351</f>
        <v>PRETREATMENT SYSTEM</v>
      </c>
      <c r="E352" s="180" t="str">
        <f>'רשימת מכשור 2015'!E351</f>
        <v>1-1-131-QIC-3</v>
      </c>
      <c r="F352" s="180">
        <f>'רשימת מכשור 2015'!F351</f>
        <v>1000</v>
      </c>
      <c r="G352" s="181">
        <v>1</v>
      </c>
      <c r="H352" s="181">
        <f t="shared" si="17"/>
        <v>1000</v>
      </c>
      <c r="I352" s="182" t="s">
        <v>82</v>
      </c>
      <c r="J352" s="181">
        <v>1</v>
      </c>
      <c r="K352" s="181">
        <v>1</v>
      </c>
      <c r="L352" s="181">
        <v>0.5</v>
      </c>
      <c r="M352" s="181" t="str">
        <f t="shared" si="16"/>
        <v>לא לרכוש</v>
      </c>
      <c r="N352" s="181">
        <v>1000</v>
      </c>
      <c r="O352" s="183"/>
      <c r="P352" s="183">
        <v>2</v>
      </c>
      <c r="Q352" s="183"/>
    </row>
    <row r="353" spans="1:17" s="12" customFormat="1" ht="14.25" customHeight="1">
      <c r="A353" s="180" t="str">
        <f>'רשימת מכשור 2015'!A352</f>
        <v>משדר זרימה</v>
      </c>
      <c r="B353" s="180" t="str">
        <f>'רשימת מכשור 2015'!B352</f>
        <v>arad dalia</v>
      </c>
      <c r="C353" s="180" t="str">
        <f>'רשימת מכשור 2015'!C352</f>
        <v>m25</v>
      </c>
      <c r="D353" s="233" t="str">
        <f>'רשימת מכשור 2015'!D352</f>
        <v>PRETREATMENT SYSTEM</v>
      </c>
      <c r="E353" s="180" t="str">
        <f>'רשימת מכשור 2015'!E352</f>
        <v>1-1-131-QIT-3</v>
      </c>
      <c r="F353" s="180">
        <f>'רשימת מכשור 2015'!F352</f>
        <v>1000</v>
      </c>
      <c r="G353" s="181">
        <v>1</v>
      </c>
      <c r="H353" s="181">
        <f t="shared" si="17"/>
        <v>1000</v>
      </c>
      <c r="I353" s="182" t="s">
        <v>82</v>
      </c>
      <c r="J353" s="181">
        <v>1</v>
      </c>
      <c r="K353" s="181">
        <v>1</v>
      </c>
      <c r="L353" s="181">
        <v>0.5</v>
      </c>
      <c r="M353" s="181" t="str">
        <f t="shared" si="16"/>
        <v>לא לרכוש</v>
      </c>
      <c r="N353" s="181">
        <v>1000</v>
      </c>
      <c r="O353" s="183"/>
      <c r="P353" s="183">
        <v>2</v>
      </c>
      <c r="Q353" s="183"/>
    </row>
    <row r="354" spans="1:17" s="12" customFormat="1" ht="14.25" customHeight="1">
      <c r="A354" s="180" t="str">
        <f>'רשימת מכשור 2015'!A353</f>
        <v>משדר טמפרטורה</v>
      </c>
      <c r="B354" s="180" t="str">
        <f>'רשימת מכשור 2015'!B353</f>
        <v>ELCON</v>
      </c>
      <c r="C354" s="180" t="str">
        <f>'רשימת מכשור 2015'!C353</f>
        <v>PT100 TH-34
Transmitter:TMT 121</v>
      </c>
      <c r="D354" s="233" t="str">
        <f>'רשימת מכשור 2015'!D353</f>
        <v>SW SYSTEM</v>
      </c>
      <c r="E354" s="180" t="str">
        <f>'רשימת מכשור 2015'!E353</f>
        <v>1-1-132-TIC-3</v>
      </c>
      <c r="F354" s="180">
        <f>'רשימת מכשור 2015'!F353</f>
        <v>1000</v>
      </c>
      <c r="G354" s="181">
        <v>1</v>
      </c>
      <c r="H354" s="181">
        <f t="shared" si="17"/>
        <v>1000</v>
      </c>
      <c r="I354" s="182"/>
      <c r="J354" s="181">
        <v>1</v>
      </c>
      <c r="K354" s="181">
        <v>0</v>
      </c>
      <c r="L354" s="181">
        <v>0.5</v>
      </c>
      <c r="M354" s="181" t="str">
        <f t="shared" si="16"/>
        <v>לא לרכוש</v>
      </c>
      <c r="N354" s="181">
        <v>1000</v>
      </c>
      <c r="O354" s="183"/>
      <c r="P354" s="183">
        <v>1</v>
      </c>
      <c r="Q354" s="183"/>
    </row>
    <row r="355" spans="1:17" s="12" customFormat="1" ht="14.25" customHeight="1">
      <c r="A355" s="180" t="str">
        <f>'רשימת מכשור 2015'!A354</f>
        <v>משדר טמפרטורה</v>
      </c>
      <c r="B355" s="180" t="str">
        <f>'רשימת מכשור 2015'!B354</f>
        <v>ELCON</v>
      </c>
      <c r="C355" s="180" t="str">
        <f>'רשימת מכשור 2015'!C354</f>
        <v>PT100 TH-34
Transmitter:TMT 121</v>
      </c>
      <c r="D355" s="233" t="str">
        <f>'רשימת מכשור 2015'!D354</f>
        <v>SW SYSTEM</v>
      </c>
      <c r="E355" s="180" t="str">
        <f>'רשימת מכשור 2015'!E354</f>
        <v>1-1-132-TIC-4</v>
      </c>
      <c r="F355" s="180">
        <f>'רשימת מכשור 2015'!F354</f>
        <v>1000</v>
      </c>
      <c r="G355" s="181">
        <v>1</v>
      </c>
      <c r="H355" s="181">
        <f t="shared" si="17"/>
        <v>1000</v>
      </c>
      <c r="I355" s="182"/>
      <c r="J355" s="181">
        <v>1</v>
      </c>
      <c r="K355" s="181">
        <v>0</v>
      </c>
      <c r="L355" s="181">
        <v>0.5</v>
      </c>
      <c r="M355" s="181" t="str">
        <f t="shared" si="16"/>
        <v>לא לרכוש</v>
      </c>
      <c r="N355" s="181">
        <v>1000</v>
      </c>
      <c r="O355" s="183"/>
      <c r="P355" s="183">
        <v>1</v>
      </c>
      <c r="Q355" s="183"/>
    </row>
    <row r="356" spans="1:17" s="12" customFormat="1" ht="14.25" customHeight="1">
      <c r="A356" s="180" t="str">
        <f>'רשימת מכשור 2015'!A355</f>
        <v xml:space="preserve"> מד טמפרטורה</v>
      </c>
      <c r="B356" s="180" t="str">
        <f>'רשימת מכשור 2015'!B355</f>
        <v>Mettler Toledo</v>
      </c>
      <c r="C356" s="180" t="str">
        <f>'רשימת מכשור 2015'!C355</f>
        <v>SENSOR: PT1000
Transmitter: 770 Max</v>
      </c>
      <c r="D356" s="233" t="str">
        <f>'רשימת מכשור 2015'!D355</f>
        <v>CDI</v>
      </c>
      <c r="E356" s="180" t="str">
        <f>'רשימת מכשור 2015'!E355</f>
        <v>1-1-134-TIC-1</v>
      </c>
      <c r="F356" s="180">
        <f>'רשימת מכשור 2015'!F355</f>
        <v>1000</v>
      </c>
      <c r="G356" s="181">
        <v>1</v>
      </c>
      <c r="H356" s="181">
        <f t="shared" si="17"/>
        <v>1000</v>
      </c>
      <c r="I356" s="182" t="s">
        <v>82</v>
      </c>
      <c r="J356" s="181">
        <v>1</v>
      </c>
      <c r="K356" s="181">
        <v>1</v>
      </c>
      <c r="L356" s="181">
        <v>1.5</v>
      </c>
      <c r="M356" s="181" t="str">
        <f t="shared" si="16"/>
        <v>לא לרכוש</v>
      </c>
      <c r="N356" s="181">
        <v>1000</v>
      </c>
      <c r="O356" s="183"/>
      <c r="P356" s="183">
        <v>6</v>
      </c>
      <c r="Q356" s="183"/>
    </row>
    <row r="357" spans="1:17" s="12" customFormat="1" ht="14.25" customHeight="1">
      <c r="A357" s="180" t="str">
        <f>'רשימת מכשור 2015'!A356</f>
        <v>משדר לחץ</v>
      </c>
      <c r="B357" s="180" t="str">
        <f>'רשימת מכשור 2015'!B356</f>
        <v>DANFUSS</v>
      </c>
      <c r="C357" s="180" t="str">
        <f>'רשימת מכשור 2015'!C356</f>
        <v>DANFUSS</v>
      </c>
      <c r="D357" s="233" t="str">
        <f>'רשימת מכשור 2015'!D356</f>
        <v>FILTER PRESS PILOT</v>
      </c>
      <c r="E357" s="180" t="str">
        <f>'רשימת מכשור 2015'!E356</f>
        <v>1-2-35-PIC-1</v>
      </c>
      <c r="F357" s="180">
        <f>'רשימת מכשור 2015'!F356</f>
        <v>1000</v>
      </c>
      <c r="G357" s="181">
        <v>1</v>
      </c>
      <c r="H357" s="181">
        <f t="shared" si="17"/>
        <v>1000</v>
      </c>
      <c r="I357" s="182"/>
      <c r="J357" s="181">
        <v>1</v>
      </c>
      <c r="K357" s="181">
        <v>1</v>
      </c>
      <c r="L357" s="181">
        <v>1</v>
      </c>
      <c r="M357" s="181" t="str">
        <f t="shared" si="16"/>
        <v>לרכוש</v>
      </c>
      <c r="N357" s="181">
        <v>1000</v>
      </c>
      <c r="O357" s="183"/>
      <c r="P357" s="183">
        <v>1</v>
      </c>
      <c r="Q357" s="183"/>
    </row>
    <row r="358" spans="1:17" s="12" customFormat="1" ht="14.25" customHeight="1">
      <c r="A358" s="180" t="str">
        <f>'רשימת מכשור 2015'!A357</f>
        <v>מד טמפרטורה</v>
      </c>
      <c r="B358" s="180" t="str">
        <f>'רשימת מכשור 2015'!B357</f>
        <v>ROTRONIC</v>
      </c>
      <c r="C358" s="180" t="str">
        <f>'רשימת מכשור 2015'!C357</f>
        <v>HF332-ST1XDXXX</v>
      </c>
      <c r="D358" s="233" t="str">
        <f>'רשימת מכשור 2015'!D357</f>
        <v>QC LAB</v>
      </c>
      <c r="E358" s="180" t="str">
        <f>'רשימת מכשור 2015'!E357</f>
        <v>1-2-2010-TI-471</v>
      </c>
      <c r="F358" s="180">
        <f>'רשימת מכשור 2015'!F357</f>
        <v>1000</v>
      </c>
      <c r="G358" s="181">
        <v>1</v>
      </c>
      <c r="H358" s="181">
        <f t="shared" si="17"/>
        <v>1000</v>
      </c>
      <c r="I358" s="182" t="s">
        <v>82</v>
      </c>
      <c r="J358" s="181">
        <v>1</v>
      </c>
      <c r="K358" s="181">
        <v>1</v>
      </c>
      <c r="L358" s="181">
        <v>0.7</v>
      </c>
      <c r="M358" s="181" t="str">
        <f t="shared" si="16"/>
        <v>לא לרכוש</v>
      </c>
      <c r="N358" s="181">
        <v>1000</v>
      </c>
      <c r="O358" s="183"/>
      <c r="P358" s="183">
        <v>13</v>
      </c>
      <c r="Q358" s="183"/>
    </row>
    <row r="359" spans="1:17" s="12" customFormat="1" ht="14.25" customHeight="1">
      <c r="A359" s="180" t="str">
        <f>'רשימת מכשור 2015'!A358</f>
        <v>מד טמפרטורה</v>
      </c>
      <c r="B359" s="180" t="str">
        <f>'רשימת מכשור 2015'!B358</f>
        <v>ROTRONIC</v>
      </c>
      <c r="C359" s="180" t="str">
        <f>'רשימת מכשור 2015'!C358</f>
        <v>HF332-ST1XDXXX</v>
      </c>
      <c r="D359" s="233" t="str">
        <f>'רשימת מכשור 2015'!D358</f>
        <v>QC LAB</v>
      </c>
      <c r="E359" s="180" t="str">
        <f>'רשימת מכשור 2015'!E358</f>
        <v>1-2-2010-TI-439</v>
      </c>
      <c r="F359" s="180">
        <f>'רשימת מכשור 2015'!F358</f>
        <v>1000</v>
      </c>
      <c r="G359" s="181">
        <v>1</v>
      </c>
      <c r="H359" s="181">
        <f t="shared" si="17"/>
        <v>1000</v>
      </c>
      <c r="I359" s="182" t="s">
        <v>82</v>
      </c>
      <c r="J359" s="181">
        <v>1</v>
      </c>
      <c r="K359" s="181">
        <v>1</v>
      </c>
      <c r="L359" s="181">
        <v>0.7</v>
      </c>
      <c r="M359" s="181" t="str">
        <f t="shared" si="16"/>
        <v>לא לרכוש</v>
      </c>
      <c r="N359" s="181">
        <v>1000</v>
      </c>
      <c r="O359" s="183"/>
      <c r="P359" s="183">
        <v>13</v>
      </c>
      <c r="Q359" s="183"/>
    </row>
    <row r="360" spans="1:17" s="12" customFormat="1" ht="14.25" customHeight="1">
      <c r="A360" s="180" t="str">
        <f>'רשימת מכשור 2015'!A359</f>
        <v>מד טמפרטורה</v>
      </c>
      <c r="B360" s="180" t="str">
        <f>'רשימת מכשור 2015'!B359</f>
        <v>ROTRONIC</v>
      </c>
      <c r="C360" s="180" t="str">
        <f>'רשימת מכשור 2015'!C359</f>
        <v>HF332-ST1XDXXX</v>
      </c>
      <c r="D360" s="233" t="str">
        <f>'רשימת מכשור 2015'!D359</f>
        <v>QC LAB</v>
      </c>
      <c r="E360" s="180" t="str">
        <f>'רשימת מכשור 2015'!E359</f>
        <v>1-2-2010-TI-438</v>
      </c>
      <c r="F360" s="180">
        <f>'רשימת מכשור 2015'!F359</f>
        <v>1000</v>
      </c>
      <c r="G360" s="181">
        <v>1</v>
      </c>
      <c r="H360" s="181">
        <f t="shared" si="17"/>
        <v>1000</v>
      </c>
      <c r="I360" s="182" t="s">
        <v>82</v>
      </c>
      <c r="J360" s="181">
        <v>1</v>
      </c>
      <c r="K360" s="181">
        <v>1</v>
      </c>
      <c r="L360" s="181">
        <v>0.7</v>
      </c>
      <c r="M360" s="181" t="str">
        <f t="shared" si="16"/>
        <v>לא לרכוש</v>
      </c>
      <c r="N360" s="181">
        <v>1000</v>
      </c>
      <c r="O360" s="183"/>
      <c r="P360" s="183">
        <v>13</v>
      </c>
      <c r="Q360" s="183"/>
    </row>
    <row r="361" spans="1:17" s="12" customFormat="1" ht="14.25" customHeight="1">
      <c r="A361" s="180" t="str">
        <f>'רשימת מכשור 2015'!A360</f>
        <v>מד טמפרטורה</v>
      </c>
      <c r="B361" s="180" t="str">
        <f>'רשימת מכשור 2015'!B360</f>
        <v>ROTRONIC</v>
      </c>
      <c r="C361" s="180" t="str">
        <f>'רשימת מכשור 2015'!C360</f>
        <v>HF332-ST1XDXXX</v>
      </c>
      <c r="D361" s="233" t="str">
        <f>'רשימת מכשור 2015'!D360</f>
        <v>QC LAB</v>
      </c>
      <c r="E361" s="180" t="str">
        <f>'רשימת מכשור 2015'!E360</f>
        <v>1-2-2010-TI-436</v>
      </c>
      <c r="F361" s="180">
        <f>'רשימת מכשור 2015'!F360</f>
        <v>1000</v>
      </c>
      <c r="G361" s="181">
        <v>1</v>
      </c>
      <c r="H361" s="181">
        <f t="shared" si="17"/>
        <v>1000</v>
      </c>
      <c r="I361" s="182" t="s">
        <v>82</v>
      </c>
      <c r="J361" s="181">
        <v>1</v>
      </c>
      <c r="K361" s="181">
        <v>1</v>
      </c>
      <c r="L361" s="181">
        <v>0.7</v>
      </c>
      <c r="M361" s="181" t="str">
        <f t="shared" ref="M361:M392" si="18">IF(AND(K361*L361*30*N361&gt;H361/J361,I361=""),"לרכוש","לא לרכוש")</f>
        <v>לא לרכוש</v>
      </c>
      <c r="N361" s="181">
        <v>1000</v>
      </c>
      <c r="O361" s="183"/>
      <c r="P361" s="183">
        <v>13</v>
      </c>
      <c r="Q361" s="183"/>
    </row>
    <row r="362" spans="1:17" s="12" customFormat="1" ht="14.25" customHeight="1">
      <c r="A362" s="180" t="str">
        <f>'רשימת מכשור 2015'!A361</f>
        <v>מד טמפרטורה</v>
      </c>
      <c r="B362" s="180" t="str">
        <f>'רשימת מכשור 2015'!B361</f>
        <v>ROTRONIC</v>
      </c>
      <c r="C362" s="180" t="str">
        <f>'רשימת מכשור 2015'!C361</f>
        <v>HF332-ST1XDXXX</v>
      </c>
      <c r="D362" s="233" t="str">
        <f>'רשימת מכשור 2015'!D361</f>
        <v>QC LAB</v>
      </c>
      <c r="E362" s="180" t="str">
        <f>'רשימת מכשור 2015'!E361</f>
        <v>1-2-2010-TI-437</v>
      </c>
      <c r="F362" s="180">
        <f>'רשימת מכשור 2015'!F361</f>
        <v>1000</v>
      </c>
      <c r="G362" s="181">
        <v>1</v>
      </c>
      <c r="H362" s="181">
        <f t="shared" si="17"/>
        <v>1000</v>
      </c>
      <c r="I362" s="182" t="s">
        <v>82</v>
      </c>
      <c r="J362" s="181">
        <v>1</v>
      </c>
      <c r="K362" s="181">
        <v>1</v>
      </c>
      <c r="L362" s="181">
        <v>0.7</v>
      </c>
      <c r="M362" s="181" t="str">
        <f t="shared" si="18"/>
        <v>לא לרכוש</v>
      </c>
      <c r="N362" s="181">
        <v>1000</v>
      </c>
      <c r="O362" s="183"/>
      <c r="P362" s="183">
        <v>13</v>
      </c>
      <c r="Q362" s="183"/>
    </row>
    <row r="363" spans="1:17" s="12" customFormat="1" ht="14.25" customHeight="1">
      <c r="A363" s="180" t="str">
        <f>'רשימת מכשור 2015'!A362</f>
        <v>מד טמפרטורה</v>
      </c>
      <c r="B363" s="180" t="str">
        <f>'רשימת מכשור 2015'!B362</f>
        <v>ROTRONIC</v>
      </c>
      <c r="C363" s="180" t="str">
        <f>'רשימת מכשור 2015'!C362</f>
        <v>HF332-ST1XDXXX</v>
      </c>
      <c r="D363" s="233" t="str">
        <f>'רשימת מכשור 2015'!D362</f>
        <v>QC LAB</v>
      </c>
      <c r="E363" s="180" t="str">
        <f>'רשימת מכשור 2015'!E362</f>
        <v>1-2-2010-TI-429</v>
      </c>
      <c r="F363" s="180">
        <f>'רשימת מכשור 2015'!F362</f>
        <v>1000</v>
      </c>
      <c r="G363" s="181">
        <v>1</v>
      </c>
      <c r="H363" s="181">
        <f t="shared" si="17"/>
        <v>1000</v>
      </c>
      <c r="I363" s="182" t="s">
        <v>82</v>
      </c>
      <c r="J363" s="181">
        <v>1</v>
      </c>
      <c r="K363" s="181">
        <v>1</v>
      </c>
      <c r="L363" s="181">
        <v>0.7</v>
      </c>
      <c r="M363" s="181" t="str">
        <f t="shared" si="18"/>
        <v>לא לרכוש</v>
      </c>
      <c r="N363" s="181">
        <v>1000</v>
      </c>
      <c r="O363" s="183"/>
      <c r="P363" s="183">
        <v>13</v>
      </c>
      <c r="Q363" s="183"/>
    </row>
    <row r="364" spans="1:17" s="12" customFormat="1" ht="14.25" customHeight="1">
      <c r="A364" s="180" t="str">
        <f>'רשימת מכשור 2015'!A363</f>
        <v>מד טמפרטורה</v>
      </c>
      <c r="B364" s="180" t="str">
        <f>'רשימת מכשור 2015'!B363</f>
        <v>ROTRONIC</v>
      </c>
      <c r="C364" s="180" t="str">
        <f>'רשימת מכשור 2015'!C363</f>
        <v>HF332-ST1XDXXX</v>
      </c>
      <c r="D364" s="233" t="str">
        <f>'רשימת מכשור 2015'!D363</f>
        <v>QC LAB</v>
      </c>
      <c r="E364" s="180" t="str">
        <f>'רשימת מכשור 2015'!E363</f>
        <v>1-2-2010-TI-430</v>
      </c>
      <c r="F364" s="180">
        <f>'רשימת מכשור 2015'!F363</f>
        <v>1000</v>
      </c>
      <c r="G364" s="181">
        <v>1</v>
      </c>
      <c r="H364" s="181">
        <f t="shared" si="17"/>
        <v>1000</v>
      </c>
      <c r="I364" s="182" t="s">
        <v>82</v>
      </c>
      <c r="J364" s="181">
        <v>1</v>
      </c>
      <c r="K364" s="181">
        <v>1</v>
      </c>
      <c r="L364" s="181">
        <v>0.7</v>
      </c>
      <c r="M364" s="181" t="str">
        <f t="shared" si="18"/>
        <v>לא לרכוש</v>
      </c>
      <c r="N364" s="181">
        <v>1000</v>
      </c>
      <c r="O364" s="183"/>
      <c r="P364" s="183">
        <v>13</v>
      </c>
      <c r="Q364" s="183"/>
    </row>
    <row r="365" spans="1:17" s="12" customFormat="1" ht="14.25" customHeight="1">
      <c r="A365" s="180" t="str">
        <f>'רשימת מכשור 2015'!A364</f>
        <v>מד טמפרטורה</v>
      </c>
      <c r="B365" s="180" t="str">
        <f>'רשימת מכשור 2015'!B364</f>
        <v>ROTRONIC</v>
      </c>
      <c r="C365" s="180" t="str">
        <f>'רשימת מכשור 2015'!C364</f>
        <v>HF332-ST1XDXXX</v>
      </c>
      <c r="D365" s="233" t="str">
        <f>'רשימת מכשור 2015'!D364</f>
        <v>QC LAB</v>
      </c>
      <c r="E365" s="180" t="str">
        <f>'רשימת מכשור 2015'!E364</f>
        <v>1-2-2010-TI-431</v>
      </c>
      <c r="F365" s="180">
        <f>'רשימת מכשור 2015'!F364</f>
        <v>1000</v>
      </c>
      <c r="G365" s="181">
        <v>1</v>
      </c>
      <c r="H365" s="181">
        <f t="shared" si="17"/>
        <v>1000</v>
      </c>
      <c r="I365" s="182" t="s">
        <v>82</v>
      </c>
      <c r="J365" s="181">
        <v>1</v>
      </c>
      <c r="K365" s="181">
        <v>1</v>
      </c>
      <c r="L365" s="181">
        <v>0.7</v>
      </c>
      <c r="M365" s="181" t="str">
        <f t="shared" si="18"/>
        <v>לא לרכוש</v>
      </c>
      <c r="N365" s="181">
        <v>1000</v>
      </c>
      <c r="O365" s="183"/>
      <c r="P365" s="183">
        <v>13</v>
      </c>
      <c r="Q365" s="183"/>
    </row>
    <row r="366" spans="1:17" s="12" customFormat="1" ht="14.25" customHeight="1">
      <c r="A366" s="180" t="str">
        <f>'רשימת מכשור 2015'!A365</f>
        <v>מד טמפרטורה</v>
      </c>
      <c r="B366" s="180" t="str">
        <f>'רשימת מכשור 2015'!B365</f>
        <v>ROTRONIC</v>
      </c>
      <c r="C366" s="180" t="str">
        <f>'רשימת מכשור 2015'!C365</f>
        <v>HF332-ST1XDXXX</v>
      </c>
      <c r="D366" s="233" t="str">
        <f>'רשימת מכשור 2015'!D365</f>
        <v>QC LAB</v>
      </c>
      <c r="E366" s="180" t="str">
        <f>'רשימת מכשור 2015'!E365</f>
        <v>1-2-2010-TI-432</v>
      </c>
      <c r="F366" s="180">
        <f>'רשימת מכשור 2015'!F365</f>
        <v>1000</v>
      </c>
      <c r="G366" s="181">
        <v>1</v>
      </c>
      <c r="H366" s="181">
        <f t="shared" si="17"/>
        <v>1000</v>
      </c>
      <c r="I366" s="182" t="s">
        <v>82</v>
      </c>
      <c r="J366" s="181">
        <v>1</v>
      </c>
      <c r="K366" s="181">
        <v>1</v>
      </c>
      <c r="L366" s="181">
        <v>0.7</v>
      </c>
      <c r="M366" s="181" t="str">
        <f t="shared" si="18"/>
        <v>לא לרכוש</v>
      </c>
      <c r="N366" s="181">
        <v>1000</v>
      </c>
      <c r="O366" s="183"/>
      <c r="P366" s="183">
        <v>13</v>
      </c>
      <c r="Q366" s="183"/>
    </row>
    <row r="367" spans="1:17" s="12" customFormat="1" ht="14.25" customHeight="1">
      <c r="A367" s="180" t="str">
        <f>'רשימת מכשור 2015'!A366</f>
        <v>מד טמפרטורה</v>
      </c>
      <c r="B367" s="180" t="str">
        <f>'רשימת מכשור 2015'!B366</f>
        <v>ROTRONIC</v>
      </c>
      <c r="C367" s="180" t="str">
        <f>'רשימת מכשור 2015'!C366</f>
        <v>HF332-ST1XDXXX</v>
      </c>
      <c r="D367" s="233" t="str">
        <f>'רשימת מכשור 2015'!D366</f>
        <v>QC LAB</v>
      </c>
      <c r="E367" s="180" t="str">
        <f>'רשימת מכשור 2015'!E366</f>
        <v>1-2-2010-TI-433</v>
      </c>
      <c r="F367" s="180">
        <f>'רשימת מכשור 2015'!F366</f>
        <v>1000</v>
      </c>
      <c r="G367" s="181">
        <v>1</v>
      </c>
      <c r="H367" s="181">
        <f t="shared" si="17"/>
        <v>1000</v>
      </c>
      <c r="I367" s="182" t="s">
        <v>82</v>
      </c>
      <c r="J367" s="181">
        <v>1</v>
      </c>
      <c r="K367" s="181">
        <v>1</v>
      </c>
      <c r="L367" s="181">
        <v>0.7</v>
      </c>
      <c r="M367" s="181" t="str">
        <f t="shared" si="18"/>
        <v>לא לרכוש</v>
      </c>
      <c r="N367" s="181">
        <v>1000</v>
      </c>
      <c r="O367" s="183"/>
      <c r="P367" s="183">
        <v>13</v>
      </c>
      <c r="Q367" s="183"/>
    </row>
    <row r="368" spans="1:17" s="12" customFormat="1" ht="14.25" customHeight="1">
      <c r="A368" s="180" t="str">
        <f>'רשימת מכשור 2015'!A367</f>
        <v>מד טמפרטורה</v>
      </c>
      <c r="B368" s="180" t="str">
        <f>'רשימת מכשור 2015'!B367</f>
        <v>ROTRONIC</v>
      </c>
      <c r="C368" s="180" t="str">
        <f>'רשימת מכשור 2015'!C367</f>
        <v>HF332-ST1XDXXX</v>
      </c>
      <c r="D368" s="233" t="str">
        <f>'רשימת מכשור 2015'!D367</f>
        <v>QC LAB</v>
      </c>
      <c r="E368" s="180" t="str">
        <f>'רשימת מכשור 2015'!E367</f>
        <v>1-2-2010-TI-434</v>
      </c>
      <c r="F368" s="180">
        <f>'רשימת מכשור 2015'!F367</f>
        <v>1000</v>
      </c>
      <c r="G368" s="181">
        <v>1</v>
      </c>
      <c r="H368" s="181">
        <f t="shared" si="17"/>
        <v>1000</v>
      </c>
      <c r="I368" s="182" t="s">
        <v>82</v>
      </c>
      <c r="J368" s="181">
        <v>1</v>
      </c>
      <c r="K368" s="181">
        <v>1</v>
      </c>
      <c r="L368" s="181">
        <v>0.7</v>
      </c>
      <c r="M368" s="181" t="str">
        <f t="shared" si="18"/>
        <v>לא לרכוש</v>
      </c>
      <c r="N368" s="181">
        <v>1000</v>
      </c>
      <c r="O368" s="183"/>
      <c r="P368" s="183">
        <v>13</v>
      </c>
      <c r="Q368" s="183"/>
    </row>
    <row r="369" spans="1:17" s="12" customFormat="1" ht="14.25" customHeight="1">
      <c r="A369" s="180" t="str">
        <f>'רשימת מכשור 2015'!A368</f>
        <v>מד טמפרטורה</v>
      </c>
      <c r="B369" s="180" t="str">
        <f>'רשימת מכשור 2015'!B368</f>
        <v>ROTRONIC</v>
      </c>
      <c r="C369" s="180" t="str">
        <f>'רשימת מכשור 2015'!C368</f>
        <v>HF332-ST1XDXXX</v>
      </c>
      <c r="D369" s="233" t="str">
        <f>'רשימת מכשור 2015'!D368</f>
        <v>QC LAB</v>
      </c>
      <c r="E369" s="180" t="str">
        <f>'רשימת מכשור 2015'!E368</f>
        <v>1-2-2010-TI-435</v>
      </c>
      <c r="F369" s="180">
        <f>'רשימת מכשור 2015'!F368</f>
        <v>1000</v>
      </c>
      <c r="G369" s="181">
        <v>1</v>
      </c>
      <c r="H369" s="181">
        <f t="shared" si="17"/>
        <v>1000</v>
      </c>
      <c r="I369" s="182" t="s">
        <v>82</v>
      </c>
      <c r="J369" s="181">
        <v>1</v>
      </c>
      <c r="K369" s="181">
        <v>1</v>
      </c>
      <c r="L369" s="181">
        <v>0.7</v>
      </c>
      <c r="M369" s="181" t="str">
        <f t="shared" si="18"/>
        <v>לא לרכוש</v>
      </c>
      <c r="N369" s="181">
        <v>1000</v>
      </c>
      <c r="O369" s="183"/>
      <c r="P369" s="183">
        <v>13</v>
      </c>
      <c r="Q369" s="183"/>
    </row>
    <row r="370" spans="1:17" s="12" customFormat="1" ht="14.25" customHeight="1">
      <c r="A370" s="180" t="str">
        <f>'רשימת מכשור 2015'!A369</f>
        <v>מד טמפרטורה</v>
      </c>
      <c r="B370" s="180" t="str">
        <f>'רשימת מכשור 2015'!B369</f>
        <v>ROTRONIC</v>
      </c>
      <c r="C370" s="180" t="str">
        <f>'רשימת מכשור 2015'!C369</f>
        <v>HF332-ST1XDXXX</v>
      </c>
      <c r="D370" s="233" t="str">
        <f>'רשימת מכשור 2015'!D369</f>
        <v>QC LAB</v>
      </c>
      <c r="E370" s="180" t="str">
        <f>'רשימת מכשור 2015'!E369</f>
        <v>1-2-2010-TI-398</v>
      </c>
      <c r="F370" s="180">
        <f>'רשימת מכשור 2015'!F369</f>
        <v>1000</v>
      </c>
      <c r="G370" s="181">
        <v>1</v>
      </c>
      <c r="H370" s="181">
        <f t="shared" si="17"/>
        <v>1000</v>
      </c>
      <c r="I370" s="182" t="s">
        <v>82</v>
      </c>
      <c r="J370" s="181">
        <v>1</v>
      </c>
      <c r="K370" s="181">
        <v>1</v>
      </c>
      <c r="L370" s="181">
        <v>0.7</v>
      </c>
      <c r="M370" s="181" t="str">
        <f t="shared" si="18"/>
        <v>לא לרכוש</v>
      </c>
      <c r="N370" s="181">
        <v>1000</v>
      </c>
      <c r="O370" s="183"/>
      <c r="P370" s="183">
        <v>13</v>
      </c>
      <c r="Q370" s="183"/>
    </row>
    <row r="371" spans="1:17" s="12" customFormat="1" ht="14.25" customHeight="1">
      <c r="A371" s="180" t="str">
        <f>'רשימת מכשור 2015'!A370</f>
        <v>ראש שקילה</v>
      </c>
      <c r="B371" s="180" t="str">
        <f>'רשימת מכשור 2015'!B370</f>
        <v>ROTRONIC</v>
      </c>
      <c r="C371" s="180" t="str">
        <f>'רשימת מכשור 2015'!C370</f>
        <v>Higroflex HF320-DB1XXXX</v>
      </c>
      <c r="D371" s="233" t="str">
        <f>'רשימת מכשור 2015'!D370</f>
        <v>QC LAB</v>
      </c>
      <c r="E371" s="180" t="str">
        <f>'רשימת מכשור 2015'!E370</f>
        <v>1-2-2010-RHI-9</v>
      </c>
      <c r="F371" s="180">
        <f>'רשימת מכשור 2015'!F370</f>
        <v>1000</v>
      </c>
      <c r="G371" s="181">
        <v>1</v>
      </c>
      <c r="H371" s="181">
        <f t="shared" si="17"/>
        <v>1000</v>
      </c>
      <c r="I371" s="182" t="s">
        <v>82</v>
      </c>
      <c r="J371" s="181">
        <v>1</v>
      </c>
      <c r="K371" s="181">
        <v>1</v>
      </c>
      <c r="L371" s="181">
        <v>0.5</v>
      </c>
      <c r="M371" s="181" t="str">
        <f t="shared" si="18"/>
        <v>לא לרכוש</v>
      </c>
      <c r="N371" s="181">
        <v>1000</v>
      </c>
      <c r="O371" s="183"/>
      <c r="P371" s="183">
        <v>1</v>
      </c>
      <c r="Q371" s="183"/>
    </row>
    <row r="372" spans="1:17" s="12" customFormat="1" ht="14.25" customHeight="1">
      <c r="A372" s="180" t="str">
        <f>'רשימת מכשור 2015'!A371</f>
        <v>ראש שקילה</v>
      </c>
      <c r="B372" s="180" t="str">
        <f>'רשימת מכשור 2015'!B371</f>
        <v>ROTRONIC</v>
      </c>
      <c r="C372" s="180" t="str">
        <f>'רשימת מכשור 2015'!C371</f>
        <v>Higroflex HF320-DB1XXXX</v>
      </c>
      <c r="D372" s="233" t="str">
        <f>'רשימת מכשור 2015'!D371</f>
        <v>QC LAB</v>
      </c>
      <c r="E372" s="180" t="str">
        <f>'רשימת מכשור 2015'!E371</f>
        <v>1-2-2010-TI-508</v>
      </c>
      <c r="F372" s="180">
        <f>'רשימת מכשור 2015'!F371</f>
        <v>1000</v>
      </c>
      <c r="G372" s="181">
        <v>1</v>
      </c>
      <c r="H372" s="181">
        <f t="shared" si="17"/>
        <v>1000</v>
      </c>
      <c r="I372" s="182" t="s">
        <v>82</v>
      </c>
      <c r="J372" s="181">
        <v>1</v>
      </c>
      <c r="K372" s="181">
        <v>1</v>
      </c>
      <c r="L372" s="181">
        <v>0.5</v>
      </c>
      <c r="M372" s="181" t="str">
        <f t="shared" si="18"/>
        <v>לא לרכוש</v>
      </c>
      <c r="N372" s="181">
        <v>1000</v>
      </c>
      <c r="O372" s="183"/>
      <c r="P372" s="183">
        <v>1</v>
      </c>
      <c r="Q372" s="183"/>
    </row>
    <row r="373" spans="1:17" s="12" customFormat="1" ht="14.25" customHeight="1">
      <c r="A373" s="180" t="str">
        <f>'רשימת מכשור 2015'!A372</f>
        <v>משדר לחץ הפרשי</v>
      </c>
      <c r="B373" s="180" t="str">
        <f>'רשימת מכשור 2015'!B372</f>
        <v>ACI</v>
      </c>
      <c r="C373" s="180" t="str">
        <f>'רשימת מכשור 2015'!C372</f>
        <v>LPseries</v>
      </c>
      <c r="D373" s="233" t="str">
        <f>'רשימת מכשור 2015'!D372</f>
        <v>AHU-WH</v>
      </c>
      <c r="E373" s="180" t="str">
        <f>'רשימת מכשור 2015'!E372</f>
        <v>1-2-51021-PIC-1</v>
      </c>
      <c r="F373" s="180">
        <f>'רשימת מכשור 2015'!F372</f>
        <v>1000</v>
      </c>
      <c r="G373" s="181">
        <v>1</v>
      </c>
      <c r="H373" s="181">
        <f t="shared" si="17"/>
        <v>1000</v>
      </c>
      <c r="I373" s="182" t="s">
        <v>82</v>
      </c>
      <c r="J373" s="181">
        <v>1</v>
      </c>
      <c r="K373" s="181">
        <v>1</v>
      </c>
      <c r="L373" s="181">
        <v>1</v>
      </c>
      <c r="M373" s="181" t="str">
        <f t="shared" si="18"/>
        <v>לא לרכוש</v>
      </c>
      <c r="N373" s="181">
        <v>1000</v>
      </c>
      <c r="O373" s="183"/>
      <c r="P373" s="183">
        <v>5</v>
      </c>
      <c r="Q373" s="183"/>
    </row>
    <row r="374" spans="1:17" s="12" customFormat="1" ht="14.25" customHeight="1">
      <c r="A374" s="180" t="str">
        <f>'רשימת מכשור 2015'!A373</f>
        <v>ברז (מפעיל) בקרה</v>
      </c>
      <c r="B374" s="180" t="str">
        <f>'רשימת מכשור 2015'!B373</f>
        <v>Belimo</v>
      </c>
      <c r="C374" s="180" t="str">
        <f>'רשימת מכשור 2015'!C373</f>
        <v>NF24A</v>
      </c>
      <c r="D374" s="233" t="str">
        <f>'רשימת מכשור 2015'!D373</f>
        <v>AHU-WH</v>
      </c>
      <c r="E374" s="180" t="str">
        <f>'רשימת מכשור 2015'!E373</f>
        <v>1-2-51021-DA-1</v>
      </c>
      <c r="F374" s="180">
        <f>'רשימת מכשור 2015'!F373</f>
        <v>1000</v>
      </c>
      <c r="G374" s="181">
        <v>1</v>
      </c>
      <c r="H374" s="181">
        <f t="shared" si="17"/>
        <v>1000</v>
      </c>
      <c r="I374" s="182"/>
      <c r="J374" s="181">
        <v>1</v>
      </c>
      <c r="K374" s="181">
        <v>1</v>
      </c>
      <c r="L374" s="181">
        <v>0.5</v>
      </c>
      <c r="M374" s="181" t="str">
        <f t="shared" si="18"/>
        <v>לרכוש</v>
      </c>
      <c r="N374" s="181">
        <v>1000</v>
      </c>
      <c r="O374" s="183"/>
      <c r="P374" s="183">
        <v>1</v>
      </c>
      <c r="Q374" s="183"/>
    </row>
    <row r="375" spans="1:17" s="12" customFormat="1" ht="14.25" customHeight="1">
      <c r="A375" s="180" t="str">
        <f>'רשימת מכשור 2015'!A374</f>
        <v>ברז (מפעיל) בקרה</v>
      </c>
      <c r="B375" s="180" t="str">
        <f>'רשימת מכשור 2015'!B374</f>
        <v>Belimo</v>
      </c>
      <c r="C375" s="180" t="str">
        <f>'רשימת מכשור 2015'!C374</f>
        <v>CF24S</v>
      </c>
      <c r="D375" s="233" t="str">
        <f>'רשימת מכשור 2015'!D374</f>
        <v>AHU-WH</v>
      </c>
      <c r="E375" s="180" t="str">
        <f>'רשימת מכשור 2015'!E374</f>
        <v>1-2-51021-DA-2</v>
      </c>
      <c r="F375" s="180">
        <f>'רשימת מכשור 2015'!F374</f>
        <v>1000</v>
      </c>
      <c r="G375" s="181">
        <v>1</v>
      </c>
      <c r="H375" s="181">
        <f t="shared" si="17"/>
        <v>1000</v>
      </c>
      <c r="I375" s="182"/>
      <c r="J375" s="181">
        <v>1</v>
      </c>
      <c r="K375" s="181">
        <v>1</v>
      </c>
      <c r="L375" s="181">
        <v>0.5</v>
      </c>
      <c r="M375" s="181" t="str">
        <f t="shared" si="18"/>
        <v>לרכוש</v>
      </c>
      <c r="N375" s="181">
        <v>1000</v>
      </c>
      <c r="O375" s="183"/>
      <c r="P375" s="183">
        <v>1</v>
      </c>
      <c r="Q375" s="183"/>
    </row>
    <row r="376" spans="1:17" s="12" customFormat="1" ht="14.25" customHeight="1">
      <c r="A376" s="180" t="str">
        <f>'רשימת מכשור 2015'!A375</f>
        <v>משדר טמפרטורה</v>
      </c>
      <c r="B376" s="180" t="str">
        <f>'רשימת מכשור 2015'!B375</f>
        <v>WIKA</v>
      </c>
      <c r="C376" s="180" t="str">
        <f>'רשימת מכשור 2015'!C375</f>
        <v>T32.3S</v>
      </c>
      <c r="D376" s="233" t="str">
        <f>'רשימת מכשור 2015'!D375</f>
        <v>WH-B2 DEVICE MONITORING</v>
      </c>
      <c r="E376" s="180" t="str">
        <f>'רשימת מכשור 2015'!E375</f>
        <v>1-2-2010-TI-534</v>
      </c>
      <c r="F376" s="180">
        <f>'רשימת מכשור 2015'!F375</f>
        <v>1000</v>
      </c>
      <c r="G376" s="181">
        <v>1</v>
      </c>
      <c r="H376" s="181">
        <f t="shared" si="17"/>
        <v>1000</v>
      </c>
      <c r="I376" s="182" t="s">
        <v>82</v>
      </c>
      <c r="J376" s="181">
        <v>1</v>
      </c>
      <c r="K376" s="181">
        <v>1</v>
      </c>
      <c r="L376" s="181">
        <v>1</v>
      </c>
      <c r="M376" s="181" t="str">
        <f t="shared" si="18"/>
        <v>לא לרכוש</v>
      </c>
      <c r="N376" s="181">
        <v>1000</v>
      </c>
      <c r="O376" s="183"/>
      <c r="P376" s="183">
        <v>1</v>
      </c>
      <c r="Q376" s="183"/>
    </row>
    <row r="377" spans="1:17" s="12" customFormat="1" ht="14.25" customHeight="1">
      <c r="A377" s="180" t="str">
        <f>'רשימת מכשור 2015'!A376</f>
        <v>משדר טמפרטורה</v>
      </c>
      <c r="B377" s="180" t="str">
        <f>'רשימת מכשור 2015'!B376</f>
        <v>WIKA</v>
      </c>
      <c r="C377" s="180" t="str">
        <f>'רשימת מכשור 2015'!C376</f>
        <v>T32.3S</v>
      </c>
      <c r="D377" s="233" t="str">
        <f>'רשימת מכשור 2015'!D376</f>
        <v>WH-B2 DEVICE MONITORING</v>
      </c>
      <c r="E377" s="180" t="str">
        <f>'רשימת מכשור 2015'!E376</f>
        <v>1-2-2010-TI-535</v>
      </c>
      <c r="F377" s="180">
        <f>'רשימת מכשור 2015'!F376</f>
        <v>1000</v>
      </c>
      <c r="G377" s="181">
        <v>1</v>
      </c>
      <c r="H377" s="181">
        <f t="shared" si="17"/>
        <v>1000</v>
      </c>
      <c r="I377" s="182" t="s">
        <v>82</v>
      </c>
      <c r="J377" s="181">
        <v>1</v>
      </c>
      <c r="K377" s="181">
        <v>1</v>
      </c>
      <c r="L377" s="181">
        <v>1</v>
      </c>
      <c r="M377" s="181" t="str">
        <f t="shared" si="18"/>
        <v>לא לרכוש</v>
      </c>
      <c r="N377" s="181">
        <v>1000</v>
      </c>
      <c r="O377" s="183"/>
      <c r="P377" s="183">
        <v>1</v>
      </c>
      <c r="Q377" s="183"/>
    </row>
    <row r="378" spans="1:17" s="12" customFormat="1" ht="14.25" customHeight="1">
      <c r="A378" s="180" t="str">
        <f>'רשימת מכשור 2015'!A377</f>
        <v xml:space="preserve">משדר לחות </v>
      </c>
      <c r="B378" s="180" t="str">
        <f>'רשימת מכשור 2015'!B377</f>
        <v>ACI</v>
      </c>
      <c r="C378" s="180" t="str">
        <f>'רשימת מכשור 2015'!C377</f>
        <v>DU/RH5-D</v>
      </c>
      <c r="D378" s="233" t="str">
        <f>'רשימת מכשור 2015'!D377</f>
        <v>AHU-N01</v>
      </c>
      <c r="E378" s="180" t="str">
        <f>'רשימת מכשור 2015'!E377</f>
        <v>1-1-51005-RHT-N01-01</v>
      </c>
      <c r="F378" s="180">
        <f>'רשימת מכשור 2015'!F377</f>
        <v>1000</v>
      </c>
      <c r="G378" s="181">
        <v>1</v>
      </c>
      <c r="H378" s="181">
        <f t="shared" si="17"/>
        <v>1000</v>
      </c>
      <c r="I378" s="182"/>
      <c r="J378" s="181">
        <v>1</v>
      </c>
      <c r="K378" s="181">
        <v>1</v>
      </c>
      <c r="L378" s="181">
        <v>1</v>
      </c>
      <c r="M378" s="181" t="str">
        <f t="shared" si="18"/>
        <v>לרכוש</v>
      </c>
      <c r="N378" s="181">
        <v>1000</v>
      </c>
      <c r="O378" s="183"/>
      <c r="P378" s="183">
        <v>3</v>
      </c>
      <c r="Q378" s="183"/>
    </row>
    <row r="379" spans="1:17" s="12" customFormat="1" ht="14.25" customHeight="1">
      <c r="A379" s="180" t="str">
        <f>'רשימת מכשור 2015'!A378</f>
        <v>ברז (מפעיל) בקרה</v>
      </c>
      <c r="B379" s="180" t="str">
        <f>'רשימת מכשור 2015'!B378</f>
        <v>Belimo</v>
      </c>
      <c r="C379" s="180" t="str">
        <f>'רשימת מכשור 2015'!C378</f>
        <v>NVG-24-MFT</v>
      </c>
      <c r="D379" s="233" t="str">
        <f>'רשימת מכשור 2015'!D378</f>
        <v>WH-B4 AHU-1</v>
      </c>
      <c r="E379" s="180" t="str">
        <f>'רשימת מכשור 2015'!E378</f>
        <v>1-4-1-TCV-1</v>
      </c>
      <c r="F379" s="180">
        <f>'רשימת מכשור 2015'!F378</f>
        <v>1000</v>
      </c>
      <c r="G379" s="181">
        <v>1</v>
      </c>
      <c r="H379" s="181">
        <f t="shared" si="17"/>
        <v>1000</v>
      </c>
      <c r="I379" s="182"/>
      <c r="J379" s="181">
        <v>1</v>
      </c>
      <c r="K379" s="181">
        <v>1</v>
      </c>
      <c r="L379" s="181">
        <v>0.5</v>
      </c>
      <c r="M379" s="181" t="str">
        <f t="shared" si="18"/>
        <v>לרכוש</v>
      </c>
      <c r="N379" s="181">
        <v>1000</v>
      </c>
      <c r="O379" s="183"/>
      <c r="P379" s="183">
        <v>4</v>
      </c>
      <c r="Q379" s="183"/>
    </row>
    <row r="380" spans="1:17" s="12" customFormat="1" ht="14.25" customHeight="1">
      <c r="A380" s="180" t="str">
        <f>'רשימת מכשור 2015'!A379</f>
        <v>ברז (מפעיל) בקרה</v>
      </c>
      <c r="B380" s="180" t="str">
        <f>'רשימת מכשור 2015'!B379</f>
        <v>Belimo</v>
      </c>
      <c r="C380" s="180" t="str">
        <f>'רשימת מכשור 2015'!C379</f>
        <v>NVG-24-MFT</v>
      </c>
      <c r="D380" s="233" t="str">
        <f>'רשימת מכשור 2015'!D379</f>
        <v>WH-B4 AHU-2</v>
      </c>
      <c r="E380" s="180" t="str">
        <f>'רשימת מכשור 2015'!E379</f>
        <v>1-4-1-TCV-2</v>
      </c>
      <c r="F380" s="180">
        <f>'רשימת מכשור 2015'!F379</f>
        <v>1000</v>
      </c>
      <c r="G380" s="181">
        <v>1</v>
      </c>
      <c r="H380" s="181">
        <f t="shared" si="17"/>
        <v>1000</v>
      </c>
      <c r="I380" s="182"/>
      <c r="J380" s="181">
        <v>1</v>
      </c>
      <c r="K380" s="181">
        <v>1</v>
      </c>
      <c r="L380" s="181">
        <v>0.5</v>
      </c>
      <c r="M380" s="181" t="str">
        <f t="shared" si="18"/>
        <v>לרכוש</v>
      </c>
      <c r="N380" s="181">
        <v>1000</v>
      </c>
      <c r="O380" s="183"/>
      <c r="P380" s="183">
        <v>4</v>
      </c>
      <c r="Q380" s="183"/>
    </row>
    <row r="381" spans="1:17" s="12" customFormat="1" ht="14.25" customHeight="1">
      <c r="A381" s="180" t="str">
        <f>'רשימת מכשור 2015'!A380</f>
        <v>ברז (מפעיל) בקרה</v>
      </c>
      <c r="B381" s="180" t="str">
        <f>'רשימת מכשור 2015'!B380</f>
        <v>Belimo</v>
      </c>
      <c r="C381" s="180" t="str">
        <f>'רשימת מכשור 2015'!C380</f>
        <v>NVG-24-MFT</v>
      </c>
      <c r="D381" s="233" t="str">
        <f>'רשימת מכשור 2015'!D380</f>
        <v>WH-B4 AHU-3</v>
      </c>
      <c r="E381" s="180" t="str">
        <f>'רשימת מכשור 2015'!E380</f>
        <v>1-4-1-TCV-3</v>
      </c>
      <c r="F381" s="180">
        <f>'רשימת מכשור 2015'!F380</f>
        <v>1000</v>
      </c>
      <c r="G381" s="181">
        <v>1</v>
      </c>
      <c r="H381" s="181">
        <f t="shared" si="17"/>
        <v>1000</v>
      </c>
      <c r="I381" s="182"/>
      <c r="J381" s="181">
        <v>1</v>
      </c>
      <c r="K381" s="181">
        <v>1</v>
      </c>
      <c r="L381" s="181">
        <v>0.5</v>
      </c>
      <c r="M381" s="181" t="str">
        <f t="shared" si="18"/>
        <v>לרכוש</v>
      </c>
      <c r="N381" s="181">
        <v>1000</v>
      </c>
      <c r="O381" s="183"/>
      <c r="P381" s="183">
        <v>4</v>
      </c>
      <c r="Q381" s="183"/>
    </row>
    <row r="382" spans="1:17" s="12" customFormat="1" ht="14.25" customHeight="1">
      <c r="A382" s="180" t="str">
        <f>'רשימת מכשור 2015'!A381</f>
        <v>ברז (מפעיל) בקרה</v>
      </c>
      <c r="B382" s="180" t="str">
        <f>'רשימת מכשור 2015'!B381</f>
        <v>Belimo</v>
      </c>
      <c r="C382" s="180" t="str">
        <f>'רשימת מכשור 2015'!C381</f>
        <v>NVG-24-MFT</v>
      </c>
      <c r="D382" s="233" t="str">
        <f>'רשימת מכשור 2015'!D381</f>
        <v>WH-B4 AHU-4</v>
      </c>
      <c r="E382" s="180" t="str">
        <f>'רשימת מכשור 2015'!E381</f>
        <v>1-4-4-TCV-4</v>
      </c>
      <c r="F382" s="180">
        <f>'רשימת מכשור 2015'!F381</f>
        <v>1000</v>
      </c>
      <c r="G382" s="181">
        <v>1</v>
      </c>
      <c r="H382" s="181">
        <f t="shared" si="17"/>
        <v>1000</v>
      </c>
      <c r="I382" s="182"/>
      <c r="J382" s="181">
        <v>1</v>
      </c>
      <c r="K382" s="181">
        <v>1</v>
      </c>
      <c r="L382" s="181">
        <v>0.5</v>
      </c>
      <c r="M382" s="181" t="str">
        <f t="shared" si="18"/>
        <v>לרכוש</v>
      </c>
      <c r="N382" s="181">
        <v>1000</v>
      </c>
      <c r="O382" s="183"/>
      <c r="P382" s="183">
        <v>4</v>
      </c>
      <c r="Q382" s="183"/>
    </row>
    <row r="383" spans="1:17" s="12" customFormat="1" ht="14.25" customHeight="1">
      <c r="A383" s="180" t="str">
        <f>'רשימת מכשור 2015'!A382</f>
        <v>מד טמפרטורה</v>
      </c>
      <c r="B383" s="180" t="str">
        <f>'רשימת מכשור 2015'!B382</f>
        <v>new flow</v>
      </c>
      <c r="C383" s="180" t="str">
        <f>'רשימת מכשור 2015'!C382</f>
        <v>AY-QS A 4 120mm c0-100c</v>
      </c>
      <c r="D383" s="233" t="str">
        <f>'רשימת מכשור 2015'!D382</f>
        <v>מיכל שטיפת ברז (מפעיל)י
 דגימה בייצור</v>
      </c>
      <c r="E383" s="180" t="str">
        <f>'רשימת מכשור 2015'!E382</f>
        <v>1-1-81-TI-1</v>
      </c>
      <c r="F383" s="180">
        <f>'רשימת מכשור 2015'!F382</f>
        <v>1000</v>
      </c>
      <c r="G383" s="181">
        <v>1</v>
      </c>
      <c r="H383" s="181">
        <f t="shared" si="17"/>
        <v>1000</v>
      </c>
      <c r="I383" s="182"/>
      <c r="J383" s="181">
        <v>1</v>
      </c>
      <c r="K383" s="181">
        <v>0</v>
      </c>
      <c r="L383" s="181">
        <v>1</v>
      </c>
      <c r="M383" s="181" t="str">
        <f t="shared" si="18"/>
        <v>לא לרכוש</v>
      </c>
      <c r="N383" s="181">
        <v>1000</v>
      </c>
      <c r="O383" s="183"/>
      <c r="P383" s="183">
        <v>1</v>
      </c>
      <c r="Q383" s="183"/>
    </row>
    <row r="384" spans="1:17" s="12" customFormat="1" ht="14.25" customHeight="1">
      <c r="A384" s="180" t="str">
        <f>'רשימת מכשור 2015'!A383</f>
        <v>מד לחץ</v>
      </c>
      <c r="B384" s="180" t="str">
        <f>'רשימת מכשור 2015'!B383</f>
        <v>wika</v>
      </c>
      <c r="C384" s="180" t="str">
        <f>'רשימת מכשור 2015'!C383</f>
        <v>233.50.063</v>
      </c>
      <c r="D384" s="233" t="str">
        <f>'רשימת מכשור 2015'!D383</f>
        <v>מיכל שטיפת ברז (מפעיל)י
 דגימה בייצור</v>
      </c>
      <c r="E384" s="180" t="str">
        <f>'רשימת מכשור 2015'!E383</f>
        <v>1-1-81-PI-1</v>
      </c>
      <c r="F384" s="180">
        <f>'רשימת מכשור 2015'!F383</f>
        <v>1000</v>
      </c>
      <c r="G384" s="181">
        <v>1</v>
      </c>
      <c r="H384" s="181">
        <f t="shared" si="17"/>
        <v>1000</v>
      </c>
      <c r="I384" s="182"/>
      <c r="J384" s="181">
        <v>1</v>
      </c>
      <c r="K384" s="181">
        <v>0</v>
      </c>
      <c r="L384" s="181">
        <v>1</v>
      </c>
      <c r="M384" s="181" t="str">
        <f t="shared" si="18"/>
        <v>לא לרכוש</v>
      </c>
      <c r="N384" s="181">
        <v>1000</v>
      </c>
      <c r="O384" s="183"/>
      <c r="P384" s="183">
        <v>1</v>
      </c>
      <c r="Q384" s="183"/>
    </row>
    <row r="385" spans="1:17" s="12" customFormat="1" ht="14.25" customHeight="1">
      <c r="A385" s="180" t="str">
        <f>'רשימת מכשור 2015'!A384</f>
        <v>ברז (מפעיל) בקרה</v>
      </c>
      <c r="B385" s="180" t="str">
        <f>'רשימת מכשור 2015'!B384</f>
        <v>Belimo</v>
      </c>
      <c r="C385" s="180" t="str">
        <f>'רשימת מכשור 2015'!C384</f>
        <v>NR C24A/SR</v>
      </c>
      <c r="D385" s="233" t="str">
        <f>'רשימת מכשור 2015'!D384</f>
        <v>MEDIA</v>
      </c>
      <c r="E385" s="180" t="str">
        <f>'רשימת מכשור 2015'!E384</f>
        <v>1-1-56-TCV-1</v>
      </c>
      <c r="F385" s="180">
        <f>'רשימת מכשור 2015'!F384</f>
        <v>1500</v>
      </c>
      <c r="G385" s="181">
        <v>1</v>
      </c>
      <c r="H385" s="181">
        <f t="shared" si="17"/>
        <v>1500</v>
      </c>
      <c r="I385" s="182"/>
      <c r="J385" s="181">
        <v>1</v>
      </c>
      <c r="K385" s="181">
        <v>1</v>
      </c>
      <c r="L385" s="181">
        <v>0.5</v>
      </c>
      <c r="M385" s="181" t="str">
        <f t="shared" si="18"/>
        <v>לרכוש</v>
      </c>
      <c r="N385" s="181">
        <v>1000</v>
      </c>
      <c r="O385" s="183"/>
      <c r="P385" s="183">
        <v>15</v>
      </c>
      <c r="Q385" s="183"/>
    </row>
    <row r="386" spans="1:17" s="12" customFormat="1" ht="14.25" customHeight="1">
      <c r="A386" s="180" t="str">
        <f>'רשימת מכשור 2015'!A385</f>
        <v>משדר טמפרטורה</v>
      </c>
      <c r="B386" s="180" t="str">
        <f>'רשימת מכשור 2015'!B385</f>
        <v>Controtec.</v>
      </c>
      <c r="C386" s="180" t="str">
        <f>'רשימת מכשור 2015'!C385</f>
        <v>PT100</v>
      </c>
      <c r="D386" s="233" t="str">
        <f>'רשימת מכשור 2015'!D385</f>
        <v>MEDIA</v>
      </c>
      <c r="E386" s="180" t="str">
        <f>'רשימת מכשור 2015'!E385</f>
        <v>1-1-8-TC-1</v>
      </c>
      <c r="F386" s="180">
        <f>'רשימת מכשור 2015'!F385</f>
        <v>1000</v>
      </c>
      <c r="G386" s="181">
        <v>1</v>
      </c>
      <c r="H386" s="181">
        <f t="shared" si="17"/>
        <v>1000</v>
      </c>
      <c r="I386" s="182"/>
      <c r="J386" s="181">
        <v>1</v>
      </c>
      <c r="K386" s="181">
        <v>1</v>
      </c>
      <c r="L386" s="181">
        <v>0.5</v>
      </c>
      <c r="M386" s="181" t="str">
        <f t="shared" si="18"/>
        <v>לרכוש</v>
      </c>
      <c r="N386" s="181">
        <v>1000</v>
      </c>
      <c r="O386" s="183"/>
      <c r="P386" s="183">
        <v>1</v>
      </c>
      <c r="Q386" s="183"/>
    </row>
    <row r="387" spans="1:17" s="12" customFormat="1" ht="14.25" customHeight="1">
      <c r="A387" s="180" t="str">
        <f>'רשימת מכשור 2015'!A386</f>
        <v>משדר טמפרטורה</v>
      </c>
      <c r="B387" s="180" t="str">
        <f>'רשימת מכשור 2015'!B386</f>
        <v>Controtec.</v>
      </c>
      <c r="C387" s="180" t="str">
        <f>'רשימת מכשור 2015'!C386</f>
        <v>PT100</v>
      </c>
      <c r="D387" s="233" t="str">
        <f>'רשימת מכשור 2015'!D386</f>
        <v>MEDIA</v>
      </c>
      <c r="E387" s="180" t="str">
        <f>'רשימת מכשור 2015'!E386</f>
        <v>1-1-8-TC-3</v>
      </c>
      <c r="F387" s="180">
        <f>'רשימת מכשור 2015'!F386</f>
        <v>1000</v>
      </c>
      <c r="G387" s="181">
        <v>1</v>
      </c>
      <c r="H387" s="181">
        <f t="shared" si="17"/>
        <v>1000</v>
      </c>
      <c r="I387" s="182"/>
      <c r="J387" s="181">
        <v>1</v>
      </c>
      <c r="K387" s="181">
        <v>1</v>
      </c>
      <c r="L387" s="181">
        <v>0.5</v>
      </c>
      <c r="M387" s="181" t="str">
        <f t="shared" si="18"/>
        <v>לרכוש</v>
      </c>
      <c r="N387" s="181">
        <v>1000</v>
      </c>
      <c r="O387" s="183"/>
      <c r="P387" s="183">
        <v>1</v>
      </c>
      <c r="Q387" s="183"/>
    </row>
    <row r="388" spans="1:17" s="12" customFormat="1" ht="14.25" customHeight="1">
      <c r="A388" s="180" t="str">
        <f>'רשימת מכשור 2015'!A387</f>
        <v>משדר טמפרטורה</v>
      </c>
      <c r="B388" s="180" t="str">
        <f>'רשימת מכשור 2015'!B387</f>
        <v>Controtec.</v>
      </c>
      <c r="C388" s="180" t="str">
        <f>'רשימת מכשור 2015'!C387</f>
        <v>משדר+PT-100</v>
      </c>
      <c r="D388" s="233" t="str">
        <f>'רשימת מכשור 2015'!D387</f>
        <v>CRUDE</v>
      </c>
      <c r="E388" s="180" t="str">
        <f>'רשימת מכשור 2015'!E387</f>
        <v>1-1-28-TC-2</v>
      </c>
      <c r="F388" s="180">
        <f>'רשימת מכשור 2015'!F387</f>
        <v>1000</v>
      </c>
      <c r="G388" s="181">
        <v>1</v>
      </c>
      <c r="H388" s="181">
        <f t="shared" si="17"/>
        <v>1000</v>
      </c>
      <c r="I388" s="182"/>
      <c r="J388" s="181">
        <v>1</v>
      </c>
      <c r="K388" s="181">
        <v>1</v>
      </c>
      <c r="L388" s="181">
        <v>0.5</v>
      </c>
      <c r="M388" s="181" t="str">
        <f t="shared" si="18"/>
        <v>לרכוש</v>
      </c>
      <c r="N388" s="181">
        <v>1000</v>
      </c>
      <c r="O388" s="183"/>
      <c r="P388" s="183">
        <v>1</v>
      </c>
      <c r="Q388" s="183"/>
    </row>
    <row r="389" spans="1:17" s="12" customFormat="1" ht="14.25" customHeight="1">
      <c r="A389" s="180" t="str">
        <f>'רשימת מכשור 2015'!A388</f>
        <v>ברז (מפעיל) בקרה</v>
      </c>
      <c r="B389" s="180" t="str">
        <f>'רשימת מכשור 2015'!B388</f>
        <v>Belimo</v>
      </c>
      <c r="C389" s="180" t="str">
        <f>'רשימת מכשור 2015'!C388</f>
        <v>NR C24A/SR</v>
      </c>
      <c r="D389" s="233" t="str">
        <f>'רשימת מכשור 2015'!D388</f>
        <v>CRUDE</v>
      </c>
      <c r="E389" s="180" t="str">
        <f>'רשימת מכשור 2015'!E388</f>
        <v>1-1-28-TCV-1</v>
      </c>
      <c r="F389" s="180">
        <f>'רשימת מכשור 2015'!F388</f>
        <v>1500</v>
      </c>
      <c r="G389" s="181">
        <v>1</v>
      </c>
      <c r="H389" s="181">
        <f t="shared" si="17"/>
        <v>1500</v>
      </c>
      <c r="I389" s="182"/>
      <c r="J389" s="181">
        <v>1</v>
      </c>
      <c r="K389" s="181">
        <v>1</v>
      </c>
      <c r="L389" s="181">
        <v>0.5</v>
      </c>
      <c r="M389" s="181" t="str">
        <f t="shared" si="18"/>
        <v>לרכוש</v>
      </c>
      <c r="N389" s="181">
        <v>1000</v>
      </c>
      <c r="O389" s="183"/>
      <c r="P389" s="183">
        <v>15</v>
      </c>
      <c r="Q389" s="183"/>
    </row>
    <row r="390" spans="1:17" s="12" customFormat="1" ht="14.25" customHeight="1">
      <c r="A390" s="180" t="str">
        <f>'רשימת מכשור 2015'!A389</f>
        <v>ברז (מפעיל) בקרה</v>
      </c>
      <c r="B390" s="180" t="str">
        <f>'רשימת מכשור 2015'!B389</f>
        <v>Belimo</v>
      </c>
      <c r="C390" s="180" t="str">
        <f>'רשימת מכשור 2015'!C389</f>
        <v>NR C24A/SR</v>
      </c>
      <c r="D390" s="233" t="str">
        <f>'רשימת מכשור 2015'!D389</f>
        <v>CRUDE</v>
      </c>
      <c r="E390" s="180" t="str">
        <f>'רשימת מכשור 2015'!E389</f>
        <v>1-1-28-TCV-2</v>
      </c>
      <c r="F390" s="180">
        <f>'רשימת מכשור 2015'!F389</f>
        <v>1500</v>
      </c>
      <c r="G390" s="181">
        <v>1</v>
      </c>
      <c r="H390" s="181">
        <f t="shared" si="17"/>
        <v>1500</v>
      </c>
      <c r="I390" s="182"/>
      <c r="J390" s="181">
        <v>1</v>
      </c>
      <c r="K390" s="181">
        <v>1</v>
      </c>
      <c r="L390" s="181">
        <v>0.5</v>
      </c>
      <c r="M390" s="181" t="str">
        <f t="shared" si="18"/>
        <v>לרכוש</v>
      </c>
      <c r="N390" s="181">
        <v>1000</v>
      </c>
      <c r="O390" s="183"/>
      <c r="P390" s="183">
        <v>15</v>
      </c>
      <c r="Q390" s="183"/>
    </row>
    <row r="391" spans="1:17" s="12" customFormat="1" ht="14.25" customHeight="1">
      <c r="A391" s="180" t="str">
        <f>'רשימת מכשור 2015'!A390</f>
        <v>משדר טמפרטורה</v>
      </c>
      <c r="B391" s="180" t="str">
        <f>'רשימת מכשור 2015'!B390</f>
        <v>Controtec.</v>
      </c>
      <c r="C391" s="180" t="str">
        <f>'רשימת מכשור 2015'!C390</f>
        <v>משדר+PT-100</v>
      </c>
      <c r="D391" s="233" t="str">
        <f>'רשימת מכשור 2015'!D390</f>
        <v>CRUDE</v>
      </c>
      <c r="E391" s="180" t="str">
        <f>'רשימת מכשור 2015'!E390</f>
        <v>1-1-28-TC-1</v>
      </c>
      <c r="F391" s="180">
        <f>'רשימת מכשור 2015'!F390</f>
        <v>1000</v>
      </c>
      <c r="G391" s="181">
        <v>1</v>
      </c>
      <c r="H391" s="181">
        <f t="shared" si="17"/>
        <v>1000</v>
      </c>
      <c r="I391" s="182"/>
      <c r="J391" s="181">
        <v>1</v>
      </c>
      <c r="K391" s="181">
        <v>1</v>
      </c>
      <c r="L391" s="181">
        <v>0.5</v>
      </c>
      <c r="M391" s="181" t="str">
        <f t="shared" si="18"/>
        <v>לרכוש</v>
      </c>
      <c r="N391" s="181">
        <v>1000</v>
      </c>
      <c r="O391" s="183"/>
      <c r="P391" s="183">
        <v>1</v>
      </c>
      <c r="Q391" s="183"/>
    </row>
    <row r="392" spans="1:17" s="12" customFormat="1" ht="14.25" customHeight="1">
      <c r="A392" s="180" t="str">
        <f>'רשימת מכשור 2015'!A391</f>
        <v>משדר טמפרטורה</v>
      </c>
      <c r="B392" s="180" t="str">
        <f>'רשימת מכשור 2015'!B391</f>
        <v>Controtec.</v>
      </c>
      <c r="C392" s="180" t="str">
        <f>'רשימת מכשור 2015'!C391</f>
        <v>משדר+PT-100</v>
      </c>
      <c r="D392" s="233" t="str">
        <f>'רשימת מכשור 2015'!D391</f>
        <v>CRUDE</v>
      </c>
      <c r="E392" s="180" t="str">
        <f>'רשימת מכשור 2015'!E391</f>
        <v>1-1-30-TC-1</v>
      </c>
      <c r="F392" s="180">
        <f>'רשימת מכשור 2015'!F391</f>
        <v>1000</v>
      </c>
      <c r="G392" s="181">
        <v>1</v>
      </c>
      <c r="H392" s="181">
        <f t="shared" si="17"/>
        <v>1000</v>
      </c>
      <c r="I392" s="182"/>
      <c r="J392" s="181">
        <v>1</v>
      </c>
      <c r="K392" s="181">
        <v>1</v>
      </c>
      <c r="L392" s="181">
        <v>0.5</v>
      </c>
      <c r="M392" s="181" t="str">
        <f t="shared" si="18"/>
        <v>לרכוש</v>
      </c>
      <c r="N392" s="181">
        <v>1000</v>
      </c>
      <c r="O392" s="183"/>
      <c r="P392" s="183">
        <v>1</v>
      </c>
      <c r="Q392" s="183"/>
    </row>
    <row r="393" spans="1:17" s="12" customFormat="1" ht="14.25" customHeight="1">
      <c r="A393" s="180" t="str">
        <f>'רשימת מכשור 2015'!A392</f>
        <v>משדר טמפרטורה</v>
      </c>
      <c r="B393" s="180" t="str">
        <f>'רשימת מכשור 2015'!B392</f>
        <v>Controtec.</v>
      </c>
      <c r="C393" s="180" t="str">
        <f>'רשימת מכשור 2015'!C392</f>
        <v>משדר+PT-100</v>
      </c>
      <c r="D393" s="233" t="str">
        <f>'רשימת מכשור 2015'!D392</f>
        <v>HARVEST</v>
      </c>
      <c r="E393" s="180" t="str">
        <f>'רשימת מכשור 2015'!E392</f>
        <v>1-1-27-TC-1</v>
      </c>
      <c r="F393" s="180">
        <f>'רשימת מכשור 2015'!F392</f>
        <v>1000</v>
      </c>
      <c r="G393" s="181">
        <v>1</v>
      </c>
      <c r="H393" s="181">
        <f t="shared" si="17"/>
        <v>1000</v>
      </c>
      <c r="I393" s="182"/>
      <c r="J393" s="181">
        <v>1</v>
      </c>
      <c r="K393" s="181">
        <v>1</v>
      </c>
      <c r="L393" s="181">
        <v>0.5</v>
      </c>
      <c r="M393" s="181" t="str">
        <f t="shared" ref="M393:M415" si="19">IF(AND(K393*L393*30*N393&gt;H393/J393,I393=""),"לרכוש","לא לרכוש")</f>
        <v>לרכוש</v>
      </c>
      <c r="N393" s="181">
        <v>1000</v>
      </c>
      <c r="O393" s="183"/>
      <c r="P393" s="183">
        <v>1</v>
      </c>
      <c r="Q393" s="183"/>
    </row>
    <row r="394" spans="1:17" s="12" customFormat="1" ht="14.25" customHeight="1">
      <c r="A394" s="180" t="str">
        <f>'רשימת מכשור 2015'!A393</f>
        <v>ברז (מפעיל) בקרה</v>
      </c>
      <c r="B394" s="180" t="str">
        <f>'רשימת מכשור 2015'!B393</f>
        <v>Belimo</v>
      </c>
      <c r="C394" s="180" t="str">
        <f>'רשימת מכשור 2015'!C393</f>
        <v>NR C24A/SR</v>
      </c>
      <c r="D394" s="233" t="str">
        <f>'רשימת מכשור 2015'!D393</f>
        <v>HARVEST</v>
      </c>
      <c r="E394" s="180" t="str">
        <f>'רשימת מכשור 2015'!E393</f>
        <v>1-1-27-TCV-1</v>
      </c>
      <c r="F394" s="180">
        <f>'רשימת מכשור 2015'!F393</f>
        <v>1500</v>
      </c>
      <c r="G394" s="181">
        <v>1</v>
      </c>
      <c r="H394" s="181">
        <f t="shared" si="17"/>
        <v>1500</v>
      </c>
      <c r="I394" s="182"/>
      <c r="J394" s="181">
        <v>1</v>
      </c>
      <c r="K394" s="181">
        <v>1</v>
      </c>
      <c r="L394" s="181">
        <v>0.5</v>
      </c>
      <c r="M394" s="181" t="str">
        <f t="shared" si="19"/>
        <v>לרכוש</v>
      </c>
      <c r="N394" s="181">
        <v>1000</v>
      </c>
      <c r="O394" s="183"/>
      <c r="P394" s="183">
        <v>15</v>
      </c>
      <c r="Q394" s="183"/>
    </row>
    <row r="395" spans="1:17" s="12" customFormat="1" ht="14.25" customHeight="1">
      <c r="A395" s="180" t="str">
        <f>'רשימת מכשור 2015'!A394</f>
        <v>משדר טמפרטורה</v>
      </c>
      <c r="B395" s="180" t="str">
        <f>'רשימת מכשור 2015'!B394</f>
        <v>Controtec.</v>
      </c>
      <c r="C395" s="180" t="str">
        <f>'רשימת מכשור 2015'!C394</f>
        <v>משדר+PT-100</v>
      </c>
      <c r="D395" s="233" t="str">
        <f>'רשימת מכשור 2015'!D394</f>
        <v>HARVEST</v>
      </c>
      <c r="E395" s="180" t="str">
        <f>'רשימת מכשור 2015'!E394</f>
        <v>1-1-27-TI-3</v>
      </c>
      <c r="F395" s="180">
        <f>'רשימת מכשור 2015'!F394</f>
        <v>1000</v>
      </c>
      <c r="G395" s="181">
        <v>1</v>
      </c>
      <c r="H395" s="181">
        <f t="shared" si="17"/>
        <v>1000</v>
      </c>
      <c r="I395" s="182"/>
      <c r="J395" s="181">
        <v>1</v>
      </c>
      <c r="K395" s="181">
        <v>1</v>
      </c>
      <c r="L395" s="181">
        <v>0.5</v>
      </c>
      <c r="M395" s="181" t="str">
        <f t="shared" si="19"/>
        <v>לרכוש</v>
      </c>
      <c r="N395" s="181">
        <v>1000</v>
      </c>
      <c r="O395" s="183"/>
      <c r="P395" s="183">
        <v>1</v>
      </c>
      <c r="Q395" s="183"/>
    </row>
    <row r="396" spans="1:17" s="12" customFormat="1" ht="14.25" customHeight="1">
      <c r="A396" s="180" t="str">
        <f>'רשימת מכשור 2015'!A395</f>
        <v>משדר טמפרטורה</v>
      </c>
      <c r="B396" s="180" t="str">
        <f>'רשימת מכשור 2015'!B395</f>
        <v>Controtec.</v>
      </c>
      <c r="C396" s="180" t="str">
        <f>'רשימת מכשור 2015'!C395</f>
        <v>משדר+PT-100</v>
      </c>
      <c r="D396" s="233" t="str">
        <f>'רשימת מכשור 2015'!D395</f>
        <v>HARVEST</v>
      </c>
      <c r="E396" s="180" t="str">
        <f>'רשימת מכשור 2015'!E395</f>
        <v>1-1-27-TC-4</v>
      </c>
      <c r="F396" s="180">
        <f>'רשימת מכשור 2015'!F395</f>
        <v>1000</v>
      </c>
      <c r="G396" s="181">
        <v>1</v>
      </c>
      <c r="H396" s="181">
        <f t="shared" si="17"/>
        <v>1000</v>
      </c>
      <c r="I396" s="182"/>
      <c r="J396" s="181">
        <v>1</v>
      </c>
      <c r="K396" s="181">
        <v>1</v>
      </c>
      <c r="L396" s="181">
        <v>0.5</v>
      </c>
      <c r="M396" s="181" t="str">
        <f t="shared" si="19"/>
        <v>לרכוש</v>
      </c>
      <c r="N396" s="181">
        <v>1000</v>
      </c>
      <c r="O396" s="183"/>
      <c r="P396" s="183">
        <v>1</v>
      </c>
      <c r="Q396" s="183"/>
    </row>
    <row r="397" spans="1:17" s="12" customFormat="1" ht="14.25" customHeight="1">
      <c r="A397" s="180" t="str">
        <f>'רשימת מכשור 2015'!A396</f>
        <v>משדר טמפרטורה</v>
      </c>
      <c r="B397" s="180" t="str">
        <f>'רשימת מכשור 2015'!B396</f>
        <v>Controtec.</v>
      </c>
      <c r="C397" s="180" t="str">
        <f>'רשימת מכשור 2015'!C396</f>
        <v>משדר+PT-100</v>
      </c>
      <c r="D397" s="233" t="str">
        <f>'רשימת מכשור 2015'!D396</f>
        <v>COLUMN 1</v>
      </c>
      <c r="E397" s="180" t="str">
        <f>'רשימת מכשור 2015'!E396</f>
        <v>1-1-144-TV-TT-1</v>
      </c>
      <c r="F397" s="180">
        <f>'רשימת מכשור 2015'!F396</f>
        <v>1000</v>
      </c>
      <c r="G397" s="181">
        <v>1</v>
      </c>
      <c r="H397" s="181">
        <f t="shared" si="17"/>
        <v>1000</v>
      </c>
      <c r="I397" s="182"/>
      <c r="J397" s="181">
        <v>1</v>
      </c>
      <c r="K397" s="181">
        <v>1</v>
      </c>
      <c r="L397" s="181">
        <v>0.5</v>
      </c>
      <c r="M397" s="181" t="str">
        <f t="shared" si="19"/>
        <v>לרכוש</v>
      </c>
      <c r="N397" s="181">
        <v>1000</v>
      </c>
      <c r="O397" s="183"/>
      <c r="P397" s="183">
        <v>1</v>
      </c>
      <c r="Q397" s="183"/>
    </row>
    <row r="398" spans="1:17" s="12" customFormat="1" ht="14.25" customHeight="1">
      <c r="A398" s="180" t="str">
        <f>'רשימת מכשור 2015'!A397</f>
        <v>משדר טמפרטורה</v>
      </c>
      <c r="B398" s="180" t="str">
        <f>'רשימת מכשור 2015'!B397</f>
        <v>Controtec</v>
      </c>
      <c r="C398" s="180" t="str">
        <f>'רשימת מכשור 2015'!C397</f>
        <v>משדר+PT-100</v>
      </c>
      <c r="D398" s="233" t="str">
        <f>'רשימת מכשור 2015'!D397</f>
        <v>COLUMN 2/3</v>
      </c>
      <c r="E398" s="180" t="str">
        <f>'רשימת מכשור 2015'!E397</f>
        <v>1-1-3-TC-1</v>
      </c>
      <c r="F398" s="180">
        <f>'רשימת מכשור 2015'!F397</f>
        <v>1000</v>
      </c>
      <c r="G398" s="181">
        <v>1</v>
      </c>
      <c r="H398" s="181">
        <f t="shared" si="17"/>
        <v>1000</v>
      </c>
      <c r="I398" s="182"/>
      <c r="J398" s="181">
        <v>1</v>
      </c>
      <c r="K398" s="181">
        <v>1</v>
      </c>
      <c r="L398" s="181">
        <v>0.5</v>
      </c>
      <c r="M398" s="181" t="str">
        <f t="shared" si="19"/>
        <v>לרכוש</v>
      </c>
      <c r="N398" s="181">
        <v>1000</v>
      </c>
      <c r="O398" s="183"/>
      <c r="P398" s="183">
        <v>1</v>
      </c>
      <c r="Q398" s="183"/>
    </row>
    <row r="399" spans="1:17" s="12" customFormat="1" ht="14.25" customHeight="1">
      <c r="A399" s="180" t="str">
        <f>'רשימת מכשור 2015'!A398</f>
        <v>משדר טמפרטורה</v>
      </c>
      <c r="B399" s="180" t="str">
        <f>'רשימת מכשור 2015'!B398</f>
        <v>Controtec</v>
      </c>
      <c r="C399" s="180" t="str">
        <f>'רשימת מכשור 2015'!C398</f>
        <v>משדר+PT-100</v>
      </c>
      <c r="D399" s="233" t="str">
        <f>'רשימת מכשור 2015'!D398</f>
        <v>COLUMN 2/3</v>
      </c>
      <c r="E399" s="180" t="str">
        <f>'רשימת מכשור 2015'!E398</f>
        <v>1-1-3-TC-2</v>
      </c>
      <c r="F399" s="180">
        <f>'רשימת מכשור 2015'!F398</f>
        <v>1000</v>
      </c>
      <c r="G399" s="181">
        <v>1</v>
      </c>
      <c r="H399" s="181">
        <f t="shared" si="17"/>
        <v>1000</v>
      </c>
      <c r="I399" s="182"/>
      <c r="J399" s="181">
        <v>1</v>
      </c>
      <c r="K399" s="181">
        <v>1</v>
      </c>
      <c r="L399" s="181">
        <v>0.5</v>
      </c>
      <c r="M399" s="181" t="str">
        <f t="shared" si="19"/>
        <v>לרכוש</v>
      </c>
      <c r="N399" s="181">
        <v>1000</v>
      </c>
      <c r="O399" s="183"/>
      <c r="P399" s="183">
        <v>1</v>
      </c>
      <c r="Q399" s="183"/>
    </row>
    <row r="400" spans="1:17" s="12" customFormat="1" ht="14.25" customHeight="1">
      <c r="A400" s="180" t="str">
        <f>'רשימת מכשור 2015'!A399</f>
        <v>ברז (מפעיל) בקרה</v>
      </c>
      <c r="B400" s="180" t="str">
        <f>'רשימת מכשור 2015'!B399</f>
        <v>Belimo</v>
      </c>
      <c r="C400" s="180" t="str">
        <f>'רשימת מכשור 2015'!C399</f>
        <v>NR C24A/SR</v>
      </c>
      <c r="D400" s="233" t="str">
        <f>'רשימת מכשור 2015'!D399</f>
        <v>COLUMN 2/3</v>
      </c>
      <c r="E400" s="180" t="str">
        <f>'רשימת מכשור 2015'!E399</f>
        <v>1-1-3-TCV-1</v>
      </c>
      <c r="F400" s="180">
        <f>'רשימת מכשור 2015'!F399</f>
        <v>1500</v>
      </c>
      <c r="G400" s="181">
        <v>1</v>
      </c>
      <c r="H400" s="181">
        <f t="shared" si="17"/>
        <v>1500</v>
      </c>
      <c r="I400" s="182"/>
      <c r="J400" s="181">
        <v>1</v>
      </c>
      <c r="K400" s="181">
        <v>1</v>
      </c>
      <c r="L400" s="181">
        <v>0.5</v>
      </c>
      <c r="M400" s="181" t="str">
        <f t="shared" si="19"/>
        <v>לרכוש</v>
      </c>
      <c r="N400" s="181">
        <v>1000</v>
      </c>
      <c r="O400" s="183"/>
      <c r="P400" s="183">
        <v>15</v>
      </c>
      <c r="Q400" s="183"/>
    </row>
    <row r="401" spans="1:17" s="12" customFormat="1" ht="14.25" customHeight="1">
      <c r="A401" s="180" t="str">
        <f>'רשימת מכשור 2015'!A400</f>
        <v>משדר טמפרטורה</v>
      </c>
      <c r="B401" s="180" t="str">
        <f>'רשימת מכשור 2015'!B400</f>
        <v>Controtec.</v>
      </c>
      <c r="C401" s="180" t="str">
        <f>'רשימת מכשור 2015'!C400</f>
        <v>משדר+PT-100</v>
      </c>
      <c r="D401" s="233" t="str">
        <f>'רשימת מכשור 2015'!D400</f>
        <v>COLUMN 4/5</v>
      </c>
      <c r="E401" s="180" t="str">
        <f>'רשימת מכשור 2015'!E400</f>
        <v>1-1-4-TC-1</v>
      </c>
      <c r="F401" s="180">
        <f>'רשימת מכשור 2015'!F400</f>
        <v>1000</v>
      </c>
      <c r="G401" s="181">
        <v>1</v>
      </c>
      <c r="H401" s="181">
        <f t="shared" si="17"/>
        <v>1000</v>
      </c>
      <c r="I401" s="182"/>
      <c r="J401" s="181">
        <v>1</v>
      </c>
      <c r="K401" s="181">
        <v>1</v>
      </c>
      <c r="L401" s="181">
        <v>0.5</v>
      </c>
      <c r="M401" s="181" t="str">
        <f t="shared" si="19"/>
        <v>לרכוש</v>
      </c>
      <c r="N401" s="181">
        <v>1000</v>
      </c>
      <c r="O401" s="183"/>
      <c r="P401" s="183">
        <v>1</v>
      </c>
      <c r="Q401" s="183"/>
    </row>
    <row r="402" spans="1:17" s="12" customFormat="1" ht="14.25" customHeight="1">
      <c r="A402" s="180" t="str">
        <f>'רשימת מכשור 2015'!A401</f>
        <v>משדר טמפרטורה</v>
      </c>
      <c r="B402" s="180" t="str">
        <f>'רשימת מכשור 2015'!B401</f>
        <v>Controtec</v>
      </c>
      <c r="C402" s="180" t="str">
        <f>'רשימת מכשור 2015'!C401</f>
        <v>משדר+PT-100</v>
      </c>
      <c r="D402" s="233" t="str">
        <f>'רשימת מכשור 2015'!D401</f>
        <v>COLUMN 4/5</v>
      </c>
      <c r="E402" s="180" t="str">
        <f>'רשימת מכשור 2015'!E401</f>
        <v>1-1-4-TC-2</v>
      </c>
      <c r="F402" s="180">
        <f>'רשימת מכשור 2015'!F401</f>
        <v>1000</v>
      </c>
      <c r="G402" s="181">
        <v>1</v>
      </c>
      <c r="H402" s="181">
        <f t="shared" si="17"/>
        <v>1000</v>
      </c>
      <c r="I402" s="182"/>
      <c r="J402" s="181">
        <v>1</v>
      </c>
      <c r="K402" s="181">
        <v>1</v>
      </c>
      <c r="L402" s="181">
        <v>0.5</v>
      </c>
      <c r="M402" s="181" t="str">
        <f t="shared" si="19"/>
        <v>לרכוש</v>
      </c>
      <c r="N402" s="181">
        <v>1000</v>
      </c>
      <c r="O402" s="183"/>
      <c r="P402" s="183">
        <v>1</v>
      </c>
      <c r="Q402" s="183"/>
    </row>
    <row r="403" spans="1:17" s="12" customFormat="1" ht="14.25" customHeight="1">
      <c r="A403" s="180" t="str">
        <f>'רשימת מכשור 2015'!A402</f>
        <v>מפסק לחץ</v>
      </c>
      <c r="B403" s="180" t="str">
        <f>'רשימת מכשור 2015'!B402</f>
        <v>DANFUSS</v>
      </c>
      <c r="C403" s="180" t="str">
        <f>'רשימת מכשור 2015'!C402</f>
        <v>RT-5 PB 220</v>
      </c>
      <c r="D403" s="233" t="str">
        <f>'רשימת מכשור 2015'!D402</f>
        <v>PW PRODUCTION
2500</v>
      </c>
      <c r="E403" s="180" t="str">
        <f>'רשימת מכשור 2015'!E402</f>
        <v>1-1-604-PSH-001</v>
      </c>
      <c r="F403" s="180">
        <f>'רשימת מכשור 2015'!F402</f>
        <v>800</v>
      </c>
      <c r="G403" s="181">
        <v>1</v>
      </c>
      <c r="H403" s="181">
        <f t="shared" si="17"/>
        <v>800</v>
      </c>
      <c r="I403" s="182"/>
      <c r="J403" s="181">
        <v>1</v>
      </c>
      <c r="K403" s="181">
        <v>1</v>
      </c>
      <c r="L403" s="181">
        <v>1</v>
      </c>
      <c r="M403" s="181" t="str">
        <f t="shared" si="19"/>
        <v>לרכוש</v>
      </c>
      <c r="N403" s="181">
        <v>1000</v>
      </c>
      <c r="O403" s="183"/>
      <c r="P403" s="183">
        <v>1</v>
      </c>
      <c r="Q403" s="183"/>
    </row>
    <row r="404" spans="1:17" s="12" customFormat="1" ht="14.25" customHeight="1">
      <c r="A404" s="180" t="str">
        <f>'רשימת מכשור 2015'!A403</f>
        <v xml:space="preserve">מפסק לחץ </v>
      </c>
      <c r="B404" s="180" t="str">
        <f>'רשימת מכשור 2015'!B403</f>
        <v>DANFUSS</v>
      </c>
      <c r="C404" s="180" t="str">
        <f>'רשימת מכשור 2015'!C403</f>
        <v>RT-200 PB 220</v>
      </c>
      <c r="D404" s="233" t="str">
        <f>'רשימת מכשור 2015'!D403</f>
        <v>PW PRODUCTION
2500</v>
      </c>
      <c r="E404" s="180" t="str">
        <f>'רשימת מכשור 2015'!E403</f>
        <v>1-1-604-PSL-001</v>
      </c>
      <c r="F404" s="180">
        <f>'רשימת מכשור 2015'!F403</f>
        <v>800</v>
      </c>
      <c r="G404" s="181">
        <v>1</v>
      </c>
      <c r="H404" s="181">
        <f t="shared" si="17"/>
        <v>800</v>
      </c>
      <c r="I404" s="182"/>
      <c r="J404" s="181">
        <v>1</v>
      </c>
      <c r="K404" s="181">
        <v>1</v>
      </c>
      <c r="L404" s="181">
        <v>0.5</v>
      </c>
      <c r="M404" s="181" t="str">
        <f t="shared" si="19"/>
        <v>לרכוש</v>
      </c>
      <c r="N404" s="181">
        <v>1000</v>
      </c>
      <c r="O404" s="183"/>
      <c r="P404" s="183">
        <v>3</v>
      </c>
      <c r="Q404" s="183"/>
    </row>
    <row r="405" spans="1:17" s="12" customFormat="1" ht="14.25" customHeight="1">
      <c r="A405" s="180" t="str">
        <f>'רשימת מכשור 2015'!A404</f>
        <v xml:space="preserve">מפסק לחץ </v>
      </c>
      <c r="B405" s="180" t="str">
        <f>'רשימת מכשור 2015'!B404</f>
        <v>DANFUSS</v>
      </c>
      <c r="C405" s="180" t="str">
        <f>'רשימת מכשור 2015'!C404</f>
        <v>RT-200 PB 220</v>
      </c>
      <c r="D405" s="233" t="str">
        <f>'רשימת מכשור 2015'!D404</f>
        <v>PW PRODUCTION
2500</v>
      </c>
      <c r="E405" s="180" t="str">
        <f>'רשימת מכשור 2015'!E404</f>
        <v>1-1-604-PSL-002</v>
      </c>
      <c r="F405" s="180">
        <f>'רשימת מכשור 2015'!F404</f>
        <v>800</v>
      </c>
      <c r="G405" s="181">
        <v>1</v>
      </c>
      <c r="H405" s="181">
        <f t="shared" si="17"/>
        <v>800</v>
      </c>
      <c r="I405" s="182"/>
      <c r="J405" s="181">
        <v>1</v>
      </c>
      <c r="K405" s="181">
        <v>1</v>
      </c>
      <c r="L405" s="181">
        <v>0.5</v>
      </c>
      <c r="M405" s="181" t="str">
        <f t="shared" si="19"/>
        <v>לרכוש</v>
      </c>
      <c r="N405" s="181">
        <v>1000</v>
      </c>
      <c r="O405" s="183"/>
      <c r="P405" s="183">
        <v>3</v>
      </c>
      <c r="Q405" s="183"/>
    </row>
    <row r="406" spans="1:17" s="12" customFormat="1" ht="14.25" customHeight="1">
      <c r="A406" s="180" t="str">
        <f>'רשימת מכשור 2015'!A405</f>
        <v xml:space="preserve">מפסק לחץ </v>
      </c>
      <c r="B406" s="180" t="str">
        <f>'רשימת מכשור 2015'!B405</f>
        <v>DANFUSS</v>
      </c>
      <c r="C406" s="180" t="str">
        <f>'רשימת מכשור 2015'!C405</f>
        <v>RT-200 PB 220</v>
      </c>
      <c r="D406" s="233" t="str">
        <f>'רשימת מכשור 2015'!D405</f>
        <v>PW PRODUCTION
2500</v>
      </c>
      <c r="E406" s="180" t="str">
        <f>'רשימת מכשור 2015'!E405</f>
        <v>1-1-604-PSL-004</v>
      </c>
      <c r="F406" s="180">
        <f>'רשימת מכשור 2015'!F405</f>
        <v>800</v>
      </c>
      <c r="G406" s="181">
        <v>1</v>
      </c>
      <c r="H406" s="181">
        <f t="shared" si="17"/>
        <v>800</v>
      </c>
      <c r="I406" s="182"/>
      <c r="J406" s="181">
        <v>1</v>
      </c>
      <c r="K406" s="181">
        <v>1</v>
      </c>
      <c r="L406" s="181">
        <v>0.5</v>
      </c>
      <c r="M406" s="181" t="str">
        <f t="shared" si="19"/>
        <v>לרכוש</v>
      </c>
      <c r="N406" s="181">
        <v>1000</v>
      </c>
      <c r="O406" s="183"/>
      <c r="P406" s="183">
        <v>3</v>
      </c>
      <c r="Q406" s="183"/>
    </row>
    <row r="407" spans="1:17" s="12" customFormat="1" ht="14.25" customHeight="1">
      <c r="A407" s="180" t="str">
        <f>'רשימת מכשור 2015'!A406</f>
        <v>מד לחץ הפרשי</v>
      </c>
      <c r="B407" s="180" t="str">
        <f>'רשימת מכשור 2015'!B406</f>
        <v>ACI</v>
      </c>
      <c r="C407" s="180" t="str">
        <f>'רשימת מכשור 2015'!C406</f>
        <v>LP Series</v>
      </c>
      <c r="D407" s="233" t="str">
        <f>'רשימת מכשור 2015'!D406</f>
        <v>51001-AHU-01</v>
      </c>
      <c r="E407" s="180" t="str">
        <f>'רשימת מכשור 2015'!E406</f>
        <v>1-1-51001-PDT-01/1</v>
      </c>
      <c r="F407" s="180">
        <f>'רשימת מכשור 2015'!F406</f>
        <v>1000</v>
      </c>
      <c r="G407" s="181">
        <v>1</v>
      </c>
      <c r="H407" s="181">
        <f t="shared" si="17"/>
        <v>1000</v>
      </c>
      <c r="I407" s="182" t="s">
        <v>82</v>
      </c>
      <c r="J407" s="181">
        <v>1</v>
      </c>
      <c r="K407" s="181">
        <v>1</v>
      </c>
      <c r="L407" s="181">
        <v>1</v>
      </c>
      <c r="M407" s="181" t="str">
        <f t="shared" si="19"/>
        <v>לא לרכוש</v>
      </c>
      <c r="N407" s="181">
        <v>1000</v>
      </c>
      <c r="O407" s="183"/>
      <c r="P407" s="183">
        <v>5</v>
      </c>
      <c r="Q407" s="183"/>
    </row>
    <row r="408" spans="1:17" s="12" customFormat="1" ht="14.25" customHeight="1">
      <c r="A408" s="180" t="str">
        <f>'רשימת מכשור 2015'!A407</f>
        <v>משדר לחץ הפרשי</v>
      </c>
      <c r="B408" s="180" t="str">
        <f>'רשימת מכשור 2015'!B407</f>
        <v>ACI</v>
      </c>
      <c r="C408" s="180" t="str">
        <f>'רשימת מכשור 2015'!C407</f>
        <v>A-LP-3-10-E</v>
      </c>
      <c r="D408" s="233" t="str">
        <f>'רשימת מכשור 2015'!D407</f>
        <v>51001-AHU-02</v>
      </c>
      <c r="E408" s="180" t="str">
        <f>'רשימת מכשור 2015'!E407</f>
        <v>1-1-51001-PDT-02/1</v>
      </c>
      <c r="F408" s="180">
        <f>'רשימת מכשור 2015'!F407</f>
        <v>800</v>
      </c>
      <c r="G408" s="181">
        <v>1</v>
      </c>
      <c r="H408" s="181">
        <f t="shared" si="17"/>
        <v>800</v>
      </c>
      <c r="I408" s="182"/>
      <c r="J408" s="181">
        <v>1</v>
      </c>
      <c r="K408" s="181">
        <v>1</v>
      </c>
      <c r="L408" s="181">
        <v>1</v>
      </c>
      <c r="M408" s="181" t="str">
        <f t="shared" si="19"/>
        <v>לרכוש</v>
      </c>
      <c r="N408" s="181">
        <v>1000</v>
      </c>
      <c r="O408" s="183"/>
      <c r="P408" s="183">
        <v>1</v>
      </c>
      <c r="Q408" s="183"/>
    </row>
    <row r="409" spans="1:17" s="12" customFormat="1" ht="14.25" customHeight="1">
      <c r="A409" s="180" t="str">
        <f>'רשימת מכשור 2015'!A408</f>
        <v>משדר לחץ הפרשי</v>
      </c>
      <c r="B409" s="180" t="str">
        <f>'רשימת מכשור 2015'!B408</f>
        <v>ACI</v>
      </c>
      <c r="C409" s="180" t="str">
        <f>'רשימת מכשור 2015'!C408</f>
        <v>LP Series</v>
      </c>
      <c r="D409" s="233" t="str">
        <f>'רשימת מכשור 2015'!D408</f>
        <v>51001-AHU-03</v>
      </c>
      <c r="E409" s="180" t="str">
        <f>'רשימת מכשור 2015'!E408</f>
        <v>1-1-51001-PDT-03/1</v>
      </c>
      <c r="F409" s="180">
        <f>'רשימת מכשור 2015'!F408</f>
        <v>1000</v>
      </c>
      <c r="G409" s="181">
        <v>1</v>
      </c>
      <c r="H409" s="181">
        <f t="shared" si="17"/>
        <v>1000</v>
      </c>
      <c r="I409" s="182" t="s">
        <v>82</v>
      </c>
      <c r="J409" s="181">
        <v>1</v>
      </c>
      <c r="K409" s="181">
        <v>1</v>
      </c>
      <c r="L409" s="181">
        <v>1</v>
      </c>
      <c r="M409" s="181" t="str">
        <f t="shared" si="19"/>
        <v>לא לרכוש</v>
      </c>
      <c r="N409" s="181">
        <v>1000</v>
      </c>
      <c r="O409" s="183"/>
      <c r="P409" s="183">
        <v>5</v>
      </c>
      <c r="Q409" s="183"/>
    </row>
    <row r="410" spans="1:17" s="12" customFormat="1" ht="14.25" customHeight="1">
      <c r="A410" s="180" t="str">
        <f>'רשימת מכשור 2015'!A409</f>
        <v>משדר טמפרטורה</v>
      </c>
      <c r="B410" s="180" t="str">
        <f>'רשימת מכשור 2015'!B409</f>
        <v>Millan</v>
      </c>
      <c r="C410" s="180" t="str">
        <f>'רשימת מכשור 2015'!C409</f>
        <v>PT-100</v>
      </c>
      <c r="D410" s="233" t="str">
        <f>'רשימת מכשור 2015'!D409</f>
        <v>51001-AHU-03</v>
      </c>
      <c r="E410" s="180" t="str">
        <f>'רשימת מכשור 2015'!E409</f>
        <v>1-1-51001-TT-03</v>
      </c>
      <c r="F410" s="180">
        <f>'רשימת מכשור 2015'!F409</f>
        <v>800</v>
      </c>
      <c r="G410" s="181">
        <v>1</v>
      </c>
      <c r="H410" s="181">
        <f t="shared" si="17"/>
        <v>800</v>
      </c>
      <c r="I410" s="182"/>
      <c r="J410" s="181">
        <v>1</v>
      </c>
      <c r="K410" s="181">
        <v>1</v>
      </c>
      <c r="L410" s="181">
        <v>0.5</v>
      </c>
      <c r="M410" s="181" t="str">
        <f t="shared" si="19"/>
        <v>לרכוש</v>
      </c>
      <c r="N410" s="181">
        <v>1000</v>
      </c>
      <c r="O410" s="183"/>
      <c r="P410" s="183">
        <v>1</v>
      </c>
      <c r="Q410" s="183"/>
    </row>
    <row r="411" spans="1:17" s="12" customFormat="1" ht="14.25" customHeight="1">
      <c r="A411" s="180" t="str">
        <f>'רשימת מכשור 2015'!A410</f>
        <v>משדר טמפרטורה</v>
      </c>
      <c r="B411" s="180" t="str">
        <f>'רשימת מכשור 2015'!B410</f>
        <v>ACI</v>
      </c>
      <c r="C411" s="180" t="str">
        <f>'רשימת מכשור 2015'!C410</f>
        <v>TT100 8"</v>
      </c>
      <c r="D411" s="233" t="str">
        <f>'רשימת מכשור 2015'!D410</f>
        <v>51001-AHU-03</v>
      </c>
      <c r="E411" s="180" t="str">
        <f>'רשימת מכשור 2015'!E410</f>
        <v>1-1-51001-TTR-03</v>
      </c>
      <c r="F411" s="180">
        <f>'רשימת מכשור 2015'!F410</f>
        <v>800</v>
      </c>
      <c r="G411" s="181">
        <v>1</v>
      </c>
      <c r="H411" s="181">
        <f t="shared" ref="H411:H474" si="20">G411*F411</f>
        <v>800</v>
      </c>
      <c r="I411" s="182"/>
      <c r="J411" s="181">
        <v>1</v>
      </c>
      <c r="K411" s="181">
        <v>1</v>
      </c>
      <c r="L411" s="181">
        <v>0.5</v>
      </c>
      <c r="M411" s="181" t="str">
        <f t="shared" si="19"/>
        <v>לרכוש</v>
      </c>
      <c r="N411" s="181">
        <v>1000</v>
      </c>
      <c r="O411" s="183"/>
      <c r="P411" s="183">
        <v>1</v>
      </c>
      <c r="Q411" s="183"/>
    </row>
    <row r="412" spans="1:17" s="12" customFormat="1" ht="14.25" customHeight="1">
      <c r="A412" s="180" t="str">
        <f>'רשימת מכשור 2015'!A411</f>
        <v>משדר טמפרטורה</v>
      </c>
      <c r="B412" s="180" t="str">
        <f>'רשימת מכשור 2015'!B411</f>
        <v>WIKA</v>
      </c>
      <c r="C412" s="180" t="str">
        <f>'רשימת מכשור 2015'!C411</f>
        <v>PT-100 
T19.10.1P0-3</v>
      </c>
      <c r="D412" s="233" t="str">
        <f>'רשימת מכשור 2015'!D411</f>
        <v>MEDIA PILOT</v>
      </c>
      <c r="E412" s="180" t="str">
        <f>'רשימת מכשור 2015'!E411</f>
        <v>1-2-2-TI-1</v>
      </c>
      <c r="F412" s="180">
        <f>'רשימת מכשור 2015'!F411</f>
        <v>800</v>
      </c>
      <c r="G412" s="181">
        <v>1</v>
      </c>
      <c r="H412" s="181">
        <f t="shared" si="20"/>
        <v>800</v>
      </c>
      <c r="I412" s="182" t="s">
        <v>82</v>
      </c>
      <c r="J412" s="181">
        <v>1</v>
      </c>
      <c r="K412" s="181">
        <v>1</v>
      </c>
      <c r="L412" s="181">
        <v>0.2</v>
      </c>
      <c r="M412" s="181" t="str">
        <f t="shared" si="19"/>
        <v>לא לרכוש</v>
      </c>
      <c r="N412" s="181">
        <v>1000</v>
      </c>
      <c r="O412" s="183"/>
      <c r="P412" s="183">
        <v>1</v>
      </c>
      <c r="Q412" s="183"/>
    </row>
    <row r="413" spans="1:17" s="12" customFormat="1" ht="14.25" customHeight="1">
      <c r="A413" s="180" t="str">
        <f>'רשימת מכשור 2015'!A412</f>
        <v>ברז (מפעיל) בקרה</v>
      </c>
      <c r="B413" s="180" t="str">
        <f>'רשימת מכשור 2015'!B412</f>
        <v>Belimo</v>
      </c>
      <c r="C413" s="180" t="str">
        <f>'רשימת מכשור 2015'!C412</f>
        <v>NR C24A/SR</v>
      </c>
      <c r="D413" s="233" t="str">
        <f>'רשימת מכשור 2015'!D412</f>
        <v>AHU-38</v>
      </c>
      <c r="E413" s="180" t="str">
        <f>'רשימת מכשור 2015'!E412</f>
        <v>1-1-38-TCV-1</v>
      </c>
      <c r="F413" s="180">
        <f>'רשימת מכשור 2015'!F412</f>
        <v>1500</v>
      </c>
      <c r="G413" s="181">
        <v>1</v>
      </c>
      <c r="H413" s="181">
        <f t="shared" si="20"/>
        <v>1500</v>
      </c>
      <c r="I413" s="182"/>
      <c r="J413" s="181">
        <v>1</v>
      </c>
      <c r="K413" s="181">
        <v>1</v>
      </c>
      <c r="L413" s="181">
        <v>0.5</v>
      </c>
      <c r="M413" s="181" t="str">
        <f t="shared" si="19"/>
        <v>לרכוש</v>
      </c>
      <c r="N413" s="181">
        <v>1000</v>
      </c>
      <c r="O413" s="183"/>
      <c r="P413" s="183">
        <v>15</v>
      </c>
      <c r="Q413" s="183"/>
    </row>
    <row r="414" spans="1:17" s="12" customFormat="1" ht="14.25" customHeight="1">
      <c r="A414" s="180" t="str">
        <f>'רשימת מכשור 2015'!A413</f>
        <v>ברז (מפעיל) בקרה</v>
      </c>
      <c r="B414" s="180" t="str">
        <f>'רשימת מכשור 2015'!B413</f>
        <v>Belimo</v>
      </c>
      <c r="C414" s="180" t="str">
        <f>'רשימת מכשור 2015'!C413</f>
        <v>NR C24A/SR</v>
      </c>
      <c r="D414" s="233" t="str">
        <f>'רשימת מכשור 2015'!D413</f>
        <v>AHU-38</v>
      </c>
      <c r="E414" s="180" t="str">
        <f>'רשימת מכשור 2015'!E413</f>
        <v>1-1-38-TCV-2</v>
      </c>
      <c r="F414" s="180">
        <f>'רשימת מכשור 2015'!F413</f>
        <v>1500</v>
      </c>
      <c r="G414" s="181">
        <v>1</v>
      </c>
      <c r="H414" s="181">
        <f t="shared" si="20"/>
        <v>1500</v>
      </c>
      <c r="I414" s="182"/>
      <c r="J414" s="181">
        <v>1</v>
      </c>
      <c r="K414" s="181">
        <v>1</v>
      </c>
      <c r="L414" s="181">
        <v>0.5</v>
      </c>
      <c r="M414" s="181" t="str">
        <f t="shared" si="19"/>
        <v>לרכוש</v>
      </c>
      <c r="N414" s="181">
        <v>1000</v>
      </c>
      <c r="O414" s="183"/>
      <c r="P414" s="183">
        <v>15</v>
      </c>
      <c r="Q414" s="183"/>
    </row>
    <row r="415" spans="1:17" s="12" customFormat="1" ht="14.25" customHeight="1">
      <c r="A415" s="180" t="str">
        <f>'רשימת מכשור 2015'!A414</f>
        <v>ברז (מפעיל) בקרה</v>
      </c>
      <c r="B415" s="180" t="str">
        <f>'רשימת מכשור 2015'!B414</f>
        <v>Belimo</v>
      </c>
      <c r="C415" s="180" t="str">
        <f>'רשימת מכשור 2015'!C414</f>
        <v>NR C24A/SR</v>
      </c>
      <c r="D415" s="233" t="str">
        <f>'רשימת מכשור 2015'!D414</f>
        <v>AHU-39</v>
      </c>
      <c r="E415" s="180" t="str">
        <f>'רשימת מכשור 2015'!E414</f>
        <v>1-1-39-TCV-1</v>
      </c>
      <c r="F415" s="180">
        <f>'רשימת מכשור 2015'!F414</f>
        <v>1500</v>
      </c>
      <c r="G415" s="181">
        <v>1</v>
      </c>
      <c r="H415" s="181">
        <f t="shared" si="20"/>
        <v>1500</v>
      </c>
      <c r="I415" s="182"/>
      <c r="J415" s="181">
        <v>1</v>
      </c>
      <c r="K415" s="181">
        <v>1</v>
      </c>
      <c r="L415" s="181">
        <v>0.5</v>
      </c>
      <c r="M415" s="181" t="str">
        <f t="shared" si="19"/>
        <v>לרכוש</v>
      </c>
      <c r="N415" s="181">
        <v>1000</v>
      </c>
      <c r="O415" s="183"/>
      <c r="P415" s="183">
        <v>15</v>
      </c>
      <c r="Q415" s="183"/>
    </row>
    <row r="416" spans="1:17" s="12" customFormat="1" ht="14.25" customHeight="1">
      <c r="A416" s="180" t="str">
        <f>'רשימת מכשור 2015'!A415</f>
        <v>ברז (מפעיל) בקרה</v>
      </c>
      <c r="B416" s="180" t="str">
        <f>'רשימת מכשור 2015'!B415</f>
        <v>Belimo</v>
      </c>
      <c r="C416" s="180" t="str">
        <f>'רשימת מכשור 2015'!C415</f>
        <v>NR C24A/SR</v>
      </c>
      <c r="D416" s="233" t="str">
        <f>'רשימת מכשור 2015'!D415</f>
        <v>AHU-39</v>
      </c>
      <c r="E416" s="180" t="str">
        <f>'רשימת מכשור 2015'!E415</f>
        <v>1-1-39-TCV-2</v>
      </c>
      <c r="F416" s="180">
        <f>'רשימת מכשור 2015'!F415</f>
        <v>1500</v>
      </c>
      <c r="G416" s="181">
        <v>1</v>
      </c>
      <c r="H416" s="181">
        <f t="shared" si="20"/>
        <v>1500</v>
      </c>
      <c r="I416" s="182"/>
      <c r="J416" s="181">
        <v>1</v>
      </c>
      <c r="K416" s="181">
        <v>1</v>
      </c>
      <c r="L416" s="181">
        <v>0.5</v>
      </c>
      <c r="M416" s="181" t="str">
        <f>IF(AND(K416*L416*30*N416&gt;H416/J398,I416=""),"לרכוש","לא לרכוש")</f>
        <v>לרכוש</v>
      </c>
      <c r="N416" s="181">
        <v>1000</v>
      </c>
      <c r="O416" s="183"/>
      <c r="P416" s="183">
        <v>15</v>
      </c>
      <c r="Q416" s="183"/>
    </row>
    <row r="417" spans="1:17" s="12" customFormat="1" ht="14.25" customHeight="1">
      <c r="A417" s="180" t="str">
        <f>'רשימת מכשור 2015'!A416</f>
        <v>ברז (מפעיל) בקרה</v>
      </c>
      <c r="B417" s="180" t="str">
        <f>'רשימת מכשור 2015'!B416</f>
        <v>Belimo</v>
      </c>
      <c r="C417" s="180" t="str">
        <f>'רשימת מכשור 2015'!C416</f>
        <v>NR C24A/SR</v>
      </c>
      <c r="D417" s="233" t="str">
        <f>'רשימת מכשור 2015'!D416</f>
        <v>AHU-40</v>
      </c>
      <c r="E417" s="180" t="str">
        <f>'רשימת מכשור 2015'!E416</f>
        <v>1-1-40-TCV-1</v>
      </c>
      <c r="F417" s="180">
        <f>'רשימת מכשור 2015'!F416</f>
        <v>1500</v>
      </c>
      <c r="G417" s="181">
        <v>1</v>
      </c>
      <c r="H417" s="181">
        <f t="shared" si="20"/>
        <v>1500</v>
      </c>
      <c r="I417" s="182"/>
      <c r="J417" s="181">
        <v>1</v>
      </c>
      <c r="K417" s="181">
        <v>1</v>
      </c>
      <c r="L417" s="181">
        <v>0.5</v>
      </c>
      <c r="M417" s="181" t="str">
        <f t="shared" ref="M417:M480" si="21">IF(AND(K417*L417*30*N417&gt;H417/J417,I417=""),"לרכוש","לא לרכוש")</f>
        <v>לרכוש</v>
      </c>
      <c r="N417" s="181">
        <v>1000</v>
      </c>
      <c r="O417" s="183"/>
      <c r="P417" s="183">
        <v>15</v>
      </c>
      <c r="Q417" s="183"/>
    </row>
    <row r="418" spans="1:17" s="12" customFormat="1" ht="14.25" customHeight="1">
      <c r="A418" s="180" t="str">
        <f>'רשימת מכשור 2015'!A417</f>
        <v>ברז (מפעיל) בקרה</v>
      </c>
      <c r="B418" s="180" t="str">
        <f>'רשימת מכשור 2015'!B417</f>
        <v>Belimo</v>
      </c>
      <c r="C418" s="180" t="str">
        <f>'רשימת מכשור 2015'!C417</f>
        <v>NR C24A/SR</v>
      </c>
      <c r="D418" s="233" t="str">
        <f>'רשימת מכשור 2015'!D417</f>
        <v>AHU-40</v>
      </c>
      <c r="E418" s="180" t="str">
        <f>'רשימת מכשור 2015'!E417</f>
        <v>1-1-40-TCV-2</v>
      </c>
      <c r="F418" s="180">
        <f>'רשימת מכשור 2015'!F417</f>
        <v>1500</v>
      </c>
      <c r="G418" s="181">
        <v>1</v>
      </c>
      <c r="H418" s="181">
        <f t="shared" si="20"/>
        <v>1500</v>
      </c>
      <c r="I418" s="182"/>
      <c r="J418" s="181">
        <v>1</v>
      </c>
      <c r="K418" s="181">
        <v>1</v>
      </c>
      <c r="L418" s="181">
        <v>0.5</v>
      </c>
      <c r="M418" s="181" t="str">
        <f t="shared" si="21"/>
        <v>לרכוש</v>
      </c>
      <c r="N418" s="181">
        <v>1000</v>
      </c>
      <c r="O418" s="183"/>
      <c r="P418" s="183">
        <v>15</v>
      </c>
      <c r="Q418" s="183"/>
    </row>
    <row r="419" spans="1:17" s="12" customFormat="1" ht="14.25" customHeight="1">
      <c r="A419" s="180" t="str">
        <f>'רשימת מכשור 2015'!A418</f>
        <v>ברז (מפעיל) בקרה</v>
      </c>
      <c r="B419" s="180" t="str">
        <f>'רשימת מכשור 2015'!B418</f>
        <v>Belimo</v>
      </c>
      <c r="C419" s="180" t="str">
        <f>'רשימת מכשור 2015'!C418</f>
        <v>NR C24A/SR</v>
      </c>
      <c r="D419" s="233" t="str">
        <f>'רשימת מכשור 2015'!D418</f>
        <v>AHU-40</v>
      </c>
      <c r="E419" s="180" t="str">
        <f>'רשימת מכשור 2015'!E418</f>
        <v>1-1-40-TCV-3</v>
      </c>
      <c r="F419" s="180">
        <f>'רשימת מכשור 2015'!F418</f>
        <v>1500</v>
      </c>
      <c r="G419" s="181">
        <v>1</v>
      </c>
      <c r="H419" s="181">
        <f t="shared" si="20"/>
        <v>1500</v>
      </c>
      <c r="I419" s="182"/>
      <c r="J419" s="181">
        <v>1</v>
      </c>
      <c r="K419" s="181">
        <v>1</v>
      </c>
      <c r="L419" s="181">
        <v>0.5</v>
      </c>
      <c r="M419" s="181" t="str">
        <f t="shared" si="21"/>
        <v>לרכוש</v>
      </c>
      <c r="N419" s="181">
        <v>1000</v>
      </c>
      <c r="O419" s="183"/>
      <c r="P419" s="183">
        <v>15</v>
      </c>
      <c r="Q419" s="183"/>
    </row>
    <row r="420" spans="1:17" s="12" customFormat="1" ht="14.25" customHeight="1">
      <c r="A420" s="180" t="str">
        <f>'רשימת מכשור 2015'!A419</f>
        <v>ברז (מפעיל) בקרה</v>
      </c>
      <c r="B420" s="180" t="str">
        <f>'רשימת מכשור 2015'!B419</f>
        <v>Belimo</v>
      </c>
      <c r="C420" s="180" t="str">
        <f>'רשימת מכשור 2015'!C419</f>
        <v>NR C24A/SR</v>
      </c>
      <c r="D420" s="233" t="str">
        <f>'רשימת מכשור 2015'!D419</f>
        <v>AHU-40</v>
      </c>
      <c r="E420" s="180" t="str">
        <f>'רשימת מכשור 2015'!E419</f>
        <v>1-1-40-TCV-4</v>
      </c>
      <c r="F420" s="180">
        <f>'רשימת מכשור 2015'!F419</f>
        <v>1500</v>
      </c>
      <c r="G420" s="181">
        <v>1</v>
      </c>
      <c r="H420" s="181">
        <f t="shared" si="20"/>
        <v>1500</v>
      </c>
      <c r="I420" s="182"/>
      <c r="J420" s="181">
        <v>1</v>
      </c>
      <c r="K420" s="181">
        <v>1</v>
      </c>
      <c r="L420" s="181">
        <v>0.5</v>
      </c>
      <c r="M420" s="181" t="str">
        <f t="shared" si="21"/>
        <v>לרכוש</v>
      </c>
      <c r="N420" s="181">
        <v>1000</v>
      </c>
      <c r="O420" s="183"/>
      <c r="P420" s="183">
        <v>15</v>
      </c>
      <c r="Q420" s="183"/>
    </row>
    <row r="421" spans="1:17" s="12" customFormat="1" ht="14.25" customHeight="1">
      <c r="A421" s="180" t="str">
        <f>'רשימת מכשור 2015'!A420</f>
        <v>משדר לחץ הפרשי</v>
      </c>
      <c r="B421" s="180" t="str">
        <f>'רשימת מכשור 2015'!B420</f>
        <v>ACI</v>
      </c>
      <c r="C421" s="180" t="str">
        <f>'רשימת מכשור 2015'!C420</f>
        <v>LPseries</v>
      </c>
      <c r="D421" s="233" t="str">
        <f>'רשימת מכשור 2015'!D420</f>
        <v>AHU-N02</v>
      </c>
      <c r="E421" s="180" t="str">
        <f>'רשימת מכשור 2015'!E420</f>
        <v>1-1-51005-PET-N02-02</v>
      </c>
      <c r="F421" s="180">
        <f>'רשימת מכשור 2015'!F420</f>
        <v>1000</v>
      </c>
      <c r="G421" s="181">
        <v>1</v>
      </c>
      <c r="H421" s="181">
        <f t="shared" si="20"/>
        <v>1000</v>
      </c>
      <c r="I421" s="182" t="s">
        <v>82</v>
      </c>
      <c r="J421" s="181">
        <v>1</v>
      </c>
      <c r="K421" s="181">
        <v>1</v>
      </c>
      <c r="L421" s="181">
        <v>1</v>
      </c>
      <c r="M421" s="181" t="str">
        <f t="shared" si="21"/>
        <v>לא לרכוש</v>
      </c>
      <c r="N421" s="181">
        <v>1000</v>
      </c>
      <c r="O421" s="183"/>
      <c r="P421" s="183">
        <v>5</v>
      </c>
      <c r="Q421" s="183"/>
    </row>
    <row r="422" spans="1:17" s="12" customFormat="1" ht="14.25" customHeight="1">
      <c r="A422" s="180" t="str">
        <f>'רשימת מכשור 2015'!A421</f>
        <v>ברז (מפעיל) בקרה</v>
      </c>
      <c r="B422" s="180" t="str">
        <f>'רשימת מכשור 2015'!B421</f>
        <v>BELIMO</v>
      </c>
      <c r="C422" s="180" t="str">
        <f>'רשימת מכשור 2015'!C421</f>
        <v>LF24</v>
      </c>
      <c r="D422" s="233" t="str">
        <f>'רשימת מכשור 2015'!D421</f>
        <v>AHU-N02</v>
      </c>
      <c r="E422" s="180" t="str">
        <f>'רשימת מכשור 2015'!E421</f>
        <v>1-1-51005-MVD-N02-02</v>
      </c>
      <c r="F422" s="180">
        <f>'רשימת מכשור 2015'!F421</f>
        <v>800</v>
      </c>
      <c r="G422" s="181">
        <v>1</v>
      </c>
      <c r="H422" s="181">
        <f t="shared" si="20"/>
        <v>800</v>
      </c>
      <c r="I422" s="182"/>
      <c r="J422" s="181">
        <v>1</v>
      </c>
      <c r="K422" s="181">
        <v>1</v>
      </c>
      <c r="L422" s="181">
        <v>0.5</v>
      </c>
      <c r="M422" s="181" t="str">
        <f t="shared" si="21"/>
        <v>לרכוש</v>
      </c>
      <c r="N422" s="181">
        <v>1000</v>
      </c>
      <c r="O422" s="183"/>
      <c r="P422" s="183">
        <v>2</v>
      </c>
      <c r="Q422" s="183"/>
    </row>
    <row r="423" spans="1:17" s="12" customFormat="1" ht="14.25" customHeight="1">
      <c r="A423" s="180" t="str">
        <f>'רשימת מכשור 2015'!A422</f>
        <v>משדר טמפרטורה</v>
      </c>
      <c r="B423" s="180" t="str">
        <f>'רשימת מכשור 2015'!B422</f>
        <v>ACI</v>
      </c>
      <c r="C423" s="180" t="str">
        <f>'רשימת מכשור 2015'!C422</f>
        <v>A/RH2</v>
      </c>
      <c r="D423" s="233" t="str">
        <f>'רשימת מכשור 2015'!D422</f>
        <v>AHU-N02</v>
      </c>
      <c r="E423" s="180" t="str">
        <f>'רשימת מכשור 2015'!E422</f>
        <v>1-1-51005-TT-N02-149</v>
      </c>
      <c r="F423" s="180">
        <f>'רשימת מכשור 2015'!F422</f>
        <v>800</v>
      </c>
      <c r="G423" s="181">
        <v>1</v>
      </c>
      <c r="H423" s="181">
        <f t="shared" si="20"/>
        <v>800</v>
      </c>
      <c r="I423" s="182" t="s">
        <v>82</v>
      </c>
      <c r="J423" s="181">
        <v>1</v>
      </c>
      <c r="K423" s="181">
        <v>1</v>
      </c>
      <c r="L423" s="181">
        <v>1</v>
      </c>
      <c r="M423" s="181" t="str">
        <f t="shared" si="21"/>
        <v>לא לרכוש</v>
      </c>
      <c r="N423" s="181">
        <v>1000</v>
      </c>
      <c r="O423" s="183"/>
      <c r="P423" s="183">
        <v>7</v>
      </c>
      <c r="Q423" s="183"/>
    </row>
    <row r="424" spans="1:17" s="12" customFormat="1" ht="14.25" customHeight="1">
      <c r="A424" s="180" t="str">
        <f>'רשימת מכשור 2015'!A423</f>
        <v>משדר טמפרטורה</v>
      </c>
      <c r="B424" s="180" t="str">
        <f>'רשימת מכשור 2015'!B423</f>
        <v>ACI</v>
      </c>
      <c r="C424" s="180" t="str">
        <f>'רשימת מכשור 2015'!C423</f>
        <v>A/RH2</v>
      </c>
      <c r="D424" s="233" t="str">
        <f>'רשימת מכשור 2015'!D423</f>
        <v>AHU-N02</v>
      </c>
      <c r="E424" s="180" t="str">
        <f>'רשימת מכשור 2015'!E423</f>
        <v>1-1-51005-TT-N02-150</v>
      </c>
      <c r="F424" s="180">
        <f>'רשימת מכשור 2015'!F423</f>
        <v>800</v>
      </c>
      <c r="G424" s="181">
        <v>1</v>
      </c>
      <c r="H424" s="181">
        <f t="shared" si="20"/>
        <v>800</v>
      </c>
      <c r="I424" s="182" t="s">
        <v>82</v>
      </c>
      <c r="J424" s="181">
        <v>1</v>
      </c>
      <c r="K424" s="181">
        <v>1</v>
      </c>
      <c r="L424" s="181">
        <v>1</v>
      </c>
      <c r="M424" s="181" t="str">
        <f t="shared" si="21"/>
        <v>לא לרכוש</v>
      </c>
      <c r="N424" s="181">
        <v>1000</v>
      </c>
      <c r="O424" s="183"/>
      <c r="P424" s="183">
        <v>7</v>
      </c>
      <c r="Q424" s="183"/>
    </row>
    <row r="425" spans="1:17" s="12" customFormat="1" ht="14.25" customHeight="1">
      <c r="A425" s="180" t="str">
        <f>'רשימת מכשור 2015'!A424</f>
        <v>משדר טמפרטורה</v>
      </c>
      <c r="B425" s="180" t="str">
        <f>'רשימת מכשור 2015'!B424</f>
        <v>ACI</v>
      </c>
      <c r="C425" s="180" t="str">
        <f>'רשימת מכשור 2015'!C424</f>
        <v>A/RH2</v>
      </c>
      <c r="D425" s="233" t="str">
        <f>'רשימת מכשור 2015'!D424</f>
        <v>AHU-N02</v>
      </c>
      <c r="E425" s="180" t="str">
        <f>'רשימת מכשור 2015'!E424</f>
        <v>1-1-51005-TT-N02-230</v>
      </c>
      <c r="F425" s="180">
        <f>'רשימת מכשור 2015'!F424</f>
        <v>800</v>
      </c>
      <c r="G425" s="181">
        <v>1</v>
      </c>
      <c r="H425" s="181">
        <f t="shared" si="20"/>
        <v>800</v>
      </c>
      <c r="I425" s="182" t="s">
        <v>82</v>
      </c>
      <c r="J425" s="181">
        <v>1</v>
      </c>
      <c r="K425" s="181">
        <v>1</v>
      </c>
      <c r="L425" s="181">
        <v>1</v>
      </c>
      <c r="M425" s="181" t="str">
        <f t="shared" si="21"/>
        <v>לא לרכוש</v>
      </c>
      <c r="N425" s="181">
        <v>1000</v>
      </c>
      <c r="O425" s="183"/>
      <c r="P425" s="183">
        <v>7</v>
      </c>
      <c r="Q425" s="183"/>
    </row>
    <row r="426" spans="1:17" s="12" customFormat="1" ht="14.25" customHeight="1">
      <c r="A426" s="180" t="str">
        <f>'רשימת מכשור 2015'!A425</f>
        <v>משדר טמפרטורה</v>
      </c>
      <c r="B426" s="180" t="str">
        <f>'רשימת מכשור 2015'!B425</f>
        <v>ACI</v>
      </c>
      <c r="C426" s="180" t="str">
        <f>'רשימת מכשור 2015'!C425</f>
        <v>A/RH2</v>
      </c>
      <c r="D426" s="233" t="str">
        <f>'רשימת מכשור 2015'!D425</f>
        <v>AHU-N02</v>
      </c>
      <c r="E426" s="180" t="str">
        <f>'רשימת מכשור 2015'!E425</f>
        <v>1-1-51005-TT-N02-208-01</v>
      </c>
      <c r="F426" s="180">
        <f>'רשימת מכשור 2015'!F425</f>
        <v>800</v>
      </c>
      <c r="G426" s="181">
        <v>1</v>
      </c>
      <c r="H426" s="181">
        <f t="shared" si="20"/>
        <v>800</v>
      </c>
      <c r="I426" s="182" t="s">
        <v>82</v>
      </c>
      <c r="J426" s="181">
        <v>1</v>
      </c>
      <c r="K426" s="181">
        <v>1</v>
      </c>
      <c r="L426" s="181">
        <v>1</v>
      </c>
      <c r="M426" s="181" t="str">
        <f t="shared" si="21"/>
        <v>לא לרכוש</v>
      </c>
      <c r="N426" s="181">
        <v>1000</v>
      </c>
      <c r="O426" s="183"/>
      <c r="P426" s="183">
        <v>7</v>
      </c>
      <c r="Q426" s="183"/>
    </row>
    <row r="427" spans="1:17" s="12" customFormat="1" ht="14.25" customHeight="1">
      <c r="A427" s="180" t="str">
        <f>'רשימת מכשור 2015'!A426</f>
        <v>משדר טמפרטורה</v>
      </c>
      <c r="B427" s="180" t="str">
        <f>'רשימת מכשור 2015'!B426</f>
        <v>ACI</v>
      </c>
      <c r="C427" s="180" t="str">
        <f>'רשימת מכשור 2015'!C426</f>
        <v>A/RH2</v>
      </c>
      <c r="D427" s="233" t="str">
        <f>'רשימת מכשור 2015'!D426</f>
        <v>AHU-N02</v>
      </c>
      <c r="E427" s="180" t="str">
        <f>'רשימת מכשור 2015'!E426</f>
        <v>1-1-51005-TT-N02-104</v>
      </c>
      <c r="F427" s="180">
        <f>'רשימת מכשור 2015'!F426</f>
        <v>800</v>
      </c>
      <c r="G427" s="181">
        <v>1</v>
      </c>
      <c r="H427" s="181">
        <f t="shared" si="20"/>
        <v>800</v>
      </c>
      <c r="I427" s="182" t="s">
        <v>82</v>
      </c>
      <c r="J427" s="181">
        <v>1</v>
      </c>
      <c r="K427" s="181">
        <v>1</v>
      </c>
      <c r="L427" s="181">
        <v>1</v>
      </c>
      <c r="M427" s="181" t="str">
        <f t="shared" si="21"/>
        <v>לא לרכוש</v>
      </c>
      <c r="N427" s="181">
        <v>1000</v>
      </c>
      <c r="O427" s="183"/>
      <c r="P427" s="183">
        <v>7</v>
      </c>
      <c r="Q427" s="183"/>
    </row>
    <row r="428" spans="1:17" s="12" customFormat="1" ht="14.25" customHeight="1">
      <c r="A428" s="180" t="str">
        <f>'רשימת מכשור 2015'!A427</f>
        <v>משדר טמפרטורה</v>
      </c>
      <c r="B428" s="180" t="str">
        <f>'רשימת מכשור 2015'!B427</f>
        <v>ACI</v>
      </c>
      <c r="C428" s="180" t="str">
        <f>'רשימת מכשור 2015'!C427</f>
        <v>A/RH2</v>
      </c>
      <c r="D428" s="233" t="str">
        <f>'רשימת מכשור 2015'!D427</f>
        <v>AHU-N02</v>
      </c>
      <c r="E428" s="180" t="str">
        <f>'רשימת מכשור 2015'!E427</f>
        <v>1-1-51005-TT-N02-109</v>
      </c>
      <c r="F428" s="180">
        <f>'רשימת מכשור 2015'!F427</f>
        <v>800</v>
      </c>
      <c r="G428" s="181">
        <v>1</v>
      </c>
      <c r="H428" s="181">
        <f t="shared" si="20"/>
        <v>800</v>
      </c>
      <c r="I428" s="182" t="s">
        <v>82</v>
      </c>
      <c r="J428" s="181">
        <v>1</v>
      </c>
      <c r="K428" s="181">
        <v>1</v>
      </c>
      <c r="L428" s="181">
        <v>1</v>
      </c>
      <c r="M428" s="181" t="str">
        <f t="shared" si="21"/>
        <v>לא לרכוש</v>
      </c>
      <c r="N428" s="181">
        <v>1000</v>
      </c>
      <c r="O428" s="183"/>
      <c r="P428" s="183">
        <v>7</v>
      </c>
      <c r="Q428" s="183"/>
    </row>
    <row r="429" spans="1:17" s="12" customFormat="1" ht="14.25" customHeight="1">
      <c r="A429" s="180" t="str">
        <f>'רשימת מכשור 2015'!A428</f>
        <v>משדר טמפרטורה</v>
      </c>
      <c r="B429" s="180" t="str">
        <f>'רשימת מכשור 2015'!B428</f>
        <v>ACI</v>
      </c>
      <c r="C429" s="180" t="str">
        <f>'רשימת מכשור 2015'!C428</f>
        <v>A/RH2</v>
      </c>
      <c r="D429" s="233" t="str">
        <f>'רשימת מכשור 2015'!D428</f>
        <v>AHU-N02</v>
      </c>
      <c r="E429" s="180" t="str">
        <f>'רשימת מכשור 2015'!E428</f>
        <v>1-1-51005-TT-N02-103</v>
      </c>
      <c r="F429" s="180">
        <f>'רשימת מכשור 2015'!F428</f>
        <v>800</v>
      </c>
      <c r="G429" s="181">
        <v>1</v>
      </c>
      <c r="H429" s="181">
        <f t="shared" si="20"/>
        <v>800</v>
      </c>
      <c r="I429" s="182" t="s">
        <v>82</v>
      </c>
      <c r="J429" s="181">
        <v>1</v>
      </c>
      <c r="K429" s="181">
        <v>1</v>
      </c>
      <c r="L429" s="181">
        <v>1</v>
      </c>
      <c r="M429" s="181" t="str">
        <f t="shared" si="21"/>
        <v>לא לרכוש</v>
      </c>
      <c r="N429" s="181">
        <v>1000</v>
      </c>
      <c r="O429" s="183"/>
      <c r="P429" s="183">
        <v>7</v>
      </c>
      <c r="Q429" s="183"/>
    </row>
    <row r="430" spans="1:17" s="12" customFormat="1" ht="14.25" customHeight="1">
      <c r="A430" s="180" t="str">
        <f>'רשימת מכשור 2015'!A429</f>
        <v>משדר טמפרטורה</v>
      </c>
      <c r="B430" s="180" t="str">
        <f>'רשימת מכשור 2015'!B429</f>
        <v>ACI</v>
      </c>
      <c r="C430" s="180" t="str">
        <f>'רשימת מכשור 2015'!C429</f>
        <v>A/RH2</v>
      </c>
      <c r="D430" s="233" t="str">
        <f>'רשימת מכשור 2015'!D429</f>
        <v>AHU-N02</v>
      </c>
      <c r="E430" s="180" t="str">
        <f>'רשימת מכשור 2015'!E429</f>
        <v>1-1-51005-TT-N02-211</v>
      </c>
      <c r="F430" s="180">
        <f>'רשימת מכשור 2015'!F429</f>
        <v>800</v>
      </c>
      <c r="G430" s="181">
        <v>1</v>
      </c>
      <c r="H430" s="181">
        <f t="shared" si="20"/>
        <v>800</v>
      </c>
      <c r="I430" s="182" t="s">
        <v>82</v>
      </c>
      <c r="J430" s="181">
        <v>1</v>
      </c>
      <c r="K430" s="181">
        <v>1</v>
      </c>
      <c r="L430" s="181">
        <v>1</v>
      </c>
      <c r="M430" s="181" t="str">
        <f t="shared" si="21"/>
        <v>לא לרכוש</v>
      </c>
      <c r="N430" s="181">
        <v>1000</v>
      </c>
      <c r="O430" s="183"/>
      <c r="P430" s="183">
        <v>7</v>
      </c>
      <c r="Q430" s="183"/>
    </row>
    <row r="431" spans="1:17" s="12" customFormat="1" ht="14.25" customHeight="1">
      <c r="A431" s="180" t="str">
        <f>'רשימת מכשור 2015'!A430</f>
        <v>משדר טמפרטורה</v>
      </c>
      <c r="B431" s="180" t="str">
        <f>'רשימת מכשור 2015'!B430</f>
        <v>FRIGOR</v>
      </c>
      <c r="C431" s="180" t="str">
        <f>'רשימת מכשור 2015'!C430</f>
        <v>CATIC - TT321</v>
      </c>
      <c r="D431" s="233" t="str">
        <f>'רשימת מכשור 2015'!D430</f>
        <v>AHU-N02</v>
      </c>
      <c r="E431" s="180" t="str">
        <f>'רשימת מכשור 2015'!E430</f>
        <v>1-1-51005-TE-N02-01</v>
      </c>
      <c r="F431" s="180">
        <f>'רשימת מכשור 2015'!F430</f>
        <v>800</v>
      </c>
      <c r="G431" s="181">
        <v>1</v>
      </c>
      <c r="H431" s="181">
        <f t="shared" si="20"/>
        <v>800</v>
      </c>
      <c r="I431" s="182" t="s">
        <v>82</v>
      </c>
      <c r="J431" s="181">
        <v>1</v>
      </c>
      <c r="K431" s="181">
        <v>1</v>
      </c>
      <c r="L431" s="181">
        <v>1</v>
      </c>
      <c r="M431" s="181" t="str">
        <f t="shared" si="21"/>
        <v>לא לרכוש</v>
      </c>
      <c r="N431" s="181">
        <v>1000</v>
      </c>
      <c r="O431" s="183"/>
      <c r="P431" s="183">
        <v>1</v>
      </c>
      <c r="Q431" s="183"/>
    </row>
    <row r="432" spans="1:17" s="12" customFormat="1" ht="14.25" customHeight="1">
      <c r="A432" s="180" t="str">
        <f>'רשימת מכשור 2015'!A431</f>
        <v>משדר טמפרטורה</v>
      </c>
      <c r="B432" s="180" t="str">
        <f>'רשימת מכשור 2015'!B431</f>
        <v>ACI</v>
      </c>
      <c r="C432" s="180" t="str">
        <f>'רשימת מכשור 2015'!C431</f>
        <v>A/RH2</v>
      </c>
      <c r="D432" s="233" t="str">
        <f>'רשימת מכשור 2015'!D431</f>
        <v>AHU-N01</v>
      </c>
      <c r="E432" s="180" t="str">
        <f>'רשימת מכשור 2015'!E431</f>
        <v>1-1-51005-TT-N01-202</v>
      </c>
      <c r="F432" s="180">
        <f>'רשימת מכשור 2015'!F431</f>
        <v>800</v>
      </c>
      <c r="G432" s="181">
        <v>1</v>
      </c>
      <c r="H432" s="181">
        <f t="shared" si="20"/>
        <v>800</v>
      </c>
      <c r="I432" s="182" t="s">
        <v>82</v>
      </c>
      <c r="J432" s="181">
        <v>1</v>
      </c>
      <c r="K432" s="181">
        <v>1</v>
      </c>
      <c r="L432" s="181">
        <v>1</v>
      </c>
      <c r="M432" s="181" t="str">
        <f t="shared" si="21"/>
        <v>לא לרכוש</v>
      </c>
      <c r="N432" s="181">
        <v>1000</v>
      </c>
      <c r="O432" s="183"/>
      <c r="P432" s="183">
        <v>3</v>
      </c>
      <c r="Q432" s="183"/>
    </row>
    <row r="433" spans="1:17" s="12" customFormat="1" ht="14.25" customHeight="1">
      <c r="A433" s="180" t="str">
        <f>'רשימת מכשור 2015'!A432</f>
        <v>משדר טמפרטורה</v>
      </c>
      <c r="B433" s="180" t="str">
        <f>'רשימת מכשור 2015'!B432</f>
        <v>ACI</v>
      </c>
      <c r="C433" s="180" t="str">
        <f>'רשימת מכשור 2015'!C432</f>
        <v>A/RH2</v>
      </c>
      <c r="D433" s="233" t="str">
        <f>'רשימת מכשור 2015'!D432</f>
        <v>AHU-N01</v>
      </c>
      <c r="E433" s="180" t="str">
        <f>'רשימת מכשור 2015'!E432</f>
        <v>1-1-51005-TT-N01-205</v>
      </c>
      <c r="F433" s="180">
        <f>'רשימת מכשור 2015'!F432</f>
        <v>800</v>
      </c>
      <c r="G433" s="181">
        <v>1</v>
      </c>
      <c r="H433" s="181">
        <f t="shared" si="20"/>
        <v>800</v>
      </c>
      <c r="I433" s="182" t="s">
        <v>82</v>
      </c>
      <c r="J433" s="181">
        <v>1</v>
      </c>
      <c r="K433" s="181">
        <v>1</v>
      </c>
      <c r="L433" s="181">
        <v>1</v>
      </c>
      <c r="M433" s="181" t="str">
        <f t="shared" si="21"/>
        <v>לא לרכוש</v>
      </c>
      <c r="N433" s="181">
        <v>1000</v>
      </c>
      <c r="O433" s="183"/>
      <c r="P433" s="183">
        <v>3</v>
      </c>
      <c r="Q433" s="183"/>
    </row>
    <row r="434" spans="1:17" s="12" customFormat="1" ht="14.25" customHeight="1">
      <c r="A434" s="180" t="str">
        <f>'רשימת מכשור 2015'!A433</f>
        <v>משדר טמפרטורה</v>
      </c>
      <c r="B434" s="180" t="str">
        <f>'רשימת מכשור 2015'!B433</f>
        <v>ACI</v>
      </c>
      <c r="C434" s="180" t="str">
        <f>'רשימת מכשור 2015'!C433</f>
        <v>A/RH2</v>
      </c>
      <c r="D434" s="233" t="str">
        <f>'רשימת מכשור 2015'!D433</f>
        <v>AHU-N01</v>
      </c>
      <c r="E434" s="180" t="str">
        <f>'רשימת מכשור 2015'!E433</f>
        <v>1-1-51005-TT-N01-203</v>
      </c>
      <c r="F434" s="180">
        <f>'רשימת מכשור 2015'!F433</f>
        <v>800</v>
      </c>
      <c r="G434" s="181">
        <v>1</v>
      </c>
      <c r="H434" s="181">
        <f t="shared" si="20"/>
        <v>800</v>
      </c>
      <c r="I434" s="182" t="s">
        <v>82</v>
      </c>
      <c r="J434" s="181">
        <v>1</v>
      </c>
      <c r="K434" s="181">
        <v>1</v>
      </c>
      <c r="L434" s="181">
        <v>1</v>
      </c>
      <c r="M434" s="181" t="str">
        <f t="shared" si="21"/>
        <v>לא לרכוש</v>
      </c>
      <c r="N434" s="181">
        <v>1000</v>
      </c>
      <c r="O434" s="183"/>
      <c r="P434" s="183">
        <v>3</v>
      </c>
      <c r="Q434" s="183"/>
    </row>
    <row r="435" spans="1:17" s="12" customFormat="1" ht="14.25" customHeight="1">
      <c r="A435" s="180" t="str">
        <f>'רשימת מכשור 2015'!A434</f>
        <v>משדר טמפרטורה</v>
      </c>
      <c r="B435" s="180" t="str">
        <f>'רשימת מכשור 2015'!B434</f>
        <v>ACI</v>
      </c>
      <c r="C435" s="180" t="str">
        <f>'רשימת מכשור 2015'!C434</f>
        <v>TT-100-8"</v>
      </c>
      <c r="D435" s="233" t="str">
        <f>'רשימת מכשור 2015'!D434</f>
        <v>AHU-N01</v>
      </c>
      <c r="E435" s="180" t="str">
        <f>'רשימת מכשור 2015'!E434</f>
        <v>1-1-51005-TE-N01-01</v>
      </c>
      <c r="F435" s="180">
        <f>'רשימת מכשור 2015'!F434</f>
        <v>800</v>
      </c>
      <c r="G435" s="181">
        <v>1</v>
      </c>
      <c r="H435" s="181">
        <f t="shared" si="20"/>
        <v>800</v>
      </c>
      <c r="I435" s="182"/>
      <c r="J435" s="181">
        <v>1</v>
      </c>
      <c r="K435" s="181">
        <v>1</v>
      </c>
      <c r="L435" s="181">
        <v>0.5</v>
      </c>
      <c r="M435" s="181" t="str">
        <f t="shared" si="21"/>
        <v>לרכוש</v>
      </c>
      <c r="N435" s="181">
        <v>1000</v>
      </c>
      <c r="O435" s="183"/>
      <c r="P435" s="183">
        <v>1</v>
      </c>
      <c r="Q435" s="183"/>
    </row>
    <row r="436" spans="1:17" s="12" customFormat="1" ht="14.25" customHeight="1">
      <c r="A436" s="180" t="str">
        <f>'רשימת מכשור 2015'!A435</f>
        <v>ברז (מפעיל) בקרה</v>
      </c>
      <c r="B436" s="180" t="str">
        <f>'רשימת מכשור 2015'!B435</f>
        <v>SIEMENS</v>
      </c>
      <c r="C436" s="180" t="str">
        <f>'רשימת מכשור 2015'!C435</f>
        <v>GMA 161.1E</v>
      </c>
      <c r="D436" s="233" t="str">
        <f>'רשימת מכשור 2015'!D435</f>
        <v>AHU-N01</v>
      </c>
      <c r="E436" s="180" t="str">
        <f>'רשימת מכשור 2015'!E435</f>
        <v>1-1-51005-MVD-N01-01</v>
      </c>
      <c r="F436" s="180">
        <f>'רשימת מכשור 2015'!F435</f>
        <v>800</v>
      </c>
      <c r="G436" s="181">
        <v>1</v>
      </c>
      <c r="H436" s="181">
        <f t="shared" si="20"/>
        <v>800</v>
      </c>
      <c r="I436" s="182"/>
      <c r="J436" s="181">
        <v>1</v>
      </c>
      <c r="K436" s="181">
        <v>1</v>
      </c>
      <c r="L436" s="181">
        <v>0.5</v>
      </c>
      <c r="M436" s="181" t="str">
        <f t="shared" si="21"/>
        <v>לרכוש</v>
      </c>
      <c r="N436" s="181">
        <v>1000</v>
      </c>
      <c r="O436" s="183"/>
      <c r="P436" s="183">
        <v>11</v>
      </c>
      <c r="Q436" s="183"/>
    </row>
    <row r="437" spans="1:17" s="12" customFormat="1" ht="14.25" customHeight="1">
      <c r="A437" s="180" t="str">
        <f>'רשימת מכשור 2015'!A436</f>
        <v>ברז (מפעיל) בקרה</v>
      </c>
      <c r="B437" s="180" t="str">
        <f>'רשימת מכשור 2015'!B436</f>
        <v>BELIMO</v>
      </c>
      <c r="C437" s="180" t="str">
        <f>'רשימת מכשור 2015'!C436</f>
        <v>LF24</v>
      </c>
      <c r="D437" s="233" t="str">
        <f>'רשימת מכשור 2015'!D436</f>
        <v>AHU-N01</v>
      </c>
      <c r="E437" s="180" t="str">
        <f>'רשימת מכשור 2015'!E436</f>
        <v>1-1-51005-MVD-N01-02</v>
      </c>
      <c r="F437" s="180">
        <f>'רשימת מכשור 2015'!F436</f>
        <v>800</v>
      </c>
      <c r="G437" s="181">
        <v>1</v>
      </c>
      <c r="H437" s="181">
        <f t="shared" si="20"/>
        <v>800</v>
      </c>
      <c r="I437" s="182"/>
      <c r="J437" s="181">
        <v>1</v>
      </c>
      <c r="K437" s="181">
        <v>1</v>
      </c>
      <c r="L437" s="181">
        <v>0.5</v>
      </c>
      <c r="M437" s="181" t="str">
        <f t="shared" si="21"/>
        <v>לרכוש</v>
      </c>
      <c r="N437" s="181">
        <v>1000</v>
      </c>
      <c r="O437" s="183"/>
      <c r="P437" s="183">
        <v>2</v>
      </c>
      <c r="Q437" s="183"/>
    </row>
    <row r="438" spans="1:17" s="12" customFormat="1" ht="14.25" customHeight="1">
      <c r="A438" s="180" t="str">
        <f>'רשימת מכשור 2015'!A437</f>
        <v>ברז (מפעיל) בקרה</v>
      </c>
      <c r="B438" s="180" t="str">
        <f>'רשימת מכשור 2015'!B437</f>
        <v>SIEMENS</v>
      </c>
      <c r="C438" s="180" t="str">
        <f>'רשימת מכשור 2015'!C437</f>
        <v>GMA 161.1E</v>
      </c>
      <c r="D438" s="233" t="str">
        <f>'רשימת מכשור 2015'!D437</f>
        <v>AHU-N01</v>
      </c>
      <c r="E438" s="180" t="str">
        <f>'רשימת מכשור 2015'!E437</f>
        <v>1-1-51005-MVD-N01-203-01</v>
      </c>
      <c r="F438" s="180">
        <f>'רשימת מכשור 2015'!F437</f>
        <v>800</v>
      </c>
      <c r="G438" s="181">
        <v>1</v>
      </c>
      <c r="H438" s="181">
        <f t="shared" si="20"/>
        <v>800</v>
      </c>
      <c r="I438" s="182"/>
      <c r="J438" s="181">
        <v>1</v>
      </c>
      <c r="K438" s="181">
        <v>1</v>
      </c>
      <c r="L438" s="181">
        <v>0.5</v>
      </c>
      <c r="M438" s="181" t="str">
        <f t="shared" si="21"/>
        <v>לרכוש</v>
      </c>
      <c r="N438" s="181">
        <v>1000</v>
      </c>
      <c r="O438" s="183"/>
      <c r="P438" s="183">
        <v>11</v>
      </c>
      <c r="Q438" s="183"/>
    </row>
    <row r="439" spans="1:17" s="12" customFormat="1" ht="14.25" customHeight="1">
      <c r="A439" s="180" t="str">
        <f>'רשימת מכשור 2015'!A438</f>
        <v>ברז (מפעיל) בקרה</v>
      </c>
      <c r="B439" s="180" t="str">
        <f>'רשימת מכשור 2015'!B438</f>
        <v>SIEMENS</v>
      </c>
      <c r="C439" s="180" t="str">
        <f>'רשימת מכשור 2015'!C438</f>
        <v>GMA 161.1E</v>
      </c>
      <c r="D439" s="233" t="str">
        <f>'רשימת מכשור 2015'!D438</f>
        <v>AHU-N01</v>
      </c>
      <c r="E439" s="180" t="str">
        <f>'רשימת מכשור 2015'!E438</f>
        <v>1-1-51005-MVD-N01-205-01</v>
      </c>
      <c r="F439" s="180">
        <f>'רשימת מכשור 2015'!F438</f>
        <v>800</v>
      </c>
      <c r="G439" s="181">
        <v>1</v>
      </c>
      <c r="H439" s="181">
        <f t="shared" si="20"/>
        <v>800</v>
      </c>
      <c r="I439" s="182"/>
      <c r="J439" s="181">
        <v>1</v>
      </c>
      <c r="K439" s="181">
        <v>1</v>
      </c>
      <c r="L439" s="181">
        <v>0.5</v>
      </c>
      <c r="M439" s="181" t="str">
        <f t="shared" si="21"/>
        <v>לרכוש</v>
      </c>
      <c r="N439" s="181">
        <v>1000</v>
      </c>
      <c r="O439" s="183"/>
      <c r="P439" s="183">
        <v>11</v>
      </c>
      <c r="Q439" s="183"/>
    </row>
    <row r="440" spans="1:17" s="12" customFormat="1" ht="14.25" customHeight="1">
      <c r="A440" s="180" t="str">
        <f>'רשימת מכשור 2015'!A439</f>
        <v>ברז (מפעיל) בקרה</v>
      </c>
      <c r="B440" s="180" t="str">
        <f>'רשימת מכשור 2015'!B439</f>
        <v>SIEMENS</v>
      </c>
      <c r="C440" s="180" t="str">
        <f>'רשימת מכשור 2015'!C439</f>
        <v>GMA 161.1E</v>
      </c>
      <c r="D440" s="233" t="str">
        <f>'רשימת מכשור 2015'!D439</f>
        <v>AHU-N02</v>
      </c>
      <c r="E440" s="180" t="str">
        <f>'רשימת מכשור 2015'!E439</f>
        <v>1-1-51005-MVD-N02-149-01</v>
      </c>
      <c r="F440" s="180">
        <f>'רשימת מכשור 2015'!F439</f>
        <v>800</v>
      </c>
      <c r="G440" s="181">
        <v>1</v>
      </c>
      <c r="H440" s="181">
        <f t="shared" si="20"/>
        <v>800</v>
      </c>
      <c r="I440" s="182"/>
      <c r="J440" s="181">
        <v>1</v>
      </c>
      <c r="K440" s="181">
        <v>1</v>
      </c>
      <c r="L440" s="181">
        <v>0.5</v>
      </c>
      <c r="M440" s="181" t="str">
        <f t="shared" si="21"/>
        <v>לרכוש</v>
      </c>
      <c r="N440" s="181">
        <v>1000</v>
      </c>
      <c r="O440" s="183"/>
      <c r="P440" s="183">
        <v>11</v>
      </c>
      <c r="Q440" s="183"/>
    </row>
    <row r="441" spans="1:17" s="12" customFormat="1" ht="14.25" customHeight="1">
      <c r="A441" s="180" t="str">
        <f>'רשימת מכשור 2015'!A440</f>
        <v>ברז (מפעיל) בקרה</v>
      </c>
      <c r="B441" s="180" t="str">
        <f>'רשימת מכשור 2015'!B440</f>
        <v>SIEMENS</v>
      </c>
      <c r="C441" s="180" t="str">
        <f>'רשימת מכשור 2015'!C440</f>
        <v>GMA 161.1E</v>
      </c>
      <c r="D441" s="233" t="str">
        <f>'רשימת מכשור 2015'!D440</f>
        <v>AHU-N02</v>
      </c>
      <c r="E441" s="180" t="str">
        <f>'רשימת מכשור 2015'!E440</f>
        <v>1-1-51005-MVD-N02-150-02</v>
      </c>
      <c r="F441" s="180">
        <f>'רשימת מכשור 2015'!F440</f>
        <v>800</v>
      </c>
      <c r="G441" s="181">
        <v>1</v>
      </c>
      <c r="H441" s="181">
        <f t="shared" si="20"/>
        <v>800</v>
      </c>
      <c r="I441" s="182"/>
      <c r="J441" s="181">
        <v>1</v>
      </c>
      <c r="K441" s="181">
        <v>1</v>
      </c>
      <c r="L441" s="181">
        <v>0.5</v>
      </c>
      <c r="M441" s="181" t="str">
        <f t="shared" si="21"/>
        <v>לרכוש</v>
      </c>
      <c r="N441" s="181">
        <v>1000</v>
      </c>
      <c r="O441" s="183"/>
      <c r="P441" s="183">
        <v>11</v>
      </c>
      <c r="Q441" s="183"/>
    </row>
    <row r="442" spans="1:17" s="12" customFormat="1" ht="14.25" customHeight="1">
      <c r="A442" s="180" t="str">
        <f>'רשימת מכשור 2015'!A441</f>
        <v>ברז (מפעיל) בקרה</v>
      </c>
      <c r="B442" s="180" t="str">
        <f>'רשימת מכשור 2015'!B441</f>
        <v>SIEMENS</v>
      </c>
      <c r="C442" s="180" t="str">
        <f>'רשימת מכשור 2015'!C441</f>
        <v>GMA 161.1E</v>
      </c>
      <c r="D442" s="233" t="str">
        <f>'רשימת מכשור 2015'!D441</f>
        <v>AHU-N02</v>
      </c>
      <c r="E442" s="180" t="str">
        <f>'רשימת מכשור 2015'!E441</f>
        <v>1-1-51005-MVD-N02-230-01</v>
      </c>
      <c r="F442" s="180">
        <f>'רשימת מכשור 2015'!F441</f>
        <v>800</v>
      </c>
      <c r="G442" s="181">
        <v>1</v>
      </c>
      <c r="H442" s="181">
        <f t="shared" si="20"/>
        <v>800</v>
      </c>
      <c r="I442" s="182"/>
      <c r="J442" s="181">
        <v>1</v>
      </c>
      <c r="K442" s="181">
        <v>1</v>
      </c>
      <c r="L442" s="181">
        <v>0.5</v>
      </c>
      <c r="M442" s="181" t="str">
        <f t="shared" si="21"/>
        <v>לרכוש</v>
      </c>
      <c r="N442" s="181">
        <v>1000</v>
      </c>
      <c r="O442" s="183"/>
      <c r="P442" s="183">
        <v>11</v>
      </c>
      <c r="Q442" s="183"/>
    </row>
    <row r="443" spans="1:17" s="12" customFormat="1" ht="14.25" customHeight="1">
      <c r="A443" s="180" t="str">
        <f>'רשימת מכשור 2015'!A442</f>
        <v>ברז (מפעיל) בקרה</v>
      </c>
      <c r="B443" s="180" t="str">
        <f>'רשימת מכשור 2015'!B442</f>
        <v>SIEMENS</v>
      </c>
      <c r="C443" s="180" t="str">
        <f>'רשימת מכשור 2015'!C442</f>
        <v>GMA 161.1E</v>
      </c>
      <c r="D443" s="233" t="str">
        <f>'רשימת מכשור 2015'!D442</f>
        <v>AHU-N02</v>
      </c>
      <c r="E443" s="180" t="str">
        <f>'רשימת מכשור 2015'!E442</f>
        <v>1-1-51005-MVD-N02-231-01</v>
      </c>
      <c r="F443" s="180">
        <f>'רשימת מכשור 2015'!F442</f>
        <v>800</v>
      </c>
      <c r="G443" s="181">
        <v>1</v>
      </c>
      <c r="H443" s="181">
        <f t="shared" si="20"/>
        <v>800</v>
      </c>
      <c r="I443" s="182"/>
      <c r="J443" s="181">
        <v>1</v>
      </c>
      <c r="K443" s="181">
        <v>1</v>
      </c>
      <c r="L443" s="181">
        <v>0.5</v>
      </c>
      <c r="M443" s="181" t="str">
        <f t="shared" si="21"/>
        <v>לרכוש</v>
      </c>
      <c r="N443" s="181">
        <v>1000</v>
      </c>
      <c r="O443" s="183"/>
      <c r="P443" s="183">
        <v>11</v>
      </c>
      <c r="Q443" s="183"/>
    </row>
    <row r="444" spans="1:17" s="12" customFormat="1" ht="14.25" customHeight="1">
      <c r="A444" s="180" t="str">
        <f>'רשימת מכשור 2015'!A443</f>
        <v>ברז (מפעיל) בקרה</v>
      </c>
      <c r="B444" s="180" t="str">
        <f>'רשימת מכשור 2015'!B443</f>
        <v>SIEMENS</v>
      </c>
      <c r="C444" s="180" t="str">
        <f>'רשימת מכשור 2015'!C443</f>
        <v>GMA 161.1E</v>
      </c>
      <c r="D444" s="233" t="str">
        <f>'רשימת מכשור 2015'!D443</f>
        <v>AHU-N02</v>
      </c>
      <c r="E444" s="180" t="str">
        <f>'רשימת מכשור 2015'!E443</f>
        <v>1-1-51005-MVD-N02-208-01</v>
      </c>
      <c r="F444" s="180">
        <f>'רשימת מכשור 2015'!F443</f>
        <v>800</v>
      </c>
      <c r="G444" s="181">
        <v>1</v>
      </c>
      <c r="H444" s="181">
        <f t="shared" si="20"/>
        <v>800</v>
      </c>
      <c r="I444" s="182"/>
      <c r="J444" s="181">
        <v>1</v>
      </c>
      <c r="K444" s="181">
        <v>1</v>
      </c>
      <c r="L444" s="181">
        <v>0.5</v>
      </c>
      <c r="M444" s="181" t="str">
        <f t="shared" si="21"/>
        <v>לרכוש</v>
      </c>
      <c r="N444" s="181">
        <v>1000</v>
      </c>
      <c r="O444" s="183"/>
      <c r="P444" s="183">
        <v>11</v>
      </c>
      <c r="Q444" s="183"/>
    </row>
    <row r="445" spans="1:17" s="12" customFormat="1" ht="14.25" customHeight="1">
      <c r="A445" s="180" t="str">
        <f>'רשימת מכשור 2015'!A444</f>
        <v>ברז (מפעיל) בקרה</v>
      </c>
      <c r="B445" s="180" t="str">
        <f>'רשימת מכשור 2015'!B444</f>
        <v>SIEMENS</v>
      </c>
      <c r="C445" s="180" t="str">
        <f>'רשימת מכשור 2015'!C444</f>
        <v>GMA 161.1E</v>
      </c>
      <c r="D445" s="233" t="str">
        <f>'רשימת מכשור 2015'!D444</f>
        <v>AHU-N02</v>
      </c>
      <c r="E445" s="180" t="str">
        <f>'רשימת מכשור 2015'!E444</f>
        <v>1-1-51005-MVD-N02-104-01</v>
      </c>
      <c r="F445" s="180">
        <f>'רשימת מכשור 2015'!F444</f>
        <v>800</v>
      </c>
      <c r="G445" s="181">
        <v>1</v>
      </c>
      <c r="H445" s="181">
        <f t="shared" si="20"/>
        <v>800</v>
      </c>
      <c r="I445" s="182"/>
      <c r="J445" s="181">
        <v>1</v>
      </c>
      <c r="K445" s="181">
        <v>1</v>
      </c>
      <c r="L445" s="181">
        <v>0.5</v>
      </c>
      <c r="M445" s="181" t="str">
        <f t="shared" si="21"/>
        <v>לרכוש</v>
      </c>
      <c r="N445" s="181">
        <v>1000</v>
      </c>
      <c r="O445" s="183"/>
      <c r="P445" s="183">
        <v>11</v>
      </c>
      <c r="Q445" s="183"/>
    </row>
    <row r="446" spans="1:17" s="12" customFormat="1" ht="14.25" customHeight="1">
      <c r="A446" s="180" t="str">
        <f>'רשימת מכשור 2015'!A445</f>
        <v>ברז (מפעיל) בקרה</v>
      </c>
      <c r="B446" s="180" t="str">
        <f>'רשימת מכשור 2015'!B445</f>
        <v>SIEMENS</v>
      </c>
      <c r="C446" s="180" t="str">
        <f>'רשימת מכשור 2015'!C445</f>
        <v>GMA 161.1E</v>
      </c>
      <c r="D446" s="233" t="str">
        <f>'רשימת מכשור 2015'!D445</f>
        <v>AHU-N02</v>
      </c>
      <c r="E446" s="180" t="str">
        <f>'רשימת מכשור 2015'!E445</f>
        <v>1-1-51005-MVD-N02-109-01</v>
      </c>
      <c r="F446" s="180">
        <f>'רשימת מכשור 2015'!F445</f>
        <v>800</v>
      </c>
      <c r="G446" s="181">
        <v>1</v>
      </c>
      <c r="H446" s="181">
        <f t="shared" si="20"/>
        <v>800</v>
      </c>
      <c r="I446" s="182"/>
      <c r="J446" s="181">
        <v>1</v>
      </c>
      <c r="K446" s="181">
        <v>1</v>
      </c>
      <c r="L446" s="181">
        <v>0.5</v>
      </c>
      <c r="M446" s="181" t="str">
        <f t="shared" si="21"/>
        <v>לרכוש</v>
      </c>
      <c r="N446" s="181">
        <v>1000</v>
      </c>
      <c r="O446" s="183"/>
      <c r="P446" s="183">
        <v>11</v>
      </c>
      <c r="Q446" s="183"/>
    </row>
    <row r="447" spans="1:17" s="12" customFormat="1" ht="14.25" customHeight="1">
      <c r="A447" s="180" t="str">
        <f>'רשימת מכשור 2015'!A446</f>
        <v>ברז (מפעיל) בקרה</v>
      </c>
      <c r="B447" s="180" t="str">
        <f>'רשימת מכשור 2015'!B446</f>
        <v>SIEMENS</v>
      </c>
      <c r="C447" s="180" t="str">
        <f>'רשימת מכשור 2015'!C446</f>
        <v>GMA 161.1E</v>
      </c>
      <c r="D447" s="233" t="str">
        <f>'רשימת מכשור 2015'!D446</f>
        <v>AHU-N02</v>
      </c>
      <c r="E447" s="180" t="str">
        <f>'רשימת מכשור 2015'!E446</f>
        <v>1-1-51005-MVD-N02-236-01</v>
      </c>
      <c r="F447" s="180">
        <f>'רשימת מכשור 2015'!F446</f>
        <v>800</v>
      </c>
      <c r="G447" s="181">
        <v>1</v>
      </c>
      <c r="H447" s="181">
        <f t="shared" si="20"/>
        <v>800</v>
      </c>
      <c r="I447" s="182"/>
      <c r="J447" s="181">
        <v>1</v>
      </c>
      <c r="K447" s="181">
        <v>1</v>
      </c>
      <c r="L447" s="181">
        <v>0.5</v>
      </c>
      <c r="M447" s="181" t="str">
        <f t="shared" si="21"/>
        <v>לרכוש</v>
      </c>
      <c r="N447" s="181">
        <v>1000</v>
      </c>
      <c r="O447" s="183"/>
      <c r="P447" s="183">
        <v>11</v>
      </c>
      <c r="Q447" s="183"/>
    </row>
    <row r="448" spans="1:17" s="12" customFormat="1" ht="14.25" customHeight="1">
      <c r="A448" s="180" t="str">
        <f>'רשימת מכשור 2015'!A447</f>
        <v>משדר לחץ הפרשי</v>
      </c>
      <c r="B448" s="180" t="str">
        <f>'רשימת מכשור 2015'!B447</f>
        <v>ACI</v>
      </c>
      <c r="C448" s="180" t="str">
        <f>'רשימת מכשור 2015'!C447</f>
        <v>LPseries</v>
      </c>
      <c r="D448" s="233" t="str">
        <f>'רשימת מכשור 2015'!D447</f>
        <v>AHU-N01</v>
      </c>
      <c r="E448" s="180" t="str">
        <f>'רשימת מכשור 2015'!E447</f>
        <v>1-1-51005-PET-N01-01</v>
      </c>
      <c r="F448" s="180">
        <f>'רשימת מכשור 2015'!F447</f>
        <v>1000</v>
      </c>
      <c r="G448" s="181">
        <v>1</v>
      </c>
      <c r="H448" s="181">
        <f t="shared" si="20"/>
        <v>1000</v>
      </c>
      <c r="I448" s="182" t="s">
        <v>82</v>
      </c>
      <c r="J448" s="181">
        <v>1</v>
      </c>
      <c r="K448" s="181">
        <v>0</v>
      </c>
      <c r="L448" s="181">
        <v>1</v>
      </c>
      <c r="M448" s="181" t="str">
        <f t="shared" si="21"/>
        <v>לא לרכוש</v>
      </c>
      <c r="N448" s="181">
        <v>1000</v>
      </c>
      <c r="O448" s="183"/>
      <c r="P448" s="183">
        <v>5</v>
      </c>
      <c r="Q448" s="183"/>
    </row>
    <row r="449" spans="1:17" s="12" customFormat="1" ht="14.25" customHeight="1">
      <c r="A449" s="180" t="str">
        <f>'רשימת מכשור 2015'!A448</f>
        <v>משדר טמפרטורה</v>
      </c>
      <c r="B449" s="180" t="str">
        <f>'רשימת מכשור 2015'!B448</f>
        <v>Mescon</v>
      </c>
      <c r="C449" s="180" t="str">
        <f>'רשימת מכשור 2015'!C448</f>
        <v>PT100 TH</v>
      </c>
      <c r="D449" s="233" t="str">
        <f>'רשימת מכשור 2015'!D448</f>
        <v>Air Compressor</v>
      </c>
      <c r="E449" s="180" t="str">
        <f>'רשימת מכשור 2015'!E448</f>
        <v>1-1-41001-TT-01</v>
      </c>
      <c r="F449" s="180">
        <f>'רשימת מכשור 2015'!F448</f>
        <v>800</v>
      </c>
      <c r="G449" s="181">
        <v>1</v>
      </c>
      <c r="H449" s="181">
        <f t="shared" si="20"/>
        <v>800</v>
      </c>
      <c r="I449" s="182" t="s">
        <v>82</v>
      </c>
      <c r="J449" s="181">
        <v>1</v>
      </c>
      <c r="K449" s="181"/>
      <c r="L449" s="181">
        <v>0.5</v>
      </c>
      <c r="M449" s="181" t="str">
        <f t="shared" si="21"/>
        <v>לא לרכוש</v>
      </c>
      <c r="N449" s="181">
        <v>1000</v>
      </c>
      <c r="O449" s="183"/>
      <c r="P449" s="183">
        <v>1</v>
      </c>
      <c r="Q449" s="183"/>
    </row>
    <row r="450" spans="1:17" s="12" customFormat="1" ht="14.25" customHeight="1">
      <c r="A450" s="180" t="str">
        <f>'רשימת מכשור 2015'!A449</f>
        <v>אינקודר</v>
      </c>
      <c r="B450" s="180" t="str">
        <f>'רשימת מכשור 2015'!B449</f>
        <v>Autonics</v>
      </c>
      <c r="C450" s="180" t="str">
        <f>'רשימת מכשור 2015'!C449</f>
        <v>E50S8-500-3-T-24</v>
      </c>
      <c r="D450" s="233" t="str">
        <f>'רשימת מכשור 2015'!D449</f>
        <v xml:space="preserve">R&amp;D </v>
      </c>
      <c r="E450" s="180" t="str">
        <f>'רשימת מכשור 2015'!E449</f>
        <v>1-2-2010-SIC-3</v>
      </c>
      <c r="F450" s="180">
        <f>'רשימת מכשור 2015'!F449</f>
        <v>800</v>
      </c>
      <c r="G450" s="181">
        <v>1</v>
      </c>
      <c r="H450" s="181">
        <f t="shared" si="20"/>
        <v>800</v>
      </c>
      <c r="I450" s="182" t="s">
        <v>82</v>
      </c>
      <c r="J450" s="181">
        <v>1</v>
      </c>
      <c r="K450" s="181">
        <v>1</v>
      </c>
      <c r="L450" s="181">
        <v>0.5</v>
      </c>
      <c r="M450" s="181" t="str">
        <f t="shared" si="21"/>
        <v>לא לרכוש</v>
      </c>
      <c r="N450" s="181">
        <v>1000</v>
      </c>
      <c r="O450" s="183"/>
      <c r="P450" s="183">
        <v>6</v>
      </c>
      <c r="Q450" s="183"/>
    </row>
    <row r="451" spans="1:17" s="12" customFormat="1" ht="14.25" customHeight="1">
      <c r="A451" s="180" t="str">
        <f>'רשימת מכשור 2015'!A450</f>
        <v>אינקודר</v>
      </c>
      <c r="B451" s="180" t="str">
        <f>'רשימת מכשור 2015'!B450</f>
        <v>Autonics</v>
      </c>
      <c r="C451" s="180" t="str">
        <f>'רשימת מכשור 2015'!C450</f>
        <v>E50S8-500-3-T-24</v>
      </c>
      <c r="D451" s="233" t="str">
        <f>'רשימת מכשור 2015'!D450</f>
        <v xml:space="preserve">R&amp;D </v>
      </c>
      <c r="E451" s="180" t="str">
        <f>'רשימת מכשור 2015'!E450</f>
        <v>1-2-2010-EN-2
יקבל תג חדש במסגרת שינוי</v>
      </c>
      <c r="F451" s="180">
        <f>'רשימת מכשור 2015'!F450</f>
        <v>800</v>
      </c>
      <c r="G451" s="181">
        <v>1</v>
      </c>
      <c r="H451" s="181">
        <f t="shared" si="20"/>
        <v>800</v>
      </c>
      <c r="I451" s="182" t="s">
        <v>82</v>
      </c>
      <c r="J451" s="181">
        <v>1</v>
      </c>
      <c r="K451" s="181">
        <v>1</v>
      </c>
      <c r="L451" s="181">
        <v>0.5</v>
      </c>
      <c r="M451" s="181" t="str">
        <f t="shared" si="21"/>
        <v>לא לרכוש</v>
      </c>
      <c r="N451" s="181">
        <v>1000</v>
      </c>
      <c r="O451" s="183"/>
      <c r="P451" s="183">
        <v>6</v>
      </c>
      <c r="Q451" s="183"/>
    </row>
    <row r="452" spans="1:17" s="12" customFormat="1" ht="14.25" customHeight="1">
      <c r="A452" s="180" t="str">
        <f>'רשימת מכשור 2015'!A451</f>
        <v>אינקודר</v>
      </c>
      <c r="B452" s="180" t="str">
        <f>'רשימת מכשור 2015'!B451</f>
        <v>Autonics</v>
      </c>
      <c r="C452" s="180" t="str">
        <f>'רשימת מכשור 2015'!C451</f>
        <v>E50S8-500-3-T-24</v>
      </c>
      <c r="D452" s="233" t="str">
        <f>'רשימת מכשור 2015'!D451</f>
        <v xml:space="preserve">R&amp;D </v>
      </c>
      <c r="E452" s="180" t="str">
        <f>'רשימת מכשור 2015'!E451</f>
        <v>1-2-2010-SIC-1</v>
      </c>
      <c r="F452" s="180">
        <f>'רשימת מכשור 2015'!F451</f>
        <v>800</v>
      </c>
      <c r="G452" s="181">
        <v>1</v>
      </c>
      <c r="H452" s="181">
        <f t="shared" si="20"/>
        <v>800</v>
      </c>
      <c r="I452" s="182" t="s">
        <v>82</v>
      </c>
      <c r="J452" s="181">
        <v>1</v>
      </c>
      <c r="K452" s="181">
        <v>1</v>
      </c>
      <c r="L452" s="181">
        <v>0.5</v>
      </c>
      <c r="M452" s="181" t="str">
        <f t="shared" si="21"/>
        <v>לא לרכוש</v>
      </c>
      <c r="N452" s="181">
        <v>1000</v>
      </c>
      <c r="O452" s="183"/>
      <c r="P452" s="183">
        <v>6</v>
      </c>
      <c r="Q452" s="183"/>
    </row>
    <row r="453" spans="1:17" s="12" customFormat="1" ht="14.25" customHeight="1">
      <c r="A453" s="180" t="str">
        <f>'רשימת מכשור 2015'!A452</f>
        <v>אינקודר</v>
      </c>
      <c r="B453" s="180" t="str">
        <f>'רשימת מכשור 2015'!B452</f>
        <v>AUTONICS</v>
      </c>
      <c r="C453" s="180" t="str">
        <f>'רשימת מכשור 2015'!C452</f>
        <v>E50S8-500-3-T-24</v>
      </c>
      <c r="D453" s="233" t="str">
        <f>'רשימת מכשור 2015'!D452</f>
        <v>DS ייצור</v>
      </c>
      <c r="E453" s="180" t="str">
        <f>'רשימת מכשור 2015'!E452</f>
        <v>1-1-2010-EN-1</v>
      </c>
      <c r="F453" s="180">
        <f>'רשימת מכשור 2015'!F452</f>
        <v>800</v>
      </c>
      <c r="G453" s="181">
        <v>1</v>
      </c>
      <c r="H453" s="181">
        <f t="shared" si="20"/>
        <v>800</v>
      </c>
      <c r="I453" s="182" t="s">
        <v>82</v>
      </c>
      <c r="J453" s="181">
        <v>1</v>
      </c>
      <c r="K453" s="181">
        <v>1</v>
      </c>
      <c r="L453" s="181">
        <v>0.5</v>
      </c>
      <c r="M453" s="181" t="str">
        <f t="shared" si="21"/>
        <v>לא לרכוש</v>
      </c>
      <c r="N453" s="181">
        <v>1000</v>
      </c>
      <c r="O453" s="183"/>
      <c r="P453" s="183">
        <v>6</v>
      </c>
      <c r="Q453" s="183"/>
    </row>
    <row r="454" spans="1:17" s="12" customFormat="1" ht="14.25" customHeight="1">
      <c r="A454" s="180" t="str">
        <f>'רשימת מכשור 2015'!A453</f>
        <v>משדר טמפרטורה</v>
      </c>
      <c r="B454" s="180" t="str">
        <f>'רשימת מכשור 2015'!B453</f>
        <v>Controtec.</v>
      </c>
      <c r="C454" s="180" t="str">
        <f>'רשימת מכשור 2015'!C453</f>
        <v>משדר+PT-100</v>
      </c>
      <c r="D454" s="233" t="str">
        <f>'רשימת מכשור 2015'!D453</f>
        <v>MEDIA</v>
      </c>
      <c r="E454" s="180" t="str">
        <f>'רשימת מכשור 2015'!E453</f>
        <v>1-1-56-TC-1</v>
      </c>
      <c r="F454" s="180">
        <f>'רשימת מכשור 2015'!F453</f>
        <v>800</v>
      </c>
      <c r="G454" s="181">
        <v>1</v>
      </c>
      <c r="H454" s="181">
        <f t="shared" si="20"/>
        <v>800</v>
      </c>
      <c r="I454" s="182"/>
      <c r="J454" s="181">
        <v>1</v>
      </c>
      <c r="K454" s="181">
        <v>1</v>
      </c>
      <c r="L454" s="181">
        <v>0.5</v>
      </c>
      <c r="M454" s="181" t="str">
        <f t="shared" si="21"/>
        <v>לרכוש</v>
      </c>
      <c r="N454" s="181">
        <v>1000</v>
      </c>
      <c r="O454" s="183"/>
      <c r="P454" s="183">
        <v>1</v>
      </c>
      <c r="Q454" s="183"/>
    </row>
    <row r="455" spans="1:17" s="12" customFormat="1" ht="14.25" customHeight="1">
      <c r="A455" s="180" t="str">
        <f>'רשימת מכשור 2015'!A454</f>
        <v>משדר טמפרטורה</v>
      </c>
      <c r="B455" s="180" t="str">
        <f>'רשימת מכשור 2015'!B454</f>
        <v>Controtec.</v>
      </c>
      <c r="C455" s="180" t="str">
        <f>'רשימת מכשור 2015'!C454</f>
        <v>משדר+PT-100</v>
      </c>
      <c r="D455" s="233" t="str">
        <f>'רשימת מכשור 2015'!D454</f>
        <v>MEDIA</v>
      </c>
      <c r="E455" s="180" t="str">
        <f>'רשימת מכשור 2015'!E454</f>
        <v>1-1-56-TC-2</v>
      </c>
      <c r="F455" s="180">
        <f>'רשימת מכשור 2015'!F454</f>
        <v>800</v>
      </c>
      <c r="G455" s="181">
        <v>1</v>
      </c>
      <c r="H455" s="181">
        <f t="shared" si="20"/>
        <v>800</v>
      </c>
      <c r="I455" s="182"/>
      <c r="J455" s="181">
        <v>1</v>
      </c>
      <c r="K455" s="181">
        <v>1</v>
      </c>
      <c r="L455" s="181">
        <v>0.5</v>
      </c>
      <c r="M455" s="181" t="str">
        <f t="shared" si="21"/>
        <v>לרכוש</v>
      </c>
      <c r="N455" s="181">
        <v>1000</v>
      </c>
      <c r="O455" s="183"/>
      <c r="P455" s="183">
        <v>1</v>
      </c>
      <c r="Q455" s="183"/>
    </row>
    <row r="456" spans="1:17" s="12" customFormat="1" ht="14.25" customHeight="1">
      <c r="A456" s="180" t="str">
        <f>'רשימת מכשור 2015'!A455</f>
        <v>כבל סמארט מד זרימה</v>
      </c>
      <c r="B456" s="180" t="str">
        <f>'רשימת מכשור 2015'!B455</f>
        <v>METTLER TOLEDO</v>
      </c>
      <c r="C456" s="180" t="str">
        <f>'רשימת מכשור 2015'!C455</f>
        <v xml:space="preserve"> 58 080 005 cord ‘patch 15.2m 8p-f/10a</v>
      </c>
      <c r="D456" s="233" t="str">
        <f>'רשימת מכשור 2015'!D455</f>
        <v>CDI - 134</v>
      </c>
      <c r="E456" s="180" t="str">
        <f>'רשימת מכשור 2015'!E455</f>
        <v>1-1-134-FIT-001</v>
      </c>
      <c r="F456" s="180">
        <f>'רשימת מכשור 2015'!F455</f>
        <v>700</v>
      </c>
      <c r="G456" s="181">
        <v>1</v>
      </c>
      <c r="H456" s="181">
        <f t="shared" si="20"/>
        <v>700</v>
      </c>
      <c r="I456" s="182"/>
      <c r="J456" s="181">
        <v>1</v>
      </c>
      <c r="K456" s="181">
        <v>0</v>
      </c>
      <c r="L456" s="181">
        <v>1</v>
      </c>
      <c r="M456" s="181" t="str">
        <f t="shared" si="21"/>
        <v>לא לרכוש</v>
      </c>
      <c r="N456" s="181">
        <v>1000</v>
      </c>
      <c r="O456" s="183"/>
      <c r="P456" s="183">
        <v>2</v>
      </c>
      <c r="Q456" s="183" t="s">
        <v>185</v>
      </c>
    </row>
    <row r="457" spans="1:17" s="12" customFormat="1" ht="14.25" customHeight="1">
      <c r="A457" s="180" t="str">
        <f>'רשימת מכשור 2015'!A456</f>
        <v>כבל סמארט מד זרימה</v>
      </c>
      <c r="B457" s="180" t="str">
        <f>'רשימת מכשור 2015'!B456</f>
        <v>METTLER TOLEDO</v>
      </c>
      <c r="C457" s="180" t="str">
        <f>'רשימת מכשור 2015'!C456</f>
        <v xml:space="preserve"> 58 080 005 cord ‘patch 15.2m 8p-f/10a</v>
      </c>
      <c r="D457" s="233" t="str">
        <f>'רשימת מכשור 2015'!D456</f>
        <v>CDI - 134</v>
      </c>
      <c r="E457" s="180" t="str">
        <f>'רשימת מכשור 2015'!E456</f>
        <v>1-1-134-FIT-003</v>
      </c>
      <c r="F457" s="180">
        <f>'רשימת מכשור 2015'!F456</f>
        <v>700</v>
      </c>
      <c r="G457" s="181">
        <v>1</v>
      </c>
      <c r="H457" s="181">
        <f t="shared" si="20"/>
        <v>700</v>
      </c>
      <c r="I457" s="182"/>
      <c r="J457" s="181">
        <v>1</v>
      </c>
      <c r="K457" s="181">
        <v>0</v>
      </c>
      <c r="L457" s="181">
        <v>1</v>
      </c>
      <c r="M457" s="181" t="str">
        <f t="shared" si="21"/>
        <v>לא לרכוש</v>
      </c>
      <c r="N457" s="181">
        <v>1000</v>
      </c>
      <c r="O457" s="183"/>
      <c r="P457" s="183">
        <v>2</v>
      </c>
      <c r="Q457" s="183" t="s">
        <v>185</v>
      </c>
    </row>
    <row r="458" spans="1:17" s="12" customFormat="1" ht="14.25" customHeight="1">
      <c r="A458" s="180" t="str">
        <f>'רשימת מכשור 2015'!A457</f>
        <v>מפסק גובה נמוך</v>
      </c>
      <c r="B458" s="180" t="str">
        <f>'רשימת מכשור 2015'!B457</f>
        <v>GRUNDFOS</v>
      </c>
      <c r="C458" s="180" t="str">
        <f>'רשימת מכשור 2015'!C457</f>
        <v>מצוף ומשקולת קרמית הכולל שסתום יניקה</v>
      </c>
      <c r="D458" s="233" t="str">
        <f>'רשימת מכשור 2015'!D457</f>
        <v>PW PRETREAMENT
2500</v>
      </c>
      <c r="E458" s="180" t="str">
        <f>'רשימת מכשור 2015'!E457</f>
        <v>1-1-605-LSL-003</v>
      </c>
      <c r="F458" s="180">
        <f>'רשימת מכשור 2015'!F457</f>
        <v>680</v>
      </c>
      <c r="G458" s="181">
        <v>1</v>
      </c>
      <c r="H458" s="181">
        <f t="shared" si="20"/>
        <v>680</v>
      </c>
      <c r="I458" s="184"/>
      <c r="J458" s="181">
        <v>1</v>
      </c>
      <c r="K458" s="181">
        <v>0</v>
      </c>
      <c r="L458" s="181">
        <v>1</v>
      </c>
      <c r="M458" s="181" t="str">
        <f t="shared" si="21"/>
        <v>לא לרכוש</v>
      </c>
      <c r="N458" s="181">
        <v>1000</v>
      </c>
      <c r="O458" s="183"/>
      <c r="P458" s="183">
        <v>2</v>
      </c>
      <c r="Q458" s="183"/>
    </row>
    <row r="459" spans="1:17" s="12" customFormat="1" ht="14.25" customHeight="1">
      <c r="A459" s="180" t="str">
        <f>'רשימת מכשור 2015'!A458</f>
        <v>מפסק לחץ</v>
      </c>
      <c r="B459" s="180" t="str">
        <f>'רשימת מכשור 2015'!B458</f>
        <v>FESTO ISRAEL</v>
      </c>
      <c r="C459" s="180" t="str">
        <f>'רשימת מכשור 2015'!C458</f>
        <v>FESTO - MODEL:c172</v>
      </c>
      <c r="D459" s="233" t="str">
        <f>'רשימת מכשור 2015'!D458</f>
        <v>צנטרפוגה</v>
      </c>
      <c r="E459" s="180" t="str">
        <f>'רשימת מכשור 2015'!E458</f>
        <v>PAL 02-9-034</v>
      </c>
      <c r="F459" s="180">
        <f>'רשימת מכשור 2015'!F458</f>
        <v>600</v>
      </c>
      <c r="G459" s="181">
        <v>1</v>
      </c>
      <c r="H459" s="181">
        <f t="shared" si="20"/>
        <v>600</v>
      </c>
      <c r="I459" s="182"/>
      <c r="J459" s="181">
        <v>1</v>
      </c>
      <c r="K459" s="185">
        <v>1</v>
      </c>
      <c r="L459" s="181">
        <v>1.5</v>
      </c>
      <c r="M459" s="181" t="str">
        <f t="shared" si="21"/>
        <v>לרכוש</v>
      </c>
      <c r="N459" s="181">
        <v>1000</v>
      </c>
      <c r="O459" s="183"/>
      <c r="P459" s="183">
        <v>1</v>
      </c>
      <c r="Q459" s="183"/>
    </row>
    <row r="460" spans="1:17" s="12" customFormat="1" ht="14.25" customHeight="1">
      <c r="A460" s="180" t="str">
        <f>'רשימת מכשור 2015'!A459</f>
        <v>סולונואיד (מאפשר לחץ אוויר בלוח)</v>
      </c>
      <c r="B460" s="180" t="str">
        <f>'רשימת מכשור 2015'!B459</f>
        <v>FESTO ISRAEL</v>
      </c>
      <c r="C460" s="180" t="str">
        <f>'רשימת מכשור 2015'!C459</f>
        <v>FESTO MODEL:MFH-5-1/4-5</v>
      </c>
      <c r="D460" s="233" t="str">
        <f>'רשימת מכשור 2015'!D459</f>
        <v>צנטרפוגה</v>
      </c>
      <c r="E460" s="180" t="str">
        <f>'רשימת מכשור 2015'!E459</f>
        <v xml:space="preserve">N/A </v>
      </c>
      <c r="F460" s="180">
        <f>'רשימת מכשור 2015'!F459</f>
        <v>600</v>
      </c>
      <c r="G460" s="181">
        <v>1</v>
      </c>
      <c r="H460" s="181">
        <f t="shared" si="20"/>
        <v>600</v>
      </c>
      <c r="I460" s="182"/>
      <c r="J460" s="181">
        <v>1</v>
      </c>
      <c r="K460" s="181">
        <v>1</v>
      </c>
      <c r="L460" s="181">
        <v>1.5</v>
      </c>
      <c r="M460" s="181" t="str">
        <f t="shared" si="21"/>
        <v>לרכוש</v>
      </c>
      <c r="N460" s="181">
        <v>1000</v>
      </c>
      <c r="O460" s="183"/>
      <c r="P460" s="183">
        <v>1</v>
      </c>
      <c r="Q460" s="183"/>
    </row>
    <row r="461" spans="1:17" s="12" customFormat="1" ht="14.25" customHeight="1">
      <c r="A461" s="180" t="str">
        <f>'רשימת מכשור 2015'!A460</f>
        <v>משדר טמפרטורה</v>
      </c>
      <c r="B461" s="180" t="str">
        <f>'רשימת מכשור 2015'!B460</f>
        <v>SIEMENS</v>
      </c>
      <c r="C461" s="180" t="str">
        <f>'רשימת מכשור 2015'!C460</f>
        <v>QAE 2120-010</v>
      </c>
      <c r="D461" s="233" t="str">
        <f>'רשימת מכשור 2015'!D460</f>
        <v>Air Compressor</v>
      </c>
      <c r="E461" s="180" t="str">
        <f>'רשימת מכשור 2015'!E460</f>
        <v>1-1-41001-TT-3</v>
      </c>
      <c r="F461" s="180">
        <f>'רשימת מכשור 2015'!F460</f>
        <v>600</v>
      </c>
      <c r="G461" s="181">
        <v>1</v>
      </c>
      <c r="H461" s="181">
        <f t="shared" si="20"/>
        <v>600</v>
      </c>
      <c r="I461" s="182"/>
      <c r="J461" s="181">
        <v>1</v>
      </c>
      <c r="K461" s="181">
        <v>1</v>
      </c>
      <c r="L461" s="181">
        <v>1</v>
      </c>
      <c r="M461" s="181" t="str">
        <f t="shared" si="21"/>
        <v>לרכוש</v>
      </c>
      <c r="N461" s="181">
        <v>1000</v>
      </c>
      <c r="O461" s="183"/>
      <c r="P461" s="183">
        <v>1</v>
      </c>
      <c r="Q461" s="183"/>
    </row>
    <row r="462" spans="1:17" s="12" customFormat="1" ht="14.25" customHeight="1">
      <c r="A462" s="180" t="str">
        <f>'רשימת מכשור 2015'!A461</f>
        <v>מד טמפרטורה</v>
      </c>
      <c r="B462" s="180" t="str">
        <f>'רשימת מכשור 2015'!B461</f>
        <v>ELCON</v>
      </c>
      <c r="C462" s="180" t="str">
        <f>'רשימת מכשור 2015'!C461</f>
        <v>PT-100 TH-39</v>
      </c>
      <c r="D462" s="233" t="str">
        <f>'רשימת מכשור 2015'!D461</f>
        <v>PW PRETREAMENT
2500</v>
      </c>
      <c r="E462" s="180" t="str">
        <f>'רשימת מכשור 2015'!E461</f>
        <v>1-1-605-TE-002</v>
      </c>
      <c r="F462" s="180">
        <f>'רשימת מכשור 2015'!F461</f>
        <v>500</v>
      </c>
      <c r="G462" s="181">
        <v>1</v>
      </c>
      <c r="H462" s="181">
        <f t="shared" si="20"/>
        <v>500</v>
      </c>
      <c r="I462" s="182"/>
      <c r="J462" s="181">
        <v>1</v>
      </c>
      <c r="K462" s="181">
        <v>0</v>
      </c>
      <c r="L462" s="181">
        <v>0.5</v>
      </c>
      <c r="M462" s="181" t="str">
        <f t="shared" si="21"/>
        <v>לא לרכוש</v>
      </c>
      <c r="N462" s="181">
        <v>1000</v>
      </c>
      <c r="O462" s="183"/>
      <c r="P462" s="183">
        <v>2</v>
      </c>
      <c r="Q462" s="183"/>
    </row>
    <row r="463" spans="1:17" s="12" customFormat="1" ht="14.25" customHeight="1">
      <c r="A463" s="180" t="str">
        <f>'רשימת מכשור 2015'!A462</f>
        <v>מד טמפרטורה</v>
      </c>
      <c r="B463" s="180" t="str">
        <f>'רשימת מכשור 2015'!B462</f>
        <v>ELCON</v>
      </c>
      <c r="C463" s="180" t="str">
        <f>'רשימת מכשור 2015'!C462</f>
        <v>PT-100 TH-39</v>
      </c>
      <c r="D463" s="233" t="str">
        <f>'רשימת מכשור 2015'!D462</f>
        <v>PW PRETREAMENT
2500</v>
      </c>
      <c r="E463" s="180" t="str">
        <f>'רשימת מכשור 2015'!E462</f>
        <v>1-1-605-TT-001</v>
      </c>
      <c r="F463" s="180">
        <f>'רשימת מכשור 2015'!F462</f>
        <v>500</v>
      </c>
      <c r="G463" s="181">
        <v>1</v>
      </c>
      <c r="H463" s="181">
        <f t="shared" si="20"/>
        <v>500</v>
      </c>
      <c r="I463" s="182"/>
      <c r="J463" s="181">
        <v>1</v>
      </c>
      <c r="K463" s="185">
        <v>1</v>
      </c>
      <c r="L463" s="181">
        <v>0.5</v>
      </c>
      <c r="M463" s="181" t="str">
        <f t="shared" si="21"/>
        <v>לרכוש</v>
      </c>
      <c r="N463" s="181">
        <v>1000</v>
      </c>
      <c r="O463" s="183"/>
      <c r="P463" s="183">
        <v>2</v>
      </c>
      <c r="Q463" s="183"/>
    </row>
    <row r="464" spans="1:17" s="12" customFormat="1" ht="14.25" customHeight="1">
      <c r="A464" s="180" t="str">
        <f>'רשימת מכשור 2015'!A463</f>
        <v>משדר טמפרטורה</v>
      </c>
      <c r="B464" s="180" t="str">
        <f>'רשימת מכשור 2015'!B463</f>
        <v>Desin Instruments</v>
      </c>
      <c r="C464" s="180" t="str">
        <f>'רשימת מכשור 2015'!C463</f>
        <v>PT-100 CM-40</v>
      </c>
      <c r="D464" s="233" t="str">
        <f>'רשימת מכשור 2015'!D463</f>
        <v>NaOH</v>
      </c>
      <c r="E464" s="180" t="str">
        <f>'רשימת מכשור 2015'!E463</f>
        <v>1-1-5-TC-1</v>
      </c>
      <c r="F464" s="180">
        <f>'רשימת מכשור 2015'!F463</f>
        <v>500</v>
      </c>
      <c r="G464" s="181">
        <v>1</v>
      </c>
      <c r="H464" s="181">
        <f t="shared" si="20"/>
        <v>500</v>
      </c>
      <c r="I464" s="182"/>
      <c r="J464" s="181">
        <v>1</v>
      </c>
      <c r="K464" s="181">
        <v>1</v>
      </c>
      <c r="L464" s="181">
        <v>0.5</v>
      </c>
      <c r="M464" s="181" t="str">
        <f t="shared" si="21"/>
        <v>לרכוש</v>
      </c>
      <c r="N464" s="181">
        <v>1000</v>
      </c>
      <c r="O464" s="183"/>
      <c r="P464" s="183">
        <v>1</v>
      </c>
      <c r="Q464" s="183"/>
    </row>
    <row r="465" spans="1:17" s="12" customFormat="1" ht="14.25" customHeight="1">
      <c r="A465" s="180" t="str">
        <f>'רשימת מכשור 2015'!A464</f>
        <v xml:space="preserve">מפסק גובה </v>
      </c>
      <c r="B465" s="180" t="str">
        <f>'רשימת מכשור 2015'!B464</f>
        <v>ELCON</v>
      </c>
      <c r="C465" s="180" t="str">
        <f>'רשימת מכשור 2015'!C464</f>
        <v>SIGMA 807.1 ERFP</v>
      </c>
      <c r="D465" s="233" t="str">
        <f>'רשימת מכשור 2015'!D464</f>
        <v>NaOH</v>
      </c>
      <c r="E465" s="180" t="str">
        <f>'רשימת מכשור 2015'!E464</f>
        <v>1-1-5-LSH-1</v>
      </c>
      <c r="F465" s="180">
        <f>'רשימת מכשור 2015'!F464</f>
        <v>500</v>
      </c>
      <c r="G465" s="181">
        <v>1</v>
      </c>
      <c r="H465" s="181">
        <f t="shared" si="20"/>
        <v>500</v>
      </c>
      <c r="I465" s="182"/>
      <c r="J465" s="181">
        <v>1</v>
      </c>
      <c r="K465" s="181">
        <v>0</v>
      </c>
      <c r="L465" s="181">
        <v>0.5</v>
      </c>
      <c r="M465" s="181" t="str">
        <f t="shared" si="21"/>
        <v>לא לרכוש</v>
      </c>
      <c r="N465" s="181">
        <v>1000</v>
      </c>
      <c r="O465" s="183"/>
      <c r="P465" s="183">
        <v>1</v>
      </c>
      <c r="Q465" s="183"/>
    </row>
    <row r="466" spans="1:17" s="12" customFormat="1" ht="14.25" customHeight="1">
      <c r="A466" s="180" t="str">
        <f>'רשימת מכשור 2015'!A465</f>
        <v>משדר טמפרטורה</v>
      </c>
      <c r="B466" s="180" t="str">
        <f>'רשימת מכשור 2015'!B465</f>
        <v>Desin Instruments</v>
      </c>
      <c r="C466" s="180" t="str">
        <f>'רשימת מכשור 2015'!C465</f>
        <v>PT-100 CM-40</v>
      </c>
      <c r="D466" s="233" t="str">
        <f>'רשימת מכשור 2015'!D465</f>
        <v>ACID</v>
      </c>
      <c r="E466" s="180" t="str">
        <f>'רשימת מכשור 2015'!E465</f>
        <v>1-1-141-TC-1</v>
      </c>
      <c r="F466" s="180">
        <f>'רשימת מכשור 2015'!F465</f>
        <v>500</v>
      </c>
      <c r="G466" s="181">
        <v>1</v>
      </c>
      <c r="H466" s="181">
        <f t="shared" si="20"/>
        <v>500</v>
      </c>
      <c r="I466" s="182"/>
      <c r="J466" s="181">
        <v>1</v>
      </c>
      <c r="K466" s="181">
        <v>1</v>
      </c>
      <c r="L466" s="181">
        <v>1</v>
      </c>
      <c r="M466" s="181" t="str">
        <f t="shared" si="21"/>
        <v>לרכוש</v>
      </c>
      <c r="N466" s="181">
        <v>1000</v>
      </c>
      <c r="O466" s="183"/>
      <c r="P466" s="183">
        <v>1</v>
      </c>
      <c r="Q466" s="183"/>
    </row>
    <row r="467" spans="1:17" s="12" customFormat="1" ht="14.25" customHeight="1">
      <c r="A467" s="180" t="str">
        <f>'רשימת מכשור 2015'!A466</f>
        <v xml:space="preserve">מפסק גובה </v>
      </c>
      <c r="B467" s="180" t="str">
        <f>'רשימת מכשור 2015'!B466</f>
        <v>ELCON</v>
      </c>
      <c r="C467" s="180" t="str">
        <f>'רשימת מכשור 2015'!C466</f>
        <v>SIGMA 902/  ERFP</v>
      </c>
      <c r="D467" s="233" t="str">
        <f>'רשימת מכשור 2015'!D466</f>
        <v>ACID</v>
      </c>
      <c r="E467" s="180" t="str">
        <f>'רשימת מכשור 2015'!E466</f>
        <v>1-1-141-LSH-1</v>
      </c>
      <c r="F467" s="180">
        <f>'רשימת מכשור 2015'!F466</f>
        <v>500</v>
      </c>
      <c r="G467" s="181">
        <v>1</v>
      </c>
      <c r="H467" s="181">
        <f t="shared" si="20"/>
        <v>500</v>
      </c>
      <c r="I467" s="182"/>
      <c r="J467" s="181">
        <v>1</v>
      </c>
      <c r="K467" s="181">
        <v>1</v>
      </c>
      <c r="L467" s="181">
        <v>1</v>
      </c>
      <c r="M467" s="181" t="str">
        <f t="shared" si="21"/>
        <v>לרכוש</v>
      </c>
      <c r="N467" s="181">
        <v>1000</v>
      </c>
      <c r="O467" s="183"/>
      <c r="P467" s="183">
        <v>1</v>
      </c>
      <c r="Q467" s="183"/>
    </row>
    <row r="468" spans="1:17" s="12" customFormat="1" ht="14.25" customHeight="1">
      <c r="A468" s="180" t="str">
        <f>'רשימת מכשור 2015'!A467</f>
        <v>משדר טמפרטורה</v>
      </c>
      <c r="B468" s="180" t="str">
        <f>'רשימת מכשור 2015'!B467</f>
        <v>Desin Instruments</v>
      </c>
      <c r="C468" s="180" t="str">
        <f>'רשימת מכשור 2015'!C467</f>
        <v>PT-100 CM-40</v>
      </c>
      <c r="D468" s="233" t="str">
        <f>'רשימת מכשור 2015'!D467</f>
        <v xml:space="preserve">HSW </v>
      </c>
      <c r="E468" s="180" t="str">
        <f>'רשימת מכשור 2015'!E467</f>
        <v>1-1-57-TC-2</v>
      </c>
      <c r="F468" s="180">
        <f>'רשימת מכשור 2015'!F467</f>
        <v>500</v>
      </c>
      <c r="G468" s="181">
        <v>1</v>
      </c>
      <c r="H468" s="181">
        <f t="shared" si="20"/>
        <v>500</v>
      </c>
      <c r="I468" s="182"/>
      <c r="J468" s="181">
        <v>1</v>
      </c>
      <c r="K468" s="181">
        <v>1</v>
      </c>
      <c r="L468" s="181">
        <v>1</v>
      </c>
      <c r="M468" s="181" t="str">
        <f t="shared" si="21"/>
        <v>לרכוש</v>
      </c>
      <c r="N468" s="181">
        <v>1000</v>
      </c>
      <c r="O468" s="183"/>
      <c r="P468" s="183">
        <v>1</v>
      </c>
      <c r="Q468" s="183"/>
    </row>
    <row r="469" spans="1:17" s="12" customFormat="1" ht="14.25" customHeight="1">
      <c r="A469" s="180" t="str">
        <f>'רשימת מכשור 2015'!A468</f>
        <v>משדר טמפרטורה</v>
      </c>
      <c r="B469" s="180" t="str">
        <f>'רשימת מכשור 2015'!B468</f>
        <v>Control Tec</v>
      </c>
      <c r="C469" s="180" t="str">
        <f>'רשימת מכשור 2015'!C468</f>
        <v>PT-100</v>
      </c>
      <c r="D469" s="233" t="str">
        <f>'רשימת מכשור 2015'!D468</f>
        <v>WFI-PRODUCTION/STORAGE</v>
      </c>
      <c r="E469" s="180" t="str">
        <f>'רשימת מכשור 2015'!E468</f>
        <v>25-TT-3</v>
      </c>
      <c r="F469" s="180">
        <f>'רשימת מכשור 2015'!F468</f>
        <v>500</v>
      </c>
      <c r="G469" s="181">
        <v>1</v>
      </c>
      <c r="H469" s="181">
        <f t="shared" si="20"/>
        <v>500</v>
      </c>
      <c r="I469" s="182"/>
      <c r="J469" s="181">
        <v>1</v>
      </c>
      <c r="K469" s="181">
        <v>1</v>
      </c>
      <c r="L469" s="181">
        <v>0.5</v>
      </c>
      <c r="M469" s="181" t="str">
        <f t="shared" si="21"/>
        <v>לרכוש</v>
      </c>
      <c r="N469" s="181">
        <v>1000</v>
      </c>
      <c r="O469" s="183"/>
      <c r="P469" s="183">
        <v>1</v>
      </c>
      <c r="Q469" s="183"/>
    </row>
    <row r="470" spans="1:17" s="12" customFormat="1" ht="14.25" customHeight="1">
      <c r="A470" s="180" t="str">
        <f>'רשימת מכשור 2015'!A469</f>
        <v>משדר טמפרטורה</v>
      </c>
      <c r="B470" s="180" t="str">
        <f>'רשימת מכשור 2015'!B469</f>
        <v>Contro Tech + EH</v>
      </c>
      <c r="C470" s="180" t="str">
        <f>'רשימת מכשור 2015'!C469</f>
        <v>Sensor: PT-100
Transmitter:TMT 121</v>
      </c>
      <c r="D470" s="233" t="str">
        <f>'רשימת מכשור 2015'!D469</f>
        <v>WFI DISTRIBUTION</v>
      </c>
      <c r="E470" s="180" t="str">
        <f>'רשימת מכשור 2015'!E469</f>
        <v>1-1-26-TT-6</v>
      </c>
      <c r="F470" s="180">
        <f>'רשימת מכשור 2015'!F469</f>
        <v>500</v>
      </c>
      <c r="G470" s="181">
        <v>1</v>
      </c>
      <c r="H470" s="181">
        <f t="shared" si="20"/>
        <v>500</v>
      </c>
      <c r="I470" s="182"/>
      <c r="J470" s="181">
        <v>1</v>
      </c>
      <c r="K470" s="181">
        <v>1</v>
      </c>
      <c r="L470" s="181">
        <v>0.5</v>
      </c>
      <c r="M470" s="181" t="str">
        <f t="shared" si="21"/>
        <v>לרכוש</v>
      </c>
      <c r="N470" s="181">
        <v>1000</v>
      </c>
      <c r="O470" s="183"/>
      <c r="P470" s="183">
        <v>1</v>
      </c>
      <c r="Q470" s="183"/>
    </row>
    <row r="471" spans="1:17" s="12" customFormat="1" ht="14.25" customHeight="1">
      <c r="A471" s="180" t="str">
        <f>'רשימת מכשור 2015'!A470</f>
        <v>משדר טמפרטורה</v>
      </c>
      <c r="B471" s="180" t="str">
        <f>'רשימת מכשור 2015'!B470</f>
        <v>Contro Tech + EH</v>
      </c>
      <c r="C471" s="180" t="str">
        <f>'רשימת מכשור 2015'!C470</f>
        <v>Sensor: PT-100
Transmitter:TMT 121</v>
      </c>
      <c r="D471" s="233" t="str">
        <f>'רשימת מכשור 2015'!D470</f>
        <v>WFI DISTRIBUTION</v>
      </c>
      <c r="E471" s="180" t="str">
        <f>'רשימת מכשור 2015'!E470</f>
        <v>1-1-26-TT-3</v>
      </c>
      <c r="F471" s="180">
        <f>'רשימת מכשור 2015'!F470</f>
        <v>500</v>
      </c>
      <c r="G471" s="181">
        <v>1</v>
      </c>
      <c r="H471" s="181">
        <f t="shared" si="20"/>
        <v>500</v>
      </c>
      <c r="I471" s="182"/>
      <c r="J471" s="181">
        <v>1</v>
      </c>
      <c r="K471" s="181">
        <v>1</v>
      </c>
      <c r="L471" s="181">
        <v>0.5</v>
      </c>
      <c r="M471" s="181" t="str">
        <f t="shared" si="21"/>
        <v>לרכוש</v>
      </c>
      <c r="N471" s="181">
        <v>1000</v>
      </c>
      <c r="O471" s="183"/>
      <c r="P471" s="183">
        <v>1</v>
      </c>
      <c r="Q471" s="183"/>
    </row>
    <row r="472" spans="1:17" s="12" customFormat="1" ht="14.25" customHeight="1">
      <c r="A472" s="180" t="str">
        <f>'רשימת מכשור 2015'!A471</f>
        <v>משדר טמפרטורה</v>
      </c>
      <c r="B472" s="180" t="str">
        <f>'רשימת מכשור 2015'!B471</f>
        <v>ACI</v>
      </c>
      <c r="C472" s="180" t="str">
        <f>'רשימת מכשור 2015'!C471</f>
        <v>TT100 8"</v>
      </c>
      <c r="D472" s="233" t="str">
        <f>'רשימת מכשור 2015'!D471</f>
        <v>51001-AHU-01</v>
      </c>
      <c r="E472" s="180" t="str">
        <f>'רשימת מכשור 2015'!E471</f>
        <v>1-1-51001-TT-01</v>
      </c>
      <c r="F472" s="180">
        <f>'רשימת מכשור 2015'!F471</f>
        <v>500</v>
      </c>
      <c r="G472" s="181">
        <v>1</v>
      </c>
      <c r="H472" s="181">
        <f t="shared" si="20"/>
        <v>500</v>
      </c>
      <c r="I472" s="182"/>
      <c r="J472" s="181">
        <v>1</v>
      </c>
      <c r="K472" s="181">
        <v>1</v>
      </c>
      <c r="L472" s="181">
        <v>0.5</v>
      </c>
      <c r="M472" s="181" t="str">
        <f t="shared" si="21"/>
        <v>לרכוש</v>
      </c>
      <c r="N472" s="181">
        <v>1000</v>
      </c>
      <c r="O472" s="183"/>
      <c r="P472" s="183">
        <v>1</v>
      </c>
      <c r="Q472" s="183"/>
    </row>
    <row r="473" spans="1:17" s="12" customFormat="1" ht="14.25" customHeight="1">
      <c r="A473" s="180" t="str">
        <f>'רשימת מכשור 2015'!A472</f>
        <v>משדר טמפרטורה</v>
      </c>
      <c r="B473" s="180" t="str">
        <f>'רשימת מכשור 2015'!B472</f>
        <v>ACI</v>
      </c>
      <c r="C473" s="180" t="str">
        <f>'רשימת מכשור 2015'!C472</f>
        <v>TT100 8"</v>
      </c>
      <c r="D473" s="233" t="str">
        <f>'רשימת מכשור 2015'!D472</f>
        <v>51001-AHU-01</v>
      </c>
      <c r="E473" s="180" t="str">
        <f>'רשימת מכשור 2015'!E472</f>
        <v>1-1-51001-TTR-1</v>
      </c>
      <c r="F473" s="180">
        <f>'רשימת מכשור 2015'!F472</f>
        <v>500</v>
      </c>
      <c r="G473" s="181">
        <v>1</v>
      </c>
      <c r="H473" s="181">
        <f t="shared" si="20"/>
        <v>500</v>
      </c>
      <c r="I473" s="182"/>
      <c r="J473" s="181">
        <v>1</v>
      </c>
      <c r="K473" s="181">
        <v>1</v>
      </c>
      <c r="L473" s="181">
        <v>0.5</v>
      </c>
      <c r="M473" s="181" t="str">
        <f t="shared" si="21"/>
        <v>לרכוש</v>
      </c>
      <c r="N473" s="181">
        <v>1000</v>
      </c>
      <c r="O473" s="183"/>
      <c r="P473" s="183">
        <v>1</v>
      </c>
      <c r="Q473" s="183"/>
    </row>
    <row r="474" spans="1:17" s="12" customFormat="1" ht="14.25" customHeight="1">
      <c r="A474" s="180" t="str">
        <f>'רשימת מכשור 2015'!A473</f>
        <v>משדר טמפרטורה</v>
      </c>
      <c r="B474" s="180" t="str">
        <f>'רשימת מכשור 2015'!B473</f>
        <v>ACI</v>
      </c>
      <c r="C474" s="180" t="str">
        <f>'רשימת מכשור 2015'!C473</f>
        <v>TT100-OUTSIDE</v>
      </c>
      <c r="D474" s="233" t="str">
        <f>'רשימת מכשור 2015'!D473</f>
        <v>51001-AHU-02</v>
      </c>
      <c r="E474" s="180" t="str">
        <f>'רשימת מכשור 2015'!E473</f>
        <v>1-1-51001-TT-02/1</v>
      </c>
      <c r="F474" s="180">
        <f>'רשימת מכשור 2015'!F473</f>
        <v>500</v>
      </c>
      <c r="G474" s="181">
        <v>1</v>
      </c>
      <c r="H474" s="181">
        <f t="shared" si="20"/>
        <v>500</v>
      </c>
      <c r="I474" s="182"/>
      <c r="J474" s="181">
        <v>1</v>
      </c>
      <c r="K474" s="181">
        <v>1</v>
      </c>
      <c r="L474" s="181">
        <v>0.5</v>
      </c>
      <c r="M474" s="181" t="str">
        <f t="shared" si="21"/>
        <v>לרכוש</v>
      </c>
      <c r="N474" s="181">
        <v>1000</v>
      </c>
      <c r="O474" s="183"/>
      <c r="P474" s="183">
        <v>1</v>
      </c>
      <c r="Q474" s="183"/>
    </row>
    <row r="475" spans="1:17" s="12" customFormat="1" ht="14.25" customHeight="1">
      <c r="A475" s="180" t="str">
        <f>'רשימת מכשור 2015'!A474</f>
        <v>משדר טמפרטורה</v>
      </c>
      <c r="B475" s="180" t="str">
        <f>'רשימת מכשור 2015'!B474</f>
        <v>ACI</v>
      </c>
      <c r="C475" s="180" t="str">
        <f>'רשימת מכשור 2015'!C474</f>
        <v>TT100-4"</v>
      </c>
      <c r="D475" s="233" t="str">
        <f>'רשימת מכשור 2015'!D474</f>
        <v>51001-AHU-02</v>
      </c>
      <c r="E475" s="180" t="str">
        <f>'רשימת מכשור 2015'!E474</f>
        <v>1-1-51001-TT-02/3</v>
      </c>
      <c r="F475" s="180">
        <f>'רשימת מכשור 2015'!F474</f>
        <v>500</v>
      </c>
      <c r="G475" s="181">
        <v>1</v>
      </c>
      <c r="H475" s="181">
        <f t="shared" ref="H475:H538" si="22">G475*F475</f>
        <v>500</v>
      </c>
      <c r="I475" s="182"/>
      <c r="J475" s="181">
        <v>1</v>
      </c>
      <c r="K475" s="181">
        <v>1</v>
      </c>
      <c r="L475" s="181">
        <v>0.5</v>
      </c>
      <c r="M475" s="181" t="str">
        <f t="shared" si="21"/>
        <v>לרכוש</v>
      </c>
      <c r="N475" s="181">
        <v>1000</v>
      </c>
      <c r="O475" s="183"/>
      <c r="P475" s="183">
        <v>1</v>
      </c>
      <c r="Q475" s="183"/>
    </row>
    <row r="476" spans="1:17" s="12" customFormat="1" ht="14.25" customHeight="1">
      <c r="A476" s="180" t="str">
        <f>'רשימת מכשור 2015'!A475</f>
        <v>מפסק לחץ הפרשי</v>
      </c>
      <c r="B476" s="180" t="str">
        <f>'רשימת מכשור 2015'!B475</f>
        <v>SIEMENSE</v>
      </c>
      <c r="C476" s="180" t="str">
        <f>'רשימת מכשור 2015'!C475</f>
        <v>QBM81-5</v>
      </c>
      <c r="D476" s="233" t="str">
        <f>'רשימת מכשור 2015'!D475</f>
        <v>51001-AHU-02</v>
      </c>
      <c r="E476" s="180" t="str">
        <f>'רשימת מכשור 2015'!E475</f>
        <v>1-1-51001-PDS-02/01</v>
      </c>
      <c r="F476" s="180">
        <f>'רשימת מכשור 2015'!F475</f>
        <v>500</v>
      </c>
      <c r="G476" s="181">
        <v>1</v>
      </c>
      <c r="H476" s="181">
        <f t="shared" si="22"/>
        <v>500</v>
      </c>
      <c r="I476" s="182" t="s">
        <v>82</v>
      </c>
      <c r="J476" s="181">
        <v>1</v>
      </c>
      <c r="K476" s="181">
        <v>1</v>
      </c>
      <c r="L476" s="181">
        <v>0.5</v>
      </c>
      <c r="M476" s="181" t="str">
        <f t="shared" si="21"/>
        <v>לא לרכוש</v>
      </c>
      <c r="N476" s="181">
        <v>1000</v>
      </c>
      <c r="O476" s="183"/>
      <c r="P476" s="183">
        <v>1</v>
      </c>
      <c r="Q476" s="183"/>
    </row>
    <row r="477" spans="1:17" s="12" customFormat="1" ht="14.25" customHeight="1">
      <c r="A477" s="180" t="str">
        <f>'רשימת מכשור 2015'!A476</f>
        <v>מפסק לחץ</v>
      </c>
      <c r="B477" s="180" t="str">
        <f>'רשימת מכשור 2015'!B476</f>
        <v>crouzet</v>
      </c>
      <c r="C477" s="180" t="str">
        <f>'רשימת מכשור 2015'!C476</f>
        <v>81 513 552</v>
      </c>
      <c r="D477" s="233" t="str">
        <f>'רשימת מכשור 2015'!D476</f>
        <v>PRETREATMENT SYSTEM</v>
      </c>
      <c r="E477" s="180" t="str">
        <f>'רשימת מכשור 2015'!E476</f>
        <v>1-1-131-PS-1</v>
      </c>
      <c r="F477" s="180">
        <f>'רשימת מכשור 2015'!F476</f>
        <v>500</v>
      </c>
      <c r="G477" s="181">
        <v>1</v>
      </c>
      <c r="H477" s="181">
        <f t="shared" si="22"/>
        <v>500</v>
      </c>
      <c r="I477" s="182" t="s">
        <v>82</v>
      </c>
      <c r="J477" s="181">
        <v>1</v>
      </c>
      <c r="K477" s="181">
        <v>1</v>
      </c>
      <c r="L477" s="181">
        <v>0.5</v>
      </c>
      <c r="M477" s="181" t="str">
        <f t="shared" si="21"/>
        <v>לא לרכוש</v>
      </c>
      <c r="N477" s="181">
        <v>1000</v>
      </c>
      <c r="O477" s="183"/>
      <c r="P477" s="183">
        <v>4</v>
      </c>
      <c r="Q477" s="183"/>
    </row>
    <row r="478" spans="1:17" s="12" customFormat="1" ht="14.25" customHeight="1">
      <c r="A478" s="180" t="str">
        <f>'רשימת מכשור 2015'!A477</f>
        <v>מפסק גבול</v>
      </c>
      <c r="B478" s="180" t="str">
        <f>'רשימת מכשור 2015'!B477</f>
        <v>Telemechanic</v>
      </c>
      <c r="C478" s="180" t="str">
        <f>'רשימת מכשור 2015'!C477</f>
        <v>XCK-M IEC/EN 60947-5-1</v>
      </c>
      <c r="D478" s="233" t="str">
        <f>'רשימת מכשור 2015'!D477</f>
        <v>FILTER PRESS PILOT</v>
      </c>
      <c r="E478" s="180" t="str">
        <f>'רשימת מכשור 2015'!E477</f>
        <v>1-2-35-LMS-1</v>
      </c>
      <c r="F478" s="180">
        <f>'רשימת מכשור 2015'!F477</f>
        <v>500</v>
      </c>
      <c r="G478" s="181">
        <v>1</v>
      </c>
      <c r="H478" s="181">
        <f t="shared" si="22"/>
        <v>500</v>
      </c>
      <c r="I478" s="182"/>
      <c r="J478" s="181">
        <v>1</v>
      </c>
      <c r="K478" s="181">
        <v>1</v>
      </c>
      <c r="L478" s="181">
        <v>1</v>
      </c>
      <c r="M478" s="181" t="str">
        <f t="shared" si="21"/>
        <v>לרכוש</v>
      </c>
      <c r="N478" s="181">
        <v>1000</v>
      </c>
      <c r="O478" s="183"/>
      <c r="P478" s="183">
        <v>1</v>
      </c>
      <c r="Q478" s="183"/>
    </row>
    <row r="479" spans="1:17" s="12" customFormat="1" ht="14.25" customHeight="1">
      <c r="A479" s="180" t="str">
        <f>'רשימת מכשור 2015'!A478</f>
        <v>מפסק לחץ</v>
      </c>
      <c r="B479" s="180" t="str">
        <f>'רשימת מכשור 2015'!B478</f>
        <v>FOX</v>
      </c>
      <c r="C479" s="180" t="str">
        <f>'רשימת מכשור 2015'!C478</f>
        <v>FOX</v>
      </c>
      <c r="D479" s="233" t="str">
        <f>'רשימת מכשור 2015'!D478</f>
        <v>FILTER PRESS PILOT</v>
      </c>
      <c r="E479" s="180" t="str">
        <f>'רשימת מכשור 2015'!E478</f>
        <v>1-2-35-PS-1</v>
      </c>
      <c r="F479" s="180">
        <f>'רשימת מכשור 2015'!F478</f>
        <v>500</v>
      </c>
      <c r="G479" s="181">
        <v>1</v>
      </c>
      <c r="H479" s="181">
        <f t="shared" si="22"/>
        <v>500</v>
      </c>
      <c r="I479" s="182"/>
      <c r="J479" s="181">
        <v>1</v>
      </c>
      <c r="K479" s="181">
        <v>1</v>
      </c>
      <c r="L479" s="181">
        <v>1</v>
      </c>
      <c r="M479" s="181" t="str">
        <f t="shared" si="21"/>
        <v>לרכוש</v>
      </c>
      <c r="N479" s="181">
        <v>1000</v>
      </c>
      <c r="O479" s="183"/>
      <c r="P479" s="183">
        <v>1</v>
      </c>
      <c r="Q479" s="183"/>
    </row>
    <row r="480" spans="1:17" s="12" customFormat="1" ht="14.25" customHeight="1">
      <c r="A480" s="180" t="str">
        <f>'רשימת מכשור 2015'!A479</f>
        <v>אינקודר</v>
      </c>
      <c r="B480" s="180" t="str">
        <f>'רשימת מכשור 2015'!B479</f>
        <v>Autonics</v>
      </c>
      <c r="C480" s="180" t="str">
        <f>'רשימת מכשור 2015'!C479</f>
        <v>E50S8-500-2-T-24</v>
      </c>
      <c r="D480" s="233" t="str">
        <f>'רשימת מכשור 2015'!D479</f>
        <v>QC LAB</v>
      </c>
      <c r="E480" s="180" t="str">
        <f>'רשימת מכשור 2015'!E479</f>
        <v>1-2-2010-SH-5</v>
      </c>
      <c r="F480" s="180">
        <f>'רשימת מכשור 2015'!F479</f>
        <v>500</v>
      </c>
      <c r="G480" s="181">
        <v>1</v>
      </c>
      <c r="H480" s="181">
        <f t="shared" si="22"/>
        <v>500</v>
      </c>
      <c r="I480" s="182" t="s">
        <v>82</v>
      </c>
      <c r="J480" s="181">
        <v>1</v>
      </c>
      <c r="K480" s="181">
        <v>1</v>
      </c>
      <c r="L480" s="181">
        <v>0.3</v>
      </c>
      <c r="M480" s="181" t="str">
        <f t="shared" si="21"/>
        <v>לא לרכוש</v>
      </c>
      <c r="N480" s="181">
        <v>1000</v>
      </c>
      <c r="O480" s="183"/>
      <c r="P480" s="183">
        <v>6</v>
      </c>
      <c r="Q480" s="183"/>
    </row>
    <row r="481" spans="1:17" s="12" customFormat="1" ht="14.25" customHeight="1">
      <c r="A481" s="180" t="str">
        <f>'רשימת מכשור 2015'!A480</f>
        <v>מד טמפרטורה</v>
      </c>
      <c r="B481" s="180" t="str">
        <f>'רשימת מכשור 2015'!B480</f>
        <v>ACI</v>
      </c>
      <c r="C481" s="180" t="str">
        <f>'רשימת מכשור 2015'!C480</f>
        <v>ACI/LCD 4-20mA</v>
      </c>
      <c r="D481" s="233" t="str">
        <f>'רשימת מכשור 2015'!D480</f>
        <v>AHU-WH</v>
      </c>
      <c r="E481" s="180" t="str">
        <f>'רשימת מכשור 2015'!E480</f>
        <v>1-2-2010-TI-2</v>
      </c>
      <c r="F481" s="180">
        <f>'רשימת מכשור 2015'!F480</f>
        <v>500</v>
      </c>
      <c r="G481" s="181">
        <v>1</v>
      </c>
      <c r="H481" s="181">
        <f t="shared" si="22"/>
        <v>500</v>
      </c>
      <c r="I481" s="182"/>
      <c r="J481" s="181">
        <v>1</v>
      </c>
      <c r="K481" s="181">
        <v>1</v>
      </c>
      <c r="L481" s="181">
        <v>0.5</v>
      </c>
      <c r="M481" s="181" t="str">
        <f t="shared" ref="M481:M544" si="23">IF(AND(K481*L481*30*N481&gt;H481/J481,I481=""),"לרכוש","לא לרכוש")</f>
        <v>לרכוש</v>
      </c>
      <c r="N481" s="181">
        <v>1000</v>
      </c>
      <c r="O481" s="183"/>
      <c r="P481" s="183">
        <v>1</v>
      </c>
      <c r="Q481" s="183"/>
    </row>
    <row r="482" spans="1:17" s="12" customFormat="1" ht="14.25" customHeight="1">
      <c r="A482" s="180" t="str">
        <f>'רשימת מכשור 2015'!A481</f>
        <v>משדר תדר</v>
      </c>
      <c r="B482" s="180" t="str">
        <f>'רשימת מכשור 2015'!B481</f>
        <v>MEGATRON</v>
      </c>
      <c r="C482" s="180" t="str">
        <f>'רשימת מכשור 2015'!C481</f>
        <v>MADO-FLS-AO</v>
      </c>
      <c r="D482" s="233" t="str">
        <f>'רשימת מכשור 2015'!D481</f>
        <v>CHILLER</v>
      </c>
      <c r="E482" s="180" t="str">
        <f>'רשימת מכשור 2015'!E481</f>
        <v>1-1-910-FT-1</v>
      </c>
      <c r="F482" s="180">
        <f>'רשימת מכשור 2015'!F481</f>
        <v>500</v>
      </c>
      <c r="G482" s="181">
        <v>1</v>
      </c>
      <c r="H482" s="181">
        <f t="shared" si="22"/>
        <v>500</v>
      </c>
      <c r="I482" s="182"/>
      <c r="J482" s="181">
        <v>1</v>
      </c>
      <c r="K482" s="181"/>
      <c r="L482" s="181">
        <v>1</v>
      </c>
      <c r="M482" s="181" t="str">
        <f t="shared" si="23"/>
        <v>לא לרכוש</v>
      </c>
      <c r="N482" s="181">
        <v>1000</v>
      </c>
      <c r="O482" s="183"/>
      <c r="P482" s="183">
        <v>2</v>
      </c>
      <c r="Q482" s="183"/>
    </row>
    <row r="483" spans="1:17" s="12" customFormat="1" ht="14.25" customHeight="1">
      <c r="A483" s="180" t="str">
        <f>'רשימת מכשור 2015'!A482</f>
        <v>משדר תדר</v>
      </c>
      <c r="B483" s="180" t="str">
        <f>'רשימת מכשור 2015'!B482</f>
        <v>MEGATRON</v>
      </c>
      <c r="C483" s="180" t="str">
        <f>'רשימת מכשור 2015'!C482</f>
        <v>MADO-FLS-AO</v>
      </c>
      <c r="D483" s="233" t="str">
        <f>'רשימת מכשור 2015'!D482</f>
        <v>CHILLER</v>
      </c>
      <c r="E483" s="180" t="str">
        <f>'רשימת מכשור 2015'!E482</f>
        <v>1-1-910-FT-2</v>
      </c>
      <c r="F483" s="180">
        <f>'רשימת מכשור 2015'!F482</f>
        <v>500</v>
      </c>
      <c r="G483" s="181">
        <v>1</v>
      </c>
      <c r="H483" s="181">
        <f t="shared" si="22"/>
        <v>500</v>
      </c>
      <c r="I483" s="182"/>
      <c r="J483" s="181">
        <v>1</v>
      </c>
      <c r="K483" s="181">
        <v>0</v>
      </c>
      <c r="L483" s="181">
        <v>1</v>
      </c>
      <c r="M483" s="181" t="str">
        <f t="shared" si="23"/>
        <v>לא לרכוש</v>
      </c>
      <c r="N483" s="181">
        <v>1000</v>
      </c>
      <c r="O483" s="183"/>
      <c r="P483" s="183">
        <v>2</v>
      </c>
      <c r="Q483" s="183"/>
    </row>
    <row r="484" spans="1:17" s="12" customFormat="1" ht="14.25" customHeight="1">
      <c r="A484" s="180" t="str">
        <f>'רשימת מכשור 2015'!A483</f>
        <v>משדר טמפרטורה</v>
      </c>
      <c r="B484" s="180" t="str">
        <f>'רשימת מכשור 2015'!B483</f>
        <v>ACI</v>
      </c>
      <c r="C484" s="180" t="str">
        <f>'רשימת מכשור 2015'!C483</f>
        <v>TT-100-I-4"-PB-NW</v>
      </c>
      <c r="D484" s="233" t="str">
        <f>'רשימת מכשור 2015'!D483</f>
        <v>CHILLER</v>
      </c>
      <c r="E484" s="180" t="str">
        <f>'רשימת מכשור 2015'!E483</f>
        <v>1-1-910-TT-1</v>
      </c>
      <c r="F484" s="180">
        <f>'רשימת מכשור 2015'!F483</f>
        <v>500</v>
      </c>
      <c r="G484" s="181">
        <v>1</v>
      </c>
      <c r="H484" s="181">
        <f t="shared" si="22"/>
        <v>500</v>
      </c>
      <c r="I484" s="182"/>
      <c r="J484" s="181">
        <v>1</v>
      </c>
      <c r="K484" s="181"/>
      <c r="L484" s="181">
        <v>1</v>
      </c>
      <c r="M484" s="181" t="str">
        <f t="shared" si="23"/>
        <v>לא לרכוש</v>
      </c>
      <c r="N484" s="181">
        <v>1000</v>
      </c>
      <c r="O484" s="183"/>
      <c r="P484" s="183">
        <v>6</v>
      </c>
      <c r="Q484" s="183"/>
    </row>
    <row r="485" spans="1:17" s="12" customFormat="1" ht="14.25" customHeight="1">
      <c r="A485" s="180" t="str">
        <f>'רשימת מכשור 2015'!A484</f>
        <v>משדר טמפרטורה</v>
      </c>
      <c r="B485" s="180" t="str">
        <f>'רשימת מכשור 2015'!B484</f>
        <v>ACI</v>
      </c>
      <c r="C485" s="180" t="str">
        <f>'רשימת מכשור 2015'!C484</f>
        <v>TT-100-I-4"-PB-NW</v>
      </c>
      <c r="D485" s="233" t="str">
        <f>'רשימת מכשור 2015'!D484</f>
        <v>CHILLER</v>
      </c>
      <c r="E485" s="180" t="str">
        <f>'רשימת מכשור 2015'!E484</f>
        <v>1-1-910-TT-2</v>
      </c>
      <c r="F485" s="180">
        <f>'רשימת מכשור 2015'!F484</f>
        <v>500</v>
      </c>
      <c r="G485" s="181">
        <v>1</v>
      </c>
      <c r="H485" s="181">
        <f t="shared" si="22"/>
        <v>500</v>
      </c>
      <c r="I485" s="182"/>
      <c r="J485" s="181">
        <v>1</v>
      </c>
      <c r="K485" s="181"/>
      <c r="L485" s="181">
        <v>1</v>
      </c>
      <c r="M485" s="181" t="str">
        <f t="shared" si="23"/>
        <v>לא לרכוש</v>
      </c>
      <c r="N485" s="181">
        <v>1000</v>
      </c>
      <c r="O485" s="183"/>
      <c r="P485" s="183">
        <v>6</v>
      </c>
      <c r="Q485" s="183"/>
    </row>
    <row r="486" spans="1:17" s="12" customFormat="1" ht="14.25" customHeight="1">
      <c r="A486" s="180" t="str">
        <f>'רשימת מכשור 2015'!A485</f>
        <v>משדר טמפרטורה</v>
      </c>
      <c r="B486" s="180" t="str">
        <f>'רשימת מכשור 2015'!B485</f>
        <v>ACI</v>
      </c>
      <c r="C486" s="180" t="str">
        <f>'רשימת מכשור 2015'!C485</f>
        <v>TT-100-I-4"-PB-NW</v>
      </c>
      <c r="D486" s="233" t="str">
        <f>'רשימת מכשור 2015'!D485</f>
        <v>CHILLER</v>
      </c>
      <c r="E486" s="180" t="str">
        <f>'רשימת מכשור 2015'!E485</f>
        <v>1-1-910-TT-3</v>
      </c>
      <c r="F486" s="180">
        <f>'רשימת מכשור 2015'!F485</f>
        <v>500</v>
      </c>
      <c r="G486" s="181">
        <v>1</v>
      </c>
      <c r="H486" s="181">
        <f t="shared" si="22"/>
        <v>500</v>
      </c>
      <c r="I486" s="182"/>
      <c r="J486" s="181">
        <v>1</v>
      </c>
      <c r="K486" s="181"/>
      <c r="L486" s="181">
        <v>1</v>
      </c>
      <c r="M486" s="181" t="str">
        <f t="shared" si="23"/>
        <v>לא לרכוש</v>
      </c>
      <c r="N486" s="181">
        <v>1000</v>
      </c>
      <c r="O486" s="183"/>
      <c r="P486" s="183">
        <v>6</v>
      </c>
      <c r="Q486" s="183"/>
    </row>
    <row r="487" spans="1:17" s="12" customFormat="1" ht="14.25" customHeight="1">
      <c r="A487" s="180" t="str">
        <f>'רשימת מכשור 2015'!A486</f>
        <v>משדר טמפרטורה</v>
      </c>
      <c r="B487" s="180" t="str">
        <f>'רשימת מכשור 2015'!B486</f>
        <v>ACI</v>
      </c>
      <c r="C487" s="180" t="str">
        <f>'רשימת מכשור 2015'!C486</f>
        <v>TT-100-I-4"-PB-NW</v>
      </c>
      <c r="D487" s="233" t="str">
        <f>'רשימת מכשור 2015'!D486</f>
        <v>CHILLER</v>
      </c>
      <c r="E487" s="180" t="str">
        <f>'רשימת מכשור 2015'!E486</f>
        <v>1-1-910-TT-4</v>
      </c>
      <c r="F487" s="180">
        <f>'רשימת מכשור 2015'!F486</f>
        <v>500</v>
      </c>
      <c r="G487" s="181">
        <v>1</v>
      </c>
      <c r="H487" s="181">
        <f t="shared" si="22"/>
        <v>500</v>
      </c>
      <c r="I487" s="182"/>
      <c r="J487" s="181">
        <v>1</v>
      </c>
      <c r="K487" s="181"/>
      <c r="L487" s="181">
        <v>1</v>
      </c>
      <c r="M487" s="181" t="str">
        <f t="shared" si="23"/>
        <v>לא לרכוש</v>
      </c>
      <c r="N487" s="181">
        <v>1000</v>
      </c>
      <c r="O487" s="183"/>
      <c r="P487" s="183">
        <v>6</v>
      </c>
      <c r="Q487" s="183"/>
    </row>
    <row r="488" spans="1:17" s="12" customFormat="1" ht="14.25" customHeight="1">
      <c r="A488" s="180" t="str">
        <f>'רשימת מכשור 2015'!A487</f>
        <v>משדר טמפרטורה</v>
      </c>
      <c r="B488" s="180" t="str">
        <f>'רשימת מכשור 2015'!B487</f>
        <v>ACI</v>
      </c>
      <c r="C488" s="180" t="str">
        <f>'רשימת מכשור 2015'!C487</f>
        <v>TT-100-I-4"-PB-NW</v>
      </c>
      <c r="D488" s="233" t="str">
        <f>'רשימת מכשור 2015'!D487</f>
        <v>CHILLER</v>
      </c>
      <c r="E488" s="180" t="str">
        <f>'רשימת מכשור 2015'!E487</f>
        <v>1-1-910-TT-5</v>
      </c>
      <c r="F488" s="180">
        <f>'רשימת מכשור 2015'!F487</f>
        <v>500</v>
      </c>
      <c r="G488" s="181">
        <v>1</v>
      </c>
      <c r="H488" s="181">
        <f t="shared" si="22"/>
        <v>500</v>
      </c>
      <c r="I488" s="182"/>
      <c r="J488" s="181">
        <v>1</v>
      </c>
      <c r="K488" s="181"/>
      <c r="L488" s="181">
        <v>1</v>
      </c>
      <c r="M488" s="181" t="str">
        <f t="shared" si="23"/>
        <v>לא לרכוש</v>
      </c>
      <c r="N488" s="181">
        <v>1000</v>
      </c>
      <c r="O488" s="183"/>
      <c r="P488" s="183">
        <v>6</v>
      </c>
      <c r="Q488" s="183"/>
    </row>
    <row r="489" spans="1:17" s="12" customFormat="1" ht="14.25" customHeight="1">
      <c r="A489" s="180" t="str">
        <f>'רשימת מכשור 2015'!A488</f>
        <v>משדר טמפרטורה</v>
      </c>
      <c r="B489" s="180" t="str">
        <f>'רשימת מכשור 2015'!B488</f>
        <v>ACI</v>
      </c>
      <c r="C489" s="180" t="str">
        <f>'רשימת מכשור 2015'!C488</f>
        <v>TT-100-I-4"-PB-NW</v>
      </c>
      <c r="D489" s="233" t="str">
        <f>'רשימת מכשור 2015'!D488</f>
        <v>CHILLER</v>
      </c>
      <c r="E489" s="180" t="str">
        <f>'רשימת מכשור 2015'!E488</f>
        <v>1-1-910-TT-6</v>
      </c>
      <c r="F489" s="180">
        <f>'רשימת מכשור 2015'!F488</f>
        <v>500</v>
      </c>
      <c r="G489" s="181">
        <v>1</v>
      </c>
      <c r="H489" s="181">
        <f t="shared" si="22"/>
        <v>500</v>
      </c>
      <c r="I489" s="182"/>
      <c r="J489" s="181">
        <v>1</v>
      </c>
      <c r="K489" s="181"/>
      <c r="L489" s="181">
        <v>1</v>
      </c>
      <c r="M489" s="181" t="str">
        <f t="shared" si="23"/>
        <v>לא לרכוש</v>
      </c>
      <c r="N489" s="181">
        <v>1000</v>
      </c>
      <c r="O489" s="183"/>
      <c r="P489" s="183">
        <v>6</v>
      </c>
      <c r="Q489" s="183"/>
    </row>
    <row r="490" spans="1:17" s="12" customFormat="1" ht="14.25" customHeight="1">
      <c r="A490" s="180" t="str">
        <f>'רשימת מכשור 2015'!A489</f>
        <v>מד טמפרטורה</v>
      </c>
      <c r="B490" s="180" t="str">
        <f>'רשימת מכשור 2015'!B489</f>
        <v>מדיד</v>
      </c>
      <c r="C490" s="180" t="str">
        <f>'רשימת מכשור 2015'!C489</f>
        <v>PT-100</v>
      </c>
      <c r="D490" s="233" t="str">
        <f>'רשימת מכשור 2015'!D489</f>
        <v>CHILLER</v>
      </c>
      <c r="E490" s="180" t="str">
        <f>'רשימת מכשור 2015'!E489</f>
        <v>1-1-99-TI-3</v>
      </c>
      <c r="F490" s="180">
        <f>'רשימת מכשור 2015'!F489</f>
        <v>500</v>
      </c>
      <c r="G490" s="181">
        <v>1</v>
      </c>
      <c r="H490" s="181">
        <f t="shared" si="22"/>
        <v>500</v>
      </c>
      <c r="I490" s="182"/>
      <c r="J490" s="181">
        <v>1</v>
      </c>
      <c r="K490" s="181"/>
      <c r="L490" s="181">
        <v>0.5</v>
      </c>
      <c r="M490" s="181" t="str">
        <f t="shared" si="23"/>
        <v>לא לרכוש</v>
      </c>
      <c r="N490" s="181">
        <v>1000</v>
      </c>
      <c r="O490" s="183"/>
      <c r="P490" s="183">
        <v>2</v>
      </c>
      <c r="Q490" s="183"/>
    </row>
    <row r="491" spans="1:17" s="12" customFormat="1" ht="14.25" customHeight="1">
      <c r="A491" s="180" t="str">
        <f>'רשימת מכשור 2015'!A490</f>
        <v>מד טמפרטורה</v>
      </c>
      <c r="B491" s="180" t="str">
        <f>'רשימת מכשור 2015'!B490</f>
        <v>מדיד</v>
      </c>
      <c r="C491" s="180" t="str">
        <f>'רשימת מכשור 2015'!C490</f>
        <v>PT-100</v>
      </c>
      <c r="D491" s="233" t="str">
        <f>'רשימת מכשור 2015'!D490</f>
        <v>CHILLER</v>
      </c>
      <c r="E491" s="180" t="str">
        <f>'רשימת מכשור 2015'!E490</f>
        <v>1-1-99-TI-4</v>
      </c>
      <c r="F491" s="180">
        <f>'רשימת מכשור 2015'!F490</f>
        <v>500</v>
      </c>
      <c r="G491" s="181">
        <v>1</v>
      </c>
      <c r="H491" s="181">
        <f t="shared" si="22"/>
        <v>500</v>
      </c>
      <c r="I491" s="182"/>
      <c r="J491" s="181">
        <v>1</v>
      </c>
      <c r="K491" s="181"/>
      <c r="L491" s="181">
        <v>0.5</v>
      </c>
      <c r="M491" s="181" t="str">
        <f t="shared" si="23"/>
        <v>לא לרכוש</v>
      </c>
      <c r="N491" s="181">
        <v>1000</v>
      </c>
      <c r="O491" s="183"/>
      <c r="P491" s="183">
        <v>2</v>
      </c>
      <c r="Q491" s="183"/>
    </row>
    <row r="492" spans="1:17" s="12" customFormat="1" ht="14.25" customHeight="1">
      <c r="A492" s="180" t="str">
        <f>'רשימת מכשור 2015'!A491</f>
        <v>משדר טמפרטורה</v>
      </c>
      <c r="B492" s="180" t="str">
        <f>'רשימת מכשור 2015'!B491</f>
        <v>Controtec.</v>
      </c>
      <c r="C492" s="180" t="str">
        <f>'רשימת מכשור 2015'!C491</f>
        <v>PT-100</v>
      </c>
      <c r="D492" s="233" t="str">
        <f>'רשימת מכשור 2015'!D491</f>
        <v>WH-B4 AHU-4</v>
      </c>
      <c r="E492" s="180" t="str">
        <f>'רשימת מכשור 2015'!E491</f>
        <v>1-4-4-TI-33</v>
      </c>
      <c r="F492" s="180">
        <f>'רשימת מכשור 2015'!F491</f>
        <v>500</v>
      </c>
      <c r="G492" s="181">
        <v>1</v>
      </c>
      <c r="H492" s="181">
        <f t="shared" si="22"/>
        <v>500</v>
      </c>
      <c r="I492" s="182"/>
      <c r="J492" s="181">
        <v>1</v>
      </c>
      <c r="K492" s="181">
        <v>1</v>
      </c>
      <c r="L492" s="181">
        <v>0.5</v>
      </c>
      <c r="M492" s="181" t="str">
        <f t="shared" si="23"/>
        <v>לרכוש</v>
      </c>
      <c r="N492" s="181">
        <v>1000</v>
      </c>
      <c r="O492" s="183"/>
      <c r="P492" s="183"/>
      <c r="Q492" s="183"/>
    </row>
    <row r="493" spans="1:17" s="12" customFormat="1" ht="14.25" customHeight="1">
      <c r="A493" s="180" t="str">
        <f>'רשימת מכשור 2015'!A492</f>
        <v>מפסק לחץ</v>
      </c>
      <c r="B493" s="180" t="str">
        <f>'רשימת מכשור 2015'!B492</f>
        <v>crouzet</v>
      </c>
      <c r="C493" s="180" t="str">
        <f>'רשימת מכשור 2015'!C492</f>
        <v>81 513 552</v>
      </c>
      <c r="D493" s="233" t="str">
        <f>'רשימת מכשור 2015'!D492</f>
        <v>PW PRODUCTION
2500</v>
      </c>
      <c r="E493" s="180" t="str">
        <f>'רשימת מכשור 2015'!E492</f>
        <v>1-1-604-PSL-003</v>
      </c>
      <c r="F493" s="180">
        <f>'רשימת מכשור 2015'!F492</f>
        <v>400</v>
      </c>
      <c r="G493" s="181">
        <v>1</v>
      </c>
      <c r="H493" s="181">
        <f t="shared" si="22"/>
        <v>400</v>
      </c>
      <c r="I493" s="182" t="s">
        <v>82</v>
      </c>
      <c r="J493" s="181">
        <v>1</v>
      </c>
      <c r="K493" s="181">
        <v>1</v>
      </c>
      <c r="L493" s="181">
        <v>0.5</v>
      </c>
      <c r="M493" s="181" t="str">
        <f t="shared" si="23"/>
        <v>לא לרכוש</v>
      </c>
      <c r="N493" s="181">
        <v>1000</v>
      </c>
      <c r="O493" s="183"/>
      <c r="P493" s="183">
        <v>4</v>
      </c>
      <c r="Q493" s="183"/>
    </row>
    <row r="494" spans="1:17" s="12" customFormat="1" ht="31.65" customHeight="1">
      <c r="A494" s="180" t="str">
        <f>'רשימת מכשור 2015'!A493</f>
        <v>מפסק לחץ</v>
      </c>
      <c r="B494" s="180" t="str">
        <f>'רשימת מכשור 2015'!B493</f>
        <v>crouzet</v>
      </c>
      <c r="C494" s="180" t="str">
        <f>'רשימת מכשור 2015'!C493</f>
        <v>81 513 552</v>
      </c>
      <c r="D494" s="233" t="str">
        <f>'רשימת מכשור 2015'!D493</f>
        <v>PW PRETREAMENT
2500</v>
      </c>
      <c r="E494" s="180" t="str">
        <f>'רשימת מכשור 2015'!E493</f>
        <v>1-1-605-PS-001</v>
      </c>
      <c r="F494" s="180">
        <f>'רשימת מכשור 2015'!F493</f>
        <v>400</v>
      </c>
      <c r="G494" s="181">
        <v>1</v>
      </c>
      <c r="H494" s="181">
        <f t="shared" si="22"/>
        <v>400</v>
      </c>
      <c r="I494" s="182" t="s">
        <v>82</v>
      </c>
      <c r="J494" s="181">
        <v>1</v>
      </c>
      <c r="K494" s="181">
        <v>1</v>
      </c>
      <c r="L494" s="181">
        <v>0.5</v>
      </c>
      <c r="M494" s="181" t="str">
        <f t="shared" si="23"/>
        <v>לא לרכוש</v>
      </c>
      <c r="N494" s="181">
        <v>1000</v>
      </c>
      <c r="O494" s="183"/>
      <c r="P494" s="183">
        <v>4</v>
      </c>
      <c r="Q494" s="183"/>
    </row>
    <row r="495" spans="1:17" s="12" customFormat="1" ht="14.25" customHeight="1">
      <c r="A495" s="180" t="str">
        <f>'רשימת מכשור 2015'!A494</f>
        <v>מפסק זרימה</v>
      </c>
      <c r="B495" s="180" t="str">
        <f>'רשימת מכשור 2015'!B494</f>
        <v>FengShen Refringeration</v>
      </c>
      <c r="C495" s="180" t="str">
        <f>'רשימת מכשור 2015'!C494</f>
        <v>FSF50P-1</v>
      </c>
      <c r="D495" s="233" t="str">
        <f>'רשימת מכשור 2015'!D494</f>
        <v>CHILLER</v>
      </c>
      <c r="E495" s="180" t="str">
        <f>'רשימת מכשור 2015'!E494</f>
        <v>1-1-910-FC-1</v>
      </c>
      <c r="F495" s="180">
        <f>'רשימת מכשור 2015'!F494</f>
        <v>400</v>
      </c>
      <c r="G495" s="181">
        <v>1</v>
      </c>
      <c r="H495" s="181">
        <f t="shared" si="22"/>
        <v>400</v>
      </c>
      <c r="I495" s="182"/>
      <c r="J495" s="181">
        <v>1</v>
      </c>
      <c r="K495" s="181"/>
      <c r="L495" s="181">
        <v>1</v>
      </c>
      <c r="M495" s="181" t="str">
        <f t="shared" si="23"/>
        <v>לא לרכוש</v>
      </c>
      <c r="N495" s="181">
        <v>1000</v>
      </c>
      <c r="O495" s="183"/>
      <c r="P495" s="183">
        <v>2</v>
      </c>
      <c r="Q495" s="183"/>
    </row>
    <row r="496" spans="1:17" s="12" customFormat="1" ht="14.25" customHeight="1">
      <c r="A496" s="180" t="str">
        <f>'רשימת מכשור 2015'!A495</f>
        <v>מפסק זרימה</v>
      </c>
      <c r="B496" s="180" t="str">
        <f>'רשימת מכשור 2015'!B495</f>
        <v>FengShen Refringeration</v>
      </c>
      <c r="C496" s="180" t="str">
        <f>'רשימת מכשור 2015'!C495</f>
        <v>FSF50P-1</v>
      </c>
      <c r="D496" s="233" t="str">
        <f>'רשימת מכשור 2015'!D495</f>
        <v>CHILLER</v>
      </c>
      <c r="E496" s="180" t="str">
        <f>'רשימת מכשור 2015'!E495</f>
        <v>1-1-910-FC-2</v>
      </c>
      <c r="F496" s="180">
        <f>'רשימת מכשור 2015'!F495</f>
        <v>400</v>
      </c>
      <c r="G496" s="181">
        <v>1</v>
      </c>
      <c r="H496" s="181">
        <f t="shared" si="22"/>
        <v>400</v>
      </c>
      <c r="I496" s="182"/>
      <c r="J496" s="181">
        <v>1</v>
      </c>
      <c r="K496" s="181"/>
      <c r="L496" s="181">
        <v>1</v>
      </c>
      <c r="M496" s="181" t="str">
        <f t="shared" si="23"/>
        <v>לא לרכוש</v>
      </c>
      <c r="N496" s="181">
        <v>1000</v>
      </c>
      <c r="O496" s="183"/>
      <c r="P496" s="183">
        <v>2</v>
      </c>
      <c r="Q496" s="183"/>
    </row>
    <row r="497" spans="1:17" s="12" customFormat="1" ht="14.25" customHeight="1">
      <c r="A497" s="180" t="str">
        <f>'רשימת מכשור 2015'!A496</f>
        <v>מפסק זרימה</v>
      </c>
      <c r="B497" s="180" t="str">
        <f>'רשימת מכשור 2015'!B496</f>
        <v>johnson control</v>
      </c>
      <c r="C497" s="180" t="str">
        <f>'רשימת מכשור 2015'!C496</f>
        <v>עלה</v>
      </c>
      <c r="D497" s="233" t="str">
        <f>'רשימת מכשור 2015'!D496</f>
        <v>CHILLER</v>
      </c>
      <c r="E497" s="180" t="str">
        <f>'רשימת מכשור 2015'!E496</f>
        <v>1-1-99-FS-2</v>
      </c>
      <c r="F497" s="180">
        <f>'רשימת מכשור 2015'!F496</f>
        <v>400</v>
      </c>
      <c r="G497" s="181">
        <v>1</v>
      </c>
      <c r="H497" s="181">
        <f t="shared" si="22"/>
        <v>400</v>
      </c>
      <c r="I497" s="182" t="s">
        <v>82</v>
      </c>
      <c r="J497" s="181">
        <v>1</v>
      </c>
      <c r="K497" s="181"/>
      <c r="L497" s="181">
        <v>0.5</v>
      </c>
      <c r="M497" s="181" t="str">
        <f t="shared" si="23"/>
        <v>לא לרכוש</v>
      </c>
      <c r="N497" s="181">
        <v>1000</v>
      </c>
      <c r="O497" s="183"/>
      <c r="P497" s="183">
        <v>1</v>
      </c>
      <c r="Q497" s="183"/>
    </row>
    <row r="498" spans="1:17" s="12" customFormat="1" ht="14.25" customHeight="1">
      <c r="A498" s="180" t="str">
        <f>'רשימת מכשור 2015'!A497</f>
        <v>כבל PH</v>
      </c>
      <c r="B498" s="180" t="str">
        <f>'רשימת מכשור 2015'!B497</f>
        <v>METTLER TOLEDO</v>
      </c>
      <c r="C498" s="180" t="str">
        <f>'רשימת מכשור 2015'!C497</f>
        <v>ak9/10m  100 001 002 ig</v>
      </c>
      <c r="D498" s="233" t="str">
        <f>'רשימת מכשור 2015'!D497</f>
        <v>HARVST</v>
      </c>
      <c r="E498" s="180" t="str">
        <f>'רשימת מכשור 2015'!E497</f>
        <v>1-1-27-PH-1</v>
      </c>
      <c r="F498" s="180">
        <f>'רשימת מכשור 2015'!F497</f>
        <v>371</v>
      </c>
      <c r="G498" s="181">
        <v>1</v>
      </c>
      <c r="H498" s="181">
        <f t="shared" si="22"/>
        <v>371</v>
      </c>
      <c r="I498" s="182"/>
      <c r="J498" s="181">
        <v>3</v>
      </c>
      <c r="K498" s="181">
        <v>1</v>
      </c>
      <c r="L498" s="181">
        <v>1</v>
      </c>
      <c r="M498" s="181" t="str">
        <f t="shared" si="23"/>
        <v>לרכוש</v>
      </c>
      <c r="N498" s="181">
        <v>1000</v>
      </c>
      <c r="O498" s="183"/>
      <c r="P498" s="183">
        <v>3</v>
      </c>
      <c r="Q498" s="183" t="s">
        <v>194</v>
      </c>
    </row>
    <row r="499" spans="1:17" s="12" customFormat="1" ht="14.25" customHeight="1">
      <c r="A499" s="180" t="str">
        <f>'רשימת מכשור 2015'!A498</f>
        <v>כבל PH</v>
      </c>
      <c r="B499" s="180" t="str">
        <f>'רשימת מכשור 2015'!B498</f>
        <v>METTLER TOLEDO</v>
      </c>
      <c r="C499" s="180" t="str">
        <f>'רשימת מכשור 2015'!C498</f>
        <v>ak9/10m  100 001 002 ig</v>
      </c>
      <c r="D499" s="233" t="str">
        <f>'רשימת מכשור 2015'!D498</f>
        <v>CRUDE</v>
      </c>
      <c r="E499" s="180" t="str">
        <f>'רשימת מכשור 2015'!E498</f>
        <v>1-1-31-PH-1</v>
      </c>
      <c r="F499" s="180">
        <f>'רשימת מכשור 2015'!F498</f>
        <v>371</v>
      </c>
      <c r="G499" s="181">
        <v>1</v>
      </c>
      <c r="H499" s="181">
        <f t="shared" si="22"/>
        <v>371</v>
      </c>
      <c r="I499" s="182"/>
      <c r="J499" s="181">
        <v>3</v>
      </c>
      <c r="K499" s="181">
        <v>1</v>
      </c>
      <c r="L499" s="181">
        <v>1</v>
      </c>
      <c r="M499" s="181" t="str">
        <f t="shared" si="23"/>
        <v>לרכוש</v>
      </c>
      <c r="N499" s="181">
        <v>1000</v>
      </c>
      <c r="O499" s="183"/>
      <c r="P499" s="183">
        <v>3</v>
      </c>
      <c r="Q499" s="183" t="s">
        <v>194</v>
      </c>
    </row>
    <row r="500" spans="1:17" s="12" customFormat="1" ht="14.25" customHeight="1">
      <c r="A500" s="180" t="str">
        <f>'רשימת מכשור 2015'!A499</f>
        <v>כבל PH</v>
      </c>
      <c r="B500" s="180" t="str">
        <f>'רשימת מכשור 2015'!B499</f>
        <v>METTLER TOLEDO</v>
      </c>
      <c r="C500" s="180" t="str">
        <f>'רשימת מכשור 2015'!C499</f>
        <v>ak9/10m  100 001 002 ig</v>
      </c>
      <c r="D500" s="233" t="str">
        <f>'רשימת מכשור 2015'!D499</f>
        <v>MEDIA</v>
      </c>
      <c r="E500" s="180" t="str">
        <f>'רשימת מכשור 2015'!E499</f>
        <v>1-1-8-PH-1</v>
      </c>
      <c r="F500" s="180">
        <f>'רשימת מכשור 2015'!F499</f>
        <v>371</v>
      </c>
      <c r="G500" s="181">
        <v>1</v>
      </c>
      <c r="H500" s="181">
        <f t="shared" si="22"/>
        <v>371</v>
      </c>
      <c r="I500" s="182"/>
      <c r="J500" s="181">
        <v>3</v>
      </c>
      <c r="K500" s="181">
        <v>1</v>
      </c>
      <c r="L500" s="181">
        <v>1</v>
      </c>
      <c r="M500" s="181" t="str">
        <f t="shared" si="23"/>
        <v>לרכוש</v>
      </c>
      <c r="N500" s="181">
        <v>1000</v>
      </c>
      <c r="O500" s="183"/>
      <c r="P500" s="183">
        <v>3</v>
      </c>
      <c r="Q500" s="183" t="s">
        <v>194</v>
      </c>
    </row>
    <row r="501" spans="1:17" s="12" customFormat="1" ht="14.25" customHeight="1">
      <c r="A501" s="180" t="str">
        <f>'רשימת מכשור 2015'!A500</f>
        <v>כבל מוליכות</v>
      </c>
      <c r="B501" s="180" t="str">
        <f>'רשימת מכשור 2015'!B500</f>
        <v>METTLER TOLEDO</v>
      </c>
      <c r="C501" s="180" t="str">
        <f>'רשימת מכשור 2015'!C500</f>
        <v>58 080 204</v>
      </c>
      <c r="D501" s="233" t="str">
        <f>'רשימת מכשור 2015'!D500</f>
        <v>MEDIA</v>
      </c>
      <c r="E501" s="180" t="str">
        <f>'רשימת מכשור 2015'!E500</f>
        <v>1-1-8-CIC-1</v>
      </c>
      <c r="F501" s="180">
        <f>'רשימת מכשור 2015'!F500</f>
        <v>360</v>
      </c>
      <c r="G501" s="181">
        <v>1</v>
      </c>
      <c r="H501" s="181">
        <f t="shared" si="22"/>
        <v>360</v>
      </c>
      <c r="I501" s="182" t="s">
        <v>82</v>
      </c>
      <c r="J501" s="181">
        <v>1</v>
      </c>
      <c r="K501" s="181">
        <v>1</v>
      </c>
      <c r="L501" s="181">
        <v>1</v>
      </c>
      <c r="M501" s="181" t="str">
        <f t="shared" si="23"/>
        <v>לא לרכוש</v>
      </c>
      <c r="N501" s="181">
        <v>1000</v>
      </c>
      <c r="O501" s="183"/>
      <c r="P501" s="183">
        <v>4</v>
      </c>
      <c r="Q501" s="183" t="s">
        <v>194</v>
      </c>
    </row>
    <row r="502" spans="1:17" s="12" customFormat="1" ht="14.25" customHeight="1">
      <c r="A502" s="180" t="str">
        <f>'רשימת מכשור 2015'!A501</f>
        <v>כבל מוליכות</v>
      </c>
      <c r="B502" s="180" t="str">
        <f>'רשימת מכשור 2015'!B501</f>
        <v>METTLER TOLEDO</v>
      </c>
      <c r="C502" s="180" t="str">
        <f>'רשימת מכשור 2015'!C501</f>
        <v>58 080 204</v>
      </c>
      <c r="D502" s="233" t="str">
        <f>'רשימת מכשור 2015'!D501</f>
        <v>HARVST</v>
      </c>
      <c r="E502" s="180" t="str">
        <f>'רשימת מכשור 2015'!E501</f>
        <v>1-1-27-PH-1</v>
      </c>
      <c r="F502" s="180">
        <f>'רשימת מכשור 2015'!F501</f>
        <v>360</v>
      </c>
      <c r="G502" s="181">
        <v>1</v>
      </c>
      <c r="H502" s="181">
        <f t="shared" si="22"/>
        <v>360</v>
      </c>
      <c r="I502" s="182" t="s">
        <v>82</v>
      </c>
      <c r="J502" s="181">
        <v>1</v>
      </c>
      <c r="K502" s="181">
        <v>1</v>
      </c>
      <c r="L502" s="181">
        <v>1</v>
      </c>
      <c r="M502" s="181" t="str">
        <f t="shared" si="23"/>
        <v>לא לרכוש</v>
      </c>
      <c r="N502" s="181">
        <v>1000</v>
      </c>
      <c r="O502" s="183"/>
      <c r="P502" s="183">
        <v>4</v>
      </c>
      <c r="Q502" s="183" t="s">
        <v>194</v>
      </c>
    </row>
    <row r="503" spans="1:17" s="12" customFormat="1" ht="14.25" customHeight="1">
      <c r="A503" s="180" t="str">
        <f>'רשימת מכשור 2015'!A502</f>
        <v>כבל מוליכות</v>
      </c>
      <c r="B503" s="180" t="str">
        <f>'רשימת מכשור 2015'!B502</f>
        <v>METTLER TOLEDO</v>
      </c>
      <c r="C503" s="180" t="str">
        <f>'רשימת מכשור 2015'!C502</f>
        <v>58 080 205</v>
      </c>
      <c r="D503" s="233" t="str">
        <f>'רשימת מכשור 2015'!D502</f>
        <v>NaOH</v>
      </c>
      <c r="E503" s="180" t="str">
        <f>'רשימת מכשור 2015'!E502</f>
        <v>1-1-5-CIC-1</v>
      </c>
      <c r="F503" s="180">
        <f>'רשימת מכשור 2015'!F502</f>
        <v>360</v>
      </c>
      <c r="G503" s="181">
        <v>1</v>
      </c>
      <c r="H503" s="181">
        <f t="shared" si="22"/>
        <v>360</v>
      </c>
      <c r="I503" s="182" t="s">
        <v>82</v>
      </c>
      <c r="J503" s="181">
        <v>1</v>
      </c>
      <c r="K503" s="181">
        <v>1</v>
      </c>
      <c r="L503" s="181">
        <v>1</v>
      </c>
      <c r="M503" s="181" t="str">
        <f t="shared" si="23"/>
        <v>לא לרכוש</v>
      </c>
      <c r="N503" s="181">
        <v>1000</v>
      </c>
      <c r="O503" s="183"/>
      <c r="P503" s="183">
        <v>4</v>
      </c>
      <c r="Q503" s="183" t="s">
        <v>194</v>
      </c>
    </row>
    <row r="504" spans="1:17" s="12" customFormat="1" ht="14.25" customHeight="1">
      <c r="A504" s="180" t="str">
        <f>'רשימת מכשור 2015'!A503</f>
        <v>כבל מוליכות</v>
      </c>
      <c r="B504" s="180" t="str">
        <f>'רשימת מכשור 2015'!B503</f>
        <v>METTLER TOLEDO</v>
      </c>
      <c r="C504" s="180" t="str">
        <f>'רשימת מכשור 2015'!C503</f>
        <v>58 080 205</v>
      </c>
      <c r="D504" s="233" t="str">
        <f>'רשימת מכשור 2015'!D503</f>
        <v>ACID</v>
      </c>
      <c r="E504" s="180" t="str">
        <f>'רשימת מכשור 2015'!E503</f>
        <v>1-1-141-CIC-1</v>
      </c>
      <c r="F504" s="180">
        <f>'רשימת מכשור 2015'!F503</f>
        <v>360</v>
      </c>
      <c r="G504" s="181">
        <v>1</v>
      </c>
      <c r="H504" s="181">
        <f t="shared" si="22"/>
        <v>360</v>
      </c>
      <c r="I504" s="182" t="s">
        <v>82</v>
      </c>
      <c r="J504" s="181">
        <v>1</v>
      </c>
      <c r="K504" s="181">
        <v>1</v>
      </c>
      <c r="L504" s="181">
        <v>1</v>
      </c>
      <c r="M504" s="181" t="str">
        <f t="shared" si="23"/>
        <v>לא לרכוש</v>
      </c>
      <c r="N504" s="181">
        <v>1000</v>
      </c>
      <c r="O504" s="183"/>
      <c r="P504" s="183">
        <v>4</v>
      </c>
      <c r="Q504" s="183" t="s">
        <v>194</v>
      </c>
    </row>
    <row r="505" spans="1:17" s="12" customFormat="1" ht="14.25" customHeight="1">
      <c r="A505" s="180" t="str">
        <f>'רשימת מכשור 2015'!A504</f>
        <v>מפסק לחץ</v>
      </c>
      <c r="B505" s="180" t="str">
        <f>'רשימת מכשור 2015'!B504</f>
        <v>crouzet</v>
      </c>
      <c r="C505" s="180" t="str">
        <f>'רשימת מכשור 2015'!C504</f>
        <v>81 513 552</v>
      </c>
      <c r="D505" s="233" t="str">
        <f>'רשימת מכשור 2015'!D504</f>
        <v>RO PRODUCTION</v>
      </c>
      <c r="E505" s="180" t="str">
        <f>'רשימת מכשור 2015'!E504</f>
        <v>1-1-133-PS-1</v>
      </c>
      <c r="F505" s="180">
        <f>'רשימת מכשור 2015'!F504</f>
        <v>350</v>
      </c>
      <c r="G505" s="181">
        <v>1</v>
      </c>
      <c r="H505" s="181">
        <f t="shared" si="22"/>
        <v>350</v>
      </c>
      <c r="I505" s="182" t="s">
        <v>82</v>
      </c>
      <c r="J505" s="181">
        <v>1</v>
      </c>
      <c r="K505" s="181">
        <v>1</v>
      </c>
      <c r="L505" s="181">
        <v>0.5</v>
      </c>
      <c r="M505" s="181" t="str">
        <f t="shared" si="23"/>
        <v>לא לרכוש</v>
      </c>
      <c r="N505" s="181">
        <v>1000</v>
      </c>
      <c r="O505" s="183"/>
      <c r="P505" s="183">
        <v>4</v>
      </c>
      <c r="Q505" s="183"/>
    </row>
    <row r="506" spans="1:17" s="12" customFormat="1" ht="14.25" customHeight="1">
      <c r="A506" s="180" t="str">
        <f>'רשימת מכשור 2015'!A505</f>
        <v>מד טמפרטורה</v>
      </c>
      <c r="B506" s="180" t="str">
        <f>'רשימת מכשור 2015'!B505</f>
        <v>milan</v>
      </c>
      <c r="C506" s="180" t="str">
        <f>'רשימת מכשור 2015'!C505</f>
        <v>pt -100</v>
      </c>
      <c r="D506" s="233" t="str">
        <f>'רשימת מכשור 2015'!D505</f>
        <v>PW פיילוט</v>
      </c>
      <c r="E506" s="180" t="str">
        <f>'רשימת מכשור 2015'!E505</f>
        <v>1-TI-1</v>
      </c>
      <c r="F506" s="180">
        <f>'רשימת מכשור 2015'!F505</f>
        <v>300</v>
      </c>
      <c r="G506" s="181">
        <v>1</v>
      </c>
      <c r="H506" s="181">
        <f t="shared" si="22"/>
        <v>300</v>
      </c>
      <c r="I506" s="186"/>
      <c r="J506" s="181">
        <v>1</v>
      </c>
      <c r="K506" s="181">
        <v>0</v>
      </c>
      <c r="L506" s="181">
        <v>0.5</v>
      </c>
      <c r="M506" s="181" t="str">
        <f t="shared" si="23"/>
        <v>לא לרכוש</v>
      </c>
      <c r="N506" s="181">
        <v>1000</v>
      </c>
      <c r="O506" s="183"/>
      <c r="P506" s="183">
        <v>1</v>
      </c>
      <c r="Q506" s="183"/>
    </row>
    <row r="507" spans="1:17" s="12" customFormat="1" ht="14.25" customHeight="1">
      <c r="A507" s="180" t="str">
        <f>'רשימת מכשור 2015'!A506</f>
        <v>מד טמפרטורה</v>
      </c>
      <c r="B507" s="180" t="str">
        <f>'רשימת מכשור 2015'!B506</f>
        <v>milan</v>
      </c>
      <c r="C507" s="180" t="str">
        <f>'רשימת מכשור 2015'!C506</f>
        <v>pt -100</v>
      </c>
      <c r="D507" s="233" t="str">
        <f>'רשימת מכשור 2015'!D506</f>
        <v>PW פיילוט</v>
      </c>
      <c r="E507" s="180" t="str">
        <f>'רשימת מכשור 2015'!E506</f>
        <v>1-TIC-2</v>
      </c>
      <c r="F507" s="180">
        <f>'רשימת מכשור 2015'!F506</f>
        <v>300</v>
      </c>
      <c r="G507" s="181">
        <v>1</v>
      </c>
      <c r="H507" s="181">
        <f t="shared" si="22"/>
        <v>300</v>
      </c>
      <c r="I507" s="186"/>
      <c r="J507" s="181">
        <v>1</v>
      </c>
      <c r="K507" s="181">
        <v>0</v>
      </c>
      <c r="L507" s="183">
        <v>0.5</v>
      </c>
      <c r="M507" s="181" t="str">
        <f t="shared" si="23"/>
        <v>לא לרכוש</v>
      </c>
      <c r="N507" s="181">
        <v>1000</v>
      </c>
      <c r="O507" s="183"/>
      <c r="P507" s="183">
        <v>1</v>
      </c>
      <c r="Q507" s="183" t="s">
        <v>85</v>
      </c>
    </row>
    <row r="508" spans="1:17" s="12" customFormat="1" ht="14.25" customHeight="1">
      <c r="A508" s="180" t="str">
        <f>'רשימת מכשור 2015'!A507</f>
        <v>מד טמפרטורה</v>
      </c>
      <c r="B508" s="180" t="str">
        <f>'רשימת מכשור 2015'!B507</f>
        <v>milan</v>
      </c>
      <c r="C508" s="180" t="str">
        <f>'רשימת מכשור 2015'!C507</f>
        <v>pt -100</v>
      </c>
      <c r="D508" s="233" t="str">
        <f>'רשימת מכשור 2015'!D507</f>
        <v>PW פיילוט</v>
      </c>
      <c r="E508" s="180" t="str">
        <f>'רשימת מכשור 2015'!E507</f>
        <v>1-TIC-4</v>
      </c>
      <c r="F508" s="180">
        <f>'רשימת מכשור 2015'!F507</f>
        <v>300</v>
      </c>
      <c r="G508" s="181">
        <v>1</v>
      </c>
      <c r="H508" s="181">
        <f t="shared" si="22"/>
        <v>300</v>
      </c>
      <c r="I508" s="186"/>
      <c r="J508" s="181">
        <v>1</v>
      </c>
      <c r="K508" s="181">
        <v>1</v>
      </c>
      <c r="L508" s="183">
        <v>0.5</v>
      </c>
      <c r="M508" s="181" t="str">
        <f t="shared" si="23"/>
        <v>לרכוש</v>
      </c>
      <c r="N508" s="181">
        <v>1000</v>
      </c>
      <c r="O508" s="183"/>
      <c r="P508" s="183">
        <v>1</v>
      </c>
      <c r="Q508" s="183" t="s">
        <v>85</v>
      </c>
    </row>
    <row r="509" spans="1:17" s="12" customFormat="1" ht="14.25" customHeight="1">
      <c r="A509" s="180" t="str">
        <f>'רשימת מכשור 2015'!A508</f>
        <v>מד טמפרטורה</v>
      </c>
      <c r="B509" s="180" t="str">
        <f>'רשימת מכשור 2015'!B508</f>
        <v>milan</v>
      </c>
      <c r="C509" s="180" t="str">
        <f>'רשימת מכשור 2015'!C508</f>
        <v>pt -100</v>
      </c>
      <c r="D509" s="233" t="str">
        <f>'רשימת מכשור 2015'!D508</f>
        <v>PW פיילוט</v>
      </c>
      <c r="E509" s="180" t="str">
        <f>'רשימת מכשור 2015'!E508</f>
        <v>1-TIC-5</v>
      </c>
      <c r="F509" s="180">
        <f>'רשימת מכשור 2015'!F508</f>
        <v>300</v>
      </c>
      <c r="G509" s="181">
        <v>1</v>
      </c>
      <c r="H509" s="181">
        <f t="shared" si="22"/>
        <v>300</v>
      </c>
      <c r="I509" s="188" t="s">
        <v>82</v>
      </c>
      <c r="J509" s="187">
        <v>1</v>
      </c>
      <c r="K509" s="187">
        <v>1</v>
      </c>
      <c r="L509" s="187">
        <v>0.5</v>
      </c>
      <c r="M509" s="187" t="str">
        <f t="shared" si="23"/>
        <v>לא לרכוש</v>
      </c>
      <c r="N509" s="187">
        <v>1000</v>
      </c>
      <c r="O509" s="187"/>
      <c r="P509" s="187">
        <v>1</v>
      </c>
      <c r="Q509" s="192" t="s">
        <v>86</v>
      </c>
    </row>
    <row r="510" spans="1:17" s="12" customFormat="1" ht="14.25" customHeight="1">
      <c r="A510" s="180" t="str">
        <f>'רשימת מכשור 2015'!A509</f>
        <v>מפסק לחץ הפרשי</v>
      </c>
      <c r="B510" s="180" t="str">
        <f>'רשימת מכשור 2015'!B509</f>
        <v>Beck</v>
      </c>
      <c r="C510" s="180">
        <f>'רשימת מכשור 2015'!C509</f>
        <v>930.83</v>
      </c>
      <c r="D510" s="233" t="str">
        <f>'רשימת מכשור 2015'!D509</f>
        <v>51001-AHU-01</v>
      </c>
      <c r="E510" s="180" t="str">
        <f>'רשימת מכשור 2015'!E509</f>
        <v>1-1-51001-PDS-01/1</v>
      </c>
      <c r="F510" s="180">
        <f>'רשימת מכשור 2015'!F509</f>
        <v>300</v>
      </c>
      <c r="G510" s="181">
        <v>1</v>
      </c>
      <c r="H510" s="181">
        <f t="shared" si="22"/>
        <v>300</v>
      </c>
      <c r="I510" s="182" t="s">
        <v>82</v>
      </c>
      <c r="J510" s="181">
        <v>1</v>
      </c>
      <c r="K510" s="181">
        <v>1</v>
      </c>
      <c r="L510" s="181">
        <v>0.5</v>
      </c>
      <c r="M510" s="181" t="str">
        <f t="shared" si="23"/>
        <v>לא לרכוש</v>
      </c>
      <c r="N510" s="181">
        <v>1000</v>
      </c>
      <c r="O510" s="183"/>
      <c r="P510" s="183">
        <v>4</v>
      </c>
      <c r="Q510" s="183"/>
    </row>
    <row r="511" spans="1:17" s="12" customFormat="1" ht="14.25" customHeight="1">
      <c r="A511" s="180" t="str">
        <f>'רשימת מכשור 2015'!A510</f>
        <v>מפסק לחץ הפרשי</v>
      </c>
      <c r="B511" s="180" t="str">
        <f>'רשימת מכשור 2015'!B510</f>
        <v>Deck</v>
      </c>
      <c r="C511" s="180">
        <f>'רשימת מכשור 2015'!C510</f>
        <v>930.83</v>
      </c>
      <c r="D511" s="233" t="str">
        <f>'רשימת מכשור 2015'!D510</f>
        <v>51001-AHU-02</v>
      </c>
      <c r="E511" s="180" t="str">
        <f>'רשימת מכשור 2015'!E510</f>
        <v>1-1-51001-PDS-02/02</v>
      </c>
      <c r="F511" s="180">
        <f>'רשימת מכשור 2015'!F510</f>
        <v>300</v>
      </c>
      <c r="G511" s="181">
        <v>1</v>
      </c>
      <c r="H511" s="181">
        <f t="shared" si="22"/>
        <v>300</v>
      </c>
      <c r="I511" s="182" t="s">
        <v>82</v>
      </c>
      <c r="J511" s="181">
        <v>1</v>
      </c>
      <c r="K511" s="181">
        <v>1</v>
      </c>
      <c r="L511" s="181">
        <v>0.5</v>
      </c>
      <c r="M511" s="181" t="str">
        <f t="shared" si="23"/>
        <v>לא לרכוש</v>
      </c>
      <c r="N511" s="181">
        <v>1000</v>
      </c>
      <c r="O511" s="183"/>
      <c r="P511" s="183">
        <v>4</v>
      </c>
      <c r="Q511" s="183"/>
    </row>
    <row r="512" spans="1:17" s="12" customFormat="1" ht="14.25" customHeight="1">
      <c r="A512" s="180" t="str">
        <f>'רשימת מכשור 2015'!A511</f>
        <v>מפסק לחץ הפרשי</v>
      </c>
      <c r="B512" s="180" t="str">
        <f>'רשימת מכשור 2015'!B511</f>
        <v>Deck</v>
      </c>
      <c r="C512" s="180">
        <f>'רשימת מכשור 2015'!C511</f>
        <v>930.83</v>
      </c>
      <c r="D512" s="233" t="str">
        <f>'רשימת מכשור 2015'!D511</f>
        <v>51001-AHU-03</v>
      </c>
      <c r="E512" s="180" t="str">
        <f>'רשימת מכשור 2015'!E511</f>
        <v>1-1-51001-PDS-03/1</v>
      </c>
      <c r="F512" s="180">
        <f>'רשימת מכשור 2015'!F511</f>
        <v>300</v>
      </c>
      <c r="G512" s="181">
        <v>1</v>
      </c>
      <c r="H512" s="181">
        <f t="shared" si="22"/>
        <v>300</v>
      </c>
      <c r="I512" s="182" t="s">
        <v>82</v>
      </c>
      <c r="J512" s="181">
        <v>1</v>
      </c>
      <c r="K512" s="181">
        <v>1</v>
      </c>
      <c r="L512" s="181">
        <v>0.5</v>
      </c>
      <c r="M512" s="181" t="str">
        <f t="shared" si="23"/>
        <v>לא לרכוש</v>
      </c>
      <c r="N512" s="181">
        <v>1000</v>
      </c>
      <c r="O512" s="183"/>
      <c r="P512" s="183">
        <v>4</v>
      </c>
      <c r="Q512" s="183"/>
    </row>
    <row r="513" spans="1:17" s="12" customFormat="1" ht="14.25" customHeight="1">
      <c r="A513" s="180" t="str">
        <f>'רשימת מכשור 2015'!A512</f>
        <v>מפסק לחץ הפרשי</v>
      </c>
      <c r="B513" s="180" t="str">
        <f>'רשימת מכשור 2015'!B512</f>
        <v>Deck</v>
      </c>
      <c r="C513" s="180">
        <f>'רשימת מכשור 2015'!C512</f>
        <v>930.83</v>
      </c>
      <c r="D513" s="233" t="str">
        <f>'רשימת מכשור 2015'!D512</f>
        <v>51001-AHU-03</v>
      </c>
      <c r="E513" s="180" t="str">
        <f>'רשימת מכשור 2015'!E512</f>
        <v>1-1-51001-PDS-03/2</v>
      </c>
      <c r="F513" s="180">
        <f>'רשימת מכשור 2015'!F512</f>
        <v>300</v>
      </c>
      <c r="G513" s="181">
        <v>1</v>
      </c>
      <c r="H513" s="181">
        <f t="shared" si="22"/>
        <v>300</v>
      </c>
      <c r="I513" s="182" t="s">
        <v>82</v>
      </c>
      <c r="J513" s="181">
        <v>1</v>
      </c>
      <c r="K513" s="181">
        <v>1</v>
      </c>
      <c r="L513" s="181">
        <v>0.5</v>
      </c>
      <c r="M513" s="181" t="str">
        <f t="shared" si="23"/>
        <v>לא לרכוש</v>
      </c>
      <c r="N513" s="181">
        <v>1000</v>
      </c>
      <c r="O513" s="183"/>
      <c r="P513" s="183">
        <v>4</v>
      </c>
      <c r="Q513" s="183"/>
    </row>
    <row r="514" spans="1:17" s="12" customFormat="1" ht="14.25" customHeight="1">
      <c r="A514" s="180" t="str">
        <f>'רשימת מכשור 2015'!A513</f>
        <v>מד טמפרטורה</v>
      </c>
      <c r="B514" s="180" t="str">
        <f>'רשימת מכשור 2015'!B513</f>
        <v>מגטרון</v>
      </c>
      <c r="C514" s="180" t="str">
        <f>'רשימת מכשור 2015'!C513</f>
        <v>PT-100</v>
      </c>
      <c r="D514" s="233" t="str">
        <f>'רשימת מכשור 2015'!D513</f>
        <v>AHU-1 PILOT</v>
      </c>
      <c r="E514" s="180" t="str">
        <f>'רשימת מכשור 2015'!E513</f>
        <v>1-2-3 -TI-465</v>
      </c>
      <c r="F514" s="180">
        <f>'רשימת מכשור 2015'!F513</f>
        <v>300</v>
      </c>
      <c r="G514" s="181">
        <v>1</v>
      </c>
      <c r="H514" s="181">
        <f t="shared" si="22"/>
        <v>300</v>
      </c>
      <c r="I514" s="182"/>
      <c r="J514" s="181">
        <v>1</v>
      </c>
      <c r="K514" s="181">
        <v>1</v>
      </c>
      <c r="L514" s="181">
        <v>0.2</v>
      </c>
      <c r="M514" s="181" t="str">
        <f t="shared" si="23"/>
        <v>לרכוש</v>
      </c>
      <c r="N514" s="181">
        <v>1000</v>
      </c>
      <c r="O514" s="183"/>
      <c r="P514" s="183">
        <v>77</v>
      </c>
      <c r="Q514" s="183"/>
    </row>
    <row r="515" spans="1:17" s="12" customFormat="1" ht="14.25" customHeight="1">
      <c r="A515" s="180" t="str">
        <f>'רשימת מכשור 2015'!A514</f>
        <v>מד טמפרטורה</v>
      </c>
      <c r="B515" s="180" t="str">
        <f>'רשימת מכשור 2015'!B514</f>
        <v>מגטרון</v>
      </c>
      <c r="C515" s="180" t="str">
        <f>'רשימת מכשור 2015'!C514</f>
        <v>PT-100</v>
      </c>
      <c r="D515" s="233" t="str">
        <f>'רשימת מכשור 2015'!D514</f>
        <v>AHU-1 PILOT</v>
      </c>
      <c r="E515" s="180" t="str">
        <f>'רשימת מכשור 2015'!E514</f>
        <v>1-2- 3-TI-453</v>
      </c>
      <c r="F515" s="180">
        <f>'רשימת מכשור 2015'!F514</f>
        <v>300</v>
      </c>
      <c r="G515" s="181">
        <v>1</v>
      </c>
      <c r="H515" s="181">
        <f t="shared" si="22"/>
        <v>300</v>
      </c>
      <c r="I515" s="182"/>
      <c r="J515" s="181">
        <v>1</v>
      </c>
      <c r="K515" s="181">
        <v>1</v>
      </c>
      <c r="L515" s="181">
        <v>0.2</v>
      </c>
      <c r="M515" s="181" t="str">
        <f t="shared" si="23"/>
        <v>לרכוש</v>
      </c>
      <c r="N515" s="181">
        <v>1000</v>
      </c>
      <c r="O515" s="183"/>
      <c r="P515" s="183">
        <v>77</v>
      </c>
      <c r="Q515" s="183"/>
    </row>
    <row r="516" spans="1:17" s="12" customFormat="1" ht="14.25" customHeight="1">
      <c r="A516" s="180" t="str">
        <f>'רשימת מכשור 2015'!A515</f>
        <v>אינקודר</v>
      </c>
      <c r="B516" s="180" t="str">
        <f>'רשימת מכשור 2015'!B515</f>
        <v>Autonics</v>
      </c>
      <c r="C516" s="180" t="str">
        <f>'רשימת מכשור 2015'!C515</f>
        <v>E50S8-500-2-T-24</v>
      </c>
      <c r="D516" s="233" t="str">
        <f>'רשימת מכשור 2015'!D515</f>
        <v>pilot monitoring</v>
      </c>
      <c r="E516" s="180" t="str">
        <f>'רשימת מכשור 2015'!E515</f>
        <v>1-2- 3-SI-1</v>
      </c>
      <c r="F516" s="180">
        <f>'רשימת מכשור 2015'!F515</f>
        <v>300</v>
      </c>
      <c r="G516" s="181">
        <v>1</v>
      </c>
      <c r="H516" s="181">
        <f t="shared" si="22"/>
        <v>300</v>
      </c>
      <c r="I516" s="182" t="s">
        <v>82</v>
      </c>
      <c r="J516" s="181">
        <v>1</v>
      </c>
      <c r="K516" s="181">
        <v>1</v>
      </c>
      <c r="L516" s="181">
        <v>0.2</v>
      </c>
      <c r="M516" s="181" t="str">
        <f t="shared" si="23"/>
        <v>לא לרכוש</v>
      </c>
      <c r="N516" s="181">
        <v>1000</v>
      </c>
      <c r="O516" s="183"/>
      <c r="P516" s="183">
        <v>6</v>
      </c>
      <c r="Q516" s="183"/>
    </row>
    <row r="517" spans="1:17" s="12" customFormat="1" ht="14.25" customHeight="1">
      <c r="A517" s="180" t="str">
        <f>'רשימת מכשור 2015'!A516</f>
        <v>מד טמפרטורה</v>
      </c>
      <c r="B517" s="180" t="str">
        <f>'רשימת מכשור 2015'!B516</f>
        <v>מגטרון</v>
      </c>
      <c r="C517" s="180" t="str">
        <f>'רשימת מכשור 2015'!C516</f>
        <v>PT-100</v>
      </c>
      <c r="D517" s="233" t="str">
        <f>'רשימת מכשור 2015'!D516</f>
        <v>AHU-1 PILOT</v>
      </c>
      <c r="E517" s="180" t="str">
        <f>'רשימת מכשור 2015'!E516</f>
        <v xml:space="preserve"> 1-2-3-RER-1</v>
      </c>
      <c r="F517" s="180">
        <f>'רשימת מכשור 2015'!F516</f>
        <v>300</v>
      </c>
      <c r="G517" s="181">
        <v>1</v>
      </c>
      <c r="H517" s="181">
        <f t="shared" si="22"/>
        <v>300</v>
      </c>
      <c r="I517" s="182" t="s">
        <v>82</v>
      </c>
      <c r="J517" s="181">
        <v>1</v>
      </c>
      <c r="K517" s="181">
        <v>1</v>
      </c>
      <c r="L517" s="181">
        <v>0.2</v>
      </c>
      <c r="M517" s="181" t="str">
        <f t="shared" si="23"/>
        <v>לא לרכוש</v>
      </c>
      <c r="N517" s="181">
        <v>1000</v>
      </c>
      <c r="O517" s="183"/>
      <c r="P517" s="183">
        <v>77</v>
      </c>
      <c r="Q517" s="183"/>
    </row>
    <row r="518" spans="1:17" s="12" customFormat="1" ht="14.25" customHeight="1">
      <c r="A518" s="180" t="str">
        <f>'רשימת מכשור 2015'!A517</f>
        <v>מד טמפרטורה</v>
      </c>
      <c r="B518" s="180" t="str">
        <f>'רשימת מכשור 2015'!B517</f>
        <v>מגטרון</v>
      </c>
      <c r="C518" s="180" t="str">
        <f>'רשימת מכשור 2015'!C517</f>
        <v>PT-100</v>
      </c>
      <c r="D518" s="233" t="str">
        <f>'רשימת מכשור 2015'!D517</f>
        <v>AHU-1 PILOT</v>
      </c>
      <c r="E518" s="180" t="str">
        <f>'רשימת מכשור 2015'!E517</f>
        <v xml:space="preserve"> 1-2-3-TI-1</v>
      </c>
      <c r="F518" s="180">
        <f>'רשימת מכשור 2015'!F517</f>
        <v>300</v>
      </c>
      <c r="G518" s="181">
        <v>1</v>
      </c>
      <c r="H518" s="181">
        <f t="shared" si="22"/>
        <v>300</v>
      </c>
      <c r="I518" s="182" t="s">
        <v>82</v>
      </c>
      <c r="J518" s="181">
        <v>1</v>
      </c>
      <c r="K518" s="181">
        <v>1</v>
      </c>
      <c r="L518" s="181">
        <v>0.2</v>
      </c>
      <c r="M518" s="181" t="str">
        <f t="shared" si="23"/>
        <v>לא לרכוש</v>
      </c>
      <c r="N518" s="181">
        <v>1000</v>
      </c>
      <c r="O518" s="183"/>
      <c r="P518" s="183">
        <v>77</v>
      </c>
      <c r="Q518" s="183"/>
    </row>
    <row r="519" spans="1:17" s="12" customFormat="1" ht="14.25" customHeight="1">
      <c r="A519" s="180" t="str">
        <f>'רשימת מכשור 2015'!A518</f>
        <v>מד טמפרטורה</v>
      </c>
      <c r="B519" s="180" t="str">
        <f>'רשימת מכשור 2015'!B518</f>
        <v>מגטרון</v>
      </c>
      <c r="C519" s="180" t="str">
        <f>'רשימת מכשור 2015'!C518</f>
        <v>PT-100</v>
      </c>
      <c r="D519" s="233" t="str">
        <f>'רשימת מכשור 2015'!D518</f>
        <v>QC LAB</v>
      </c>
      <c r="E519" s="180" t="str">
        <f>'רשימת מכשור 2015'!E518</f>
        <v>1-2-2010-TI-475</v>
      </c>
      <c r="F519" s="180">
        <f>'רשימת מכשור 2015'!F518</f>
        <v>300</v>
      </c>
      <c r="G519" s="181">
        <v>1</v>
      </c>
      <c r="H519" s="181">
        <f t="shared" si="22"/>
        <v>300</v>
      </c>
      <c r="I519" s="182" t="s">
        <v>82</v>
      </c>
      <c r="J519" s="181">
        <v>1</v>
      </c>
      <c r="K519" s="181">
        <v>1</v>
      </c>
      <c r="L519" s="181">
        <v>0.2</v>
      </c>
      <c r="M519" s="181" t="str">
        <f t="shared" si="23"/>
        <v>לא לרכוש</v>
      </c>
      <c r="N519" s="181">
        <v>1000</v>
      </c>
      <c r="O519" s="183"/>
      <c r="P519" s="183">
        <v>77</v>
      </c>
      <c r="Q519" s="183"/>
    </row>
    <row r="520" spans="1:17" s="12" customFormat="1" ht="14.25" customHeight="1">
      <c r="A520" s="180" t="str">
        <f>'רשימת מכשור 2015'!A519</f>
        <v>מד טמפרטורה</v>
      </c>
      <c r="B520" s="180" t="str">
        <f>'רשימת מכשור 2015'!B519</f>
        <v>מגטרון</v>
      </c>
      <c r="C520" s="180" t="str">
        <f>'רשימת מכשור 2015'!C519</f>
        <v>PT-100</v>
      </c>
      <c r="D520" s="233" t="str">
        <f>'רשימת מכשור 2015'!D519</f>
        <v>QC LAB</v>
      </c>
      <c r="E520" s="180" t="str">
        <f>'רשימת מכשור 2015'!E519</f>
        <v>1-2-2010-TI-476</v>
      </c>
      <c r="F520" s="180">
        <f>'רשימת מכשור 2015'!F519</f>
        <v>300</v>
      </c>
      <c r="G520" s="181">
        <v>1</v>
      </c>
      <c r="H520" s="181">
        <f t="shared" si="22"/>
        <v>300</v>
      </c>
      <c r="I520" s="182" t="s">
        <v>82</v>
      </c>
      <c r="J520" s="181">
        <v>1</v>
      </c>
      <c r="K520" s="181">
        <v>1</v>
      </c>
      <c r="L520" s="181">
        <v>0.2</v>
      </c>
      <c r="M520" s="181" t="str">
        <f t="shared" si="23"/>
        <v>לא לרכוש</v>
      </c>
      <c r="N520" s="181">
        <v>1000</v>
      </c>
      <c r="O520" s="183"/>
      <c r="P520" s="183">
        <v>77</v>
      </c>
      <c r="Q520" s="183"/>
    </row>
    <row r="521" spans="1:17" s="12" customFormat="1" ht="14.25" customHeight="1">
      <c r="A521" s="180" t="str">
        <f>'רשימת מכשור 2015'!A520</f>
        <v>מד טמפרטורה</v>
      </c>
      <c r="B521" s="180" t="str">
        <f>'רשימת מכשור 2015'!B520</f>
        <v>מגטרון</v>
      </c>
      <c r="C521" s="180" t="str">
        <f>'רשימת מכשור 2015'!C520</f>
        <v>PT-100</v>
      </c>
      <c r="D521" s="233" t="str">
        <f>'רשימת מכשור 2015'!D520</f>
        <v>QC LAB</v>
      </c>
      <c r="E521" s="180" t="str">
        <f>'רשימת מכשור 2015'!E520</f>
        <v>1-2-2010-TI-477</v>
      </c>
      <c r="F521" s="180">
        <f>'רשימת מכשור 2015'!F520</f>
        <v>300</v>
      </c>
      <c r="G521" s="181">
        <v>1</v>
      </c>
      <c r="H521" s="181">
        <f t="shared" si="22"/>
        <v>300</v>
      </c>
      <c r="I521" s="182" t="s">
        <v>82</v>
      </c>
      <c r="J521" s="181">
        <v>1</v>
      </c>
      <c r="K521" s="181">
        <v>1</v>
      </c>
      <c r="L521" s="181">
        <v>0.2</v>
      </c>
      <c r="M521" s="181" t="str">
        <f t="shared" si="23"/>
        <v>לא לרכוש</v>
      </c>
      <c r="N521" s="181">
        <v>1000</v>
      </c>
      <c r="O521" s="183"/>
      <c r="P521" s="183">
        <v>77</v>
      </c>
      <c r="Q521" s="183"/>
    </row>
    <row r="522" spans="1:17" s="12" customFormat="1" ht="14.25" customHeight="1">
      <c r="A522" s="180" t="str">
        <f>'רשימת מכשור 2015'!A521</f>
        <v>מד טמפרטורה</v>
      </c>
      <c r="B522" s="180" t="str">
        <f>'רשימת מכשור 2015'!B521</f>
        <v>מגטרון</v>
      </c>
      <c r="C522" s="180" t="str">
        <f>'רשימת מכשור 2015'!C521</f>
        <v>PT-100</v>
      </c>
      <c r="D522" s="233" t="str">
        <f>'רשימת מכשור 2015'!D521</f>
        <v>QC LAB</v>
      </c>
      <c r="E522" s="180" t="str">
        <f>'רשימת מכשור 2015'!E521</f>
        <v>1-2-2010-TI-467</v>
      </c>
      <c r="F522" s="180">
        <f>'רשימת מכשור 2015'!F521</f>
        <v>300</v>
      </c>
      <c r="G522" s="181">
        <v>1</v>
      </c>
      <c r="H522" s="181">
        <f t="shared" si="22"/>
        <v>300</v>
      </c>
      <c r="I522" s="182" t="s">
        <v>82</v>
      </c>
      <c r="J522" s="181">
        <v>1</v>
      </c>
      <c r="K522" s="181">
        <v>1</v>
      </c>
      <c r="L522" s="181">
        <v>0.2</v>
      </c>
      <c r="M522" s="181" t="str">
        <f t="shared" si="23"/>
        <v>לא לרכוש</v>
      </c>
      <c r="N522" s="181">
        <v>1000</v>
      </c>
      <c r="O522" s="183"/>
      <c r="P522" s="183">
        <v>77</v>
      </c>
      <c r="Q522" s="183"/>
    </row>
    <row r="523" spans="1:17" s="12" customFormat="1" ht="14.25" customHeight="1">
      <c r="A523" s="180" t="str">
        <f>'רשימת מכשור 2015'!A522</f>
        <v>מד טמפרטורה</v>
      </c>
      <c r="B523" s="180" t="str">
        <f>'רשימת מכשור 2015'!B522</f>
        <v>מגטרון</v>
      </c>
      <c r="C523" s="180" t="str">
        <f>'רשימת מכשור 2015'!C522</f>
        <v>PT-100</v>
      </c>
      <c r="D523" s="233" t="str">
        <f>'רשימת מכשור 2015'!D522</f>
        <v>QC LAB</v>
      </c>
      <c r="E523" s="180" t="str">
        <f>'רשימת מכשור 2015'!E522</f>
        <v>1-2-2010-TI-468</v>
      </c>
      <c r="F523" s="180">
        <f>'רשימת מכשור 2015'!F522</f>
        <v>300</v>
      </c>
      <c r="G523" s="181">
        <v>1</v>
      </c>
      <c r="H523" s="181">
        <f t="shared" si="22"/>
        <v>300</v>
      </c>
      <c r="I523" s="182" t="s">
        <v>82</v>
      </c>
      <c r="J523" s="181">
        <v>1</v>
      </c>
      <c r="K523" s="181">
        <v>1</v>
      </c>
      <c r="L523" s="181">
        <v>0.2</v>
      </c>
      <c r="M523" s="181" t="str">
        <f t="shared" si="23"/>
        <v>לא לרכוש</v>
      </c>
      <c r="N523" s="181">
        <v>1000</v>
      </c>
      <c r="O523" s="183"/>
      <c r="P523" s="183">
        <v>77</v>
      </c>
      <c r="Q523" s="183"/>
    </row>
    <row r="524" spans="1:17" s="12" customFormat="1" ht="14.25" customHeight="1">
      <c r="A524" s="180" t="str">
        <f>'רשימת מכשור 2015'!A523</f>
        <v>מד טמפרטורה</v>
      </c>
      <c r="B524" s="180" t="str">
        <f>'רשימת מכשור 2015'!B523</f>
        <v>מגטרון</v>
      </c>
      <c r="C524" s="180" t="str">
        <f>'רשימת מכשור 2015'!C523</f>
        <v>PT-100</v>
      </c>
      <c r="D524" s="233" t="str">
        <f>'רשימת מכשור 2015'!D523</f>
        <v>QC LAB</v>
      </c>
      <c r="E524" s="180" t="str">
        <f>'רשימת מכשור 2015'!E523</f>
        <v>1-2-2010-TI-469</v>
      </c>
      <c r="F524" s="180">
        <f>'רשימת מכשור 2015'!F523</f>
        <v>300</v>
      </c>
      <c r="G524" s="181">
        <v>1</v>
      </c>
      <c r="H524" s="181">
        <f t="shared" si="22"/>
        <v>300</v>
      </c>
      <c r="I524" s="182" t="s">
        <v>82</v>
      </c>
      <c r="J524" s="181">
        <v>1</v>
      </c>
      <c r="K524" s="181">
        <v>1</v>
      </c>
      <c r="L524" s="181">
        <v>0.2</v>
      </c>
      <c r="M524" s="181" t="str">
        <f t="shared" si="23"/>
        <v>לא לרכוש</v>
      </c>
      <c r="N524" s="181">
        <v>1000</v>
      </c>
      <c r="O524" s="183"/>
      <c r="P524" s="183">
        <v>77</v>
      </c>
      <c r="Q524" s="183"/>
    </row>
    <row r="525" spans="1:17" s="12" customFormat="1" ht="14.25" customHeight="1">
      <c r="A525" s="180" t="str">
        <f>'רשימת מכשור 2015'!A524</f>
        <v>מד טמפרטורה</v>
      </c>
      <c r="B525" s="180" t="str">
        <f>'רשימת מכשור 2015'!B524</f>
        <v>מגטרון</v>
      </c>
      <c r="C525" s="180" t="str">
        <f>'רשימת מכשור 2015'!C524</f>
        <v>PT-100</v>
      </c>
      <c r="D525" s="233" t="str">
        <f>'רשימת מכשור 2015'!D524</f>
        <v>QC LAB</v>
      </c>
      <c r="E525" s="180" t="str">
        <f>'רשימת מכשור 2015'!E524</f>
        <v>1-2-2010-TI-470</v>
      </c>
      <c r="F525" s="180">
        <f>'רשימת מכשור 2015'!F524</f>
        <v>300</v>
      </c>
      <c r="G525" s="181">
        <v>1</v>
      </c>
      <c r="H525" s="181">
        <f t="shared" si="22"/>
        <v>300</v>
      </c>
      <c r="I525" s="182" t="s">
        <v>82</v>
      </c>
      <c r="J525" s="181">
        <v>1</v>
      </c>
      <c r="K525" s="181">
        <v>1</v>
      </c>
      <c r="L525" s="181">
        <v>0.2</v>
      </c>
      <c r="M525" s="181" t="str">
        <f t="shared" si="23"/>
        <v>לא לרכוש</v>
      </c>
      <c r="N525" s="181">
        <v>1000</v>
      </c>
      <c r="O525" s="183"/>
      <c r="P525" s="183">
        <v>77</v>
      </c>
      <c r="Q525" s="183"/>
    </row>
    <row r="526" spans="1:17" s="12" customFormat="1" ht="14.25" customHeight="1">
      <c r="A526" s="180" t="str">
        <f>'רשימת מכשור 2015'!A525</f>
        <v>מד טמפרטורה</v>
      </c>
      <c r="B526" s="180" t="str">
        <f>'רשימת מכשור 2015'!B525</f>
        <v>מגטרון</v>
      </c>
      <c r="C526" s="180" t="str">
        <f>'רשימת מכשור 2015'!C525</f>
        <v>PT-100</v>
      </c>
      <c r="D526" s="233" t="str">
        <f>'רשימת מכשור 2015'!D525</f>
        <v>QC LAB</v>
      </c>
      <c r="E526" s="180" t="str">
        <f>'רשימת מכשור 2015'!E525</f>
        <v>1-2-2010-TI-108</v>
      </c>
      <c r="F526" s="180">
        <f>'רשימת מכשור 2015'!F525</f>
        <v>300</v>
      </c>
      <c r="G526" s="181">
        <v>1</v>
      </c>
      <c r="H526" s="181">
        <f t="shared" si="22"/>
        <v>300</v>
      </c>
      <c r="I526" s="182" t="s">
        <v>82</v>
      </c>
      <c r="J526" s="181">
        <v>1</v>
      </c>
      <c r="K526" s="181">
        <v>1</v>
      </c>
      <c r="L526" s="181">
        <v>0.2</v>
      </c>
      <c r="M526" s="181" t="str">
        <f t="shared" si="23"/>
        <v>לא לרכוש</v>
      </c>
      <c r="N526" s="181">
        <v>1000</v>
      </c>
      <c r="O526" s="183"/>
      <c r="P526" s="183">
        <v>77</v>
      </c>
      <c r="Q526" s="183"/>
    </row>
    <row r="527" spans="1:17" s="12" customFormat="1" ht="14.25" customHeight="1">
      <c r="A527" s="180" t="str">
        <f>'רשימת מכשור 2015'!A526</f>
        <v>מד טמפרטורה</v>
      </c>
      <c r="B527" s="180" t="str">
        <f>'רשימת מכשור 2015'!B526</f>
        <v>מגטרון</v>
      </c>
      <c r="C527" s="180" t="str">
        <f>'רשימת מכשור 2015'!C526</f>
        <v>PT-100</v>
      </c>
      <c r="D527" s="233" t="str">
        <f>'רשימת מכשור 2015'!D526</f>
        <v>QC LAB</v>
      </c>
      <c r="E527" s="180" t="str">
        <f>'רשימת מכשור 2015'!E526</f>
        <v>1-2-2010-TI-109</v>
      </c>
      <c r="F527" s="180">
        <f>'רשימת מכשור 2015'!F526</f>
        <v>300</v>
      </c>
      <c r="G527" s="181">
        <v>1</v>
      </c>
      <c r="H527" s="181">
        <f t="shared" si="22"/>
        <v>300</v>
      </c>
      <c r="I527" s="182" t="s">
        <v>82</v>
      </c>
      <c r="J527" s="181">
        <v>1</v>
      </c>
      <c r="K527" s="181">
        <v>1</v>
      </c>
      <c r="L527" s="181">
        <v>0.2</v>
      </c>
      <c r="M527" s="181" t="str">
        <f t="shared" si="23"/>
        <v>לא לרכוש</v>
      </c>
      <c r="N527" s="181">
        <v>1000</v>
      </c>
      <c r="O527" s="183"/>
      <c r="P527" s="183">
        <v>77</v>
      </c>
      <c r="Q527" s="183"/>
    </row>
    <row r="528" spans="1:17" s="12" customFormat="1" ht="14.25" customHeight="1">
      <c r="A528" s="180" t="str">
        <f>'רשימת מכשור 2015'!A527</f>
        <v>מד טמפרטורה</v>
      </c>
      <c r="B528" s="180" t="str">
        <f>'רשימת מכשור 2015'!B527</f>
        <v>מגטרון</v>
      </c>
      <c r="C528" s="180" t="str">
        <f>'רשימת מכשור 2015'!C527</f>
        <v>PT-100</v>
      </c>
      <c r="D528" s="233" t="str">
        <f>'רשימת מכשור 2015'!D527</f>
        <v>QC LAB</v>
      </c>
      <c r="E528" s="180" t="str">
        <f>'רשימת מכשור 2015'!E527</f>
        <v>1-2-2010-TI-315</v>
      </c>
      <c r="F528" s="180">
        <f>'רשימת מכשור 2015'!F527</f>
        <v>300</v>
      </c>
      <c r="G528" s="181">
        <v>1</v>
      </c>
      <c r="H528" s="181">
        <f t="shared" si="22"/>
        <v>300</v>
      </c>
      <c r="I528" s="182" t="s">
        <v>82</v>
      </c>
      <c r="J528" s="181">
        <v>1</v>
      </c>
      <c r="K528" s="181">
        <v>1</v>
      </c>
      <c r="L528" s="181">
        <v>0.2</v>
      </c>
      <c r="M528" s="181" t="str">
        <f t="shared" si="23"/>
        <v>לא לרכוש</v>
      </c>
      <c r="N528" s="181">
        <v>1000</v>
      </c>
      <c r="O528" s="183"/>
      <c r="P528" s="183">
        <v>77</v>
      </c>
      <c r="Q528" s="183"/>
    </row>
    <row r="529" spans="1:17" s="12" customFormat="1" ht="14.25" customHeight="1">
      <c r="A529" s="180" t="str">
        <f>'רשימת מכשור 2015'!A528</f>
        <v>מד טמפרטורה</v>
      </c>
      <c r="B529" s="180" t="str">
        <f>'רשימת מכשור 2015'!B528</f>
        <v>מגטרון</v>
      </c>
      <c r="C529" s="180" t="str">
        <f>'רשימת מכשור 2015'!C528</f>
        <v>PT-100</v>
      </c>
      <c r="D529" s="233" t="str">
        <f>'רשימת מכשור 2015'!D528</f>
        <v>QC LAB</v>
      </c>
      <c r="E529" s="180" t="str">
        <f>'רשימת מכשור 2015'!E528</f>
        <v>1-2-2010-TI-316</v>
      </c>
      <c r="F529" s="180">
        <f>'רשימת מכשור 2015'!F528</f>
        <v>300</v>
      </c>
      <c r="G529" s="181">
        <v>1</v>
      </c>
      <c r="H529" s="181">
        <f t="shared" si="22"/>
        <v>300</v>
      </c>
      <c r="I529" s="182" t="s">
        <v>82</v>
      </c>
      <c r="J529" s="181">
        <v>1</v>
      </c>
      <c r="K529" s="181">
        <v>1</v>
      </c>
      <c r="L529" s="181">
        <v>0.2</v>
      </c>
      <c r="M529" s="181" t="str">
        <f t="shared" si="23"/>
        <v>לא לרכוש</v>
      </c>
      <c r="N529" s="181">
        <v>1000</v>
      </c>
      <c r="O529" s="183"/>
      <c r="P529" s="183">
        <v>77</v>
      </c>
      <c r="Q529" s="183"/>
    </row>
    <row r="530" spans="1:17" s="12" customFormat="1" ht="14.25" customHeight="1">
      <c r="A530" s="180" t="str">
        <f>'רשימת מכשור 2015'!A529</f>
        <v>מד טמפרטורה</v>
      </c>
      <c r="B530" s="180" t="str">
        <f>'רשימת מכשור 2015'!B529</f>
        <v>מגטרון</v>
      </c>
      <c r="C530" s="180" t="str">
        <f>'רשימת מכשור 2015'!C529</f>
        <v>PT-100</v>
      </c>
      <c r="D530" s="233" t="str">
        <f>'רשימת מכשור 2015'!D529</f>
        <v>QC LAB</v>
      </c>
      <c r="E530" s="180" t="str">
        <f>'רשימת מכשור 2015'!E529</f>
        <v>1-2-2010-TI-349</v>
      </c>
      <c r="F530" s="180">
        <f>'רשימת מכשור 2015'!F529</f>
        <v>300</v>
      </c>
      <c r="G530" s="181">
        <v>1</v>
      </c>
      <c r="H530" s="181">
        <f t="shared" si="22"/>
        <v>300</v>
      </c>
      <c r="I530" s="182" t="s">
        <v>82</v>
      </c>
      <c r="J530" s="181">
        <v>1</v>
      </c>
      <c r="K530" s="181">
        <v>1</v>
      </c>
      <c r="L530" s="181">
        <v>0.2</v>
      </c>
      <c r="M530" s="181" t="str">
        <f t="shared" si="23"/>
        <v>לא לרכוש</v>
      </c>
      <c r="N530" s="181">
        <v>1000</v>
      </c>
      <c r="O530" s="183"/>
      <c r="P530" s="183">
        <v>77</v>
      </c>
      <c r="Q530" s="183"/>
    </row>
    <row r="531" spans="1:17" s="12" customFormat="1" ht="14.25" customHeight="1">
      <c r="A531" s="180" t="str">
        <f>'רשימת מכשור 2015'!A530</f>
        <v>מד טמפרטורה</v>
      </c>
      <c r="B531" s="180" t="str">
        <f>'רשימת מכשור 2015'!B530</f>
        <v>מגטרון</v>
      </c>
      <c r="C531" s="180" t="str">
        <f>'רשימת מכשור 2015'!C530</f>
        <v>PT-100</v>
      </c>
      <c r="D531" s="233" t="str">
        <f>'רשימת מכשור 2015'!D530</f>
        <v>QC LAB</v>
      </c>
      <c r="E531" s="180" t="str">
        <f>'רשימת מכשור 2015'!E530</f>
        <v>1-2-2010-TI-348</v>
      </c>
      <c r="F531" s="180">
        <f>'רשימת מכשור 2015'!F530</f>
        <v>300</v>
      </c>
      <c r="G531" s="181">
        <v>1</v>
      </c>
      <c r="H531" s="181">
        <f t="shared" si="22"/>
        <v>300</v>
      </c>
      <c r="I531" s="182" t="s">
        <v>82</v>
      </c>
      <c r="J531" s="181">
        <v>1</v>
      </c>
      <c r="K531" s="181">
        <v>1</v>
      </c>
      <c r="L531" s="181">
        <v>0.2</v>
      </c>
      <c r="M531" s="181" t="str">
        <f t="shared" si="23"/>
        <v>לא לרכוש</v>
      </c>
      <c r="N531" s="181">
        <v>1000</v>
      </c>
      <c r="O531" s="183"/>
      <c r="P531" s="183">
        <v>77</v>
      </c>
      <c r="Q531" s="183"/>
    </row>
    <row r="532" spans="1:17" s="12" customFormat="1" ht="14.25" customHeight="1">
      <c r="A532" s="180" t="str">
        <f>'רשימת מכשור 2015'!A531</f>
        <v>מד טמפרטורה</v>
      </c>
      <c r="B532" s="180" t="str">
        <f>'רשימת מכשור 2015'!B531</f>
        <v>מגטרון</v>
      </c>
      <c r="C532" s="180" t="str">
        <f>'רשימת מכשור 2015'!C531</f>
        <v>PT-100</v>
      </c>
      <c r="D532" s="233" t="str">
        <f>'רשימת מכשור 2015'!D531</f>
        <v>QC LAB</v>
      </c>
      <c r="E532" s="180" t="str">
        <f>'רשימת מכשור 2015'!E531</f>
        <v>1-2-2010-TI-347</v>
      </c>
      <c r="F532" s="180">
        <f>'רשימת מכשור 2015'!F531</f>
        <v>300</v>
      </c>
      <c r="G532" s="181">
        <v>1</v>
      </c>
      <c r="H532" s="181">
        <f t="shared" si="22"/>
        <v>300</v>
      </c>
      <c r="I532" s="182" t="s">
        <v>82</v>
      </c>
      <c r="J532" s="181">
        <v>1</v>
      </c>
      <c r="K532" s="181">
        <v>1</v>
      </c>
      <c r="L532" s="181">
        <v>0.2</v>
      </c>
      <c r="M532" s="181" t="str">
        <f t="shared" si="23"/>
        <v>לא לרכוש</v>
      </c>
      <c r="N532" s="181">
        <v>1000</v>
      </c>
      <c r="O532" s="183"/>
      <c r="P532" s="183">
        <v>77</v>
      </c>
      <c r="Q532" s="183"/>
    </row>
    <row r="533" spans="1:17" s="12" customFormat="1" ht="14.25" customHeight="1">
      <c r="A533" s="180" t="str">
        <f>'רשימת מכשור 2015'!A532</f>
        <v>מד טמפרטורה</v>
      </c>
      <c r="B533" s="180" t="str">
        <f>'רשימת מכשור 2015'!B532</f>
        <v>מגטרון</v>
      </c>
      <c r="C533" s="180" t="str">
        <f>'רשימת מכשור 2015'!C532</f>
        <v>PT-100</v>
      </c>
      <c r="D533" s="233" t="str">
        <f>'רשימת מכשור 2015'!D532</f>
        <v>QC LAB</v>
      </c>
      <c r="E533" s="180" t="str">
        <f>'רשימת מכשור 2015'!E532</f>
        <v>1-2-2010-TI-346</v>
      </c>
      <c r="F533" s="180">
        <f>'רשימת מכשור 2015'!F532</f>
        <v>300</v>
      </c>
      <c r="G533" s="181">
        <v>1</v>
      </c>
      <c r="H533" s="181">
        <f t="shared" si="22"/>
        <v>300</v>
      </c>
      <c r="I533" s="182" t="s">
        <v>82</v>
      </c>
      <c r="J533" s="181">
        <v>1</v>
      </c>
      <c r="K533" s="181">
        <v>1</v>
      </c>
      <c r="L533" s="181">
        <v>0.2</v>
      </c>
      <c r="M533" s="181" t="str">
        <f t="shared" si="23"/>
        <v>לא לרכוש</v>
      </c>
      <c r="N533" s="181">
        <v>1000</v>
      </c>
      <c r="O533" s="183"/>
      <c r="P533" s="183">
        <v>77</v>
      </c>
      <c r="Q533" s="183"/>
    </row>
    <row r="534" spans="1:17" s="12" customFormat="1" ht="14.25" customHeight="1">
      <c r="A534" s="180" t="str">
        <f>'רשימת מכשור 2015'!A533</f>
        <v>ראש שקילה</v>
      </c>
      <c r="B534" s="180" t="str">
        <f>'רשימת מכשור 2015'!B533</f>
        <v>Mindman</v>
      </c>
      <c r="C534" s="180" t="str">
        <f>'רשימת מכשור 2015'!C533</f>
        <v>MP-10P-03-F3</v>
      </c>
      <c r="D534" s="233" t="str">
        <f>'רשימת מכשור 2015'!D533</f>
        <v>QC LAB</v>
      </c>
      <c r="E534" s="180" t="str">
        <f>'רשימת מכשור 2015'!E533</f>
        <v>1-2-2010-CO2-PI-1034</v>
      </c>
      <c r="F534" s="180">
        <f>'רשימת מכשור 2015'!F533</f>
        <v>300</v>
      </c>
      <c r="G534" s="181">
        <v>1</v>
      </c>
      <c r="H534" s="181">
        <f t="shared" si="22"/>
        <v>300</v>
      </c>
      <c r="I534" s="182" t="s">
        <v>82</v>
      </c>
      <c r="J534" s="181">
        <v>1</v>
      </c>
      <c r="K534" s="181">
        <v>1</v>
      </c>
      <c r="L534" s="181">
        <v>0.3</v>
      </c>
      <c r="M534" s="181" t="str">
        <f t="shared" si="23"/>
        <v>לא לרכוש</v>
      </c>
      <c r="N534" s="181">
        <v>1000</v>
      </c>
      <c r="O534" s="183"/>
      <c r="P534" s="183">
        <v>2</v>
      </c>
      <c r="Q534" s="183"/>
    </row>
    <row r="535" spans="1:17" s="12" customFormat="1" ht="14.25" customHeight="1">
      <c r="A535" s="180" t="str">
        <f>'רשימת מכשור 2015'!A534</f>
        <v>ראש שקילה</v>
      </c>
      <c r="B535" s="180" t="str">
        <f>'רשימת מכשור 2015'!B534</f>
        <v>Mindman</v>
      </c>
      <c r="C535" s="180" t="str">
        <f>'רשימת מכשור 2015'!C534</f>
        <v>MP-10P-03-F3</v>
      </c>
      <c r="D535" s="233" t="str">
        <f>'רשימת מכשור 2015'!D534</f>
        <v>QC LAB</v>
      </c>
      <c r="E535" s="180" t="str">
        <f>'רשימת מכשור 2015'!E534</f>
        <v>1-2-2010-PI-134</v>
      </c>
      <c r="F535" s="180">
        <f>'רשימת מכשור 2015'!F534</f>
        <v>300</v>
      </c>
      <c r="G535" s="181">
        <v>1</v>
      </c>
      <c r="H535" s="181">
        <f t="shared" si="22"/>
        <v>300</v>
      </c>
      <c r="I535" s="182" t="s">
        <v>82</v>
      </c>
      <c r="J535" s="181">
        <v>1</v>
      </c>
      <c r="K535" s="181">
        <v>0</v>
      </c>
      <c r="L535" s="181">
        <v>0.3</v>
      </c>
      <c r="M535" s="181" t="str">
        <f t="shared" si="23"/>
        <v>לא לרכוש</v>
      </c>
      <c r="N535" s="181">
        <v>1000</v>
      </c>
      <c r="O535" s="183"/>
      <c r="P535" s="183">
        <v>2</v>
      </c>
      <c r="Q535" s="183"/>
    </row>
    <row r="536" spans="1:17" s="12" customFormat="1" ht="14.25" customHeight="1">
      <c r="A536" s="180" t="str">
        <f>'רשימת מכשור 2015'!A535</f>
        <v>מד טמפרטורה</v>
      </c>
      <c r="B536" s="180" t="str">
        <f>'רשימת מכשור 2015'!B535</f>
        <v>מגטרון</v>
      </c>
      <c r="C536" s="180" t="str">
        <f>'רשימת מכשור 2015'!C535</f>
        <v>PT-100</v>
      </c>
      <c r="D536" s="233" t="str">
        <f>'רשימת מכשור 2015'!D535</f>
        <v>QC LAB</v>
      </c>
      <c r="E536" s="180" t="str">
        <f>'רשימת מכשור 2015'!E535</f>
        <v>1-2-2010-TI-402</v>
      </c>
      <c r="F536" s="180">
        <f>'רשימת מכשור 2015'!F535</f>
        <v>300</v>
      </c>
      <c r="G536" s="181">
        <v>1</v>
      </c>
      <c r="H536" s="181">
        <f t="shared" si="22"/>
        <v>300</v>
      </c>
      <c r="I536" s="182" t="s">
        <v>82</v>
      </c>
      <c r="J536" s="181">
        <v>1</v>
      </c>
      <c r="K536" s="181">
        <v>1</v>
      </c>
      <c r="L536" s="181">
        <v>0.2</v>
      </c>
      <c r="M536" s="181" t="str">
        <f t="shared" si="23"/>
        <v>לא לרכוש</v>
      </c>
      <c r="N536" s="181">
        <v>1000</v>
      </c>
      <c r="O536" s="183"/>
      <c r="P536" s="183">
        <v>20</v>
      </c>
      <c r="Q536" s="183"/>
    </row>
    <row r="537" spans="1:17" s="12" customFormat="1" ht="14.25" customHeight="1">
      <c r="A537" s="180" t="str">
        <f>'רשימת מכשור 2015'!A536</f>
        <v>מד טמפרטורה</v>
      </c>
      <c r="B537" s="180" t="str">
        <f>'רשימת מכשור 2015'!B536</f>
        <v>מגטרון</v>
      </c>
      <c r="C537" s="180" t="str">
        <f>'רשימת מכשור 2015'!C536</f>
        <v>PT-100</v>
      </c>
      <c r="D537" s="233" t="str">
        <f>'רשימת מכשור 2015'!D536</f>
        <v>QC LAB</v>
      </c>
      <c r="E537" s="180" t="str">
        <f>'רשימת מכשור 2015'!E536</f>
        <v>1-2-2010-TI-4</v>
      </c>
      <c r="F537" s="180">
        <f>'רשימת מכשור 2015'!F536</f>
        <v>300</v>
      </c>
      <c r="G537" s="181">
        <v>1</v>
      </c>
      <c r="H537" s="181">
        <f t="shared" si="22"/>
        <v>300</v>
      </c>
      <c r="I537" s="182" t="s">
        <v>82</v>
      </c>
      <c r="J537" s="181">
        <v>1</v>
      </c>
      <c r="K537" s="181">
        <v>1</v>
      </c>
      <c r="L537" s="181">
        <v>0.2</v>
      </c>
      <c r="M537" s="181" t="str">
        <f t="shared" si="23"/>
        <v>לא לרכוש</v>
      </c>
      <c r="N537" s="181">
        <v>1000</v>
      </c>
      <c r="O537" s="183"/>
      <c r="P537" s="183">
        <v>20</v>
      </c>
      <c r="Q537" s="183"/>
    </row>
    <row r="538" spans="1:17" s="12" customFormat="1" ht="14.25" customHeight="1">
      <c r="A538" s="180" t="str">
        <f>'רשימת מכשור 2015'!A537</f>
        <v>מד טמפרטורה</v>
      </c>
      <c r="B538" s="180" t="str">
        <f>'רשימת מכשור 2015'!B537</f>
        <v>מגטרון</v>
      </c>
      <c r="C538" s="180" t="str">
        <f>'רשימת מכשור 2015'!C537</f>
        <v>PT-100</v>
      </c>
      <c r="D538" s="233" t="str">
        <f>'רשימת מכשור 2015'!D537</f>
        <v>QC LAB</v>
      </c>
      <c r="E538" s="180" t="str">
        <f>'רשימת מכשור 2015'!E537</f>
        <v>1-2-2010-TI-2</v>
      </c>
      <c r="F538" s="180">
        <f>'רשימת מכשור 2015'!F537</f>
        <v>300</v>
      </c>
      <c r="G538" s="181">
        <v>1</v>
      </c>
      <c r="H538" s="181">
        <f t="shared" si="22"/>
        <v>300</v>
      </c>
      <c r="I538" s="182" t="s">
        <v>82</v>
      </c>
      <c r="J538" s="181">
        <v>1</v>
      </c>
      <c r="K538" s="181">
        <v>1</v>
      </c>
      <c r="L538" s="181">
        <v>0.2</v>
      </c>
      <c r="M538" s="181" t="str">
        <f t="shared" si="23"/>
        <v>לא לרכוש</v>
      </c>
      <c r="N538" s="181">
        <v>1000</v>
      </c>
      <c r="O538" s="183"/>
      <c r="P538" s="183">
        <v>20</v>
      </c>
      <c r="Q538" s="183"/>
    </row>
    <row r="539" spans="1:17" s="12" customFormat="1" ht="14.25" customHeight="1">
      <c r="A539" s="180" t="str">
        <f>'רשימת מכשור 2015'!A538</f>
        <v>מד טמפרטורה</v>
      </c>
      <c r="B539" s="180" t="str">
        <f>'רשימת מכשור 2015'!B538</f>
        <v>מגטרון</v>
      </c>
      <c r="C539" s="180" t="str">
        <f>'רשימת מכשור 2015'!C538</f>
        <v>PT-100</v>
      </c>
      <c r="D539" s="233" t="str">
        <f>'רשימת מכשור 2015'!D538</f>
        <v>QC LAB</v>
      </c>
      <c r="E539" s="180" t="str">
        <f>'רשימת מכשור 2015'!E538</f>
        <v>1-2-2010-TI-11</v>
      </c>
      <c r="F539" s="180">
        <f>'רשימת מכשור 2015'!F538</f>
        <v>300</v>
      </c>
      <c r="G539" s="181">
        <v>1</v>
      </c>
      <c r="H539" s="181">
        <f t="shared" ref="H539:H602" si="24">G539*F539</f>
        <v>300</v>
      </c>
      <c r="I539" s="182" t="s">
        <v>82</v>
      </c>
      <c r="J539" s="181">
        <v>1</v>
      </c>
      <c r="K539" s="181">
        <v>1</v>
      </c>
      <c r="L539" s="181">
        <v>0.2</v>
      </c>
      <c r="M539" s="181" t="str">
        <f t="shared" si="23"/>
        <v>לא לרכוש</v>
      </c>
      <c r="N539" s="181">
        <v>1000</v>
      </c>
      <c r="O539" s="183"/>
      <c r="P539" s="183">
        <v>20</v>
      </c>
      <c r="Q539" s="183"/>
    </row>
    <row r="540" spans="1:17" s="12" customFormat="1" ht="14.25" customHeight="1">
      <c r="A540" s="180" t="str">
        <f>'רשימת מכשור 2015'!A539</f>
        <v>מד טמפרטורה</v>
      </c>
      <c r="B540" s="180" t="str">
        <f>'רשימת מכשור 2015'!B539</f>
        <v>מגטרון</v>
      </c>
      <c r="C540" s="180" t="str">
        <f>'רשימת מכשור 2015'!C539</f>
        <v>PT-100</v>
      </c>
      <c r="D540" s="233" t="str">
        <f>'רשימת מכשור 2015'!D539</f>
        <v>QC LAB</v>
      </c>
      <c r="E540" s="180" t="str">
        <f>'רשימת מכשור 2015'!E539</f>
        <v>1-2-2010-TI-356</v>
      </c>
      <c r="F540" s="180">
        <f>'רשימת מכשור 2015'!F539</f>
        <v>300</v>
      </c>
      <c r="G540" s="181">
        <v>1</v>
      </c>
      <c r="H540" s="181">
        <f t="shared" si="24"/>
        <v>300</v>
      </c>
      <c r="I540" s="182" t="s">
        <v>82</v>
      </c>
      <c r="J540" s="181">
        <v>1</v>
      </c>
      <c r="K540" s="181">
        <v>1</v>
      </c>
      <c r="L540" s="181">
        <v>0.2</v>
      </c>
      <c r="M540" s="181" t="str">
        <f t="shared" si="23"/>
        <v>לא לרכוש</v>
      </c>
      <c r="N540" s="181">
        <v>1000</v>
      </c>
      <c r="O540" s="183"/>
      <c r="P540" s="183">
        <v>20</v>
      </c>
      <c r="Q540" s="183"/>
    </row>
    <row r="541" spans="1:17" s="12" customFormat="1" ht="14.25" customHeight="1">
      <c r="A541" s="180" t="str">
        <f>'רשימת מכשור 2015'!A540</f>
        <v>מד טמפרטורה</v>
      </c>
      <c r="B541" s="180" t="str">
        <f>'רשימת מכשור 2015'!B540</f>
        <v>מגטרון</v>
      </c>
      <c r="C541" s="180" t="str">
        <f>'רשימת מכשור 2015'!C540</f>
        <v>PT-100</v>
      </c>
      <c r="D541" s="233" t="str">
        <f>'רשימת מכשור 2015'!D540</f>
        <v>QC LAB</v>
      </c>
      <c r="E541" s="180" t="str">
        <f>'רשימת מכשור 2015'!E540</f>
        <v>1-2-2010-TI-355</v>
      </c>
      <c r="F541" s="180">
        <f>'רשימת מכשור 2015'!F540</f>
        <v>300</v>
      </c>
      <c r="G541" s="181">
        <v>1</v>
      </c>
      <c r="H541" s="181">
        <f t="shared" si="24"/>
        <v>300</v>
      </c>
      <c r="I541" s="182" t="s">
        <v>82</v>
      </c>
      <c r="J541" s="181">
        <v>1</v>
      </c>
      <c r="K541" s="181">
        <v>1</v>
      </c>
      <c r="L541" s="181">
        <v>0.2</v>
      </c>
      <c r="M541" s="181" t="str">
        <f t="shared" si="23"/>
        <v>לא לרכוש</v>
      </c>
      <c r="N541" s="181">
        <v>1000</v>
      </c>
      <c r="O541" s="183"/>
      <c r="P541" s="183">
        <v>20</v>
      </c>
      <c r="Q541" s="183"/>
    </row>
    <row r="542" spans="1:17" s="12" customFormat="1" ht="14.25" customHeight="1">
      <c r="A542" s="180" t="str">
        <f>'רשימת מכשור 2015'!A541</f>
        <v>מד טמפרטורה</v>
      </c>
      <c r="B542" s="180" t="str">
        <f>'רשימת מכשור 2015'!B541</f>
        <v>מגטרון</v>
      </c>
      <c r="C542" s="180" t="str">
        <f>'רשימת מכשור 2015'!C541</f>
        <v>PT-100</v>
      </c>
      <c r="D542" s="233" t="str">
        <f>'רשימת מכשור 2015'!D541</f>
        <v>QC LAB</v>
      </c>
      <c r="E542" s="180" t="str">
        <f>'רשימת מכשור 2015'!E541</f>
        <v>1-2-2010-TI-5</v>
      </c>
      <c r="F542" s="180">
        <f>'רשימת מכשור 2015'!F541</f>
        <v>300</v>
      </c>
      <c r="G542" s="181">
        <v>1</v>
      </c>
      <c r="H542" s="181">
        <f t="shared" si="24"/>
        <v>300</v>
      </c>
      <c r="I542" s="182" t="s">
        <v>82</v>
      </c>
      <c r="J542" s="181">
        <v>1</v>
      </c>
      <c r="K542" s="181">
        <v>1</v>
      </c>
      <c r="L542" s="181">
        <v>0.2</v>
      </c>
      <c r="M542" s="181" t="str">
        <f t="shared" si="23"/>
        <v>לא לרכוש</v>
      </c>
      <c r="N542" s="181">
        <v>1000</v>
      </c>
      <c r="O542" s="183"/>
      <c r="P542" s="183">
        <v>20</v>
      </c>
      <c r="Q542" s="183"/>
    </row>
    <row r="543" spans="1:17" s="12" customFormat="1" ht="14.25" customHeight="1">
      <c r="A543" s="180" t="str">
        <f>'רשימת מכשור 2015'!A542</f>
        <v>מד טמפרטורה</v>
      </c>
      <c r="B543" s="180" t="str">
        <f>'רשימת מכשור 2015'!B542</f>
        <v>מגטרון</v>
      </c>
      <c r="C543" s="180" t="str">
        <f>'רשימת מכשור 2015'!C542</f>
        <v>PT-100</v>
      </c>
      <c r="D543" s="233" t="str">
        <f>'רשימת מכשור 2015'!D542</f>
        <v>QC LAB</v>
      </c>
      <c r="E543" s="180" t="str">
        <f>'רשימת מכשור 2015'!E542</f>
        <v>1-2-2010-TI-?</v>
      </c>
      <c r="F543" s="180">
        <f>'רשימת מכשור 2015'!F542</f>
        <v>300</v>
      </c>
      <c r="G543" s="181">
        <v>1</v>
      </c>
      <c r="H543" s="181">
        <f t="shared" si="24"/>
        <v>300</v>
      </c>
      <c r="I543" s="182" t="s">
        <v>82</v>
      </c>
      <c r="J543" s="181">
        <v>1</v>
      </c>
      <c r="K543" s="181">
        <v>1</v>
      </c>
      <c r="L543" s="181">
        <v>0.2</v>
      </c>
      <c r="M543" s="181" t="str">
        <f t="shared" si="23"/>
        <v>לא לרכוש</v>
      </c>
      <c r="N543" s="181">
        <v>1000</v>
      </c>
      <c r="O543" s="183"/>
      <c r="P543" s="183">
        <v>20</v>
      </c>
      <c r="Q543" s="183"/>
    </row>
    <row r="544" spans="1:17" s="12" customFormat="1" ht="14.25" customHeight="1">
      <c r="A544" s="180" t="str">
        <f>'רשימת מכשור 2015'!A543</f>
        <v>מד טמפרטורה</v>
      </c>
      <c r="B544" s="180" t="str">
        <f>'רשימת מכשור 2015'!B543</f>
        <v>מגטרון</v>
      </c>
      <c r="C544" s="180" t="str">
        <f>'רשימת מכשור 2015'!C543</f>
        <v>PT-100</v>
      </c>
      <c r="D544" s="233" t="str">
        <f>'רשימת מכשור 2015'!D543</f>
        <v>QC LAB</v>
      </c>
      <c r="E544" s="180" t="str">
        <f>'רשימת מכשור 2015'!E543</f>
        <v>1-2-2010-TI-10</v>
      </c>
      <c r="F544" s="180">
        <f>'רשימת מכשור 2015'!F543</f>
        <v>300</v>
      </c>
      <c r="G544" s="181">
        <v>1</v>
      </c>
      <c r="H544" s="181">
        <f t="shared" si="24"/>
        <v>300</v>
      </c>
      <c r="I544" s="182" t="s">
        <v>82</v>
      </c>
      <c r="J544" s="181">
        <v>1</v>
      </c>
      <c r="K544" s="181">
        <v>1</v>
      </c>
      <c r="L544" s="181">
        <v>0.2</v>
      </c>
      <c r="M544" s="181" t="str">
        <f t="shared" si="23"/>
        <v>לא לרכוש</v>
      </c>
      <c r="N544" s="181">
        <v>1000</v>
      </c>
      <c r="O544" s="183"/>
      <c r="P544" s="183">
        <v>20</v>
      </c>
      <c r="Q544" s="183"/>
    </row>
    <row r="545" spans="1:17" s="12" customFormat="1" ht="14.25" customHeight="1">
      <c r="A545" s="180" t="str">
        <f>'רשימת מכשור 2015'!A544</f>
        <v>מד טמפרטורה</v>
      </c>
      <c r="B545" s="180" t="str">
        <f>'רשימת מכשור 2015'!B544</f>
        <v>מגטרון</v>
      </c>
      <c r="C545" s="180" t="str">
        <f>'רשימת מכשור 2015'!C544</f>
        <v>PT-100</v>
      </c>
      <c r="D545" s="233" t="str">
        <f>'רשימת מכשור 2015'!D544</f>
        <v>QC LAB</v>
      </c>
      <c r="E545" s="180" t="str">
        <f>'רשימת מכשור 2015'!E544</f>
        <v>1-2-2010-TI-9</v>
      </c>
      <c r="F545" s="180">
        <f>'רשימת מכשור 2015'!F544</f>
        <v>300</v>
      </c>
      <c r="G545" s="181">
        <v>1</v>
      </c>
      <c r="H545" s="181">
        <f t="shared" si="24"/>
        <v>300</v>
      </c>
      <c r="I545" s="182" t="s">
        <v>82</v>
      </c>
      <c r="J545" s="181">
        <v>1</v>
      </c>
      <c r="K545" s="181">
        <v>1</v>
      </c>
      <c r="L545" s="181">
        <v>0.2</v>
      </c>
      <c r="M545" s="181" t="str">
        <f t="shared" ref="M545:M608" si="25">IF(AND(K545*L545*30*N545&gt;H545/J545,I545=""),"לרכוש","לא לרכוש")</f>
        <v>לא לרכוש</v>
      </c>
      <c r="N545" s="181">
        <v>1000</v>
      </c>
      <c r="O545" s="183"/>
      <c r="P545" s="183">
        <v>20</v>
      </c>
      <c r="Q545" s="183"/>
    </row>
    <row r="546" spans="1:17" s="12" customFormat="1" ht="14.25" customHeight="1">
      <c r="A546" s="180" t="str">
        <f>'רשימת מכשור 2015'!A545</f>
        <v>מד טמפרטורה</v>
      </c>
      <c r="B546" s="180" t="str">
        <f>'רשימת מכשור 2015'!B545</f>
        <v>מגטרון</v>
      </c>
      <c r="C546" s="180" t="str">
        <f>'רשימת מכשור 2015'!C545</f>
        <v>PT-100</v>
      </c>
      <c r="D546" s="233" t="str">
        <f>'רשימת מכשור 2015'!D545</f>
        <v>QC LAB</v>
      </c>
      <c r="E546" s="180" t="str">
        <f>'רשימת מכשור 2015'!E545</f>
        <v>1-2-2010-TI-15</v>
      </c>
      <c r="F546" s="180">
        <f>'רשימת מכשור 2015'!F545</f>
        <v>300</v>
      </c>
      <c r="G546" s="181">
        <v>1</v>
      </c>
      <c r="H546" s="181">
        <f t="shared" si="24"/>
        <v>300</v>
      </c>
      <c r="I546" s="182" t="s">
        <v>82</v>
      </c>
      <c r="J546" s="181">
        <v>1</v>
      </c>
      <c r="K546" s="181">
        <v>1</v>
      </c>
      <c r="L546" s="181">
        <v>0.2</v>
      </c>
      <c r="M546" s="181" t="str">
        <f t="shared" si="25"/>
        <v>לא לרכוש</v>
      </c>
      <c r="N546" s="181">
        <v>1000</v>
      </c>
      <c r="O546" s="183"/>
      <c r="P546" s="183">
        <v>20</v>
      </c>
      <c r="Q546" s="183"/>
    </row>
    <row r="547" spans="1:17" s="12" customFormat="1" ht="14.25" customHeight="1">
      <c r="A547" s="180" t="str">
        <f>'רשימת מכשור 2015'!A546</f>
        <v>מד טמפרטורה</v>
      </c>
      <c r="B547" s="180" t="str">
        <f>'רשימת מכשור 2015'!B546</f>
        <v>מגטרון</v>
      </c>
      <c r="C547" s="180" t="str">
        <f>'רשימת מכשור 2015'!C546</f>
        <v>PT-100</v>
      </c>
      <c r="D547" s="233" t="str">
        <f>'רשימת מכשור 2015'!D546</f>
        <v>QC LAB</v>
      </c>
      <c r="E547" s="180" t="str">
        <f>'רשימת מכשור 2015'!E546</f>
        <v>1-2-2010-TI-106</v>
      </c>
      <c r="F547" s="180">
        <f>'רשימת מכשור 2015'!F546</f>
        <v>300</v>
      </c>
      <c r="G547" s="181">
        <v>1</v>
      </c>
      <c r="H547" s="181">
        <f t="shared" si="24"/>
        <v>300</v>
      </c>
      <c r="I547" s="182" t="s">
        <v>82</v>
      </c>
      <c r="J547" s="181">
        <v>1</v>
      </c>
      <c r="K547" s="181">
        <v>1</v>
      </c>
      <c r="L547" s="181">
        <v>0.2</v>
      </c>
      <c r="M547" s="181" t="str">
        <f t="shared" si="25"/>
        <v>לא לרכוש</v>
      </c>
      <c r="N547" s="181">
        <v>1000</v>
      </c>
      <c r="O547" s="183"/>
      <c r="P547" s="183">
        <v>20</v>
      </c>
      <c r="Q547" s="183"/>
    </row>
    <row r="548" spans="1:17" s="12" customFormat="1" ht="14.25" customHeight="1">
      <c r="A548" s="180" t="str">
        <f>'רשימת מכשור 2015'!A547</f>
        <v>מד טמפרטורה</v>
      </c>
      <c r="B548" s="180" t="str">
        <f>'רשימת מכשור 2015'!B547</f>
        <v>מגטרון</v>
      </c>
      <c r="C548" s="180" t="str">
        <f>'רשימת מכשור 2015'!C547</f>
        <v>PT-100</v>
      </c>
      <c r="D548" s="233" t="str">
        <f>'רשימת מכשור 2015'!D547</f>
        <v>QC LAB</v>
      </c>
      <c r="E548" s="180" t="str">
        <f>'רשימת מכשור 2015'!E547</f>
        <v>1-2-2010-TI-107</v>
      </c>
      <c r="F548" s="180">
        <f>'רשימת מכשור 2015'!F547</f>
        <v>300</v>
      </c>
      <c r="G548" s="181">
        <v>1</v>
      </c>
      <c r="H548" s="181">
        <f t="shared" si="24"/>
        <v>300</v>
      </c>
      <c r="I548" s="182" t="s">
        <v>82</v>
      </c>
      <c r="J548" s="181">
        <v>1</v>
      </c>
      <c r="K548" s="181">
        <v>1</v>
      </c>
      <c r="L548" s="181">
        <v>0.2</v>
      </c>
      <c r="M548" s="181" t="str">
        <f t="shared" si="25"/>
        <v>לא לרכוש</v>
      </c>
      <c r="N548" s="181">
        <v>1000</v>
      </c>
      <c r="O548" s="183"/>
      <c r="P548" s="183">
        <v>20</v>
      </c>
      <c r="Q548" s="183"/>
    </row>
    <row r="549" spans="1:17" s="12" customFormat="1" ht="14.25" customHeight="1">
      <c r="A549" s="180" t="str">
        <f>'רשימת מכשור 2015'!A548</f>
        <v>מד טמפרטורה</v>
      </c>
      <c r="B549" s="180" t="str">
        <f>'רשימת מכשור 2015'!B548</f>
        <v>מגטרון</v>
      </c>
      <c r="C549" s="180" t="str">
        <f>'רשימת מכשור 2015'!C548</f>
        <v>PT-100</v>
      </c>
      <c r="D549" s="233" t="str">
        <f>'רשימת מכשור 2015'!D548</f>
        <v>QC LAB</v>
      </c>
      <c r="E549" s="180" t="str">
        <f>'רשימת מכשור 2015'!E548</f>
        <v>1-2-2010-TI-16</v>
      </c>
      <c r="F549" s="180">
        <f>'רשימת מכשור 2015'!F548</f>
        <v>300</v>
      </c>
      <c r="G549" s="181">
        <v>1</v>
      </c>
      <c r="H549" s="181">
        <f t="shared" si="24"/>
        <v>300</v>
      </c>
      <c r="I549" s="182" t="s">
        <v>82</v>
      </c>
      <c r="J549" s="181">
        <v>1</v>
      </c>
      <c r="K549" s="181">
        <v>1</v>
      </c>
      <c r="L549" s="181">
        <v>0.2</v>
      </c>
      <c r="M549" s="181" t="str">
        <f t="shared" si="25"/>
        <v>לא לרכוש</v>
      </c>
      <c r="N549" s="181">
        <v>1000</v>
      </c>
      <c r="O549" s="183"/>
      <c r="P549" s="183">
        <v>20</v>
      </c>
      <c r="Q549" s="183"/>
    </row>
    <row r="550" spans="1:17" s="12" customFormat="1" ht="14.25" customHeight="1">
      <c r="A550" s="180" t="str">
        <f>'רשימת מכשור 2015'!A549</f>
        <v>מד טמפרטורה</v>
      </c>
      <c r="B550" s="180" t="str">
        <f>'רשימת מכשור 2015'!B549</f>
        <v>מגטרון</v>
      </c>
      <c r="C550" s="180" t="str">
        <f>'רשימת מכשור 2015'!C549</f>
        <v>PT-100</v>
      </c>
      <c r="D550" s="233" t="str">
        <f>'רשימת מכשור 2015'!D549</f>
        <v>QC LAB</v>
      </c>
      <c r="E550" s="180" t="str">
        <f>'רשימת מכשור 2015'!E549</f>
        <v>1-2-2010-TI-341</v>
      </c>
      <c r="F550" s="180">
        <f>'רשימת מכשור 2015'!F549</f>
        <v>300</v>
      </c>
      <c r="G550" s="181">
        <v>1</v>
      </c>
      <c r="H550" s="181">
        <f t="shared" si="24"/>
        <v>300</v>
      </c>
      <c r="I550" s="182" t="s">
        <v>82</v>
      </c>
      <c r="J550" s="181">
        <v>1</v>
      </c>
      <c r="K550" s="181">
        <v>1</v>
      </c>
      <c r="L550" s="181">
        <v>0.2</v>
      </c>
      <c r="M550" s="181" t="str">
        <f t="shared" si="25"/>
        <v>לא לרכוש</v>
      </c>
      <c r="N550" s="181">
        <v>1000</v>
      </c>
      <c r="O550" s="183"/>
      <c r="P550" s="183">
        <v>20</v>
      </c>
      <c r="Q550" s="183"/>
    </row>
    <row r="551" spans="1:17" s="12" customFormat="1" ht="14.25" customHeight="1">
      <c r="A551" s="180" t="str">
        <f>'רשימת מכשור 2015'!A550</f>
        <v>מד טמפרטורה</v>
      </c>
      <c r="B551" s="180" t="str">
        <f>'רשימת מכשור 2015'!B550</f>
        <v>מגטרון</v>
      </c>
      <c r="C551" s="180" t="str">
        <f>'רשימת מכשור 2015'!C550</f>
        <v>PT-100</v>
      </c>
      <c r="D551" s="233" t="str">
        <f>'רשימת מכשור 2015'!D550</f>
        <v>QC LAB</v>
      </c>
      <c r="E551" s="180" t="str">
        <f>'רשימת מכשור 2015'!E550</f>
        <v>1-2-2010-TI-7</v>
      </c>
      <c r="F551" s="180">
        <f>'רשימת מכשור 2015'!F550</f>
        <v>300</v>
      </c>
      <c r="G551" s="181">
        <v>1</v>
      </c>
      <c r="H551" s="181">
        <f t="shared" si="24"/>
        <v>300</v>
      </c>
      <c r="I551" s="182" t="s">
        <v>82</v>
      </c>
      <c r="J551" s="181">
        <v>1</v>
      </c>
      <c r="K551" s="181">
        <v>1</v>
      </c>
      <c r="L551" s="181">
        <v>0.2</v>
      </c>
      <c r="M551" s="181" t="str">
        <f t="shared" si="25"/>
        <v>לא לרכוש</v>
      </c>
      <c r="N551" s="181">
        <v>1000</v>
      </c>
      <c r="O551" s="183"/>
      <c r="P551" s="183">
        <v>20</v>
      </c>
      <c r="Q551" s="183"/>
    </row>
    <row r="552" spans="1:17" s="12" customFormat="1" ht="14.25" customHeight="1">
      <c r="A552" s="180" t="str">
        <f>'רשימת מכשור 2015'!A551</f>
        <v>מד טמפרטורה</v>
      </c>
      <c r="B552" s="180" t="str">
        <f>'רשימת מכשור 2015'!B551</f>
        <v>מגטרון</v>
      </c>
      <c r="C552" s="180" t="str">
        <f>'רשימת מכשור 2015'!C551</f>
        <v>PT-100</v>
      </c>
      <c r="D552" s="233" t="str">
        <f>'רשימת מכשור 2015'!D551</f>
        <v>QC LAB</v>
      </c>
      <c r="E552" s="180" t="str">
        <f>'רשימת מכשור 2015'!E551</f>
        <v>1-2-2010-TI-12</v>
      </c>
      <c r="F552" s="180">
        <f>'רשימת מכשור 2015'!F551</f>
        <v>300</v>
      </c>
      <c r="G552" s="181">
        <v>1</v>
      </c>
      <c r="H552" s="181">
        <f t="shared" si="24"/>
        <v>300</v>
      </c>
      <c r="I552" s="182" t="s">
        <v>82</v>
      </c>
      <c r="J552" s="181">
        <v>1</v>
      </c>
      <c r="K552" s="181">
        <v>1</v>
      </c>
      <c r="L552" s="181">
        <v>0.2</v>
      </c>
      <c r="M552" s="181" t="str">
        <f t="shared" si="25"/>
        <v>לא לרכוש</v>
      </c>
      <c r="N552" s="181">
        <v>1000</v>
      </c>
      <c r="O552" s="183"/>
      <c r="P552" s="183">
        <v>20</v>
      </c>
      <c r="Q552" s="183"/>
    </row>
    <row r="553" spans="1:17" s="12" customFormat="1" ht="14.25" customHeight="1">
      <c r="A553" s="180" t="str">
        <f>'רשימת מכשור 2015'!A552</f>
        <v>מד טמפרטורה</v>
      </c>
      <c r="B553" s="180" t="str">
        <f>'רשימת מכשור 2015'!B552</f>
        <v>מגטרון</v>
      </c>
      <c r="C553" s="180" t="str">
        <f>'רשימת מכשור 2015'!C552</f>
        <v>PT-100</v>
      </c>
      <c r="D553" s="233" t="str">
        <f>'רשימת מכשור 2015'!D552</f>
        <v>QC LAB</v>
      </c>
      <c r="E553" s="180" t="str">
        <f>'רשימת מכשור 2015'!E552</f>
        <v>1-2-2010-TI-404</v>
      </c>
      <c r="F553" s="180">
        <f>'רשימת מכשור 2015'!F552</f>
        <v>300</v>
      </c>
      <c r="G553" s="181">
        <v>1</v>
      </c>
      <c r="H553" s="181">
        <f t="shared" si="24"/>
        <v>300</v>
      </c>
      <c r="I553" s="182" t="s">
        <v>82</v>
      </c>
      <c r="J553" s="181">
        <v>1</v>
      </c>
      <c r="K553" s="181">
        <v>1</v>
      </c>
      <c r="L553" s="181">
        <v>0.2</v>
      </c>
      <c r="M553" s="181" t="str">
        <f t="shared" si="25"/>
        <v>לא לרכוש</v>
      </c>
      <c r="N553" s="181">
        <v>1000</v>
      </c>
      <c r="O553" s="183"/>
      <c r="P553" s="183">
        <v>20</v>
      </c>
      <c r="Q553" s="183"/>
    </row>
    <row r="554" spans="1:17" s="12" customFormat="1" ht="14.25" customHeight="1">
      <c r="A554" s="180" t="str">
        <f>'רשימת מכשור 2015'!A553</f>
        <v>מד טמפרטורה</v>
      </c>
      <c r="B554" s="180" t="str">
        <f>'רשימת מכשור 2015'!B553</f>
        <v>מגטרון</v>
      </c>
      <c r="C554" s="180" t="str">
        <f>'רשימת מכשור 2015'!C553</f>
        <v>PT-100</v>
      </c>
      <c r="D554" s="233" t="str">
        <f>'רשימת מכשור 2015'!D553</f>
        <v>QC LAB</v>
      </c>
      <c r="E554" s="180" t="str">
        <f>'רשימת מכשור 2015'!E553</f>
        <v>1-2-2010-TI-403</v>
      </c>
      <c r="F554" s="180">
        <f>'רשימת מכשור 2015'!F553</f>
        <v>300</v>
      </c>
      <c r="G554" s="181">
        <v>1</v>
      </c>
      <c r="H554" s="181">
        <f t="shared" si="24"/>
        <v>300</v>
      </c>
      <c r="I554" s="182" t="s">
        <v>82</v>
      </c>
      <c r="J554" s="181">
        <v>1</v>
      </c>
      <c r="K554" s="181">
        <v>1</v>
      </c>
      <c r="L554" s="181">
        <v>0.2</v>
      </c>
      <c r="M554" s="181" t="str">
        <f t="shared" si="25"/>
        <v>לא לרכוש</v>
      </c>
      <c r="N554" s="181">
        <v>1000</v>
      </c>
      <c r="O554" s="183"/>
      <c r="P554" s="183">
        <v>20</v>
      </c>
      <c r="Q554" s="183"/>
    </row>
    <row r="555" spans="1:17" s="12" customFormat="1" ht="14.25" customHeight="1">
      <c r="A555" s="180" t="str">
        <f>'רשימת מכשור 2015'!A554</f>
        <v>מד טמפרטורה</v>
      </c>
      <c r="B555" s="180" t="str">
        <f>'רשימת מכשור 2015'!B554</f>
        <v>מגטרון</v>
      </c>
      <c r="C555" s="180" t="str">
        <f>'רשימת מכשור 2015'!C554</f>
        <v>PT-100</v>
      </c>
      <c r="D555" s="233" t="str">
        <f>'רשימת מכשור 2015'!D554</f>
        <v>QC LAB</v>
      </c>
      <c r="E555" s="180" t="str">
        <f>'רשימת מכשור 2015'!E554</f>
        <v>1-2-2010-TI-13</v>
      </c>
      <c r="F555" s="180">
        <f>'רשימת מכשור 2015'!F554</f>
        <v>300</v>
      </c>
      <c r="G555" s="181">
        <v>1</v>
      </c>
      <c r="H555" s="181">
        <f t="shared" si="24"/>
        <v>300</v>
      </c>
      <c r="I555" s="182" t="s">
        <v>82</v>
      </c>
      <c r="J555" s="181">
        <v>1</v>
      </c>
      <c r="K555" s="181">
        <v>1</v>
      </c>
      <c r="L555" s="181">
        <v>0.2</v>
      </c>
      <c r="M555" s="181" t="str">
        <f t="shared" si="25"/>
        <v>לא לרכוש</v>
      </c>
      <c r="N555" s="181">
        <v>1000</v>
      </c>
      <c r="O555" s="183"/>
      <c r="P555" s="183">
        <v>20</v>
      </c>
      <c r="Q555" s="183"/>
    </row>
    <row r="556" spans="1:17" s="12" customFormat="1" ht="14.25" customHeight="1">
      <c r="A556" s="180" t="str">
        <f>'רשימת מכשור 2015'!A555</f>
        <v>מד טמפרטורה</v>
      </c>
      <c r="B556" s="180" t="str">
        <f>'רשימת מכשור 2015'!B555</f>
        <v>מגטרון</v>
      </c>
      <c r="C556" s="180" t="str">
        <f>'רשימת מכשור 2015'!C555</f>
        <v>PT-100</v>
      </c>
      <c r="D556" s="233" t="str">
        <f>'רשימת מכשור 2015'!D555</f>
        <v>QC LAB</v>
      </c>
      <c r="E556" s="180" t="str">
        <f>'רשימת מכשור 2015'!E555</f>
        <v>1-2-2010-TI-8</v>
      </c>
      <c r="F556" s="180">
        <f>'רשימת מכשור 2015'!F555</f>
        <v>300</v>
      </c>
      <c r="G556" s="181">
        <v>1</v>
      </c>
      <c r="H556" s="181">
        <f t="shared" si="24"/>
        <v>300</v>
      </c>
      <c r="I556" s="182" t="s">
        <v>82</v>
      </c>
      <c r="J556" s="181">
        <v>1</v>
      </c>
      <c r="K556" s="181">
        <v>1</v>
      </c>
      <c r="L556" s="181">
        <v>0.2</v>
      </c>
      <c r="M556" s="181" t="str">
        <f t="shared" si="25"/>
        <v>לא לרכוש</v>
      </c>
      <c r="N556" s="181">
        <v>1000</v>
      </c>
      <c r="O556" s="183"/>
      <c r="P556" s="183">
        <v>20</v>
      </c>
      <c r="Q556" s="183"/>
    </row>
    <row r="557" spans="1:17" s="12" customFormat="1" ht="14.25" customHeight="1">
      <c r="A557" s="180" t="str">
        <f>'רשימת מכשור 2015'!A556</f>
        <v>מד טמפרטורה</v>
      </c>
      <c r="B557" s="180" t="str">
        <f>'רשימת מכשור 2015'!B556</f>
        <v>ACI</v>
      </c>
      <c r="C557" s="180" t="str">
        <f>'רשימת מכשור 2015'!C556</f>
        <v>TT-100-D-12"-PB</v>
      </c>
      <c r="D557" s="233" t="str">
        <f>'רשימת מכשור 2015'!D556</f>
        <v>AHU-WH</v>
      </c>
      <c r="E557" s="180" t="str">
        <f>'רשימת מכשור 2015'!E556</f>
        <v>1-2-51021-TI-1</v>
      </c>
      <c r="F557" s="180">
        <f>'רשימת מכשור 2015'!F556</f>
        <v>300</v>
      </c>
      <c r="G557" s="181">
        <v>1</v>
      </c>
      <c r="H557" s="181">
        <f t="shared" si="24"/>
        <v>300</v>
      </c>
      <c r="I557" s="182"/>
      <c r="J557" s="181">
        <v>1</v>
      </c>
      <c r="K557" s="181">
        <v>1</v>
      </c>
      <c r="L557" s="181">
        <v>0.7</v>
      </c>
      <c r="M557" s="181" t="str">
        <f t="shared" si="25"/>
        <v>לרכוש</v>
      </c>
      <c r="N557" s="181">
        <v>1000</v>
      </c>
      <c r="O557" s="183"/>
      <c r="P557" s="183">
        <v>2</v>
      </c>
      <c r="Q557" s="183"/>
    </row>
    <row r="558" spans="1:17" s="12" customFormat="1" ht="14.25" customHeight="1">
      <c r="A558" s="180" t="str">
        <f>'רשימת מכשור 2015'!A557</f>
        <v>מד טמפרטורה</v>
      </c>
      <c r="B558" s="180" t="str">
        <f>'רשימת מכשור 2015'!B557</f>
        <v>ACI</v>
      </c>
      <c r="C558" s="180" t="str">
        <f>'רשימת מכשור 2015'!C557</f>
        <v>TT-100-D-12"-PB</v>
      </c>
      <c r="D558" s="233" t="str">
        <f>'רשימת מכשור 2015'!D557</f>
        <v>AHU-WH</v>
      </c>
      <c r="E558" s="180" t="str">
        <f>'רשימת מכשור 2015'!E557</f>
        <v>1-2-51021-TIC-1</v>
      </c>
      <c r="F558" s="180">
        <f>'רשימת מכשור 2015'!F557</f>
        <v>300</v>
      </c>
      <c r="G558" s="181">
        <v>1</v>
      </c>
      <c r="H558" s="181">
        <f t="shared" si="24"/>
        <v>300</v>
      </c>
      <c r="I558" s="182"/>
      <c r="J558" s="181">
        <v>1</v>
      </c>
      <c r="K558" s="181">
        <v>1</v>
      </c>
      <c r="L558" s="181">
        <v>0.7</v>
      </c>
      <c r="M558" s="181" t="str">
        <f t="shared" si="25"/>
        <v>לרכוש</v>
      </c>
      <c r="N558" s="181">
        <v>1000</v>
      </c>
      <c r="O558" s="183"/>
      <c r="P558" s="183">
        <v>2</v>
      </c>
      <c r="Q558" s="183"/>
    </row>
    <row r="559" spans="1:17" s="12" customFormat="1" ht="14.25" customHeight="1">
      <c r="A559" s="180" t="str">
        <f>'רשימת מכשור 2015'!A558</f>
        <v>מד טמפרטורה</v>
      </c>
      <c r="B559" s="180" t="str">
        <f>'רשימת מכשור 2015'!B558</f>
        <v>מגטרון</v>
      </c>
      <c r="C559" s="180" t="str">
        <f>'רשימת מכשור 2015'!C558</f>
        <v>PT-100</v>
      </c>
      <c r="D559" s="233" t="str">
        <f>'רשימת מכשור 2015'!D558</f>
        <v>WH-B2 DEVICE MONITORING</v>
      </c>
      <c r="E559" s="180" t="str">
        <f>'רשימת מכשור 2015'!E558</f>
        <v>1-2-2010-TI-392</v>
      </c>
      <c r="F559" s="180">
        <f>'רשימת מכשור 2015'!F558</f>
        <v>300</v>
      </c>
      <c r="G559" s="181">
        <v>1</v>
      </c>
      <c r="H559" s="181">
        <f t="shared" si="24"/>
        <v>300</v>
      </c>
      <c r="I559" s="182" t="s">
        <v>82</v>
      </c>
      <c r="J559" s="181">
        <v>1</v>
      </c>
      <c r="K559" s="181">
        <v>1</v>
      </c>
      <c r="L559" s="181">
        <v>0.2</v>
      </c>
      <c r="M559" s="181" t="str">
        <f t="shared" si="25"/>
        <v>לא לרכוש</v>
      </c>
      <c r="N559" s="181">
        <v>1000</v>
      </c>
      <c r="O559" s="183"/>
      <c r="P559" s="183">
        <v>77</v>
      </c>
      <c r="Q559" s="183"/>
    </row>
    <row r="560" spans="1:17" s="12" customFormat="1" ht="14.25" customHeight="1">
      <c r="A560" s="180" t="str">
        <f>'רשימת מכשור 2015'!A559</f>
        <v>מד טמפרטורה</v>
      </c>
      <c r="B560" s="180" t="str">
        <f>'רשימת מכשור 2015'!B559</f>
        <v>מגטרון</v>
      </c>
      <c r="C560" s="180" t="str">
        <f>'רשימת מכשור 2015'!C559</f>
        <v>PT-100</v>
      </c>
      <c r="D560" s="233" t="str">
        <f>'רשימת מכשור 2015'!D559</f>
        <v>WH-B2 DEVICE MONITORING</v>
      </c>
      <c r="E560" s="180" t="str">
        <f>'רשימת מכשור 2015'!E559</f>
        <v>1-2-2010-TI-379</v>
      </c>
      <c r="F560" s="180">
        <f>'רשימת מכשור 2015'!F559</f>
        <v>300</v>
      </c>
      <c r="G560" s="181">
        <v>1</v>
      </c>
      <c r="H560" s="181">
        <f t="shared" si="24"/>
        <v>300</v>
      </c>
      <c r="I560" s="182" t="s">
        <v>82</v>
      </c>
      <c r="J560" s="181">
        <v>1</v>
      </c>
      <c r="K560" s="181">
        <v>1</v>
      </c>
      <c r="L560" s="181">
        <v>0.2</v>
      </c>
      <c r="M560" s="181" t="str">
        <f t="shared" si="25"/>
        <v>לא לרכוש</v>
      </c>
      <c r="N560" s="181">
        <v>1000</v>
      </c>
      <c r="O560" s="183"/>
      <c r="P560" s="183">
        <v>77</v>
      </c>
      <c r="Q560" s="183"/>
    </row>
    <row r="561" spans="1:17" s="12" customFormat="1" ht="14.25" customHeight="1">
      <c r="A561" s="180" t="str">
        <f>'רשימת מכשור 2015'!A560</f>
        <v>מד טמפרטורה</v>
      </c>
      <c r="B561" s="180" t="str">
        <f>'רשימת מכשור 2015'!B560</f>
        <v>מגטרון</v>
      </c>
      <c r="C561" s="180" t="str">
        <f>'רשימת מכשור 2015'!C560</f>
        <v>PT-100</v>
      </c>
      <c r="D561" s="233" t="str">
        <f>'רשימת מכשור 2015'!D560</f>
        <v>WH-B2 DEVICE MONITORING</v>
      </c>
      <c r="E561" s="180" t="str">
        <f>'רשימת מכשור 2015'!E560</f>
        <v>1-2-2010-TI-425</v>
      </c>
      <c r="F561" s="180">
        <f>'רשימת מכשור 2015'!F560</f>
        <v>300</v>
      </c>
      <c r="G561" s="181">
        <v>1</v>
      </c>
      <c r="H561" s="181">
        <f t="shared" si="24"/>
        <v>300</v>
      </c>
      <c r="I561" s="182" t="s">
        <v>82</v>
      </c>
      <c r="J561" s="181">
        <v>1</v>
      </c>
      <c r="K561" s="181">
        <v>1</v>
      </c>
      <c r="L561" s="181">
        <v>0.2</v>
      </c>
      <c r="M561" s="181" t="str">
        <f t="shared" si="25"/>
        <v>לא לרכוש</v>
      </c>
      <c r="N561" s="181">
        <v>1000</v>
      </c>
      <c r="O561" s="183"/>
      <c r="P561" s="183">
        <v>77</v>
      </c>
      <c r="Q561" s="183"/>
    </row>
    <row r="562" spans="1:17" s="12" customFormat="1" ht="14.25" customHeight="1">
      <c r="A562" s="180" t="str">
        <f>'רשימת מכשור 2015'!A561</f>
        <v>מד טמפרטורה</v>
      </c>
      <c r="B562" s="180" t="str">
        <f>'רשימת מכשור 2015'!B561</f>
        <v>מגטרון</v>
      </c>
      <c r="C562" s="180" t="str">
        <f>'רשימת מכשור 2015'!C561</f>
        <v>PT-100</v>
      </c>
      <c r="D562" s="233" t="str">
        <f>'רשימת מכשור 2015'!D561</f>
        <v>WH-B2 DEVICE MONITORING</v>
      </c>
      <c r="E562" s="180" t="str">
        <f>'רשימת מכשור 2015'!E561</f>
        <v>1-2-2010-TI-426</v>
      </c>
      <c r="F562" s="180">
        <f>'רשימת מכשור 2015'!F561</f>
        <v>300</v>
      </c>
      <c r="G562" s="181">
        <v>1</v>
      </c>
      <c r="H562" s="181">
        <f t="shared" si="24"/>
        <v>300</v>
      </c>
      <c r="I562" s="182" t="s">
        <v>82</v>
      </c>
      <c r="J562" s="181">
        <v>1</v>
      </c>
      <c r="K562" s="181">
        <v>1</v>
      </c>
      <c r="L562" s="181">
        <v>0.2</v>
      </c>
      <c r="M562" s="181" t="str">
        <f t="shared" si="25"/>
        <v>לא לרכוש</v>
      </c>
      <c r="N562" s="181">
        <v>1000</v>
      </c>
      <c r="O562" s="183"/>
      <c r="P562" s="183">
        <v>77</v>
      </c>
      <c r="Q562" s="183"/>
    </row>
    <row r="563" spans="1:17" s="12" customFormat="1" ht="14.25" customHeight="1">
      <c r="A563" s="180" t="str">
        <f>'רשימת מכשור 2015'!A562</f>
        <v>מד טמפרטורה</v>
      </c>
      <c r="B563" s="180" t="str">
        <f>'רשימת מכשור 2015'!B562</f>
        <v>מגטרון</v>
      </c>
      <c r="C563" s="180" t="str">
        <f>'רשימת מכשור 2015'!C562</f>
        <v>PT-100</v>
      </c>
      <c r="D563" s="233" t="str">
        <f>'רשימת מכשור 2015'!D562</f>
        <v>WH-B2 DEVICE MONITORING</v>
      </c>
      <c r="E563" s="180" t="str">
        <f>'רשימת מכשור 2015'!E562</f>
        <v>1-2-2010-TI-427</v>
      </c>
      <c r="F563" s="180">
        <f>'רשימת מכשור 2015'!F562</f>
        <v>300</v>
      </c>
      <c r="G563" s="181">
        <v>1</v>
      </c>
      <c r="H563" s="181">
        <f t="shared" si="24"/>
        <v>300</v>
      </c>
      <c r="I563" s="182" t="s">
        <v>82</v>
      </c>
      <c r="J563" s="181">
        <v>1</v>
      </c>
      <c r="K563" s="181">
        <v>1</v>
      </c>
      <c r="L563" s="181">
        <v>0.2</v>
      </c>
      <c r="M563" s="181" t="str">
        <f t="shared" si="25"/>
        <v>לא לרכוש</v>
      </c>
      <c r="N563" s="181">
        <v>1000</v>
      </c>
      <c r="O563" s="183"/>
      <c r="P563" s="183">
        <v>77</v>
      </c>
      <c r="Q563" s="183"/>
    </row>
    <row r="564" spans="1:17" s="12" customFormat="1" ht="14.25" customHeight="1">
      <c r="A564" s="180" t="str">
        <f>'רשימת מכשור 2015'!A563</f>
        <v>מד טמפרטורה</v>
      </c>
      <c r="B564" s="180" t="str">
        <f>'רשימת מכשור 2015'!B563</f>
        <v>מגטרון</v>
      </c>
      <c r="C564" s="180" t="str">
        <f>'רשימת מכשור 2015'!C563</f>
        <v>PT-100</v>
      </c>
      <c r="D564" s="233" t="str">
        <f>'רשימת מכשור 2015'!D563</f>
        <v>WH-B2 DEVICE MONITORING</v>
      </c>
      <c r="E564" s="180" t="str">
        <f>'רשימת מכשור 2015'!E563</f>
        <v>1-2-2010-TI-116</v>
      </c>
      <c r="F564" s="180">
        <f>'רשימת מכשור 2015'!F563</f>
        <v>300</v>
      </c>
      <c r="G564" s="181">
        <v>1</v>
      </c>
      <c r="H564" s="181">
        <f t="shared" si="24"/>
        <v>300</v>
      </c>
      <c r="I564" s="182" t="s">
        <v>82</v>
      </c>
      <c r="J564" s="181">
        <v>1</v>
      </c>
      <c r="K564" s="181">
        <v>1</v>
      </c>
      <c r="L564" s="181">
        <v>0.2</v>
      </c>
      <c r="M564" s="181" t="str">
        <f t="shared" si="25"/>
        <v>לא לרכוש</v>
      </c>
      <c r="N564" s="181">
        <v>1000</v>
      </c>
      <c r="O564" s="183"/>
      <c r="P564" s="183">
        <v>77</v>
      </c>
      <c r="Q564" s="183"/>
    </row>
    <row r="565" spans="1:17" s="12" customFormat="1" ht="14.25" customHeight="1">
      <c r="A565" s="180" t="str">
        <f>'רשימת מכשור 2015'!A564</f>
        <v>מד טמפרטורה</v>
      </c>
      <c r="B565" s="180" t="str">
        <f>'רשימת מכשור 2015'!B564</f>
        <v>מגטרון</v>
      </c>
      <c r="C565" s="180" t="str">
        <f>'רשימת מכשור 2015'!C564</f>
        <v>PT-100</v>
      </c>
      <c r="D565" s="233" t="str">
        <f>'רשימת מכשור 2015'!D564</f>
        <v>WH-B2 DEVICE MONITORING</v>
      </c>
      <c r="E565" s="180" t="str">
        <f>'רשימת מכשור 2015'!E564</f>
        <v>1-2-2010-TI-115</v>
      </c>
      <c r="F565" s="180">
        <f>'רשימת מכשור 2015'!F564</f>
        <v>300</v>
      </c>
      <c r="G565" s="181">
        <v>1</v>
      </c>
      <c r="H565" s="181">
        <f t="shared" si="24"/>
        <v>300</v>
      </c>
      <c r="I565" s="182" t="s">
        <v>82</v>
      </c>
      <c r="J565" s="181">
        <v>1</v>
      </c>
      <c r="K565" s="181">
        <v>1</v>
      </c>
      <c r="L565" s="181">
        <v>0.2</v>
      </c>
      <c r="M565" s="181" t="str">
        <f t="shared" si="25"/>
        <v>לא לרכוש</v>
      </c>
      <c r="N565" s="181">
        <v>1000</v>
      </c>
      <c r="O565" s="183"/>
      <c r="P565" s="183">
        <v>77</v>
      </c>
      <c r="Q565" s="183"/>
    </row>
    <row r="566" spans="1:17" s="12" customFormat="1" ht="14.25" customHeight="1">
      <c r="A566" s="180" t="str">
        <f>'רשימת מכשור 2015'!A565</f>
        <v>מד טמפרטורה</v>
      </c>
      <c r="B566" s="180" t="str">
        <f>'רשימת מכשור 2015'!B565</f>
        <v>מגטרון</v>
      </c>
      <c r="C566" s="180" t="str">
        <f>'רשימת מכשור 2015'!C565</f>
        <v>PT-100</v>
      </c>
      <c r="D566" s="233" t="str">
        <f>'רשימת מכשור 2015'!D565</f>
        <v>WH-B2 DEVICE MONITORING</v>
      </c>
      <c r="E566" s="180" t="str">
        <f>'רשימת מכשור 2015'!E565</f>
        <v>1-2-2010-TI-119</v>
      </c>
      <c r="F566" s="180">
        <f>'רשימת מכשור 2015'!F565</f>
        <v>300</v>
      </c>
      <c r="G566" s="181">
        <v>1</v>
      </c>
      <c r="H566" s="181">
        <f t="shared" si="24"/>
        <v>300</v>
      </c>
      <c r="I566" s="182" t="s">
        <v>82</v>
      </c>
      <c r="J566" s="181">
        <v>1</v>
      </c>
      <c r="K566" s="181">
        <v>1</v>
      </c>
      <c r="L566" s="181">
        <v>0.2</v>
      </c>
      <c r="M566" s="181" t="str">
        <f t="shared" si="25"/>
        <v>לא לרכוש</v>
      </c>
      <c r="N566" s="181">
        <v>1000</v>
      </c>
      <c r="O566" s="183"/>
      <c r="P566" s="183">
        <v>77</v>
      </c>
      <c r="Q566" s="183"/>
    </row>
    <row r="567" spans="1:17" s="12" customFormat="1" ht="14.25" customHeight="1">
      <c r="A567" s="180" t="str">
        <f>'רשימת מכשור 2015'!A566</f>
        <v>מד טמפרטורה</v>
      </c>
      <c r="B567" s="180" t="str">
        <f>'רשימת מכשור 2015'!B566</f>
        <v>מגטרון</v>
      </c>
      <c r="C567" s="180" t="str">
        <f>'רשימת מכשור 2015'!C566</f>
        <v>PT-100</v>
      </c>
      <c r="D567" s="233" t="str">
        <f>'רשימת מכשור 2015'!D566</f>
        <v>WH-B2 DEVICE MONITORING</v>
      </c>
      <c r="E567" s="180" t="str">
        <f>'רשימת מכשור 2015'!E566</f>
        <v>1-2-2010-TI-117</v>
      </c>
      <c r="F567" s="180">
        <f>'רשימת מכשור 2015'!F566</f>
        <v>300</v>
      </c>
      <c r="G567" s="181">
        <v>1</v>
      </c>
      <c r="H567" s="181">
        <f t="shared" si="24"/>
        <v>300</v>
      </c>
      <c r="I567" s="182" t="s">
        <v>82</v>
      </c>
      <c r="J567" s="181">
        <v>1</v>
      </c>
      <c r="K567" s="181">
        <v>1</v>
      </c>
      <c r="L567" s="181">
        <v>0.2</v>
      </c>
      <c r="M567" s="181" t="str">
        <f t="shared" si="25"/>
        <v>לא לרכוש</v>
      </c>
      <c r="N567" s="181">
        <v>1000</v>
      </c>
      <c r="O567" s="183"/>
      <c r="P567" s="183">
        <v>77</v>
      </c>
      <c r="Q567" s="183"/>
    </row>
    <row r="568" spans="1:17" s="12" customFormat="1" ht="14.25" customHeight="1">
      <c r="A568" s="180" t="str">
        <f>'רשימת מכשור 2015'!A567</f>
        <v>מד טמפרטורה</v>
      </c>
      <c r="B568" s="180" t="str">
        <f>'רשימת מכשור 2015'!B567</f>
        <v>מגטרון</v>
      </c>
      <c r="C568" s="180" t="str">
        <f>'רשימת מכשור 2015'!C567</f>
        <v>PT-100</v>
      </c>
      <c r="D568" s="233" t="str">
        <f>'רשימת מכשור 2015'!D567</f>
        <v>WH-B2 DEVICE MONITORING</v>
      </c>
      <c r="E568" s="180" t="str">
        <f>'רשימת מכשור 2015'!E567</f>
        <v>1-2-2010-TI-118</v>
      </c>
      <c r="F568" s="180">
        <f>'רשימת מכשור 2015'!F567</f>
        <v>300</v>
      </c>
      <c r="G568" s="181">
        <v>1</v>
      </c>
      <c r="H568" s="181">
        <f t="shared" si="24"/>
        <v>300</v>
      </c>
      <c r="I568" s="182" t="s">
        <v>82</v>
      </c>
      <c r="J568" s="181">
        <v>1</v>
      </c>
      <c r="K568" s="181">
        <v>1</v>
      </c>
      <c r="L568" s="181">
        <v>0.2</v>
      </c>
      <c r="M568" s="181" t="str">
        <f t="shared" si="25"/>
        <v>לא לרכוש</v>
      </c>
      <c r="N568" s="181">
        <v>1000</v>
      </c>
      <c r="O568" s="183"/>
      <c r="P568" s="183">
        <v>77</v>
      </c>
      <c r="Q568" s="183"/>
    </row>
    <row r="569" spans="1:17" s="12" customFormat="1" ht="14.25" customHeight="1">
      <c r="A569" s="180" t="str">
        <f>'רשימת מכשור 2015'!A568</f>
        <v>מד טמפרטורה</v>
      </c>
      <c r="B569" s="180" t="str">
        <f>'רשימת מכשור 2015'!B568</f>
        <v>מגטרון</v>
      </c>
      <c r="C569" s="180" t="str">
        <f>'רשימת מכשור 2015'!C568</f>
        <v>PT-100</v>
      </c>
      <c r="D569" s="233" t="str">
        <f>'רשימת מכשור 2015'!D568</f>
        <v>WH-B2 DEVICE MONITORING</v>
      </c>
      <c r="E569" s="180" t="str">
        <f>'רשימת מכשור 2015'!E568</f>
        <v>1-2-2010-TI-120</v>
      </c>
      <c r="F569" s="180">
        <f>'רשימת מכשור 2015'!F568</f>
        <v>300</v>
      </c>
      <c r="G569" s="181">
        <v>1</v>
      </c>
      <c r="H569" s="181">
        <f t="shared" si="24"/>
        <v>300</v>
      </c>
      <c r="I569" s="182" t="s">
        <v>82</v>
      </c>
      <c r="J569" s="181">
        <v>1</v>
      </c>
      <c r="K569" s="181">
        <v>1</v>
      </c>
      <c r="L569" s="181">
        <v>0.2</v>
      </c>
      <c r="M569" s="181" t="str">
        <f t="shared" si="25"/>
        <v>לא לרכוש</v>
      </c>
      <c r="N569" s="181">
        <v>1000</v>
      </c>
      <c r="O569" s="183"/>
      <c r="P569" s="183">
        <v>77</v>
      </c>
      <c r="Q569" s="183"/>
    </row>
    <row r="570" spans="1:17" s="12" customFormat="1" ht="14.25" customHeight="1">
      <c r="A570" s="180" t="str">
        <f>'רשימת מכשור 2015'!A569</f>
        <v>מד טמפרטורה</v>
      </c>
      <c r="B570" s="180" t="str">
        <f>'רשימת מכשור 2015'!B569</f>
        <v>מגטרון</v>
      </c>
      <c r="C570" s="180" t="str">
        <f>'רשימת מכשור 2015'!C569</f>
        <v>PT-100</v>
      </c>
      <c r="D570" s="233" t="str">
        <f>'רשימת מכשור 2015'!D569</f>
        <v>WH-B2 DEVICE MONITORING</v>
      </c>
      <c r="E570" s="180" t="str">
        <f>'רשימת מכשור 2015'!E569</f>
        <v>1-2-2010-TI-121</v>
      </c>
      <c r="F570" s="180">
        <f>'רשימת מכשור 2015'!F569</f>
        <v>300</v>
      </c>
      <c r="G570" s="181">
        <v>1</v>
      </c>
      <c r="H570" s="181">
        <f t="shared" si="24"/>
        <v>300</v>
      </c>
      <c r="I570" s="182" t="s">
        <v>82</v>
      </c>
      <c r="J570" s="181">
        <v>1</v>
      </c>
      <c r="K570" s="181">
        <v>1</v>
      </c>
      <c r="L570" s="181">
        <v>0.2</v>
      </c>
      <c r="M570" s="181" t="str">
        <f t="shared" si="25"/>
        <v>לא לרכוש</v>
      </c>
      <c r="N570" s="181">
        <v>1000</v>
      </c>
      <c r="O570" s="183"/>
      <c r="P570" s="183">
        <v>77</v>
      </c>
      <c r="Q570" s="183"/>
    </row>
    <row r="571" spans="1:17" s="12" customFormat="1" ht="14.25" customHeight="1">
      <c r="A571" s="180" t="str">
        <f>'רשימת מכשור 2015'!A570</f>
        <v>מד טמפרטורה</v>
      </c>
      <c r="B571" s="180" t="str">
        <f>'רשימת מכשור 2015'!B570</f>
        <v>מגטרון</v>
      </c>
      <c r="C571" s="180" t="str">
        <f>'רשימת מכשור 2015'!C570</f>
        <v>PT-100</v>
      </c>
      <c r="D571" s="233" t="str">
        <f>'רשימת מכשור 2015'!D570</f>
        <v>WH-B2 DEVICE MONITORING</v>
      </c>
      <c r="E571" s="180" t="str">
        <f>'רשימת מכשור 2015'!E570</f>
        <v>1-2-2010-TI-122</v>
      </c>
      <c r="F571" s="180">
        <f>'רשימת מכשור 2015'!F570</f>
        <v>300</v>
      </c>
      <c r="G571" s="181">
        <v>1</v>
      </c>
      <c r="H571" s="181">
        <f t="shared" si="24"/>
        <v>300</v>
      </c>
      <c r="I571" s="182" t="s">
        <v>82</v>
      </c>
      <c r="J571" s="181">
        <v>1</v>
      </c>
      <c r="K571" s="181">
        <v>1</v>
      </c>
      <c r="L571" s="181">
        <v>0.2</v>
      </c>
      <c r="M571" s="181" t="str">
        <f t="shared" si="25"/>
        <v>לא לרכוש</v>
      </c>
      <c r="N571" s="181">
        <v>1000</v>
      </c>
      <c r="O571" s="183"/>
      <c r="P571" s="183">
        <v>77</v>
      </c>
      <c r="Q571" s="183"/>
    </row>
    <row r="572" spans="1:17" s="12" customFormat="1" ht="14.25" customHeight="1">
      <c r="A572" s="180" t="str">
        <f>'רשימת מכשור 2015'!A571</f>
        <v>מד טמפרטורה</v>
      </c>
      <c r="B572" s="180" t="str">
        <f>'רשימת מכשור 2015'!B571</f>
        <v>מגטרון</v>
      </c>
      <c r="C572" s="180" t="str">
        <f>'רשימת מכשור 2015'!C571</f>
        <v>PT-100</v>
      </c>
      <c r="D572" s="233" t="str">
        <f>'רשימת מכשור 2015'!D571</f>
        <v>WH-B2 DEVICE MONITORING</v>
      </c>
      <c r="E572" s="180" t="str">
        <f>'רשימת מכשור 2015'!E571</f>
        <v>1-2-2010-TI-3</v>
      </c>
      <c r="F572" s="180">
        <f>'רשימת מכשור 2015'!F571</f>
        <v>300</v>
      </c>
      <c r="G572" s="181">
        <v>1</v>
      </c>
      <c r="H572" s="181">
        <f t="shared" si="24"/>
        <v>300</v>
      </c>
      <c r="I572" s="182" t="s">
        <v>82</v>
      </c>
      <c r="J572" s="181">
        <v>1</v>
      </c>
      <c r="K572" s="181">
        <v>1</v>
      </c>
      <c r="L572" s="181">
        <v>0.2</v>
      </c>
      <c r="M572" s="181" t="str">
        <f t="shared" si="25"/>
        <v>לא לרכוש</v>
      </c>
      <c r="N572" s="181">
        <v>1000</v>
      </c>
      <c r="O572" s="183"/>
      <c r="P572" s="183">
        <v>77</v>
      </c>
      <c r="Q572" s="183"/>
    </row>
    <row r="573" spans="1:17" s="12" customFormat="1" ht="14.25" customHeight="1">
      <c r="A573" s="180" t="str">
        <f>'רשימת מכשור 2015'!A572</f>
        <v>מד טמפרטורה</v>
      </c>
      <c r="B573" s="180" t="str">
        <f>'רשימת מכשור 2015'!B572</f>
        <v>מגטרון</v>
      </c>
      <c r="C573" s="180" t="str">
        <f>'רשימת מכשור 2015'!C572</f>
        <v>PT-100</v>
      </c>
      <c r="D573" s="233" t="str">
        <f>'רשימת מכשור 2015'!D572</f>
        <v>WH-B2 DEVICE MONITORING</v>
      </c>
      <c r="E573" s="180" t="str">
        <f>'רשימת מכשור 2015'!E572</f>
        <v>1-2-2010-TI-105</v>
      </c>
      <c r="F573" s="180">
        <f>'רשימת מכשור 2015'!F572</f>
        <v>300</v>
      </c>
      <c r="G573" s="181">
        <v>1</v>
      </c>
      <c r="H573" s="181">
        <f t="shared" si="24"/>
        <v>300</v>
      </c>
      <c r="I573" s="182" t="s">
        <v>82</v>
      </c>
      <c r="J573" s="181">
        <v>1</v>
      </c>
      <c r="K573" s="181">
        <v>1</v>
      </c>
      <c r="L573" s="181">
        <v>0.2</v>
      </c>
      <c r="M573" s="181" t="str">
        <f t="shared" si="25"/>
        <v>לא לרכוש</v>
      </c>
      <c r="N573" s="181">
        <v>1000</v>
      </c>
      <c r="O573" s="183"/>
      <c r="P573" s="183">
        <v>77</v>
      </c>
      <c r="Q573" s="183"/>
    </row>
    <row r="574" spans="1:17" s="12" customFormat="1" ht="14.25" customHeight="1">
      <c r="A574" s="180" t="str">
        <f>'רשימת מכשור 2015'!A573</f>
        <v>מד טמפרטורה</v>
      </c>
      <c r="B574" s="180" t="str">
        <f>'רשימת מכשור 2015'!B573</f>
        <v>מגטרון</v>
      </c>
      <c r="C574" s="180" t="str">
        <f>'רשימת מכשור 2015'!C573</f>
        <v>PT-100</v>
      </c>
      <c r="D574" s="233" t="str">
        <f>'רשימת מכשור 2015'!D573</f>
        <v>WH-B2 DEVICE MONITORING</v>
      </c>
      <c r="E574" s="180" t="str">
        <f>'רשימת מכשור 2015'!E573</f>
        <v>1-2-2010-TI-518</v>
      </c>
      <c r="F574" s="180">
        <f>'רשימת מכשור 2015'!F573</f>
        <v>300</v>
      </c>
      <c r="G574" s="181">
        <v>1</v>
      </c>
      <c r="H574" s="181">
        <f t="shared" si="24"/>
        <v>300</v>
      </c>
      <c r="I574" s="182" t="s">
        <v>82</v>
      </c>
      <c r="J574" s="181">
        <v>1</v>
      </c>
      <c r="K574" s="181">
        <v>1</v>
      </c>
      <c r="L574" s="181">
        <v>0.2</v>
      </c>
      <c r="M574" s="181" t="str">
        <f t="shared" si="25"/>
        <v>לא לרכוש</v>
      </c>
      <c r="N574" s="181">
        <v>1000</v>
      </c>
      <c r="O574" s="183"/>
      <c r="P574" s="183">
        <v>77</v>
      </c>
      <c r="Q574" s="183"/>
    </row>
    <row r="575" spans="1:17" s="12" customFormat="1" ht="14.25" customHeight="1">
      <c r="A575" s="180" t="str">
        <f>'רשימת מכשור 2015'!A574</f>
        <v>מד טמפרטורה</v>
      </c>
      <c r="B575" s="180" t="str">
        <f>'רשימת מכשור 2015'!B574</f>
        <v>קונטרוטק</v>
      </c>
      <c r="C575" s="180" t="str">
        <f>'רשימת מכשור 2015'!C574</f>
        <v>PT-100</v>
      </c>
      <c r="D575" s="233" t="str">
        <f>'רשימת מכשור 2015'!D574</f>
        <v>WH-B2 DEVICE MONITORING</v>
      </c>
      <c r="E575" s="180" t="str">
        <f>'רשימת מכשור 2015'!E574</f>
        <v>1-2-2010-TI-484</v>
      </c>
      <c r="F575" s="180">
        <f>'רשימת מכשור 2015'!F574</f>
        <v>300</v>
      </c>
      <c r="G575" s="181">
        <v>1</v>
      </c>
      <c r="H575" s="181">
        <f t="shared" si="24"/>
        <v>300</v>
      </c>
      <c r="I575" s="182" t="s">
        <v>82</v>
      </c>
      <c r="J575" s="181">
        <v>1</v>
      </c>
      <c r="K575" s="181">
        <v>1</v>
      </c>
      <c r="L575" s="181">
        <v>0.2</v>
      </c>
      <c r="M575" s="181" t="str">
        <f t="shared" si="25"/>
        <v>לא לרכוש</v>
      </c>
      <c r="N575" s="181">
        <v>1000</v>
      </c>
      <c r="O575" s="183"/>
      <c r="P575" s="183">
        <v>13</v>
      </c>
      <c r="Q575" s="183"/>
    </row>
    <row r="576" spans="1:17" s="12" customFormat="1" ht="14.25" customHeight="1">
      <c r="A576" s="180" t="str">
        <f>'רשימת מכשור 2015'!A575</f>
        <v>מד טמפרטורה</v>
      </c>
      <c r="B576" s="180" t="str">
        <f>'רשימת מכשור 2015'!B575</f>
        <v>קונטרוטק</v>
      </c>
      <c r="C576" s="180" t="str">
        <f>'רשימת מכשור 2015'!C575</f>
        <v>PT-100</v>
      </c>
      <c r="D576" s="233" t="str">
        <f>'רשימת מכשור 2015'!D575</f>
        <v>WH-B2 DEVICE MONITORING</v>
      </c>
      <c r="E576" s="180" t="str">
        <f>'רשימת מכשור 2015'!E575</f>
        <v>1-2-2010-TI-485</v>
      </c>
      <c r="F576" s="180">
        <f>'רשימת מכשור 2015'!F575</f>
        <v>300</v>
      </c>
      <c r="G576" s="181">
        <v>1</v>
      </c>
      <c r="H576" s="181">
        <f t="shared" si="24"/>
        <v>300</v>
      </c>
      <c r="I576" s="182" t="s">
        <v>82</v>
      </c>
      <c r="J576" s="181">
        <v>1</v>
      </c>
      <c r="K576" s="181">
        <v>1</v>
      </c>
      <c r="L576" s="181">
        <v>0.2</v>
      </c>
      <c r="M576" s="181" t="str">
        <f t="shared" si="25"/>
        <v>לא לרכוש</v>
      </c>
      <c r="N576" s="181">
        <v>1000</v>
      </c>
      <c r="O576" s="183"/>
      <c r="P576" s="183">
        <v>13</v>
      </c>
      <c r="Q576" s="183"/>
    </row>
    <row r="577" spans="1:17" s="12" customFormat="1" ht="14.25" customHeight="1">
      <c r="A577" s="180" t="str">
        <f>'רשימת מכשור 2015'!A576</f>
        <v>מד טמפרטורה</v>
      </c>
      <c r="B577" s="180" t="str">
        <f>'רשימת מכשור 2015'!B576</f>
        <v>קונטרוטק</v>
      </c>
      <c r="C577" s="180" t="str">
        <f>'רשימת מכשור 2015'!C576</f>
        <v>PT-100</v>
      </c>
      <c r="D577" s="233" t="str">
        <f>'רשימת מכשור 2015'!D576</f>
        <v>WH-B2 DEVICE MONITORING</v>
      </c>
      <c r="E577" s="180" t="str">
        <f>'רשימת מכשור 2015'!E576</f>
        <v>1-2-2010-TI-486</v>
      </c>
      <c r="F577" s="180">
        <f>'רשימת מכשור 2015'!F576</f>
        <v>300</v>
      </c>
      <c r="G577" s="181">
        <v>1</v>
      </c>
      <c r="H577" s="181">
        <f t="shared" si="24"/>
        <v>300</v>
      </c>
      <c r="I577" s="182" t="s">
        <v>82</v>
      </c>
      <c r="J577" s="181">
        <v>1</v>
      </c>
      <c r="K577" s="181">
        <v>1</v>
      </c>
      <c r="L577" s="181">
        <v>0.2</v>
      </c>
      <c r="M577" s="181" t="str">
        <f t="shared" si="25"/>
        <v>לא לרכוש</v>
      </c>
      <c r="N577" s="181">
        <v>1000</v>
      </c>
      <c r="O577" s="183"/>
      <c r="P577" s="183">
        <v>13</v>
      </c>
      <c r="Q577" s="183"/>
    </row>
    <row r="578" spans="1:17" s="12" customFormat="1" ht="14.25" customHeight="1">
      <c r="A578" s="180" t="str">
        <f>'רשימת מכשור 2015'!A577</f>
        <v>מד טמפרטורה</v>
      </c>
      <c r="B578" s="180" t="str">
        <f>'רשימת מכשור 2015'!B577</f>
        <v>קונטרוטק</v>
      </c>
      <c r="C578" s="180" t="str">
        <f>'רשימת מכשור 2015'!C577</f>
        <v>PT-100</v>
      </c>
      <c r="D578" s="233" t="str">
        <f>'רשימת מכשור 2015'!D577</f>
        <v>WH-B2 DEVICE MONITORING</v>
      </c>
      <c r="E578" s="180" t="str">
        <f>'רשימת מכשור 2015'!E577</f>
        <v>1-2-2010-TI-487</v>
      </c>
      <c r="F578" s="180">
        <f>'רשימת מכשור 2015'!F577</f>
        <v>300</v>
      </c>
      <c r="G578" s="181">
        <v>1</v>
      </c>
      <c r="H578" s="181">
        <f t="shared" si="24"/>
        <v>300</v>
      </c>
      <c r="I578" s="182" t="s">
        <v>82</v>
      </c>
      <c r="J578" s="181">
        <v>1</v>
      </c>
      <c r="K578" s="181">
        <v>1</v>
      </c>
      <c r="L578" s="181">
        <v>0.2</v>
      </c>
      <c r="M578" s="181" t="str">
        <f t="shared" si="25"/>
        <v>לא לרכוש</v>
      </c>
      <c r="N578" s="181">
        <v>1000</v>
      </c>
      <c r="O578" s="183"/>
      <c r="P578" s="183">
        <v>13</v>
      </c>
      <c r="Q578" s="183"/>
    </row>
    <row r="579" spans="1:17" s="12" customFormat="1" ht="14.25" customHeight="1">
      <c r="A579" s="180" t="str">
        <f>'רשימת מכשור 2015'!A578</f>
        <v>מד טמפרטורה</v>
      </c>
      <c r="B579" s="180" t="str">
        <f>'רשימת מכשור 2015'!B578</f>
        <v>קונטרוטק</v>
      </c>
      <c r="C579" s="180" t="str">
        <f>'רשימת מכשור 2015'!C578</f>
        <v>PT-100</v>
      </c>
      <c r="D579" s="233" t="str">
        <f>'רשימת מכשור 2015'!D578</f>
        <v>WH-B2 DEVICE MONITORING</v>
      </c>
      <c r="E579" s="180" t="str">
        <f>'רשימת מכשור 2015'!E578</f>
        <v>1-2-2010-TI-488</v>
      </c>
      <c r="F579" s="180">
        <f>'רשימת מכשור 2015'!F578</f>
        <v>300</v>
      </c>
      <c r="G579" s="181">
        <v>1</v>
      </c>
      <c r="H579" s="181">
        <f t="shared" si="24"/>
        <v>300</v>
      </c>
      <c r="I579" s="182" t="s">
        <v>82</v>
      </c>
      <c r="J579" s="181">
        <v>1</v>
      </c>
      <c r="K579" s="181">
        <v>1</v>
      </c>
      <c r="L579" s="181">
        <v>0.2</v>
      </c>
      <c r="M579" s="181" t="str">
        <f t="shared" si="25"/>
        <v>לא לרכוש</v>
      </c>
      <c r="N579" s="181">
        <v>1000</v>
      </c>
      <c r="O579" s="183"/>
      <c r="P579" s="183">
        <v>13</v>
      </c>
      <c r="Q579" s="183"/>
    </row>
    <row r="580" spans="1:17" s="12" customFormat="1" ht="14.25" customHeight="1">
      <c r="A580" s="180" t="str">
        <f>'רשימת מכשור 2015'!A579</f>
        <v>מד טמפרטורה</v>
      </c>
      <c r="B580" s="180" t="str">
        <f>'רשימת מכשור 2015'!B579</f>
        <v>קונטרוטק</v>
      </c>
      <c r="C580" s="180" t="str">
        <f>'רשימת מכשור 2015'!C579</f>
        <v>PT-100</v>
      </c>
      <c r="D580" s="233" t="str">
        <f>'רשימת מכשור 2015'!D579</f>
        <v>WH-B2 DEVICE MONITORING</v>
      </c>
      <c r="E580" s="180" t="str">
        <f>'רשימת מכשור 2015'!E579</f>
        <v>1-2-2010-TI-489</v>
      </c>
      <c r="F580" s="180">
        <f>'רשימת מכשור 2015'!F579</f>
        <v>300</v>
      </c>
      <c r="G580" s="181">
        <v>1</v>
      </c>
      <c r="H580" s="181">
        <f t="shared" si="24"/>
        <v>300</v>
      </c>
      <c r="I580" s="182" t="s">
        <v>82</v>
      </c>
      <c r="J580" s="181">
        <v>1</v>
      </c>
      <c r="K580" s="181">
        <v>1</v>
      </c>
      <c r="L580" s="181">
        <v>0.2</v>
      </c>
      <c r="M580" s="181" t="str">
        <f t="shared" si="25"/>
        <v>לא לרכוש</v>
      </c>
      <c r="N580" s="181">
        <v>1000</v>
      </c>
      <c r="O580" s="183"/>
      <c r="P580" s="183">
        <v>13</v>
      </c>
      <c r="Q580" s="183"/>
    </row>
    <row r="581" spans="1:17" s="12" customFormat="1" ht="14.25" customHeight="1">
      <c r="A581" s="180" t="str">
        <f>'רשימת מכשור 2015'!A580</f>
        <v>מד טמפרטורה</v>
      </c>
      <c r="B581" s="180" t="str">
        <f>'רשימת מכשור 2015'!B580</f>
        <v>קונטרוטק</v>
      </c>
      <c r="C581" s="180" t="str">
        <f>'רשימת מכשור 2015'!C580</f>
        <v>PT-100</v>
      </c>
      <c r="D581" s="233" t="str">
        <f>'רשימת מכשור 2015'!D580</f>
        <v>WH-B2 DEVICE MONITORING</v>
      </c>
      <c r="E581" s="180" t="str">
        <f>'רשימת מכשור 2015'!E580</f>
        <v>1-2-2010-TI-490</v>
      </c>
      <c r="F581" s="180">
        <f>'רשימת מכשור 2015'!F580</f>
        <v>300</v>
      </c>
      <c r="G581" s="181">
        <v>1</v>
      </c>
      <c r="H581" s="181">
        <f t="shared" si="24"/>
        <v>300</v>
      </c>
      <c r="I581" s="182" t="s">
        <v>82</v>
      </c>
      <c r="J581" s="181">
        <v>1</v>
      </c>
      <c r="K581" s="181">
        <v>1</v>
      </c>
      <c r="L581" s="181">
        <v>0.2</v>
      </c>
      <c r="M581" s="181" t="str">
        <f t="shared" si="25"/>
        <v>לא לרכוש</v>
      </c>
      <c r="N581" s="181">
        <v>1000</v>
      </c>
      <c r="O581" s="183"/>
      <c r="P581" s="183">
        <v>13</v>
      </c>
      <c r="Q581" s="183"/>
    </row>
    <row r="582" spans="1:17" s="12" customFormat="1" ht="14.25" customHeight="1">
      <c r="A582" s="180" t="str">
        <f>'רשימת מכשור 2015'!A581</f>
        <v>מד טמפרטורה</v>
      </c>
      <c r="B582" s="180" t="str">
        <f>'רשימת מכשור 2015'!B581</f>
        <v>קונטרוטק</v>
      </c>
      <c r="C582" s="180" t="str">
        <f>'רשימת מכשור 2015'!C581</f>
        <v>PT-100</v>
      </c>
      <c r="D582" s="233" t="str">
        <f>'רשימת מכשור 2015'!D581</f>
        <v>WH-B2 DEVICE MONITORING</v>
      </c>
      <c r="E582" s="180" t="str">
        <f>'רשימת מכשור 2015'!E581</f>
        <v>1-2-2010-TI-491</v>
      </c>
      <c r="F582" s="180">
        <f>'רשימת מכשור 2015'!F581</f>
        <v>300</v>
      </c>
      <c r="G582" s="181">
        <v>1</v>
      </c>
      <c r="H582" s="181">
        <f t="shared" si="24"/>
        <v>300</v>
      </c>
      <c r="I582" s="182" t="s">
        <v>82</v>
      </c>
      <c r="J582" s="181">
        <v>1</v>
      </c>
      <c r="K582" s="181">
        <v>1</v>
      </c>
      <c r="L582" s="181">
        <v>0.2</v>
      </c>
      <c r="M582" s="181" t="str">
        <f t="shared" si="25"/>
        <v>לא לרכוש</v>
      </c>
      <c r="N582" s="181">
        <v>1000</v>
      </c>
      <c r="O582" s="183"/>
      <c r="P582" s="183">
        <v>13</v>
      </c>
      <c r="Q582" s="183"/>
    </row>
    <row r="583" spans="1:17" s="12" customFormat="1" ht="14.25" customHeight="1">
      <c r="A583" s="180" t="str">
        <f>'רשימת מכשור 2015'!A582</f>
        <v>מד טמפרטורה</v>
      </c>
      <c r="B583" s="180" t="str">
        <f>'רשימת מכשור 2015'!B582</f>
        <v>קונטרוטק</v>
      </c>
      <c r="C583" s="180" t="str">
        <f>'רשימת מכשור 2015'!C582</f>
        <v>PT-100</v>
      </c>
      <c r="D583" s="233" t="str">
        <f>'רשימת מכשור 2015'!D582</f>
        <v>WH-B2 DEVICE MONITORING</v>
      </c>
      <c r="E583" s="180" t="str">
        <f>'רשימת מכשור 2015'!E582</f>
        <v>1-2-2010-TI-492</v>
      </c>
      <c r="F583" s="180">
        <f>'רשימת מכשור 2015'!F582</f>
        <v>300</v>
      </c>
      <c r="G583" s="181">
        <v>1</v>
      </c>
      <c r="H583" s="181">
        <f t="shared" si="24"/>
        <v>300</v>
      </c>
      <c r="I583" s="182" t="s">
        <v>82</v>
      </c>
      <c r="J583" s="181">
        <v>1</v>
      </c>
      <c r="K583" s="181">
        <v>1</v>
      </c>
      <c r="L583" s="181">
        <v>0.2</v>
      </c>
      <c r="M583" s="181" t="str">
        <f t="shared" si="25"/>
        <v>לא לרכוש</v>
      </c>
      <c r="N583" s="181">
        <v>1000</v>
      </c>
      <c r="O583" s="183"/>
      <c r="P583" s="183">
        <v>13</v>
      </c>
      <c r="Q583" s="183"/>
    </row>
    <row r="584" spans="1:17" s="12" customFormat="1" ht="14.25" customHeight="1">
      <c r="A584" s="180" t="str">
        <f>'רשימת מכשור 2015'!A583</f>
        <v>מד טמפרטורה</v>
      </c>
      <c r="B584" s="180" t="str">
        <f>'רשימת מכשור 2015'!B583</f>
        <v>קונטרוטק</v>
      </c>
      <c r="C584" s="180" t="str">
        <f>'רשימת מכשור 2015'!C583</f>
        <v>PT-100</v>
      </c>
      <c r="D584" s="233" t="str">
        <f>'רשימת מכשור 2015'!D583</f>
        <v>WH-B2 DEVICE MONITORING</v>
      </c>
      <c r="E584" s="180" t="str">
        <f>'רשימת מכשור 2015'!E583</f>
        <v>1-2-2010-TI-493</v>
      </c>
      <c r="F584" s="180">
        <f>'רשימת מכשור 2015'!F583</f>
        <v>300</v>
      </c>
      <c r="G584" s="181">
        <v>1</v>
      </c>
      <c r="H584" s="181">
        <f t="shared" si="24"/>
        <v>300</v>
      </c>
      <c r="I584" s="182" t="s">
        <v>82</v>
      </c>
      <c r="J584" s="181">
        <v>1</v>
      </c>
      <c r="K584" s="181">
        <v>1</v>
      </c>
      <c r="L584" s="181">
        <v>0.2</v>
      </c>
      <c r="M584" s="181" t="str">
        <f t="shared" si="25"/>
        <v>לא לרכוש</v>
      </c>
      <c r="N584" s="181">
        <v>1000</v>
      </c>
      <c r="O584" s="183"/>
      <c r="P584" s="183">
        <v>13</v>
      </c>
      <c r="Q584" s="183"/>
    </row>
    <row r="585" spans="1:17" s="12" customFormat="1" ht="14.25" customHeight="1">
      <c r="A585" s="180" t="str">
        <f>'רשימת מכשור 2015'!A584</f>
        <v>מד טמפרטורה</v>
      </c>
      <c r="B585" s="180" t="str">
        <f>'רשימת מכשור 2015'!B584</f>
        <v>קונטרוטק</v>
      </c>
      <c r="C585" s="180" t="str">
        <f>'רשימת מכשור 2015'!C584</f>
        <v>PT-100</v>
      </c>
      <c r="D585" s="233" t="str">
        <f>'רשימת מכשור 2015'!D584</f>
        <v>WH-B2 DEVICE MONITORING</v>
      </c>
      <c r="E585" s="180" t="str">
        <f>'רשימת מכשור 2015'!E584</f>
        <v>1-2-2010-TI-494</v>
      </c>
      <c r="F585" s="180">
        <f>'רשימת מכשור 2015'!F584</f>
        <v>300</v>
      </c>
      <c r="G585" s="181">
        <v>1</v>
      </c>
      <c r="H585" s="181">
        <f t="shared" si="24"/>
        <v>300</v>
      </c>
      <c r="I585" s="182" t="s">
        <v>82</v>
      </c>
      <c r="J585" s="181">
        <v>1</v>
      </c>
      <c r="K585" s="181">
        <v>1</v>
      </c>
      <c r="L585" s="181">
        <v>0.2</v>
      </c>
      <c r="M585" s="181" t="str">
        <f t="shared" si="25"/>
        <v>לא לרכוש</v>
      </c>
      <c r="N585" s="181">
        <v>1000</v>
      </c>
      <c r="O585" s="183"/>
      <c r="P585" s="183">
        <v>13</v>
      </c>
      <c r="Q585" s="183"/>
    </row>
    <row r="586" spans="1:17" s="12" customFormat="1" ht="14.25" customHeight="1">
      <c r="A586" s="180" t="str">
        <f>'רשימת מכשור 2015'!A585</f>
        <v xml:space="preserve">מפסק לחץ </v>
      </c>
      <c r="B586" s="180" t="str">
        <f>'רשימת מכשור 2015'!B585</f>
        <v>SMC</v>
      </c>
      <c r="C586" s="180" t="str">
        <f>'רשימת מכשור 2015'!C585</f>
        <v>ISE 30</v>
      </c>
      <c r="D586" s="233" t="str">
        <f>'רשימת מכשור 2015'!D585</f>
        <v>Air Compressor</v>
      </c>
      <c r="E586" s="180" t="str">
        <f>'רשימת מכשור 2015'!E585</f>
        <v>1-1-41001-PSHL-01</v>
      </c>
      <c r="F586" s="180">
        <f>'רשימת מכשור 2015'!F585</f>
        <v>300</v>
      </c>
      <c r="G586" s="181">
        <v>1</v>
      </c>
      <c r="H586" s="181">
        <f t="shared" si="24"/>
        <v>300</v>
      </c>
      <c r="I586" s="182"/>
      <c r="J586" s="181">
        <v>1</v>
      </c>
      <c r="K586" s="181">
        <v>1</v>
      </c>
      <c r="L586" s="181">
        <v>0.5</v>
      </c>
      <c r="M586" s="181" t="str">
        <f t="shared" si="25"/>
        <v>לרכוש</v>
      </c>
      <c r="N586" s="181">
        <v>1000</v>
      </c>
      <c r="O586" s="183"/>
      <c r="P586" s="183">
        <v>1</v>
      </c>
      <c r="Q586" s="183"/>
    </row>
    <row r="587" spans="1:17" s="12" customFormat="1" ht="14.25" customHeight="1">
      <c r="A587" s="180" t="str">
        <f>'רשימת מכשור 2015'!A586</f>
        <v>משדר טמפרטורה</v>
      </c>
      <c r="B587" s="180" t="str">
        <f>'רשימת מכשור 2015'!B586</f>
        <v>Millan</v>
      </c>
      <c r="C587" s="180" t="str">
        <f>'רשימת מכשור 2015'!C586</f>
        <v>PT100</v>
      </c>
      <c r="D587" s="233" t="str">
        <f>'רשימת מכשור 2015'!D586</f>
        <v>Air Compressor</v>
      </c>
      <c r="E587" s="180" t="str">
        <f>'רשימת מכשור 2015'!E586</f>
        <v>1-1-41001-TT-4</v>
      </c>
      <c r="F587" s="180">
        <f>'רשימת מכשור 2015'!F586</f>
        <v>300</v>
      </c>
      <c r="G587" s="181">
        <v>1</v>
      </c>
      <c r="H587" s="181">
        <f t="shared" si="24"/>
        <v>300</v>
      </c>
      <c r="I587" s="182"/>
      <c r="J587" s="181">
        <v>1</v>
      </c>
      <c r="K587" s="181"/>
      <c r="L587" s="181">
        <v>0.5</v>
      </c>
      <c r="M587" s="181" t="str">
        <f t="shared" si="25"/>
        <v>לא לרכוש</v>
      </c>
      <c r="N587" s="181">
        <v>1000</v>
      </c>
      <c r="O587" s="183"/>
      <c r="P587" s="183">
        <v>1</v>
      </c>
      <c r="Q587" s="183"/>
    </row>
    <row r="588" spans="1:17" s="12" customFormat="1" ht="14.25" customHeight="1">
      <c r="A588" s="180" t="str">
        <f>'רשימת מכשור 2015'!A587</f>
        <v>משדר טמפרטורה</v>
      </c>
      <c r="B588" s="180" t="str">
        <f>'רשימת מכשור 2015'!B587</f>
        <v>Millan</v>
      </c>
      <c r="C588" s="180" t="str">
        <f>'רשימת מכשור 2015'!C587</f>
        <v>PT100</v>
      </c>
      <c r="D588" s="233" t="str">
        <f>'רשימת מכשור 2015'!D587</f>
        <v>Air Compressor</v>
      </c>
      <c r="E588" s="180" t="str">
        <f>'רשימת מכשור 2015'!E587</f>
        <v>1-1-41001-TT-5</v>
      </c>
      <c r="F588" s="180">
        <f>'רשימת מכשור 2015'!F587</f>
        <v>300</v>
      </c>
      <c r="G588" s="181">
        <v>1</v>
      </c>
      <c r="H588" s="181">
        <f t="shared" si="24"/>
        <v>300</v>
      </c>
      <c r="I588" s="182"/>
      <c r="J588" s="181">
        <v>1</v>
      </c>
      <c r="K588" s="181"/>
      <c r="L588" s="181">
        <v>0.5</v>
      </c>
      <c r="M588" s="181" t="str">
        <f t="shared" si="25"/>
        <v>לא לרכוש</v>
      </c>
      <c r="N588" s="181">
        <v>1000</v>
      </c>
      <c r="O588" s="183"/>
      <c r="P588" s="183">
        <v>1</v>
      </c>
      <c r="Q588" s="183"/>
    </row>
    <row r="589" spans="1:17" s="12" customFormat="1" ht="14.25" customHeight="1">
      <c r="A589" s="180" t="str">
        <f>'רשימת מכשור 2015'!A588</f>
        <v>מד טמפרטורה</v>
      </c>
      <c r="B589" s="180" t="str">
        <f>'רשימת מכשור 2015'!B588</f>
        <v>מגטרון</v>
      </c>
      <c r="C589" s="180" t="str">
        <f>'רשימת מכשור 2015'!C588</f>
        <v>PT-100</v>
      </c>
      <c r="D589" s="233" t="str">
        <f>'רשימת מכשור 2015'!D588</f>
        <v xml:space="preserve">R&amp;D </v>
      </c>
      <c r="E589" s="180" t="str">
        <f>'רשימת מכשור 2015'!E588</f>
        <v>1-2-243-TI-001</v>
      </c>
      <c r="F589" s="180">
        <f>'רשימת מכשור 2015'!F588</f>
        <v>300</v>
      </c>
      <c r="G589" s="181">
        <v>1</v>
      </c>
      <c r="H589" s="181">
        <f t="shared" si="24"/>
        <v>300</v>
      </c>
      <c r="I589" s="182" t="s">
        <v>82</v>
      </c>
      <c r="J589" s="181">
        <v>1</v>
      </c>
      <c r="K589" s="181">
        <v>0</v>
      </c>
      <c r="L589" s="181">
        <v>0.5</v>
      </c>
      <c r="M589" s="181" t="str">
        <f t="shared" si="25"/>
        <v>לא לרכוש</v>
      </c>
      <c r="N589" s="181">
        <v>1000</v>
      </c>
      <c r="O589" s="183"/>
      <c r="P589" s="183">
        <v>77</v>
      </c>
      <c r="Q589" s="183"/>
    </row>
    <row r="590" spans="1:17" s="12" customFormat="1" ht="14.25" customHeight="1">
      <c r="A590" s="180" t="str">
        <f>'רשימת מכשור 2015'!A589</f>
        <v>מד טמפרטורה</v>
      </c>
      <c r="B590" s="180" t="str">
        <f>'רשימת מכשור 2015'!B589</f>
        <v>מגטרון</v>
      </c>
      <c r="C590" s="180" t="str">
        <f>'רשימת מכשור 2015'!C589</f>
        <v>PT-100</v>
      </c>
      <c r="D590" s="233" t="str">
        <f>'רשימת מכשור 2015'!D589</f>
        <v xml:space="preserve">R&amp;D </v>
      </c>
      <c r="E590" s="180" t="str">
        <f>'רשימת מכשור 2015'!E589</f>
        <v>1-2-243-TI-002</v>
      </c>
      <c r="F590" s="180">
        <f>'רשימת מכשור 2015'!F589</f>
        <v>300</v>
      </c>
      <c r="G590" s="181">
        <v>1</v>
      </c>
      <c r="H590" s="181">
        <f t="shared" si="24"/>
        <v>300</v>
      </c>
      <c r="I590" s="182" t="s">
        <v>82</v>
      </c>
      <c r="J590" s="181">
        <v>1</v>
      </c>
      <c r="K590" s="181">
        <v>1</v>
      </c>
      <c r="L590" s="181">
        <v>0.5</v>
      </c>
      <c r="M590" s="181" t="str">
        <f t="shared" si="25"/>
        <v>לא לרכוש</v>
      </c>
      <c r="N590" s="181">
        <v>1000</v>
      </c>
      <c r="O590" s="183"/>
      <c r="P590" s="183">
        <v>77</v>
      </c>
      <c r="Q590" s="183"/>
    </row>
    <row r="591" spans="1:17" s="12" customFormat="1" ht="14.25" customHeight="1">
      <c r="A591" s="180" t="str">
        <f>'רשימת מכשור 2015'!A590</f>
        <v>מד טמפרטורה</v>
      </c>
      <c r="B591" s="180" t="str">
        <f>'רשימת מכשור 2015'!B590</f>
        <v>מגטרון</v>
      </c>
      <c r="C591" s="180" t="str">
        <f>'רשימת מכשור 2015'!C590</f>
        <v>PT-100</v>
      </c>
      <c r="D591" s="233" t="str">
        <f>'רשימת מכשור 2015'!D590</f>
        <v xml:space="preserve">R&amp;D </v>
      </c>
      <c r="E591" s="180" t="str">
        <f>'רשימת מכשור 2015'!E590</f>
        <v>FR-21</v>
      </c>
      <c r="F591" s="180">
        <f>'רשימת מכשור 2015'!F590</f>
        <v>300</v>
      </c>
      <c r="G591" s="181">
        <v>1</v>
      </c>
      <c r="H591" s="181">
        <f t="shared" si="24"/>
        <v>300</v>
      </c>
      <c r="I591" s="182" t="s">
        <v>82</v>
      </c>
      <c r="J591" s="181">
        <v>1</v>
      </c>
      <c r="K591" s="181">
        <v>1</v>
      </c>
      <c r="L591" s="181">
        <v>0.5</v>
      </c>
      <c r="M591" s="181" t="str">
        <f t="shared" si="25"/>
        <v>לא לרכוש</v>
      </c>
      <c r="N591" s="181">
        <v>1000</v>
      </c>
      <c r="O591" s="183"/>
      <c r="P591" s="183">
        <v>77</v>
      </c>
      <c r="Q591" s="183"/>
    </row>
    <row r="592" spans="1:17" s="12" customFormat="1" ht="14.25" customHeight="1">
      <c r="A592" s="180" t="str">
        <f>'רשימת מכשור 2015'!A591</f>
        <v>מד טמפרטורה</v>
      </c>
      <c r="B592" s="180" t="str">
        <f>'רשימת מכשור 2015'!B591</f>
        <v>מגטרון</v>
      </c>
      <c r="C592" s="180" t="str">
        <f>'רשימת מכשור 2015'!C591</f>
        <v>PT-100</v>
      </c>
      <c r="D592" s="233" t="str">
        <f>'רשימת מכשור 2015'!D591</f>
        <v xml:space="preserve">R&amp;D </v>
      </c>
      <c r="E592" s="180" t="str">
        <f>'רשימת מכשור 2015'!E591</f>
        <v>FR-22</v>
      </c>
      <c r="F592" s="180">
        <f>'רשימת מכשור 2015'!F591</f>
        <v>300</v>
      </c>
      <c r="G592" s="181">
        <v>1</v>
      </c>
      <c r="H592" s="181">
        <f t="shared" si="24"/>
        <v>300</v>
      </c>
      <c r="I592" s="182" t="s">
        <v>82</v>
      </c>
      <c r="J592" s="181">
        <v>1</v>
      </c>
      <c r="K592" s="181">
        <v>1</v>
      </c>
      <c r="L592" s="181">
        <v>0.5</v>
      </c>
      <c r="M592" s="181" t="str">
        <f t="shared" si="25"/>
        <v>לא לרכוש</v>
      </c>
      <c r="N592" s="181">
        <v>1000</v>
      </c>
      <c r="O592" s="183"/>
      <c r="P592" s="183">
        <v>77</v>
      </c>
      <c r="Q592" s="183"/>
    </row>
    <row r="593" spans="1:17" s="12" customFormat="1" ht="14.25" customHeight="1">
      <c r="A593" s="180" t="str">
        <f>'רשימת מכשור 2015'!A592</f>
        <v>מד טמפרטורה</v>
      </c>
      <c r="B593" s="180" t="str">
        <f>'רשימת מכשור 2015'!B592</f>
        <v>מגטרון</v>
      </c>
      <c r="C593" s="180" t="str">
        <f>'רשימת מכשור 2015'!C592</f>
        <v>PT-100</v>
      </c>
      <c r="D593" s="233" t="str">
        <f>'רשימת מכשור 2015'!D592</f>
        <v xml:space="preserve">R&amp;D </v>
      </c>
      <c r="E593" s="180" t="str">
        <f>'רשימת מכשור 2015'!E592</f>
        <v>FR-27</v>
      </c>
      <c r="F593" s="180">
        <f>'רשימת מכשור 2015'!F592</f>
        <v>300</v>
      </c>
      <c r="G593" s="181">
        <v>1</v>
      </c>
      <c r="H593" s="181">
        <f t="shared" si="24"/>
        <v>300</v>
      </c>
      <c r="I593" s="182" t="s">
        <v>82</v>
      </c>
      <c r="J593" s="181">
        <v>1</v>
      </c>
      <c r="K593" s="181">
        <v>1</v>
      </c>
      <c r="L593" s="181">
        <v>0.5</v>
      </c>
      <c r="M593" s="181" t="str">
        <f t="shared" si="25"/>
        <v>לא לרכוש</v>
      </c>
      <c r="N593" s="181">
        <v>1000</v>
      </c>
      <c r="O593" s="183"/>
      <c r="P593" s="183">
        <v>77</v>
      </c>
      <c r="Q593" s="183"/>
    </row>
    <row r="594" spans="1:17" s="12" customFormat="1" ht="14.25" customHeight="1">
      <c r="A594" s="180" t="str">
        <f>'רשימת מכשור 2015'!A593</f>
        <v>מד טמפרטורה</v>
      </c>
      <c r="B594" s="180" t="str">
        <f>'רשימת מכשור 2015'!B593</f>
        <v>מגטרון</v>
      </c>
      <c r="C594" s="180" t="str">
        <f>'רשימת מכשור 2015'!C593</f>
        <v>PT-100</v>
      </c>
      <c r="D594" s="233" t="str">
        <f>'רשימת מכשור 2015'!D593</f>
        <v xml:space="preserve">R&amp;D </v>
      </c>
      <c r="E594" s="180" t="str">
        <f>'רשימת מכשור 2015'!E593</f>
        <v>FR-54</v>
      </c>
      <c r="F594" s="180">
        <f>'רשימת מכשור 2015'!F593</f>
        <v>300</v>
      </c>
      <c r="G594" s="181">
        <v>1</v>
      </c>
      <c r="H594" s="181">
        <f t="shared" si="24"/>
        <v>300</v>
      </c>
      <c r="I594" s="182" t="s">
        <v>82</v>
      </c>
      <c r="J594" s="181">
        <v>1</v>
      </c>
      <c r="K594" s="181">
        <v>1</v>
      </c>
      <c r="L594" s="181">
        <v>0.5</v>
      </c>
      <c r="M594" s="181" t="str">
        <f t="shared" si="25"/>
        <v>לא לרכוש</v>
      </c>
      <c r="N594" s="181">
        <v>1000</v>
      </c>
      <c r="O594" s="183"/>
      <c r="P594" s="183">
        <v>77</v>
      </c>
      <c r="Q594" s="183"/>
    </row>
    <row r="595" spans="1:17" s="12" customFormat="1" ht="14.25" customHeight="1">
      <c r="A595" s="180" t="str">
        <f>'רשימת מכשור 2015'!A594</f>
        <v>מד טמפרטורה</v>
      </c>
      <c r="B595" s="180" t="str">
        <f>'רשימת מכשור 2015'!B594</f>
        <v>מגטרון</v>
      </c>
      <c r="C595" s="180" t="str">
        <f>'רשימת מכשור 2015'!C594</f>
        <v>PT-100</v>
      </c>
      <c r="D595" s="233" t="str">
        <f>'רשימת מכשור 2015'!D594</f>
        <v xml:space="preserve">R&amp;D </v>
      </c>
      <c r="E595" s="180" t="str">
        <f>'רשימת מכשור 2015'!E594</f>
        <v>FR-19</v>
      </c>
      <c r="F595" s="180">
        <f>'רשימת מכשור 2015'!F594</f>
        <v>300</v>
      </c>
      <c r="G595" s="181">
        <v>1</v>
      </c>
      <c r="H595" s="181">
        <f t="shared" si="24"/>
        <v>300</v>
      </c>
      <c r="I595" s="182" t="s">
        <v>82</v>
      </c>
      <c r="J595" s="181">
        <v>1</v>
      </c>
      <c r="K595" s="181">
        <v>1</v>
      </c>
      <c r="L595" s="181">
        <v>0.5</v>
      </c>
      <c r="M595" s="181" t="str">
        <f t="shared" si="25"/>
        <v>לא לרכוש</v>
      </c>
      <c r="N595" s="181">
        <v>1000</v>
      </c>
      <c r="O595" s="183"/>
      <c r="P595" s="183">
        <v>77</v>
      </c>
      <c r="Q595" s="183"/>
    </row>
    <row r="596" spans="1:17" s="12" customFormat="1" ht="14.25" customHeight="1">
      <c r="A596" s="180" t="str">
        <f>'רשימת מכשור 2015'!A595</f>
        <v>מד טמפרטורה</v>
      </c>
      <c r="B596" s="180" t="str">
        <f>'רשימת מכשור 2015'!B595</f>
        <v>מגטרון</v>
      </c>
      <c r="C596" s="180" t="str">
        <f>'רשימת מכשור 2015'!C595</f>
        <v>PT-100</v>
      </c>
      <c r="D596" s="233" t="str">
        <f>'רשימת מכשור 2015'!D595</f>
        <v xml:space="preserve">R&amp;D </v>
      </c>
      <c r="E596" s="180" t="str">
        <f>'רשימת מכשור 2015'!E595</f>
        <v>IC22</v>
      </c>
      <c r="F596" s="180">
        <f>'רשימת מכשור 2015'!F595</f>
        <v>300</v>
      </c>
      <c r="G596" s="181">
        <v>1</v>
      </c>
      <c r="H596" s="181">
        <f t="shared" si="24"/>
        <v>300</v>
      </c>
      <c r="I596" s="182" t="s">
        <v>82</v>
      </c>
      <c r="J596" s="181">
        <v>1</v>
      </c>
      <c r="K596" s="181">
        <v>1</v>
      </c>
      <c r="L596" s="181">
        <v>0.5</v>
      </c>
      <c r="M596" s="181" t="str">
        <f t="shared" si="25"/>
        <v>לא לרכוש</v>
      </c>
      <c r="N596" s="181">
        <v>1000</v>
      </c>
      <c r="O596" s="183"/>
      <c r="P596" s="183">
        <v>77</v>
      </c>
      <c r="Q596" s="183"/>
    </row>
    <row r="597" spans="1:17" s="12" customFormat="1" ht="14.25" customHeight="1">
      <c r="A597" s="180" t="str">
        <f>'רשימת מכשור 2015'!A596</f>
        <v>מד טמפרטורה</v>
      </c>
      <c r="B597" s="180" t="str">
        <f>'רשימת מכשור 2015'!B596</f>
        <v>מגטרון</v>
      </c>
      <c r="C597" s="180" t="str">
        <f>'רשימת מכשור 2015'!C596</f>
        <v>PT-100</v>
      </c>
      <c r="D597" s="233" t="str">
        <f>'רשימת מכשור 2015'!D596</f>
        <v xml:space="preserve">R&amp;D </v>
      </c>
      <c r="E597" s="180" t="str">
        <f>'רשימת מכשור 2015'!E596</f>
        <v>IC-13</v>
      </c>
      <c r="F597" s="180">
        <f>'רשימת מכשור 2015'!F596</f>
        <v>300</v>
      </c>
      <c r="G597" s="181">
        <v>1</v>
      </c>
      <c r="H597" s="181">
        <f t="shared" si="24"/>
        <v>300</v>
      </c>
      <c r="I597" s="182" t="s">
        <v>82</v>
      </c>
      <c r="J597" s="181">
        <v>1</v>
      </c>
      <c r="K597" s="181">
        <v>1</v>
      </c>
      <c r="L597" s="181">
        <v>0.5</v>
      </c>
      <c r="M597" s="181" t="str">
        <f t="shared" si="25"/>
        <v>לא לרכוש</v>
      </c>
      <c r="N597" s="181">
        <v>1000</v>
      </c>
      <c r="O597" s="183"/>
      <c r="P597" s="183">
        <v>77</v>
      </c>
      <c r="Q597" s="183"/>
    </row>
    <row r="598" spans="1:17" s="12" customFormat="1" ht="14.25" customHeight="1">
      <c r="A598" s="180" t="str">
        <f>'רשימת מכשור 2015'!A597</f>
        <v>מד לחץ</v>
      </c>
      <c r="B598" s="180" t="str">
        <f>'רשימת מכשור 2015'!B597</f>
        <v>Mindman</v>
      </c>
      <c r="C598" s="180" t="str">
        <f>'רשימת מכשור 2015'!C597</f>
        <v>MP-10P-03-F3</v>
      </c>
      <c r="D598" s="233" t="str">
        <f>'רשימת מכשור 2015'!D597</f>
        <v xml:space="preserve">R&amp;D </v>
      </c>
      <c r="E598" s="180" t="str">
        <f>'רשימת מכשור 2015'!E597</f>
        <v>CO2-PS</v>
      </c>
      <c r="F598" s="180">
        <f>'רשימת מכשור 2015'!F597</f>
        <v>300</v>
      </c>
      <c r="G598" s="181">
        <v>1</v>
      </c>
      <c r="H598" s="181">
        <f t="shared" si="24"/>
        <v>300</v>
      </c>
      <c r="I598" s="182" t="s">
        <v>82</v>
      </c>
      <c r="J598" s="181">
        <v>1</v>
      </c>
      <c r="K598" s="181">
        <v>1</v>
      </c>
      <c r="L598" s="181">
        <v>0.5</v>
      </c>
      <c r="M598" s="181" t="str">
        <f t="shared" si="25"/>
        <v>לא לרכוש</v>
      </c>
      <c r="N598" s="181">
        <v>1000</v>
      </c>
      <c r="O598" s="183"/>
      <c r="P598" s="183">
        <v>1</v>
      </c>
      <c r="Q598" s="183"/>
    </row>
    <row r="599" spans="1:17" s="12" customFormat="1" ht="14.25" customHeight="1">
      <c r="A599" s="180" t="str">
        <f>'רשימת מכשור 2015'!A598</f>
        <v>מד טמפרטורה</v>
      </c>
      <c r="B599" s="180" t="str">
        <f>'רשימת מכשור 2015'!B598</f>
        <v>מגטרון</v>
      </c>
      <c r="C599" s="180" t="str">
        <f>'רשימת מכשור 2015'!C598</f>
        <v>PT-100</v>
      </c>
      <c r="D599" s="233" t="str">
        <f>'רשימת מכשור 2015'!D598</f>
        <v xml:space="preserve">R&amp;D </v>
      </c>
      <c r="E599" s="180" t="str">
        <f>'רשימת מכשור 2015'!E598</f>
        <v>RE-51</v>
      </c>
      <c r="F599" s="180">
        <f>'רשימת מכשור 2015'!F598</f>
        <v>300</v>
      </c>
      <c r="G599" s="181">
        <v>1</v>
      </c>
      <c r="H599" s="181">
        <f t="shared" si="24"/>
        <v>300</v>
      </c>
      <c r="I599" s="182" t="s">
        <v>82</v>
      </c>
      <c r="J599" s="181">
        <v>1</v>
      </c>
      <c r="K599" s="181">
        <v>1</v>
      </c>
      <c r="L599" s="181">
        <v>0.5</v>
      </c>
      <c r="M599" s="181" t="str">
        <f t="shared" si="25"/>
        <v>לא לרכוש</v>
      </c>
      <c r="N599" s="181">
        <v>1000</v>
      </c>
      <c r="O599" s="183"/>
      <c r="P599" s="183">
        <v>77</v>
      </c>
      <c r="Q599" s="183"/>
    </row>
    <row r="600" spans="1:17" s="12" customFormat="1" ht="14.25" customHeight="1">
      <c r="A600" s="180" t="str">
        <f>'רשימת מכשור 2015'!A599</f>
        <v>מד טמפרטורה</v>
      </c>
      <c r="B600" s="180" t="str">
        <f>'רשימת מכשור 2015'!B599</f>
        <v>מגטרון</v>
      </c>
      <c r="C600" s="180" t="str">
        <f>'רשימת מכשור 2015'!C599</f>
        <v>PT-100</v>
      </c>
      <c r="D600" s="233" t="str">
        <f>'רשימת מכשור 2015'!D599</f>
        <v xml:space="preserve">R&amp;D </v>
      </c>
      <c r="E600" s="180" t="str">
        <f>'רשימת מכשור 2015'!E599</f>
        <v>RE-61</v>
      </c>
      <c r="F600" s="180">
        <f>'רשימת מכשור 2015'!F599</f>
        <v>300</v>
      </c>
      <c r="G600" s="181">
        <v>1</v>
      </c>
      <c r="H600" s="181">
        <f t="shared" si="24"/>
        <v>300</v>
      </c>
      <c r="I600" s="182" t="s">
        <v>82</v>
      </c>
      <c r="J600" s="181">
        <v>1</v>
      </c>
      <c r="K600" s="181">
        <v>1</v>
      </c>
      <c r="L600" s="181">
        <v>0.5</v>
      </c>
      <c r="M600" s="181" t="str">
        <f t="shared" si="25"/>
        <v>לא לרכוש</v>
      </c>
      <c r="N600" s="181">
        <v>1000</v>
      </c>
      <c r="O600" s="183"/>
      <c r="P600" s="183">
        <v>77</v>
      </c>
      <c r="Q600" s="183"/>
    </row>
    <row r="601" spans="1:17" s="12" customFormat="1" ht="14.25" customHeight="1">
      <c r="A601" s="180" t="str">
        <f>'רשימת מכשור 2015'!A600</f>
        <v>מד טמפרטורה</v>
      </c>
      <c r="B601" s="180" t="str">
        <f>'רשימת מכשור 2015'!B600</f>
        <v>מגטרון</v>
      </c>
      <c r="C601" s="180" t="str">
        <f>'רשימת מכשור 2015'!C600</f>
        <v>PT-100</v>
      </c>
      <c r="D601" s="233" t="str">
        <f>'רשימת מכשור 2015'!D600</f>
        <v xml:space="preserve">R&amp;D </v>
      </c>
      <c r="E601" s="180" t="str">
        <f>'רשימת מכשור 2015'!E600</f>
        <v>FR-34</v>
      </c>
      <c r="F601" s="180">
        <f>'רשימת מכשור 2015'!F600</f>
        <v>300</v>
      </c>
      <c r="G601" s="181">
        <v>1</v>
      </c>
      <c r="H601" s="181">
        <f t="shared" si="24"/>
        <v>300</v>
      </c>
      <c r="I601" s="182" t="s">
        <v>82</v>
      </c>
      <c r="J601" s="181">
        <v>1</v>
      </c>
      <c r="K601" s="181">
        <v>1</v>
      </c>
      <c r="L601" s="181">
        <v>0.5</v>
      </c>
      <c r="M601" s="181" t="str">
        <f t="shared" si="25"/>
        <v>לא לרכוש</v>
      </c>
      <c r="N601" s="181">
        <v>1000</v>
      </c>
      <c r="O601" s="183"/>
      <c r="P601" s="183">
        <v>77</v>
      </c>
      <c r="Q601" s="183"/>
    </row>
    <row r="602" spans="1:17" s="12" customFormat="1" ht="14.25" customHeight="1">
      <c r="A602" s="180" t="str">
        <f>'רשימת מכשור 2015'!A601</f>
        <v>מד טמפרטורה</v>
      </c>
      <c r="B602" s="180" t="str">
        <f>'רשימת מכשור 2015'!B601</f>
        <v>מגטרון</v>
      </c>
      <c r="C602" s="180" t="str">
        <f>'רשימת מכשור 2015'!C601</f>
        <v>PT-100</v>
      </c>
      <c r="D602" s="233" t="str">
        <f>'רשימת מכשור 2015'!D601</f>
        <v xml:space="preserve">R&amp;D </v>
      </c>
      <c r="E602" s="180" t="str">
        <f>'רשימת מכשור 2015'!E601</f>
        <v>FR-8</v>
      </c>
      <c r="F602" s="180">
        <f>'רשימת מכשור 2015'!F601</f>
        <v>300</v>
      </c>
      <c r="G602" s="181">
        <v>1</v>
      </c>
      <c r="H602" s="181">
        <f t="shared" si="24"/>
        <v>300</v>
      </c>
      <c r="I602" s="182" t="s">
        <v>82</v>
      </c>
      <c r="J602" s="181">
        <v>1</v>
      </c>
      <c r="K602" s="181">
        <v>1</v>
      </c>
      <c r="L602" s="181">
        <v>0.5</v>
      </c>
      <c r="M602" s="181" t="str">
        <f t="shared" si="25"/>
        <v>לא לרכוש</v>
      </c>
      <c r="N602" s="181">
        <v>1000</v>
      </c>
      <c r="O602" s="183"/>
      <c r="P602" s="183">
        <v>77</v>
      </c>
      <c r="Q602" s="183"/>
    </row>
    <row r="603" spans="1:17" s="12" customFormat="1" ht="14.25" customHeight="1">
      <c r="A603" s="180" t="str">
        <f>'רשימת מכשור 2015'!A602</f>
        <v>מד טמפרטורה</v>
      </c>
      <c r="B603" s="180" t="str">
        <f>'רשימת מכשור 2015'!B602</f>
        <v>מגטרון</v>
      </c>
      <c r="C603" s="180" t="str">
        <f>'רשימת מכשור 2015'!C602</f>
        <v>PT-100</v>
      </c>
      <c r="D603" s="233" t="str">
        <f>'רשימת מכשור 2015'!D602</f>
        <v xml:space="preserve">R&amp;D </v>
      </c>
      <c r="E603" s="180" t="str">
        <f>'רשימת מכשור 2015'!E602</f>
        <v>FR-9</v>
      </c>
      <c r="F603" s="180">
        <f>'רשימת מכשור 2015'!F602</f>
        <v>300</v>
      </c>
      <c r="G603" s="181">
        <v>1</v>
      </c>
      <c r="H603" s="181">
        <f t="shared" ref="H603:H666" si="26">G603*F603</f>
        <v>300</v>
      </c>
      <c r="I603" s="182" t="s">
        <v>82</v>
      </c>
      <c r="J603" s="181">
        <v>1</v>
      </c>
      <c r="K603" s="181">
        <v>1</v>
      </c>
      <c r="L603" s="181">
        <v>0.5</v>
      </c>
      <c r="M603" s="181" t="str">
        <f t="shared" si="25"/>
        <v>לא לרכוש</v>
      </c>
      <c r="N603" s="181">
        <v>1000</v>
      </c>
      <c r="O603" s="183"/>
      <c r="P603" s="183">
        <v>77</v>
      </c>
      <c r="Q603" s="183"/>
    </row>
    <row r="604" spans="1:17" s="12" customFormat="1" ht="14.25" customHeight="1">
      <c r="A604" s="180" t="str">
        <f>'רשימת מכשור 2015'!A603</f>
        <v>מד טמפרטורה</v>
      </c>
      <c r="B604" s="180" t="str">
        <f>'רשימת מכשור 2015'!B603</f>
        <v>מגטרון</v>
      </c>
      <c r="C604" s="180" t="str">
        <f>'רשימת מכשור 2015'!C603</f>
        <v>PT-100</v>
      </c>
      <c r="D604" s="233" t="str">
        <f>'רשימת מכשור 2015'!D603</f>
        <v xml:space="preserve">R&amp;D </v>
      </c>
      <c r="E604" s="180" t="str">
        <f>'רשימת מכשור 2015'!E603</f>
        <v>FR-7</v>
      </c>
      <c r="F604" s="180">
        <f>'רשימת מכשור 2015'!F603</f>
        <v>300</v>
      </c>
      <c r="G604" s="181">
        <v>1</v>
      </c>
      <c r="H604" s="181">
        <f t="shared" si="26"/>
        <v>300</v>
      </c>
      <c r="I604" s="182" t="s">
        <v>82</v>
      </c>
      <c r="J604" s="181">
        <v>1</v>
      </c>
      <c r="K604" s="181">
        <v>1</v>
      </c>
      <c r="L604" s="181">
        <v>0.5</v>
      </c>
      <c r="M604" s="181" t="str">
        <f t="shared" si="25"/>
        <v>לא לרכוש</v>
      </c>
      <c r="N604" s="181">
        <v>1000</v>
      </c>
      <c r="O604" s="183"/>
      <c r="P604" s="183">
        <v>77</v>
      </c>
      <c r="Q604" s="183"/>
    </row>
    <row r="605" spans="1:17" s="12" customFormat="1" ht="14.25" customHeight="1">
      <c r="A605" s="180" t="str">
        <f>'רשימת מכשור 2015'!A604</f>
        <v>מד טמפרטורה</v>
      </c>
      <c r="B605" s="180" t="str">
        <f>'רשימת מכשור 2015'!B604</f>
        <v>מגטרון</v>
      </c>
      <c r="C605" s="180" t="str">
        <f>'רשימת מכשור 2015'!C604</f>
        <v>PT-100</v>
      </c>
      <c r="D605" s="233" t="str">
        <f>'רשימת מכשור 2015'!D604</f>
        <v xml:space="preserve">R&amp;D </v>
      </c>
      <c r="E605" s="180" t="str">
        <f>'רשימת מכשור 2015'!E604</f>
        <v>RE-49</v>
      </c>
      <c r="F605" s="180">
        <f>'רשימת מכשור 2015'!F604</f>
        <v>300</v>
      </c>
      <c r="G605" s="181">
        <v>1</v>
      </c>
      <c r="H605" s="181">
        <f t="shared" si="26"/>
        <v>300</v>
      </c>
      <c r="I605" s="182" t="s">
        <v>82</v>
      </c>
      <c r="J605" s="181">
        <v>1</v>
      </c>
      <c r="K605" s="181">
        <v>1</v>
      </c>
      <c r="L605" s="181">
        <v>0.5</v>
      </c>
      <c r="M605" s="181" t="str">
        <f t="shared" si="25"/>
        <v>לא לרכוש</v>
      </c>
      <c r="N605" s="181">
        <v>1000</v>
      </c>
      <c r="O605" s="183"/>
      <c r="P605" s="183">
        <v>77</v>
      </c>
      <c r="Q605" s="183"/>
    </row>
    <row r="606" spans="1:17" s="12" customFormat="1" ht="14.25" customHeight="1">
      <c r="A606" s="180" t="str">
        <f>'רשימת מכשור 2015'!A605</f>
        <v>מד טמפרטורה</v>
      </c>
      <c r="B606" s="180" t="str">
        <f>'רשימת מכשור 2015'!B605</f>
        <v>מגטרון</v>
      </c>
      <c r="C606" s="180" t="str">
        <f>'רשימת מכשור 2015'!C605</f>
        <v>PT-100</v>
      </c>
      <c r="D606" s="233" t="str">
        <f>'רשימת מכשור 2015'!D605</f>
        <v xml:space="preserve">R&amp;D </v>
      </c>
      <c r="E606" s="180" t="str">
        <f>'רשימת מכשור 2015'!E605</f>
        <v>FR-10</v>
      </c>
      <c r="F606" s="180">
        <f>'רשימת מכשור 2015'!F605</f>
        <v>300</v>
      </c>
      <c r="G606" s="181">
        <v>1</v>
      </c>
      <c r="H606" s="181">
        <f t="shared" si="26"/>
        <v>300</v>
      </c>
      <c r="I606" s="182" t="s">
        <v>82</v>
      </c>
      <c r="J606" s="181">
        <v>1</v>
      </c>
      <c r="K606" s="181">
        <v>1</v>
      </c>
      <c r="L606" s="181">
        <v>0.5</v>
      </c>
      <c r="M606" s="181" t="str">
        <f t="shared" si="25"/>
        <v>לא לרכוש</v>
      </c>
      <c r="N606" s="181">
        <v>1000</v>
      </c>
      <c r="O606" s="183"/>
      <c r="P606" s="183">
        <v>77</v>
      </c>
      <c r="Q606" s="183"/>
    </row>
    <row r="607" spans="1:17" s="12" customFormat="1" ht="14.25" customHeight="1">
      <c r="A607" s="180" t="str">
        <f>'רשימת מכשור 2015'!A606</f>
        <v>מד טמפרטורה</v>
      </c>
      <c r="B607" s="180" t="str">
        <f>'רשימת מכשור 2015'!B606</f>
        <v>מגטרון</v>
      </c>
      <c r="C607" s="180" t="str">
        <f>'רשימת מכשור 2015'!C606</f>
        <v>PT-100</v>
      </c>
      <c r="D607" s="233" t="str">
        <f>'רשימת מכשור 2015'!D606</f>
        <v xml:space="preserve">R&amp;D </v>
      </c>
      <c r="E607" s="180" t="str">
        <f>'רשימת מכשור 2015'!E606</f>
        <v>FR-11</v>
      </c>
      <c r="F607" s="180">
        <f>'רשימת מכשור 2015'!F606</f>
        <v>300</v>
      </c>
      <c r="G607" s="181">
        <v>1</v>
      </c>
      <c r="H607" s="181">
        <f t="shared" si="26"/>
        <v>300</v>
      </c>
      <c r="I607" s="182" t="s">
        <v>82</v>
      </c>
      <c r="J607" s="181">
        <v>1</v>
      </c>
      <c r="K607" s="181">
        <v>1</v>
      </c>
      <c r="L607" s="181">
        <v>0.5</v>
      </c>
      <c r="M607" s="181" t="str">
        <f t="shared" si="25"/>
        <v>לא לרכוש</v>
      </c>
      <c r="N607" s="181">
        <v>1000</v>
      </c>
      <c r="O607" s="183"/>
      <c r="P607" s="183">
        <v>77</v>
      </c>
      <c r="Q607" s="183"/>
    </row>
    <row r="608" spans="1:17" s="12" customFormat="1" ht="14.25" customHeight="1">
      <c r="A608" s="180" t="str">
        <f>'רשימת מכשור 2015'!A607</f>
        <v>מד טמפרטורה</v>
      </c>
      <c r="B608" s="180" t="str">
        <f>'רשימת מכשור 2015'!B607</f>
        <v>מגטרון</v>
      </c>
      <c r="C608" s="180" t="str">
        <f>'רשימת מכשור 2015'!C607</f>
        <v>PT-100</v>
      </c>
      <c r="D608" s="233" t="str">
        <f>'רשימת מכשור 2015'!D607</f>
        <v xml:space="preserve">R&amp;D </v>
      </c>
      <c r="E608" s="180" t="str">
        <f>'רשימת מכשור 2015'!E607</f>
        <v>FR-14</v>
      </c>
      <c r="F608" s="180">
        <f>'רשימת מכשור 2015'!F607</f>
        <v>300</v>
      </c>
      <c r="G608" s="181">
        <v>1</v>
      </c>
      <c r="H608" s="181">
        <f t="shared" si="26"/>
        <v>300</v>
      </c>
      <c r="I608" s="182" t="s">
        <v>82</v>
      </c>
      <c r="J608" s="181">
        <v>1</v>
      </c>
      <c r="K608" s="181">
        <v>1</v>
      </c>
      <c r="L608" s="181">
        <v>0.5</v>
      </c>
      <c r="M608" s="181" t="str">
        <f t="shared" si="25"/>
        <v>לא לרכוש</v>
      </c>
      <c r="N608" s="181">
        <v>1000</v>
      </c>
      <c r="O608" s="183"/>
      <c r="P608" s="183">
        <v>77</v>
      </c>
      <c r="Q608" s="183"/>
    </row>
    <row r="609" spans="1:17" s="12" customFormat="1" ht="14.25" customHeight="1">
      <c r="A609" s="180" t="str">
        <f>'רשימת מכשור 2015'!A608</f>
        <v>מד טמפרטורה</v>
      </c>
      <c r="B609" s="180" t="str">
        <f>'רשימת מכשור 2015'!B608</f>
        <v>מגטרון</v>
      </c>
      <c r="C609" s="180" t="str">
        <f>'רשימת מכשור 2015'!C608</f>
        <v>PT-100</v>
      </c>
      <c r="D609" s="233" t="str">
        <f>'רשימת מכשור 2015'!D608</f>
        <v xml:space="preserve">R&amp;D </v>
      </c>
      <c r="E609" s="180" t="str">
        <f>'רשימת מכשור 2015'!E608</f>
        <v>FR-12</v>
      </c>
      <c r="F609" s="180">
        <f>'רשימת מכשור 2015'!F608</f>
        <v>300</v>
      </c>
      <c r="G609" s="181">
        <v>1</v>
      </c>
      <c r="H609" s="181">
        <f t="shared" si="26"/>
        <v>300</v>
      </c>
      <c r="I609" s="182" t="s">
        <v>82</v>
      </c>
      <c r="J609" s="181">
        <v>1</v>
      </c>
      <c r="K609" s="181">
        <v>1</v>
      </c>
      <c r="L609" s="181">
        <v>0.5</v>
      </c>
      <c r="M609" s="181" t="str">
        <f t="shared" ref="M609:M672" si="27">IF(AND(K609*L609*30*N609&gt;H609/J609,I609=""),"לרכוש","לא לרכוש")</f>
        <v>לא לרכוש</v>
      </c>
      <c r="N609" s="181">
        <v>1000</v>
      </c>
      <c r="O609" s="183"/>
      <c r="P609" s="183">
        <v>77</v>
      </c>
      <c r="Q609" s="183"/>
    </row>
    <row r="610" spans="1:17" s="12" customFormat="1" ht="14.25" customHeight="1">
      <c r="A610" s="180" t="str">
        <f>'רשימת מכשור 2015'!A609</f>
        <v>מד טמפרטורה</v>
      </c>
      <c r="B610" s="180" t="str">
        <f>'רשימת מכשור 2015'!B609</f>
        <v>מגטרון</v>
      </c>
      <c r="C610" s="180" t="str">
        <f>'רשימת מכשור 2015'!C609</f>
        <v>PT-100</v>
      </c>
      <c r="D610" s="233" t="str">
        <f>'רשימת מכשור 2015'!D609</f>
        <v xml:space="preserve">R&amp;D </v>
      </c>
      <c r="E610" s="180" t="str">
        <f>'רשימת מכשור 2015'!E609</f>
        <v>RE-25</v>
      </c>
      <c r="F610" s="180">
        <f>'רשימת מכשור 2015'!F609</f>
        <v>300</v>
      </c>
      <c r="G610" s="181">
        <v>1</v>
      </c>
      <c r="H610" s="181">
        <f t="shared" si="26"/>
        <v>300</v>
      </c>
      <c r="I610" s="182" t="s">
        <v>82</v>
      </c>
      <c r="J610" s="181">
        <v>1</v>
      </c>
      <c r="K610" s="181">
        <v>1</v>
      </c>
      <c r="L610" s="181">
        <v>0.5</v>
      </c>
      <c r="M610" s="181" t="str">
        <f t="shared" si="27"/>
        <v>לא לרכוש</v>
      </c>
      <c r="N610" s="181">
        <v>1000</v>
      </c>
      <c r="O610" s="183"/>
      <c r="P610" s="183">
        <v>77</v>
      </c>
      <c r="Q610" s="183"/>
    </row>
    <row r="611" spans="1:17" s="12" customFormat="1" ht="14.25" customHeight="1">
      <c r="A611" s="180" t="str">
        <f>'רשימת מכשור 2015'!A610</f>
        <v>מד טמפרטורה</v>
      </c>
      <c r="B611" s="180" t="str">
        <f>'רשימת מכשור 2015'!B610</f>
        <v>מגטרון</v>
      </c>
      <c r="C611" s="180" t="str">
        <f>'רשימת מכשור 2015'!C610</f>
        <v>PT-100</v>
      </c>
      <c r="D611" s="233" t="str">
        <f>'רשימת מכשור 2015'!D610</f>
        <v xml:space="preserve">R&amp;D </v>
      </c>
      <c r="E611" s="180" t="str">
        <f>'רשימת מכשור 2015'!E610</f>
        <v>RE-12</v>
      </c>
      <c r="F611" s="180">
        <f>'רשימת מכשור 2015'!F610</f>
        <v>300</v>
      </c>
      <c r="G611" s="181">
        <v>1</v>
      </c>
      <c r="H611" s="181">
        <f t="shared" si="26"/>
        <v>300</v>
      </c>
      <c r="I611" s="182" t="s">
        <v>82</v>
      </c>
      <c r="J611" s="181">
        <v>1</v>
      </c>
      <c r="K611" s="181">
        <v>1</v>
      </c>
      <c r="L611" s="181">
        <v>0.5</v>
      </c>
      <c r="M611" s="181" t="str">
        <f t="shared" si="27"/>
        <v>לא לרכוש</v>
      </c>
      <c r="N611" s="181">
        <v>1000</v>
      </c>
      <c r="O611" s="183"/>
      <c r="P611" s="183">
        <v>77</v>
      </c>
      <c r="Q611" s="183"/>
    </row>
    <row r="612" spans="1:17" s="12" customFormat="1" ht="14.25" customHeight="1">
      <c r="A612" s="180" t="str">
        <f>'רשימת מכשור 2015'!A611</f>
        <v>מד טמפרטורה</v>
      </c>
      <c r="B612" s="180" t="str">
        <f>'רשימת מכשור 2015'!B611</f>
        <v>מגטרון</v>
      </c>
      <c r="C612" s="180" t="str">
        <f>'רשימת מכשור 2015'!C611</f>
        <v>PT-100</v>
      </c>
      <c r="D612" s="233" t="str">
        <f>'רשימת מכשור 2015'!D611</f>
        <v xml:space="preserve">R&amp;D </v>
      </c>
      <c r="E612" s="180" t="str">
        <f>'רשימת מכשור 2015'!E611</f>
        <v>FR-15</v>
      </c>
      <c r="F612" s="180">
        <f>'רשימת מכשור 2015'!F611</f>
        <v>300</v>
      </c>
      <c r="G612" s="181">
        <v>1</v>
      </c>
      <c r="H612" s="181">
        <f t="shared" si="26"/>
        <v>300</v>
      </c>
      <c r="I612" s="182" t="s">
        <v>82</v>
      </c>
      <c r="J612" s="181">
        <v>1</v>
      </c>
      <c r="K612" s="181">
        <v>1</v>
      </c>
      <c r="L612" s="181">
        <v>0.5</v>
      </c>
      <c r="M612" s="181" t="str">
        <f t="shared" si="27"/>
        <v>לא לרכוש</v>
      </c>
      <c r="N612" s="181">
        <v>1000</v>
      </c>
      <c r="O612" s="183"/>
      <c r="P612" s="183">
        <v>77</v>
      </c>
      <c r="Q612" s="183"/>
    </row>
    <row r="613" spans="1:17" s="12" customFormat="1" ht="14.25" customHeight="1">
      <c r="A613" s="180" t="str">
        <f>'רשימת מכשור 2015'!A612</f>
        <v>מד טמפרטורה</v>
      </c>
      <c r="B613" s="180" t="str">
        <f>'רשימת מכשור 2015'!B612</f>
        <v>מגטרון</v>
      </c>
      <c r="C613" s="180" t="str">
        <f>'רשימת מכשור 2015'!C612</f>
        <v>PT-100</v>
      </c>
      <c r="D613" s="233" t="str">
        <f>'רשימת מכשור 2015'!D612</f>
        <v xml:space="preserve">R&amp;D </v>
      </c>
      <c r="E613" s="180" t="str">
        <f>'רשימת מכשור 2015'!E612</f>
        <v>FR-38</v>
      </c>
      <c r="F613" s="180">
        <f>'רשימת מכשור 2015'!F612</f>
        <v>300</v>
      </c>
      <c r="G613" s="181">
        <v>1</v>
      </c>
      <c r="H613" s="181">
        <f t="shared" si="26"/>
        <v>300</v>
      </c>
      <c r="I613" s="182" t="s">
        <v>82</v>
      </c>
      <c r="J613" s="181">
        <v>1</v>
      </c>
      <c r="K613" s="181">
        <v>1</v>
      </c>
      <c r="L613" s="181">
        <v>0.5</v>
      </c>
      <c r="M613" s="181" t="str">
        <f t="shared" si="27"/>
        <v>לא לרכוש</v>
      </c>
      <c r="N613" s="181">
        <v>1000</v>
      </c>
      <c r="O613" s="183"/>
      <c r="P613" s="183">
        <v>77</v>
      </c>
      <c r="Q613" s="183"/>
    </row>
    <row r="614" spans="1:17" s="12" customFormat="1" ht="14.25" customHeight="1">
      <c r="A614" s="180" t="str">
        <f>'רשימת מכשור 2015'!A613</f>
        <v>מד טמפרטורה</v>
      </c>
      <c r="B614" s="180" t="str">
        <f>'רשימת מכשור 2015'!B613</f>
        <v>מגטרון</v>
      </c>
      <c r="C614" s="180" t="str">
        <f>'רשימת מכשור 2015'!C613</f>
        <v>PT-100</v>
      </c>
      <c r="D614" s="233" t="str">
        <f>'רשימת מכשור 2015'!D613</f>
        <v xml:space="preserve">R&amp;D </v>
      </c>
      <c r="E614" s="180" t="str">
        <f>'רשימת מכשור 2015'!E613</f>
        <v>RE-13</v>
      </c>
      <c r="F614" s="180">
        <f>'רשימת מכשור 2015'!F613</f>
        <v>300</v>
      </c>
      <c r="G614" s="181">
        <v>1</v>
      </c>
      <c r="H614" s="181">
        <f t="shared" si="26"/>
        <v>300</v>
      </c>
      <c r="I614" s="182" t="s">
        <v>82</v>
      </c>
      <c r="J614" s="181">
        <v>1</v>
      </c>
      <c r="K614" s="181">
        <v>1</v>
      </c>
      <c r="L614" s="181">
        <v>0.5</v>
      </c>
      <c r="M614" s="181" t="str">
        <f t="shared" si="27"/>
        <v>לא לרכוש</v>
      </c>
      <c r="N614" s="181">
        <v>1000</v>
      </c>
      <c r="O614" s="183"/>
      <c r="P614" s="183">
        <v>77</v>
      </c>
      <c r="Q614" s="183"/>
    </row>
    <row r="615" spans="1:17" s="12" customFormat="1" ht="14.25" customHeight="1">
      <c r="A615" s="180" t="str">
        <f>'רשימת מכשור 2015'!A614</f>
        <v>מד טמפרטורה</v>
      </c>
      <c r="B615" s="180" t="str">
        <f>'רשימת מכשור 2015'!B614</f>
        <v>מגטרון</v>
      </c>
      <c r="C615" s="180" t="str">
        <f>'רשימת מכשור 2015'!C614</f>
        <v>PT-100</v>
      </c>
      <c r="D615" s="233" t="str">
        <f>'רשימת מכשור 2015'!D614</f>
        <v xml:space="preserve">R&amp;D </v>
      </c>
      <c r="E615" s="180" t="str">
        <f>'רשימת מכשור 2015'!E614</f>
        <v>RE-14</v>
      </c>
      <c r="F615" s="180">
        <f>'רשימת מכשור 2015'!F614</f>
        <v>300</v>
      </c>
      <c r="G615" s="181">
        <v>1</v>
      </c>
      <c r="H615" s="181">
        <f t="shared" si="26"/>
        <v>300</v>
      </c>
      <c r="I615" s="182" t="s">
        <v>82</v>
      </c>
      <c r="J615" s="181">
        <v>1</v>
      </c>
      <c r="K615" s="181">
        <v>1</v>
      </c>
      <c r="L615" s="181">
        <v>0.5</v>
      </c>
      <c r="M615" s="181" t="str">
        <f t="shared" si="27"/>
        <v>לא לרכוש</v>
      </c>
      <c r="N615" s="181">
        <v>1000</v>
      </c>
      <c r="O615" s="183"/>
      <c r="P615" s="183">
        <v>77</v>
      </c>
      <c r="Q615" s="183"/>
    </row>
    <row r="616" spans="1:17" s="12" customFormat="1" ht="14.25" customHeight="1">
      <c r="A616" s="180" t="str">
        <f>'רשימת מכשור 2015'!A615</f>
        <v>מד טמפרטורה</v>
      </c>
      <c r="B616" s="180" t="str">
        <f>'רשימת מכשור 2015'!B615</f>
        <v>מגטרון</v>
      </c>
      <c r="C616" s="180" t="str">
        <f>'רשימת מכשור 2015'!C615</f>
        <v>PT-100</v>
      </c>
      <c r="D616" s="233" t="str">
        <f>'רשימת מכשור 2015'!D615</f>
        <v xml:space="preserve">R&amp;D </v>
      </c>
      <c r="E616" s="180" t="str">
        <f>'רשימת מכשור 2015'!E615</f>
        <v>RE-15</v>
      </c>
      <c r="F616" s="180">
        <f>'רשימת מכשור 2015'!F615</f>
        <v>300</v>
      </c>
      <c r="G616" s="181">
        <v>1</v>
      </c>
      <c r="H616" s="181">
        <f t="shared" si="26"/>
        <v>300</v>
      </c>
      <c r="I616" s="182" t="s">
        <v>82</v>
      </c>
      <c r="J616" s="181">
        <v>1</v>
      </c>
      <c r="K616" s="181">
        <v>1</v>
      </c>
      <c r="L616" s="181">
        <v>0.5</v>
      </c>
      <c r="M616" s="181" t="str">
        <f t="shared" si="27"/>
        <v>לא לרכוש</v>
      </c>
      <c r="N616" s="181">
        <v>1000</v>
      </c>
      <c r="O616" s="183"/>
      <c r="P616" s="183">
        <v>77</v>
      </c>
      <c r="Q616" s="183"/>
    </row>
    <row r="617" spans="1:17" s="12" customFormat="1" ht="14.25" customHeight="1">
      <c r="A617" s="180" t="str">
        <f>'רשימת מכשור 2015'!A616</f>
        <v>מד טמפרטורה</v>
      </c>
      <c r="B617" s="180" t="str">
        <f>'רשימת מכשור 2015'!B616</f>
        <v>מגטרון</v>
      </c>
      <c r="C617" s="180" t="str">
        <f>'רשימת מכשור 2015'!C616</f>
        <v>PT-100</v>
      </c>
      <c r="D617" s="233" t="str">
        <f>'רשימת מכשור 2015'!D616</f>
        <v xml:space="preserve">R&amp;D </v>
      </c>
      <c r="E617" s="180" t="str">
        <f>'רשימת מכשור 2015'!E616</f>
        <v>FR-17</v>
      </c>
      <c r="F617" s="180">
        <f>'רשימת מכשור 2015'!F616</f>
        <v>300</v>
      </c>
      <c r="G617" s="181">
        <v>1</v>
      </c>
      <c r="H617" s="181">
        <f t="shared" si="26"/>
        <v>300</v>
      </c>
      <c r="I617" s="182" t="s">
        <v>82</v>
      </c>
      <c r="J617" s="181">
        <v>1</v>
      </c>
      <c r="K617" s="181">
        <v>1</v>
      </c>
      <c r="L617" s="181">
        <v>0.5</v>
      </c>
      <c r="M617" s="181" t="str">
        <f t="shared" si="27"/>
        <v>לא לרכוש</v>
      </c>
      <c r="N617" s="181">
        <v>1000</v>
      </c>
      <c r="O617" s="183"/>
      <c r="P617" s="183">
        <v>77</v>
      </c>
      <c r="Q617" s="183"/>
    </row>
    <row r="618" spans="1:17" s="12" customFormat="1" ht="14.25" customHeight="1">
      <c r="A618" s="180" t="str">
        <f>'רשימת מכשור 2015'!A617</f>
        <v>מד טמפרטורה</v>
      </c>
      <c r="B618" s="180" t="str">
        <f>'רשימת מכשור 2015'!B617</f>
        <v>מגטרון</v>
      </c>
      <c r="C618" s="180" t="str">
        <f>'רשימת מכשור 2015'!C617</f>
        <v>PT-100</v>
      </c>
      <c r="D618" s="233" t="str">
        <f>'רשימת מכשור 2015'!D617</f>
        <v xml:space="preserve">R&amp;D </v>
      </c>
      <c r="E618" s="180" t="str">
        <f>'רשימת מכשור 2015'!E617</f>
        <v>FR-18</v>
      </c>
      <c r="F618" s="180">
        <f>'רשימת מכשור 2015'!F617</f>
        <v>300</v>
      </c>
      <c r="G618" s="181">
        <v>1</v>
      </c>
      <c r="H618" s="181">
        <f t="shared" si="26"/>
        <v>300</v>
      </c>
      <c r="I618" s="182" t="s">
        <v>82</v>
      </c>
      <c r="J618" s="181">
        <v>1</v>
      </c>
      <c r="K618" s="181">
        <v>1</v>
      </c>
      <c r="L618" s="181">
        <v>0.5</v>
      </c>
      <c r="M618" s="181" t="str">
        <f t="shared" si="27"/>
        <v>לא לרכוש</v>
      </c>
      <c r="N618" s="181">
        <v>1000</v>
      </c>
      <c r="O618" s="183"/>
      <c r="P618" s="183">
        <v>77</v>
      </c>
      <c r="Q618" s="183"/>
    </row>
    <row r="619" spans="1:17" s="12" customFormat="1" ht="14.25" customHeight="1">
      <c r="A619" s="180" t="str">
        <f>'רשימת מכשור 2015'!A618</f>
        <v>מד טמפרטורה</v>
      </c>
      <c r="B619" s="180" t="str">
        <f>'רשימת מכשור 2015'!B618</f>
        <v>מגטרון</v>
      </c>
      <c r="C619" s="180" t="str">
        <f>'רשימת מכשור 2015'!C618</f>
        <v>PT-100</v>
      </c>
      <c r="D619" s="233" t="str">
        <f>'רשימת מכשור 2015'!D618</f>
        <v xml:space="preserve">R&amp;D </v>
      </c>
      <c r="E619" s="180" t="str">
        <f>'רשימת מכשור 2015'!E618</f>
        <v>FR-56</v>
      </c>
      <c r="F619" s="180">
        <f>'רשימת מכשור 2015'!F618</f>
        <v>300</v>
      </c>
      <c r="G619" s="181">
        <v>1</v>
      </c>
      <c r="H619" s="181">
        <f t="shared" si="26"/>
        <v>300</v>
      </c>
      <c r="I619" s="182" t="s">
        <v>82</v>
      </c>
      <c r="J619" s="181">
        <v>1</v>
      </c>
      <c r="K619" s="181">
        <v>1</v>
      </c>
      <c r="L619" s="181">
        <v>0.5</v>
      </c>
      <c r="M619" s="181" t="str">
        <f t="shared" si="27"/>
        <v>לא לרכוש</v>
      </c>
      <c r="N619" s="181">
        <v>1000</v>
      </c>
      <c r="O619" s="183"/>
      <c r="P619" s="183">
        <v>77</v>
      </c>
      <c r="Q619" s="183"/>
    </row>
    <row r="620" spans="1:17" s="12" customFormat="1" ht="14.25" customHeight="1">
      <c r="A620" s="180" t="str">
        <f>'רשימת מכשור 2015'!A619</f>
        <v>מד טמפרטורה</v>
      </c>
      <c r="B620" s="180" t="str">
        <f>'רשימת מכשור 2015'!B619</f>
        <v>מגטרון</v>
      </c>
      <c r="C620" s="180" t="str">
        <f>'רשימת מכשור 2015'!C619</f>
        <v>PT-100</v>
      </c>
      <c r="D620" s="233" t="str">
        <f>'רשימת מכשור 2015'!D619</f>
        <v xml:space="preserve">R&amp;D </v>
      </c>
      <c r="E620" s="180" t="str">
        <f>'רשימת מכשור 2015'!E619</f>
        <v>FR-24</v>
      </c>
      <c r="F620" s="180">
        <f>'רשימת מכשור 2015'!F619</f>
        <v>300</v>
      </c>
      <c r="G620" s="181">
        <v>1</v>
      </c>
      <c r="H620" s="181">
        <f t="shared" si="26"/>
        <v>300</v>
      </c>
      <c r="I620" s="182" t="s">
        <v>82</v>
      </c>
      <c r="J620" s="181">
        <v>1</v>
      </c>
      <c r="K620" s="181">
        <v>1</v>
      </c>
      <c r="L620" s="181">
        <v>0.5</v>
      </c>
      <c r="M620" s="181" t="str">
        <f t="shared" si="27"/>
        <v>לא לרכוש</v>
      </c>
      <c r="N620" s="181">
        <v>1000</v>
      </c>
      <c r="O620" s="183"/>
      <c r="P620" s="183">
        <v>77</v>
      </c>
      <c r="Q620" s="183"/>
    </row>
    <row r="621" spans="1:17" s="12" customFormat="1" ht="14.25" customHeight="1">
      <c r="A621" s="180" t="str">
        <f>'רשימת מכשור 2015'!A620</f>
        <v>מד טמפרטורה</v>
      </c>
      <c r="B621" s="180" t="str">
        <f>'רשימת מכשור 2015'!B620</f>
        <v>מגטרון</v>
      </c>
      <c r="C621" s="180" t="str">
        <f>'רשימת מכשור 2015'!C620</f>
        <v>PT-100</v>
      </c>
      <c r="D621" s="233" t="str">
        <f>'רשימת מכשור 2015'!D620</f>
        <v xml:space="preserve">R&amp;D </v>
      </c>
      <c r="E621" s="180" t="str">
        <f>'רשימת מכשור 2015'!E620</f>
        <v>FR-46</v>
      </c>
      <c r="F621" s="180">
        <f>'רשימת מכשור 2015'!F620</f>
        <v>300</v>
      </c>
      <c r="G621" s="181">
        <v>1</v>
      </c>
      <c r="H621" s="181">
        <f t="shared" si="26"/>
        <v>300</v>
      </c>
      <c r="I621" s="182" t="s">
        <v>82</v>
      </c>
      <c r="J621" s="181">
        <v>1</v>
      </c>
      <c r="K621" s="181">
        <v>1</v>
      </c>
      <c r="L621" s="181">
        <v>0.5</v>
      </c>
      <c r="M621" s="181" t="str">
        <f t="shared" si="27"/>
        <v>לא לרכוש</v>
      </c>
      <c r="N621" s="181">
        <v>1000</v>
      </c>
      <c r="O621" s="183"/>
      <c r="P621" s="183">
        <v>77</v>
      </c>
      <c r="Q621" s="183"/>
    </row>
    <row r="622" spans="1:17" s="12" customFormat="1" ht="14.25" customHeight="1">
      <c r="A622" s="180" t="str">
        <f>'רשימת מכשור 2015'!A621</f>
        <v>מד טמפרטורה</v>
      </c>
      <c r="B622" s="180" t="str">
        <f>'רשימת מכשור 2015'!B621</f>
        <v>מגטרון</v>
      </c>
      <c r="C622" s="180" t="str">
        <f>'רשימת מכשור 2015'!C621</f>
        <v>PT-100</v>
      </c>
      <c r="D622" s="233" t="str">
        <f>'רשימת מכשור 2015'!D621</f>
        <v xml:space="preserve">R&amp;D </v>
      </c>
      <c r="E622" s="180" t="str">
        <f>'רשימת מכשור 2015'!E621</f>
        <v>RE-8</v>
      </c>
      <c r="F622" s="180">
        <f>'רשימת מכשור 2015'!F621</f>
        <v>300</v>
      </c>
      <c r="G622" s="181">
        <v>1</v>
      </c>
      <c r="H622" s="181">
        <f t="shared" si="26"/>
        <v>300</v>
      </c>
      <c r="I622" s="182" t="s">
        <v>82</v>
      </c>
      <c r="J622" s="181">
        <v>1</v>
      </c>
      <c r="K622" s="181">
        <v>1</v>
      </c>
      <c r="L622" s="181">
        <v>0.5</v>
      </c>
      <c r="M622" s="181" t="str">
        <f t="shared" si="27"/>
        <v>לא לרכוש</v>
      </c>
      <c r="N622" s="181">
        <v>1000</v>
      </c>
      <c r="O622" s="183"/>
      <c r="P622" s="183">
        <v>77</v>
      </c>
      <c r="Q622" s="183"/>
    </row>
    <row r="623" spans="1:17" s="12" customFormat="1" ht="14.25" customHeight="1">
      <c r="A623" s="180" t="str">
        <f>'רשימת מכשור 2015'!A622</f>
        <v>מד טמפרטורה</v>
      </c>
      <c r="B623" s="180" t="str">
        <f>'רשימת מכשור 2015'!B622</f>
        <v>מגטרון</v>
      </c>
      <c r="C623" s="180" t="str">
        <f>'רשימת מכשור 2015'!C622</f>
        <v>PT-100</v>
      </c>
      <c r="D623" s="233" t="str">
        <f>'רשימת מכשור 2015'!D622</f>
        <v xml:space="preserve">R&amp;D </v>
      </c>
      <c r="E623" s="180" t="str">
        <f>'רשימת מכשור 2015'!E622</f>
        <v>RE-9</v>
      </c>
      <c r="F623" s="180">
        <f>'רשימת מכשור 2015'!F622</f>
        <v>300</v>
      </c>
      <c r="G623" s="181">
        <v>1</v>
      </c>
      <c r="H623" s="181">
        <f t="shared" si="26"/>
        <v>300</v>
      </c>
      <c r="I623" s="182" t="s">
        <v>82</v>
      </c>
      <c r="J623" s="181">
        <v>1</v>
      </c>
      <c r="K623" s="181">
        <v>1</v>
      </c>
      <c r="L623" s="181">
        <v>0.5</v>
      </c>
      <c r="M623" s="181" t="str">
        <f t="shared" si="27"/>
        <v>לא לרכוש</v>
      </c>
      <c r="N623" s="181">
        <v>1000</v>
      </c>
      <c r="O623" s="183"/>
      <c r="P623" s="183">
        <v>77</v>
      </c>
      <c r="Q623" s="183"/>
    </row>
    <row r="624" spans="1:17" s="12" customFormat="1" ht="14.25" customHeight="1">
      <c r="A624" s="180" t="str">
        <f>'רשימת מכשור 2015'!A623</f>
        <v>מד טמפרטורה</v>
      </c>
      <c r="B624" s="180" t="str">
        <f>'רשימת מכשור 2015'!B623</f>
        <v>מגטרון</v>
      </c>
      <c r="C624" s="180" t="str">
        <f>'רשימת מכשור 2015'!C623</f>
        <v>PT-100</v>
      </c>
      <c r="D624" s="233" t="str">
        <f>'רשימת מכשור 2015'!D623</f>
        <v xml:space="preserve">R&amp;D </v>
      </c>
      <c r="E624" s="180" t="str">
        <f>'רשימת מכשור 2015'!E623</f>
        <v>RE-20</v>
      </c>
      <c r="F624" s="180">
        <f>'רשימת מכשור 2015'!F623</f>
        <v>300</v>
      </c>
      <c r="G624" s="181">
        <v>1</v>
      </c>
      <c r="H624" s="181">
        <f t="shared" si="26"/>
        <v>300</v>
      </c>
      <c r="I624" s="182" t="s">
        <v>82</v>
      </c>
      <c r="J624" s="181">
        <v>1</v>
      </c>
      <c r="K624" s="181">
        <v>1</v>
      </c>
      <c r="L624" s="181">
        <v>0.5</v>
      </c>
      <c r="M624" s="181" t="str">
        <f t="shared" si="27"/>
        <v>לא לרכוש</v>
      </c>
      <c r="N624" s="181">
        <v>1000</v>
      </c>
      <c r="O624" s="183"/>
      <c r="P624" s="183">
        <v>77</v>
      </c>
      <c r="Q624" s="183"/>
    </row>
    <row r="625" spans="1:17" s="12" customFormat="1" ht="14.25" customHeight="1">
      <c r="A625" s="180" t="str">
        <f>'רשימת מכשור 2015'!A624</f>
        <v>מד טמפרטורה</v>
      </c>
      <c r="B625" s="180" t="str">
        <f>'רשימת מכשור 2015'!B624</f>
        <v>מגטרון</v>
      </c>
      <c r="C625" s="180" t="str">
        <f>'רשימת מכשור 2015'!C624</f>
        <v>PT-100</v>
      </c>
      <c r="D625" s="233" t="str">
        <f>'רשימת מכשור 2015'!D624</f>
        <v xml:space="preserve">R&amp;D </v>
      </c>
      <c r="E625" s="180" t="str">
        <f>'רשימת מכשור 2015'!E624</f>
        <v>FR-16</v>
      </c>
      <c r="F625" s="180">
        <f>'רשימת מכשור 2015'!F624</f>
        <v>300</v>
      </c>
      <c r="G625" s="181">
        <v>1</v>
      </c>
      <c r="H625" s="181">
        <f t="shared" si="26"/>
        <v>300</v>
      </c>
      <c r="I625" s="182" t="s">
        <v>82</v>
      </c>
      <c r="J625" s="181">
        <v>1</v>
      </c>
      <c r="K625" s="181">
        <v>1</v>
      </c>
      <c r="L625" s="181">
        <v>0.5</v>
      </c>
      <c r="M625" s="181" t="str">
        <f t="shared" si="27"/>
        <v>לא לרכוש</v>
      </c>
      <c r="N625" s="181">
        <v>1000</v>
      </c>
      <c r="O625" s="183"/>
      <c r="P625" s="183">
        <v>77</v>
      </c>
      <c r="Q625" s="183"/>
    </row>
    <row r="626" spans="1:17" s="12" customFormat="1" ht="14.25" customHeight="1">
      <c r="A626" s="180" t="str">
        <f>'רשימת מכשור 2015'!A625</f>
        <v>מד טמפרטורה</v>
      </c>
      <c r="B626" s="180" t="str">
        <f>'רשימת מכשור 2015'!B625</f>
        <v>מגטרון</v>
      </c>
      <c r="C626" s="180" t="str">
        <f>'רשימת מכשור 2015'!C625</f>
        <v>PT-100</v>
      </c>
      <c r="D626" s="233" t="str">
        <f>'רשימת מכשור 2015'!D625</f>
        <v xml:space="preserve">R&amp;D </v>
      </c>
      <c r="E626" s="180" t="str">
        <f>'רשימת מכשור 2015'!E625</f>
        <v>FR-20</v>
      </c>
      <c r="F626" s="180">
        <f>'רשימת מכשור 2015'!F625</f>
        <v>300</v>
      </c>
      <c r="G626" s="181">
        <v>1</v>
      </c>
      <c r="H626" s="181">
        <f t="shared" si="26"/>
        <v>300</v>
      </c>
      <c r="I626" s="182" t="s">
        <v>82</v>
      </c>
      <c r="J626" s="181">
        <v>1</v>
      </c>
      <c r="K626" s="181">
        <v>1</v>
      </c>
      <c r="L626" s="181">
        <v>0.5</v>
      </c>
      <c r="M626" s="181" t="str">
        <f t="shared" si="27"/>
        <v>לא לרכוש</v>
      </c>
      <c r="N626" s="181">
        <v>1000</v>
      </c>
      <c r="O626" s="183"/>
      <c r="P626" s="183">
        <v>77</v>
      </c>
      <c r="Q626" s="183"/>
    </row>
    <row r="627" spans="1:17" s="12" customFormat="1" ht="14.25" customHeight="1">
      <c r="A627" s="180" t="str">
        <f>'רשימת מכשור 2015'!A626</f>
        <v>מד טמפרטורה</v>
      </c>
      <c r="B627" s="180" t="str">
        <f>'רשימת מכשור 2015'!B626</f>
        <v>קונטרוטק</v>
      </c>
      <c r="C627" s="180" t="str">
        <f>'רשימת מכשור 2015'!C626</f>
        <v>PT-100</v>
      </c>
      <c r="D627" s="233" t="str">
        <f>'רשימת מכשור 2015'!D626</f>
        <v xml:space="preserve">R&amp;D </v>
      </c>
      <c r="E627" s="180" t="str">
        <f>'רשימת מכשור 2015'!E626</f>
        <v>TI-555 ( RE-55 )</v>
      </c>
      <c r="F627" s="180">
        <f>'רשימת מכשור 2015'!F626</f>
        <v>300</v>
      </c>
      <c r="G627" s="181">
        <v>1</v>
      </c>
      <c r="H627" s="181">
        <f t="shared" si="26"/>
        <v>300</v>
      </c>
      <c r="I627" s="182" t="s">
        <v>82</v>
      </c>
      <c r="J627" s="181">
        <v>1</v>
      </c>
      <c r="K627" s="181">
        <v>1</v>
      </c>
      <c r="L627" s="181">
        <v>0.5</v>
      </c>
      <c r="M627" s="181" t="str">
        <f t="shared" si="27"/>
        <v>לא לרכוש</v>
      </c>
      <c r="N627" s="181">
        <v>1000</v>
      </c>
      <c r="O627" s="183"/>
      <c r="P627" s="183">
        <v>13</v>
      </c>
      <c r="Q627" s="183"/>
    </row>
    <row r="628" spans="1:17" s="12" customFormat="1" ht="14.25" customHeight="1">
      <c r="A628" s="180" t="str">
        <f>'רשימת מכשור 2015'!A627</f>
        <v>מד טמפרטורה</v>
      </c>
      <c r="B628" s="180" t="str">
        <f>'רשימת מכשור 2015'!B627</f>
        <v>קונטרוטק</v>
      </c>
      <c r="C628" s="180" t="str">
        <f>'רשימת מכשור 2015'!C627</f>
        <v>PT-101</v>
      </c>
      <c r="D628" s="233" t="str">
        <f>'רשימת מכשור 2015'!D627</f>
        <v xml:space="preserve">R&amp;D </v>
      </c>
      <c r="E628" s="180" t="str">
        <f>'רשימת מכשור 2015'!E627</f>
        <v>TI-556 ( RE-56 )</v>
      </c>
      <c r="F628" s="180">
        <f>'רשימת מכשור 2015'!F627</f>
        <v>300</v>
      </c>
      <c r="G628" s="181">
        <v>1</v>
      </c>
      <c r="H628" s="181">
        <f t="shared" si="26"/>
        <v>300</v>
      </c>
      <c r="I628" s="182" t="s">
        <v>82</v>
      </c>
      <c r="J628" s="181">
        <v>1</v>
      </c>
      <c r="K628" s="181">
        <v>1</v>
      </c>
      <c r="L628" s="181">
        <v>0.5</v>
      </c>
      <c r="M628" s="181" t="str">
        <f t="shared" si="27"/>
        <v>לא לרכוש</v>
      </c>
      <c r="N628" s="181">
        <v>1000</v>
      </c>
      <c r="O628" s="183"/>
      <c r="P628" s="183">
        <v>13</v>
      </c>
      <c r="Q628" s="183"/>
    </row>
    <row r="629" spans="1:17" s="12" customFormat="1" ht="14.25" customHeight="1">
      <c r="A629" s="180" t="str">
        <f>'רשימת מכשור 2015'!A628</f>
        <v>מד טמפרטורה</v>
      </c>
      <c r="B629" s="180" t="str">
        <f>'רשימת מכשור 2015'!B628</f>
        <v>מגטרון</v>
      </c>
      <c r="C629" s="180" t="str">
        <f>'רשימת מכשור 2015'!C628</f>
        <v>PT-100</v>
      </c>
      <c r="D629" s="233" t="str">
        <f>'רשימת מכשור 2015'!D628</f>
        <v>WH-B4 DEVICE MONITORING</v>
      </c>
      <c r="E629" s="180" t="str">
        <f>'רשימת מכשור 2015'!E628</f>
        <v>1-4-TI-380</v>
      </c>
      <c r="F629" s="180">
        <f>'רשימת מכשור 2015'!F628</f>
        <v>300</v>
      </c>
      <c r="G629" s="181">
        <v>1</v>
      </c>
      <c r="H629" s="181">
        <f t="shared" si="26"/>
        <v>300</v>
      </c>
      <c r="I629" s="182"/>
      <c r="J629" s="181">
        <v>1</v>
      </c>
      <c r="K629" s="181">
        <v>1</v>
      </c>
      <c r="L629" s="181">
        <v>0.5</v>
      </c>
      <c r="M629" s="181" t="str">
        <f t="shared" si="27"/>
        <v>לרכוש</v>
      </c>
      <c r="N629" s="181">
        <v>1000</v>
      </c>
      <c r="O629" s="183"/>
      <c r="P629" s="183">
        <v>77</v>
      </c>
      <c r="Q629" s="183"/>
    </row>
    <row r="630" spans="1:17" s="12" customFormat="1" ht="14.25" customHeight="1">
      <c r="A630" s="180" t="str">
        <f>'רשימת מכשור 2015'!A629</f>
        <v>משדר טמפרטורה</v>
      </c>
      <c r="B630" s="180" t="str">
        <f>'רשימת מכשור 2015'!B629</f>
        <v>מגטרון</v>
      </c>
      <c r="C630" s="180" t="str">
        <f>'רשימת מכשור 2015'!C629</f>
        <v>PT-100</v>
      </c>
      <c r="D630" s="233" t="str">
        <f>'רשימת מכשור 2015'!D629</f>
        <v>WH-B4 DEVICE MONITORING</v>
      </c>
      <c r="E630" s="180" t="str">
        <f>'רשימת מכשור 2015'!E629</f>
        <v>1-4-TI-514</v>
      </c>
      <c r="F630" s="180">
        <f>'רשימת מכשור 2015'!F629</f>
        <v>300</v>
      </c>
      <c r="G630" s="181">
        <v>11</v>
      </c>
      <c r="H630" s="181">
        <f t="shared" si="26"/>
        <v>3300</v>
      </c>
      <c r="I630" s="182" t="s">
        <v>82</v>
      </c>
      <c r="J630" s="181">
        <v>1</v>
      </c>
      <c r="K630" s="181">
        <v>1</v>
      </c>
      <c r="L630" s="181">
        <v>0.5</v>
      </c>
      <c r="M630" s="181" t="str">
        <f t="shared" si="27"/>
        <v>לא לרכוש</v>
      </c>
      <c r="N630" s="181">
        <v>1000</v>
      </c>
      <c r="O630" s="183"/>
      <c r="P630" s="183">
        <v>1</v>
      </c>
      <c r="Q630" s="183"/>
    </row>
    <row r="631" spans="1:17" s="12" customFormat="1" ht="14.25" customHeight="1">
      <c r="A631" s="180" t="str">
        <f>'רשימת מכשור 2015'!A630</f>
        <v>מד טמפרטורה</v>
      </c>
      <c r="B631" s="180" t="str">
        <f>'רשימת מכשור 2015'!B630</f>
        <v>מגטרון</v>
      </c>
      <c r="C631" s="180" t="str">
        <f>'רשימת מכשור 2015'!C630</f>
        <v>PT-100</v>
      </c>
      <c r="D631" s="233" t="str">
        <f>'רשימת מכשור 2015'!D630</f>
        <v>WH-B4 DEVICE MONITORING</v>
      </c>
      <c r="E631" s="180" t="str">
        <f>'רשימת מכשור 2015'!E630</f>
        <v>1-4-TI-478</v>
      </c>
      <c r="F631" s="180">
        <f>'רשימת מכשור 2015'!F630</f>
        <v>300</v>
      </c>
      <c r="G631" s="181">
        <v>1</v>
      </c>
      <c r="H631" s="181">
        <f t="shared" si="26"/>
        <v>300</v>
      </c>
      <c r="I631" s="182" t="s">
        <v>82</v>
      </c>
      <c r="J631" s="181">
        <v>1</v>
      </c>
      <c r="K631" s="181">
        <v>1</v>
      </c>
      <c r="L631" s="181">
        <v>0.5</v>
      </c>
      <c r="M631" s="181" t="str">
        <f t="shared" si="27"/>
        <v>לא לרכוש</v>
      </c>
      <c r="N631" s="181">
        <v>1000</v>
      </c>
      <c r="O631" s="183"/>
      <c r="P631" s="183">
        <v>77</v>
      </c>
      <c r="Q631" s="183"/>
    </row>
    <row r="632" spans="1:17" s="12" customFormat="1" ht="14.25" customHeight="1">
      <c r="A632" s="180" t="str">
        <f>'רשימת מכשור 2015'!A631</f>
        <v>מד טמפרטורה</v>
      </c>
      <c r="B632" s="180" t="str">
        <f>'רשימת מכשור 2015'!B631</f>
        <v>מגטרון</v>
      </c>
      <c r="C632" s="180" t="str">
        <f>'רשימת מכשור 2015'!C631</f>
        <v>PT-100</v>
      </c>
      <c r="D632" s="233" t="str">
        <f>'רשימת מכשור 2015'!D631</f>
        <v>WH-B4 DEVICE MONITORING</v>
      </c>
      <c r="E632" s="180" t="str">
        <f>'רשימת מכשור 2015'!E631</f>
        <v>1-4- TI-479</v>
      </c>
      <c r="F632" s="180">
        <f>'רשימת מכשור 2015'!F631</f>
        <v>300</v>
      </c>
      <c r="G632" s="181">
        <v>1</v>
      </c>
      <c r="H632" s="181">
        <f t="shared" si="26"/>
        <v>300</v>
      </c>
      <c r="I632" s="182" t="s">
        <v>82</v>
      </c>
      <c r="J632" s="181">
        <v>1</v>
      </c>
      <c r="K632" s="181">
        <v>1</v>
      </c>
      <c r="L632" s="181">
        <v>0.5</v>
      </c>
      <c r="M632" s="181" t="str">
        <f t="shared" si="27"/>
        <v>לא לרכוש</v>
      </c>
      <c r="N632" s="181">
        <v>1000</v>
      </c>
      <c r="O632" s="183"/>
      <c r="P632" s="183">
        <v>77</v>
      </c>
      <c r="Q632" s="183"/>
    </row>
    <row r="633" spans="1:17" s="12" customFormat="1" ht="14.25" customHeight="1">
      <c r="A633" s="180" t="str">
        <f>'רשימת מכשור 2015'!A632</f>
        <v>מד טמפרטורה</v>
      </c>
      <c r="B633" s="180" t="str">
        <f>'רשימת מכשור 2015'!B632</f>
        <v>מגטרון</v>
      </c>
      <c r="C633" s="180" t="str">
        <f>'רשימת מכשור 2015'!C632</f>
        <v>PT-100</v>
      </c>
      <c r="D633" s="233" t="str">
        <f>'רשימת מכשור 2015'!D632</f>
        <v>WH-B4 DEVICE MONITORING</v>
      </c>
      <c r="E633" s="180" t="str">
        <f>'רשימת מכשור 2015'!E632</f>
        <v>1-4-TI-515</v>
      </c>
      <c r="F633" s="180">
        <f>'רשימת מכשור 2015'!F632</f>
        <v>300</v>
      </c>
      <c r="G633" s="181">
        <v>1</v>
      </c>
      <c r="H633" s="181">
        <f t="shared" si="26"/>
        <v>300</v>
      </c>
      <c r="I633" s="182" t="s">
        <v>82</v>
      </c>
      <c r="J633" s="181">
        <v>1</v>
      </c>
      <c r="K633" s="181">
        <v>1</v>
      </c>
      <c r="L633" s="181">
        <v>0.5</v>
      </c>
      <c r="M633" s="181" t="str">
        <f t="shared" si="27"/>
        <v>לא לרכוש</v>
      </c>
      <c r="N633" s="181">
        <v>1000</v>
      </c>
      <c r="O633" s="183"/>
      <c r="P633" s="183">
        <v>77</v>
      </c>
      <c r="Q633" s="183"/>
    </row>
    <row r="634" spans="1:17" s="12" customFormat="1" ht="14.25" customHeight="1">
      <c r="A634" s="180" t="str">
        <f>'רשימת מכשור 2015'!A633</f>
        <v>מד טמפרטורה</v>
      </c>
      <c r="B634" s="180" t="str">
        <f>'רשימת מכשור 2015'!B633</f>
        <v>מגטרון</v>
      </c>
      <c r="C634" s="180" t="str">
        <f>'רשימת מכשור 2015'!C633</f>
        <v>PT-100</v>
      </c>
      <c r="D634" s="233" t="str">
        <f>'רשימת מכשור 2015'!D633</f>
        <v>WH-B4 DEVICE MONITORING</v>
      </c>
      <c r="E634" s="180" t="str">
        <f>'רשימת מכשור 2015'!E633</f>
        <v>1-4- TI-516</v>
      </c>
      <c r="F634" s="180">
        <f>'רשימת מכשור 2015'!F633</f>
        <v>300</v>
      </c>
      <c r="G634" s="181">
        <v>1</v>
      </c>
      <c r="H634" s="181">
        <f t="shared" si="26"/>
        <v>300</v>
      </c>
      <c r="I634" s="182" t="s">
        <v>82</v>
      </c>
      <c r="J634" s="181">
        <v>1</v>
      </c>
      <c r="K634" s="181">
        <v>1</v>
      </c>
      <c r="L634" s="181">
        <v>0.5</v>
      </c>
      <c r="M634" s="181" t="str">
        <f t="shared" si="27"/>
        <v>לא לרכוש</v>
      </c>
      <c r="N634" s="181">
        <v>1000</v>
      </c>
      <c r="O634" s="183"/>
      <c r="P634" s="183">
        <v>77</v>
      </c>
      <c r="Q634" s="183"/>
    </row>
    <row r="635" spans="1:17" s="12" customFormat="1" ht="14.25" customHeight="1">
      <c r="A635" s="180" t="str">
        <f>'רשימת מכשור 2015'!A634</f>
        <v>משדר טמפרטורה</v>
      </c>
      <c r="B635" s="180" t="str">
        <f>'רשימת מכשור 2015'!B634</f>
        <v>Controtec.</v>
      </c>
      <c r="C635" s="180" t="str">
        <f>'רשימת מכשור 2015'!C634</f>
        <v>PT-100</v>
      </c>
      <c r="D635" s="233" t="str">
        <f>'רשימת מכשור 2015'!D634</f>
        <v>WH-B4 AHU-1</v>
      </c>
      <c r="E635" s="180" t="str">
        <f>'רשימת מכשור 2015'!E634</f>
        <v>1-4-1-TI-24</v>
      </c>
      <c r="F635" s="180">
        <f>'רשימת מכשור 2015'!F634</f>
        <v>300</v>
      </c>
      <c r="G635" s="181">
        <v>1</v>
      </c>
      <c r="H635" s="181">
        <f t="shared" si="26"/>
        <v>300</v>
      </c>
      <c r="I635" s="182"/>
      <c r="J635" s="181">
        <v>1</v>
      </c>
      <c r="K635" s="181">
        <v>1</v>
      </c>
      <c r="L635" s="181">
        <v>0.5</v>
      </c>
      <c r="M635" s="181" t="str">
        <f t="shared" si="27"/>
        <v>לרכוש</v>
      </c>
      <c r="N635" s="181">
        <v>1000</v>
      </c>
      <c r="O635" s="183"/>
      <c r="P635" s="183">
        <v>1</v>
      </c>
      <c r="Q635" s="183"/>
    </row>
    <row r="636" spans="1:17" s="12" customFormat="1" ht="14.25" customHeight="1">
      <c r="A636" s="180" t="str">
        <f>'רשימת מכשור 2015'!A635</f>
        <v>משדר טמפרטורה</v>
      </c>
      <c r="B636" s="180" t="str">
        <f>'רשימת מכשור 2015'!B635</f>
        <v>Controtec.</v>
      </c>
      <c r="C636" s="180" t="str">
        <f>'רשימת מכשור 2015'!C635</f>
        <v>PT-100</v>
      </c>
      <c r="D636" s="233" t="str">
        <f>'רשימת מכשור 2015'!D635</f>
        <v>WH-B4 AHU-1</v>
      </c>
      <c r="E636" s="180" t="str">
        <f>'רשימת מכשור 2015'!E635</f>
        <v>1-4-1-TIC-1</v>
      </c>
      <c r="F636" s="180">
        <f>'רשימת מכשור 2015'!F635</f>
        <v>300</v>
      </c>
      <c r="G636" s="181">
        <v>1</v>
      </c>
      <c r="H636" s="181">
        <f t="shared" si="26"/>
        <v>300</v>
      </c>
      <c r="I636" s="182"/>
      <c r="J636" s="181">
        <v>1</v>
      </c>
      <c r="K636" s="181">
        <v>1</v>
      </c>
      <c r="L636" s="181">
        <v>0.5</v>
      </c>
      <c r="M636" s="181" t="str">
        <f t="shared" si="27"/>
        <v>לרכוש</v>
      </c>
      <c r="N636" s="181">
        <v>1000</v>
      </c>
      <c r="O636" s="183"/>
      <c r="P636" s="183">
        <v>1</v>
      </c>
      <c r="Q636" s="183"/>
    </row>
    <row r="637" spans="1:17" s="12" customFormat="1" ht="14.25" customHeight="1">
      <c r="A637" s="180" t="str">
        <f>'רשימת מכשור 2015'!A636</f>
        <v>משדר טמפרטורה</v>
      </c>
      <c r="B637" s="180" t="str">
        <f>'רשימת מכשור 2015'!B636</f>
        <v>Controtec.</v>
      </c>
      <c r="C637" s="180" t="str">
        <f>'רשימת מכשור 2015'!C636</f>
        <v>PT-100</v>
      </c>
      <c r="D637" s="233" t="str">
        <f>'רשימת מכשור 2015'!D636</f>
        <v>WH-B4 AHU-1</v>
      </c>
      <c r="E637" s="180" t="str">
        <f>'רשימת מכשור 2015'!E636</f>
        <v>1-4-1-TI-20</v>
      </c>
      <c r="F637" s="180">
        <f>'רשימת מכשור 2015'!F636</f>
        <v>300</v>
      </c>
      <c r="G637" s="181">
        <v>1</v>
      </c>
      <c r="H637" s="181">
        <f t="shared" si="26"/>
        <v>300</v>
      </c>
      <c r="I637" s="182"/>
      <c r="J637" s="181">
        <v>1</v>
      </c>
      <c r="K637" s="181">
        <v>1</v>
      </c>
      <c r="L637" s="181">
        <v>0.5</v>
      </c>
      <c r="M637" s="181" t="str">
        <f t="shared" si="27"/>
        <v>לרכוש</v>
      </c>
      <c r="N637" s="181">
        <v>1000</v>
      </c>
      <c r="O637" s="183"/>
      <c r="P637" s="183">
        <v>1</v>
      </c>
      <c r="Q637" s="183"/>
    </row>
    <row r="638" spans="1:17" s="12" customFormat="1" ht="14.25" customHeight="1">
      <c r="A638" s="180" t="str">
        <f>'רשימת מכשור 2015'!A637</f>
        <v>משדר טמפרטורה</v>
      </c>
      <c r="B638" s="180" t="str">
        <f>'רשימת מכשור 2015'!B637</f>
        <v>Controtec.</v>
      </c>
      <c r="C638" s="180" t="str">
        <f>'רשימת מכשור 2015'!C637</f>
        <v>PT-100</v>
      </c>
      <c r="D638" s="233" t="str">
        <f>'רשימת מכשור 2015'!D637</f>
        <v>WH-B4 AHU-1</v>
      </c>
      <c r="E638" s="180" t="str">
        <f>'רשימת מכשור 2015'!E637</f>
        <v>1-4-1-TI-21</v>
      </c>
      <c r="F638" s="180">
        <f>'רשימת מכשור 2015'!F637</f>
        <v>300</v>
      </c>
      <c r="G638" s="181">
        <v>1</v>
      </c>
      <c r="H638" s="181">
        <f t="shared" si="26"/>
        <v>300</v>
      </c>
      <c r="I638" s="182"/>
      <c r="J638" s="181">
        <v>1</v>
      </c>
      <c r="K638" s="181">
        <v>1</v>
      </c>
      <c r="L638" s="181">
        <v>0.5</v>
      </c>
      <c r="M638" s="181" t="str">
        <f t="shared" si="27"/>
        <v>לרכוש</v>
      </c>
      <c r="N638" s="181">
        <v>1000</v>
      </c>
      <c r="O638" s="183"/>
      <c r="P638" s="183">
        <v>1</v>
      </c>
      <c r="Q638" s="183"/>
    </row>
    <row r="639" spans="1:17" s="12" customFormat="1" ht="14.25" customHeight="1">
      <c r="A639" s="180" t="str">
        <f>'רשימת מכשור 2015'!A638</f>
        <v>משדר טמפרטורה</v>
      </c>
      <c r="B639" s="180" t="str">
        <f>'רשימת מכשור 2015'!B638</f>
        <v>Controtec.</v>
      </c>
      <c r="C639" s="180" t="str">
        <f>'רשימת מכשור 2015'!C638</f>
        <v>PT-100</v>
      </c>
      <c r="D639" s="233" t="str">
        <f>'רשימת מכשור 2015'!D638</f>
        <v>WH-B4 AHU-1</v>
      </c>
      <c r="E639" s="180" t="str">
        <f>'רשימת מכשור 2015'!E638</f>
        <v>1-4-1-TI-16</v>
      </c>
      <c r="F639" s="180">
        <f>'רשימת מכשור 2015'!F638</f>
        <v>300</v>
      </c>
      <c r="G639" s="181">
        <v>1</v>
      </c>
      <c r="H639" s="181">
        <f t="shared" si="26"/>
        <v>300</v>
      </c>
      <c r="I639" s="182"/>
      <c r="J639" s="181">
        <v>1</v>
      </c>
      <c r="K639" s="181">
        <v>1</v>
      </c>
      <c r="L639" s="181">
        <v>0.5</v>
      </c>
      <c r="M639" s="181" t="str">
        <f t="shared" si="27"/>
        <v>לרכוש</v>
      </c>
      <c r="N639" s="181">
        <v>1000</v>
      </c>
      <c r="O639" s="183"/>
      <c r="P639" s="183">
        <v>1</v>
      </c>
      <c r="Q639" s="183"/>
    </row>
    <row r="640" spans="1:17" s="12" customFormat="1" ht="14.25" customHeight="1">
      <c r="A640" s="180" t="str">
        <f>'רשימת מכשור 2015'!A639</f>
        <v>משדר טמפרטורה</v>
      </c>
      <c r="B640" s="180" t="str">
        <f>'רשימת מכשור 2015'!B639</f>
        <v>Controtec.</v>
      </c>
      <c r="C640" s="180" t="str">
        <f>'רשימת מכשור 2015'!C639</f>
        <v>PT-100</v>
      </c>
      <c r="D640" s="233" t="str">
        <f>'רשימת מכשור 2015'!D639</f>
        <v>WH-B4 AHU-2</v>
      </c>
      <c r="E640" s="180" t="str">
        <f>'רשימת מכשור 2015'!E639</f>
        <v>1-4-1-TI-26</v>
      </c>
      <c r="F640" s="180">
        <f>'רשימת מכשור 2015'!F639</f>
        <v>300</v>
      </c>
      <c r="G640" s="181">
        <v>1</v>
      </c>
      <c r="H640" s="181">
        <f t="shared" si="26"/>
        <v>300</v>
      </c>
      <c r="I640" s="182"/>
      <c r="J640" s="181">
        <v>1</v>
      </c>
      <c r="K640" s="181">
        <v>1</v>
      </c>
      <c r="L640" s="181">
        <v>0.5</v>
      </c>
      <c r="M640" s="181" t="str">
        <f t="shared" si="27"/>
        <v>לרכוש</v>
      </c>
      <c r="N640" s="181">
        <v>1000</v>
      </c>
      <c r="O640" s="183"/>
      <c r="P640" s="183">
        <v>1</v>
      </c>
      <c r="Q640" s="183"/>
    </row>
    <row r="641" spans="1:17" s="12" customFormat="1" ht="14.25" customHeight="1">
      <c r="A641" s="180" t="str">
        <f>'רשימת מכשור 2015'!A640</f>
        <v>משדר טמפרטורה</v>
      </c>
      <c r="B641" s="180" t="str">
        <f>'רשימת מכשור 2015'!B640</f>
        <v>Controtec.</v>
      </c>
      <c r="C641" s="180" t="str">
        <f>'רשימת מכשור 2015'!C640</f>
        <v>PT-100</v>
      </c>
      <c r="D641" s="233" t="str">
        <f>'רשימת מכשור 2015'!D640</f>
        <v>WH-B4 AHU-2</v>
      </c>
      <c r="E641" s="180" t="str">
        <f>'רשימת מכשור 2015'!E640</f>
        <v>1-4-1-TI-3</v>
      </c>
      <c r="F641" s="180">
        <f>'רשימת מכשור 2015'!F640</f>
        <v>300</v>
      </c>
      <c r="G641" s="181">
        <v>1</v>
      </c>
      <c r="H641" s="181">
        <f t="shared" si="26"/>
        <v>300</v>
      </c>
      <c r="I641" s="182"/>
      <c r="J641" s="181">
        <v>1</v>
      </c>
      <c r="K641" s="181">
        <v>1</v>
      </c>
      <c r="L641" s="181">
        <v>0.5</v>
      </c>
      <c r="M641" s="181" t="str">
        <f t="shared" si="27"/>
        <v>לרכוש</v>
      </c>
      <c r="N641" s="181">
        <v>1000</v>
      </c>
      <c r="O641" s="183"/>
      <c r="P641" s="183">
        <v>1</v>
      </c>
      <c r="Q641" s="183"/>
    </row>
    <row r="642" spans="1:17" s="12" customFormat="1" ht="14.25" customHeight="1">
      <c r="A642" s="180" t="str">
        <f>'רשימת מכשור 2015'!A641</f>
        <v>מד לחץ הפרשי</v>
      </c>
      <c r="B642" s="180" t="str">
        <f>'רשימת מכשור 2015'!B641</f>
        <v>Micatron</v>
      </c>
      <c r="C642" s="180" t="str">
        <f>'רשימת מכשור 2015'!C641</f>
        <v>Micaflex MF-P</v>
      </c>
      <c r="D642" s="233" t="str">
        <f>'רשימת מכשור 2015'!D641</f>
        <v>WH-B4 AHU-2</v>
      </c>
      <c r="E642" s="180" t="str">
        <f>'רשימת מכשור 2015'!E641</f>
        <v>1-4-1-PDIC-6</v>
      </c>
      <c r="F642" s="180">
        <f>'רשימת מכשור 2015'!F641</f>
        <v>300</v>
      </c>
      <c r="G642" s="181">
        <v>1</v>
      </c>
      <c r="H642" s="181">
        <f t="shared" si="26"/>
        <v>300</v>
      </c>
      <c r="I642" s="182" t="s">
        <v>82</v>
      </c>
      <c r="J642" s="181">
        <v>1</v>
      </c>
      <c r="K642" s="181">
        <v>1</v>
      </c>
      <c r="L642" s="181">
        <v>0.5</v>
      </c>
      <c r="M642" s="181" t="str">
        <f t="shared" si="27"/>
        <v>לא לרכוש</v>
      </c>
      <c r="N642" s="181">
        <v>1000</v>
      </c>
      <c r="O642" s="183"/>
      <c r="P642" s="183">
        <v>60</v>
      </c>
      <c r="Q642" s="183"/>
    </row>
    <row r="643" spans="1:17" s="12" customFormat="1" ht="14.25" customHeight="1">
      <c r="A643" s="180" t="str">
        <f>'רשימת מכשור 2015'!A642</f>
        <v>משדר טמפרטורה</v>
      </c>
      <c r="B643" s="180" t="str">
        <f>'רשימת מכשור 2015'!B642</f>
        <v>Controtec.</v>
      </c>
      <c r="C643" s="180" t="str">
        <f>'רשימת מכשור 2015'!C642</f>
        <v>PT-100</v>
      </c>
      <c r="D643" s="233" t="str">
        <f>'רשימת מכשור 2015'!D642</f>
        <v>WH-B4 AHU-2</v>
      </c>
      <c r="E643" s="180" t="str">
        <f>'רשימת מכשור 2015'!E642</f>
        <v>1-4-1-TI-40</v>
      </c>
      <c r="F643" s="180">
        <f>'רשימת מכשור 2015'!F642</f>
        <v>300</v>
      </c>
      <c r="G643" s="181">
        <v>1</v>
      </c>
      <c r="H643" s="181">
        <f t="shared" si="26"/>
        <v>300</v>
      </c>
      <c r="I643" s="182"/>
      <c r="J643" s="181">
        <v>1</v>
      </c>
      <c r="K643" s="181">
        <v>1</v>
      </c>
      <c r="L643" s="181">
        <v>0.5</v>
      </c>
      <c r="M643" s="181" t="str">
        <f t="shared" si="27"/>
        <v>לרכוש</v>
      </c>
      <c r="N643" s="181">
        <v>1000</v>
      </c>
      <c r="O643" s="183"/>
      <c r="P643" s="183">
        <v>1</v>
      </c>
      <c r="Q643" s="183"/>
    </row>
    <row r="644" spans="1:17" s="12" customFormat="1" ht="14.25" customHeight="1">
      <c r="A644" s="180" t="str">
        <f>'רשימת מכשור 2015'!A643</f>
        <v>משדר טמפרטורה</v>
      </c>
      <c r="B644" s="180" t="str">
        <f>'רשימת מכשור 2015'!B643</f>
        <v>Controtec.</v>
      </c>
      <c r="C644" s="180" t="str">
        <f>'רשימת מכשור 2015'!C643</f>
        <v>PT-100</v>
      </c>
      <c r="D644" s="233" t="str">
        <f>'רשימת מכשור 2015'!D643</f>
        <v>WH-B4 AHU-3</v>
      </c>
      <c r="E644" s="180" t="str">
        <f>'רשימת מכשור 2015'!E643</f>
        <v>1-4-1-AHU-3-TI-25</v>
      </c>
      <c r="F644" s="180">
        <f>'רשימת מכשור 2015'!F643</f>
        <v>300</v>
      </c>
      <c r="G644" s="181">
        <v>1</v>
      </c>
      <c r="H644" s="181">
        <f t="shared" si="26"/>
        <v>300</v>
      </c>
      <c r="I644" s="182"/>
      <c r="J644" s="181">
        <v>1</v>
      </c>
      <c r="K644" s="181">
        <v>1</v>
      </c>
      <c r="L644" s="181">
        <v>0.5</v>
      </c>
      <c r="M644" s="181" t="str">
        <f t="shared" si="27"/>
        <v>לרכוש</v>
      </c>
      <c r="N644" s="181">
        <v>1000</v>
      </c>
      <c r="O644" s="183"/>
      <c r="P644" s="183">
        <v>1</v>
      </c>
      <c r="Q644" s="183"/>
    </row>
    <row r="645" spans="1:17" s="12" customFormat="1" ht="14.25" customHeight="1">
      <c r="A645" s="180" t="str">
        <f>'רשימת מכשור 2015'!A644</f>
        <v>משדר טמפרטורה</v>
      </c>
      <c r="B645" s="180" t="str">
        <f>'רשימת מכשור 2015'!B644</f>
        <v>Controtec.</v>
      </c>
      <c r="C645" s="180" t="str">
        <f>'רשימת מכשור 2015'!C644</f>
        <v>PT-100</v>
      </c>
      <c r="D645" s="233" t="str">
        <f>'רשימת מכשור 2015'!D644</f>
        <v>WH-B4 AHU-3</v>
      </c>
      <c r="E645" s="180" t="str">
        <f>'רשימת מכשור 2015'!E644</f>
        <v>1-4-1-AHU-3-TIC-5</v>
      </c>
      <c r="F645" s="180">
        <f>'רשימת מכשור 2015'!F644</f>
        <v>300</v>
      </c>
      <c r="G645" s="181">
        <v>1</v>
      </c>
      <c r="H645" s="181">
        <f t="shared" si="26"/>
        <v>300</v>
      </c>
      <c r="I645" s="182"/>
      <c r="J645" s="181">
        <v>1</v>
      </c>
      <c r="K645" s="181">
        <v>1</v>
      </c>
      <c r="L645" s="181">
        <v>0.5</v>
      </c>
      <c r="M645" s="181" t="str">
        <f t="shared" si="27"/>
        <v>לרכוש</v>
      </c>
      <c r="N645" s="181">
        <v>1000</v>
      </c>
      <c r="O645" s="183"/>
      <c r="P645" s="183">
        <v>1</v>
      </c>
      <c r="Q645" s="183"/>
    </row>
    <row r="646" spans="1:17" s="12" customFormat="1" ht="14.25" customHeight="1">
      <c r="A646" s="180" t="str">
        <f>'רשימת מכשור 2015'!A645</f>
        <v>משדר טמפרטורה</v>
      </c>
      <c r="B646" s="180" t="str">
        <f>'רשימת מכשור 2015'!B645</f>
        <v>Controtec.</v>
      </c>
      <c r="C646" s="180" t="str">
        <f>'רשימת מכשור 2015'!C645</f>
        <v>PT-100</v>
      </c>
      <c r="D646" s="233" t="str">
        <f>'רשימת מכשור 2015'!D645</f>
        <v>WH-B4 AHU-3</v>
      </c>
      <c r="E646" s="180" t="str">
        <f>'רשימת מכשור 2015'!E645</f>
        <v>1-4-1-TI-41</v>
      </c>
      <c r="F646" s="180">
        <f>'רשימת מכשור 2015'!F645</f>
        <v>300</v>
      </c>
      <c r="G646" s="181">
        <v>1</v>
      </c>
      <c r="H646" s="181">
        <f t="shared" si="26"/>
        <v>300</v>
      </c>
      <c r="I646" s="182"/>
      <c r="J646" s="181">
        <v>1</v>
      </c>
      <c r="K646" s="181">
        <v>1</v>
      </c>
      <c r="L646" s="181">
        <v>0.5</v>
      </c>
      <c r="M646" s="181" t="str">
        <f t="shared" si="27"/>
        <v>לרכוש</v>
      </c>
      <c r="N646" s="181">
        <v>1000</v>
      </c>
      <c r="O646" s="183"/>
      <c r="P646" s="183">
        <v>1</v>
      </c>
      <c r="Q646" s="183"/>
    </row>
    <row r="647" spans="1:17" s="12" customFormat="1" ht="14.25" customHeight="1">
      <c r="A647" s="180" t="str">
        <f>'רשימת מכשור 2015'!A646</f>
        <v>משדר טמפרטורה</v>
      </c>
      <c r="B647" s="180" t="str">
        <f>'רשימת מכשור 2015'!B646</f>
        <v>Controtec.</v>
      </c>
      <c r="C647" s="180" t="str">
        <f>'רשימת מכשור 2015'!C646</f>
        <v>PT-100</v>
      </c>
      <c r="D647" s="233" t="str">
        <f>'רשימת מכשור 2015'!D646</f>
        <v>WH-B4 AHU-4</v>
      </c>
      <c r="E647" s="180" t="str">
        <f>'רשימת מכשור 2015'!E646</f>
        <v>1-4-4-TI-35</v>
      </c>
      <c r="F647" s="180">
        <f>'רשימת מכשור 2015'!F646</f>
        <v>300</v>
      </c>
      <c r="G647" s="181">
        <v>1</v>
      </c>
      <c r="H647" s="181">
        <f t="shared" si="26"/>
        <v>300</v>
      </c>
      <c r="I647" s="182"/>
      <c r="J647" s="181">
        <v>1</v>
      </c>
      <c r="K647" s="181">
        <v>1</v>
      </c>
      <c r="L647" s="181">
        <v>0.5</v>
      </c>
      <c r="M647" s="181" t="str">
        <f t="shared" si="27"/>
        <v>לרכוש</v>
      </c>
      <c r="N647" s="181">
        <v>1000</v>
      </c>
      <c r="O647" s="183"/>
      <c r="P647" s="183">
        <v>1</v>
      </c>
      <c r="Q647" s="183"/>
    </row>
    <row r="648" spans="1:17" s="12" customFormat="1" ht="14.25" customHeight="1">
      <c r="A648" s="180" t="str">
        <f>'רשימת מכשור 2015'!A647</f>
        <v>משדר טמפרטורה</v>
      </c>
      <c r="B648" s="180" t="str">
        <f>'רשימת מכשור 2015'!B647</f>
        <v>Controtec.</v>
      </c>
      <c r="C648" s="180" t="str">
        <f>'רשימת מכשור 2015'!C647</f>
        <v>PT-100</v>
      </c>
      <c r="D648" s="233" t="str">
        <f>'רשימת מכשור 2015'!D647</f>
        <v>WH-B4 AHU-4</v>
      </c>
      <c r="E648" s="180" t="str">
        <f>'רשימת מכשור 2015'!E647</f>
        <v>1-4-4-TIC-13</v>
      </c>
      <c r="F648" s="180">
        <f>'רשימת מכשור 2015'!F647</f>
        <v>300</v>
      </c>
      <c r="G648" s="181">
        <v>1</v>
      </c>
      <c r="H648" s="181">
        <f t="shared" si="26"/>
        <v>300</v>
      </c>
      <c r="I648" s="182"/>
      <c r="J648" s="181">
        <v>1</v>
      </c>
      <c r="K648" s="181">
        <v>1</v>
      </c>
      <c r="L648" s="181">
        <v>0.5</v>
      </c>
      <c r="M648" s="181" t="str">
        <f t="shared" si="27"/>
        <v>לרכוש</v>
      </c>
      <c r="N648" s="181">
        <v>1000</v>
      </c>
      <c r="O648" s="183"/>
      <c r="P648" s="183">
        <v>1</v>
      </c>
      <c r="Q648" s="183"/>
    </row>
    <row r="649" spans="1:17" s="12" customFormat="1" ht="14.25" customHeight="1">
      <c r="A649" s="180" t="str">
        <f>'רשימת מכשור 2015'!A648</f>
        <v>צג לחץ</v>
      </c>
      <c r="B649" s="180" t="str">
        <f>'רשימת מכשור 2015'!B648</f>
        <v>MEGATRON</v>
      </c>
      <c r="C649" s="180" t="str">
        <f>'רשימת מכשור 2015'!C648</f>
        <v>MDI-CDC-LCD</v>
      </c>
      <c r="D649" s="233" t="str">
        <f>'רשימת מכשור 2015'!D648</f>
        <v>51001-AHU-01</v>
      </c>
      <c r="E649" s="180" t="str">
        <f>'רשימת מכשור 2015'!E648</f>
        <v>1-1-51001-PDI-201</v>
      </c>
      <c r="F649" s="180">
        <f>'רשימת מכשור 2015'!F648</f>
        <v>250</v>
      </c>
      <c r="G649" s="181">
        <v>1</v>
      </c>
      <c r="H649" s="181">
        <f t="shared" si="26"/>
        <v>250</v>
      </c>
      <c r="I649" s="182" t="s">
        <v>82</v>
      </c>
      <c r="J649" s="181">
        <v>1</v>
      </c>
      <c r="K649" s="181">
        <v>1</v>
      </c>
      <c r="L649" s="181">
        <v>0.5</v>
      </c>
      <c r="M649" s="181" t="str">
        <f t="shared" si="27"/>
        <v>לא לרכוש</v>
      </c>
      <c r="N649" s="181">
        <v>1000</v>
      </c>
      <c r="O649" s="183"/>
      <c r="P649" s="183">
        <v>9</v>
      </c>
      <c r="Q649" s="183"/>
    </row>
    <row r="650" spans="1:17" s="12" customFormat="1" ht="14.25" customHeight="1">
      <c r="A650" s="180" t="str">
        <f>'רשימת מכשור 2015'!A649</f>
        <v>צג לחץ</v>
      </c>
      <c r="B650" s="180" t="str">
        <f>'רשימת מכשור 2015'!B649</f>
        <v>MEGATRON</v>
      </c>
      <c r="C650" s="180" t="str">
        <f>'רשימת מכשור 2015'!C649</f>
        <v>MDI-CDC-LCD</v>
      </c>
      <c r="D650" s="233" t="str">
        <f>'רשימת מכשור 2015'!D649</f>
        <v>51001-AHU-01</v>
      </c>
      <c r="E650" s="180" t="str">
        <f>'רשימת מכשור 2015'!E649</f>
        <v>1-1-51001-PDI-204</v>
      </c>
      <c r="F650" s="180">
        <f>'רשימת מכשור 2015'!F649</f>
        <v>250</v>
      </c>
      <c r="G650" s="181">
        <v>1</v>
      </c>
      <c r="H650" s="181">
        <f t="shared" si="26"/>
        <v>250</v>
      </c>
      <c r="I650" s="182" t="s">
        <v>82</v>
      </c>
      <c r="J650" s="181">
        <v>1</v>
      </c>
      <c r="K650" s="181">
        <v>1</v>
      </c>
      <c r="L650" s="181">
        <v>0.5</v>
      </c>
      <c r="M650" s="181" t="str">
        <f t="shared" si="27"/>
        <v>לא לרכוש</v>
      </c>
      <c r="N650" s="181">
        <v>1000</v>
      </c>
      <c r="O650" s="183"/>
      <c r="P650" s="183">
        <v>9</v>
      </c>
      <c r="Q650" s="183"/>
    </row>
    <row r="651" spans="1:17" s="12" customFormat="1" ht="14.25" customHeight="1">
      <c r="A651" s="180" t="str">
        <f>'רשימת מכשור 2015'!A650</f>
        <v>צג לחץ</v>
      </c>
      <c r="B651" s="180" t="str">
        <f>'רשימת מכשור 2015'!B650</f>
        <v>MEGATRON</v>
      </c>
      <c r="C651" s="180" t="str">
        <f>'רשימת מכשור 2015'!C650</f>
        <v>MDI-CDC-LCD</v>
      </c>
      <c r="D651" s="233" t="str">
        <f>'רשימת מכשור 2015'!D650</f>
        <v>51001-AHU-01</v>
      </c>
      <c r="E651" s="180" t="str">
        <f>'רשימת מכשור 2015'!E650</f>
        <v>1-1-51001-PI-29</v>
      </c>
      <c r="F651" s="180">
        <f>'רשימת מכשור 2015'!F650</f>
        <v>250</v>
      </c>
      <c r="G651" s="181">
        <v>1</v>
      </c>
      <c r="H651" s="181">
        <f t="shared" si="26"/>
        <v>250</v>
      </c>
      <c r="I651" s="182" t="s">
        <v>82</v>
      </c>
      <c r="J651" s="181">
        <v>1</v>
      </c>
      <c r="K651" s="181">
        <v>1</v>
      </c>
      <c r="L651" s="181">
        <v>0.5</v>
      </c>
      <c r="M651" s="181" t="str">
        <f t="shared" si="27"/>
        <v>לא לרכוש</v>
      </c>
      <c r="N651" s="181">
        <v>1000</v>
      </c>
      <c r="O651" s="183"/>
      <c r="P651" s="183">
        <v>9</v>
      </c>
      <c r="Q651" s="183"/>
    </row>
    <row r="652" spans="1:17" s="12" customFormat="1" ht="14.25" customHeight="1">
      <c r="A652" s="180" t="str">
        <f>'רשימת מכשור 2015'!A651</f>
        <v>צג לחץ</v>
      </c>
      <c r="B652" s="180" t="str">
        <f>'רשימת מכשור 2015'!B651</f>
        <v>MEGATRON</v>
      </c>
      <c r="C652" s="180" t="str">
        <f>'רשימת מכשור 2015'!C651</f>
        <v>MDI-CDC-LCD</v>
      </c>
      <c r="D652" s="233" t="str">
        <f>'רשימת מכשור 2015'!D651</f>
        <v>51001-AHU-01</v>
      </c>
      <c r="E652" s="180" t="str">
        <f>'רשימת מכשור 2015'!E651</f>
        <v>1-1-51001-PDI-216</v>
      </c>
      <c r="F652" s="180">
        <f>'רשימת מכשור 2015'!F651</f>
        <v>250</v>
      </c>
      <c r="G652" s="181">
        <v>1</v>
      </c>
      <c r="H652" s="181">
        <f t="shared" si="26"/>
        <v>250</v>
      </c>
      <c r="I652" s="182" t="s">
        <v>82</v>
      </c>
      <c r="J652" s="181">
        <v>1</v>
      </c>
      <c r="K652" s="181">
        <v>1</v>
      </c>
      <c r="L652" s="181">
        <v>0.5</v>
      </c>
      <c r="M652" s="181" t="str">
        <f t="shared" si="27"/>
        <v>לא לרכוש</v>
      </c>
      <c r="N652" s="181">
        <v>1000</v>
      </c>
      <c r="O652" s="183"/>
      <c r="P652" s="183">
        <v>9</v>
      </c>
      <c r="Q652" s="183"/>
    </row>
    <row r="653" spans="1:17" s="12" customFormat="1" ht="14.25" customHeight="1">
      <c r="A653" s="180" t="str">
        <f>'רשימת מכשור 2015'!A652</f>
        <v>צג לחץ</v>
      </c>
      <c r="B653" s="180" t="str">
        <f>'רשימת מכשור 2015'!B652</f>
        <v>MEGATRON</v>
      </c>
      <c r="C653" s="180" t="str">
        <f>'רשימת מכשור 2015'!C652</f>
        <v>MDI-CDC-LCD</v>
      </c>
      <c r="D653" s="233" t="str">
        <f>'רשימת מכשור 2015'!D652</f>
        <v>51001-AHU-01</v>
      </c>
      <c r="E653" s="180" t="str">
        <f>'רשימת מכשור 2015'!E652</f>
        <v>1-1-51001-PDI-221</v>
      </c>
      <c r="F653" s="180">
        <f>'רשימת מכשור 2015'!F652</f>
        <v>250</v>
      </c>
      <c r="G653" s="181">
        <v>1</v>
      </c>
      <c r="H653" s="181">
        <f t="shared" si="26"/>
        <v>250</v>
      </c>
      <c r="I653" s="182" t="s">
        <v>82</v>
      </c>
      <c r="J653" s="181">
        <v>1</v>
      </c>
      <c r="K653" s="181">
        <v>1</v>
      </c>
      <c r="L653" s="181">
        <v>0.5</v>
      </c>
      <c r="M653" s="181" t="str">
        <f t="shared" si="27"/>
        <v>לא לרכוש</v>
      </c>
      <c r="N653" s="181">
        <v>1000</v>
      </c>
      <c r="O653" s="183"/>
      <c r="P653" s="183">
        <v>9</v>
      </c>
      <c r="Q653" s="183"/>
    </row>
    <row r="654" spans="1:17" s="12" customFormat="1" ht="14.25" customHeight="1">
      <c r="A654" s="180" t="str">
        <f>'רשימת מכשור 2015'!A653</f>
        <v>צג לחץ</v>
      </c>
      <c r="B654" s="180" t="str">
        <f>'רשימת מכשור 2015'!B653</f>
        <v>MEGATRON</v>
      </c>
      <c r="C654" s="180" t="str">
        <f>'רשימת מכשור 2015'!C653</f>
        <v>MDI-CDC-LCD</v>
      </c>
      <c r="D654" s="233" t="str">
        <f>'רשימת מכשור 2015'!D653</f>
        <v>51001-AHU-02</v>
      </c>
      <c r="E654" s="180" t="str">
        <f>'רשימת מכשור 2015'!E653</f>
        <v>1-1-51001-PDI-214</v>
      </c>
      <c r="F654" s="180">
        <f>'רשימת מכשור 2015'!F653</f>
        <v>250</v>
      </c>
      <c r="G654" s="181">
        <v>1</v>
      </c>
      <c r="H654" s="181">
        <f t="shared" si="26"/>
        <v>250</v>
      </c>
      <c r="I654" s="182" t="s">
        <v>82</v>
      </c>
      <c r="J654" s="181">
        <v>1</v>
      </c>
      <c r="K654" s="181">
        <v>1</v>
      </c>
      <c r="L654" s="181">
        <v>0.5</v>
      </c>
      <c r="M654" s="181" t="str">
        <f t="shared" si="27"/>
        <v>לא לרכוש</v>
      </c>
      <c r="N654" s="181">
        <v>1000</v>
      </c>
      <c r="O654" s="183"/>
      <c r="P654" s="183">
        <v>9</v>
      </c>
      <c r="Q654" s="183"/>
    </row>
    <row r="655" spans="1:17" s="12" customFormat="1" ht="14.25" customHeight="1">
      <c r="A655" s="180" t="str">
        <f>'רשימת מכשור 2015'!A654</f>
        <v>צג לחץ</v>
      </c>
      <c r="B655" s="180" t="str">
        <f>'רשימת מכשור 2015'!B654</f>
        <v>MEGATRON</v>
      </c>
      <c r="C655" s="180" t="str">
        <f>'רשימת מכשור 2015'!C654</f>
        <v>MDI-CDC-LCD</v>
      </c>
      <c r="D655" s="233" t="str">
        <f>'רשימת מכשור 2015'!D654</f>
        <v>51001-AHU-02</v>
      </c>
      <c r="E655" s="180" t="str">
        <f>'רשימת מכשור 2015'!E654</f>
        <v>1-1-51001-PDI-215</v>
      </c>
      <c r="F655" s="180">
        <f>'רשימת מכשור 2015'!F654</f>
        <v>250</v>
      </c>
      <c r="G655" s="181">
        <v>1</v>
      </c>
      <c r="H655" s="181">
        <f t="shared" si="26"/>
        <v>250</v>
      </c>
      <c r="I655" s="182" t="s">
        <v>82</v>
      </c>
      <c r="J655" s="181">
        <v>1</v>
      </c>
      <c r="K655" s="181">
        <v>1</v>
      </c>
      <c r="L655" s="181">
        <v>0.5</v>
      </c>
      <c r="M655" s="181" t="str">
        <f t="shared" si="27"/>
        <v>לא לרכוש</v>
      </c>
      <c r="N655" s="181">
        <v>1000</v>
      </c>
      <c r="O655" s="183"/>
      <c r="P655" s="183">
        <v>9</v>
      </c>
      <c r="Q655" s="183"/>
    </row>
    <row r="656" spans="1:17" s="12" customFormat="1" ht="14.25" customHeight="1">
      <c r="A656" s="180" t="str">
        <f>'רשימת מכשור 2015'!A655</f>
        <v>צג לחץ</v>
      </c>
      <c r="B656" s="180" t="str">
        <f>'רשימת מכשור 2015'!B655</f>
        <v>MEGATRON</v>
      </c>
      <c r="C656" s="180" t="str">
        <f>'רשימת מכשור 2015'!C655</f>
        <v>MDI-CDC-LCD</v>
      </c>
      <c r="D656" s="233" t="str">
        <f>'רשימת מכשור 2015'!D655</f>
        <v>51001-AHU-02</v>
      </c>
      <c r="E656" s="180" t="str">
        <f>'רשימת מכשור 2015'!E655</f>
        <v>1-1-51001-PDI-217</v>
      </c>
      <c r="F656" s="180">
        <f>'רשימת מכשור 2015'!F655</f>
        <v>250</v>
      </c>
      <c r="G656" s="181">
        <v>1</v>
      </c>
      <c r="H656" s="181">
        <f t="shared" si="26"/>
        <v>250</v>
      </c>
      <c r="I656" s="182" t="s">
        <v>82</v>
      </c>
      <c r="J656" s="181">
        <v>1</v>
      </c>
      <c r="K656" s="181">
        <v>1</v>
      </c>
      <c r="L656" s="181">
        <v>0.5</v>
      </c>
      <c r="M656" s="181" t="str">
        <f t="shared" si="27"/>
        <v>לא לרכוש</v>
      </c>
      <c r="N656" s="181">
        <v>1000</v>
      </c>
      <c r="O656" s="183"/>
      <c r="P656" s="183">
        <v>9</v>
      </c>
      <c r="Q656" s="183"/>
    </row>
    <row r="657" spans="1:17" s="12" customFormat="1" ht="14.25" customHeight="1">
      <c r="A657" s="180" t="str">
        <f>'רשימת מכשור 2015'!A656</f>
        <v>צג לחץ</v>
      </c>
      <c r="B657" s="180" t="str">
        <f>'רשימת מכשור 2015'!B656</f>
        <v>MEGATRON</v>
      </c>
      <c r="C657" s="180" t="str">
        <f>'רשימת מכשור 2015'!C656</f>
        <v>MDI-CDC-LCD</v>
      </c>
      <c r="D657" s="233" t="str">
        <f>'רשימת מכשור 2015'!D656</f>
        <v>51001-AHU-03</v>
      </c>
      <c r="E657" s="180" t="str">
        <f>'רשימת מכשור 2015'!E656</f>
        <v>1-1-51001-PDI-200</v>
      </c>
      <c r="F657" s="180">
        <f>'רשימת מכשור 2015'!F656</f>
        <v>250</v>
      </c>
      <c r="G657" s="181">
        <v>1</v>
      </c>
      <c r="H657" s="181">
        <f t="shared" si="26"/>
        <v>250</v>
      </c>
      <c r="I657" s="182" t="s">
        <v>82</v>
      </c>
      <c r="J657" s="181">
        <v>1</v>
      </c>
      <c r="K657" s="181">
        <v>1</v>
      </c>
      <c r="L657" s="181">
        <v>0.5</v>
      </c>
      <c r="M657" s="181" t="str">
        <f t="shared" si="27"/>
        <v>לא לרכוש</v>
      </c>
      <c r="N657" s="181">
        <v>1000</v>
      </c>
      <c r="O657" s="183"/>
      <c r="P657" s="183">
        <v>9</v>
      </c>
      <c r="Q657" s="183"/>
    </row>
    <row r="658" spans="1:17" s="12" customFormat="1" ht="14.25" customHeight="1">
      <c r="A658" s="180" t="str">
        <f>'רשימת מכשור 2015'!A657</f>
        <v xml:space="preserve">מפסק גובה </v>
      </c>
      <c r="B658" s="180" t="str">
        <f>'רשימת מכשור 2015'!B657</f>
        <v>Carlo Gavazzi</v>
      </c>
      <c r="C658" s="180" t="str">
        <f>'רשימת מכשור 2015'!C657</f>
        <v>אפור NF PNP NO/NC קיבולי 30 מ"מ
EC3025PPAPL</v>
      </c>
      <c r="D658" s="233" t="str">
        <f>'רשימת מכשור 2015'!D657</f>
        <v>PRETREATMENT SYSTEM</v>
      </c>
      <c r="E658" s="180" t="str">
        <f>'רשימת מכשור 2015'!E657</f>
        <v>1-1-131-LSL-1</v>
      </c>
      <c r="F658" s="180">
        <f>'רשימת מכשור 2015'!F657</f>
        <v>250</v>
      </c>
      <c r="G658" s="181">
        <v>1</v>
      </c>
      <c r="H658" s="181">
        <f t="shared" si="26"/>
        <v>250</v>
      </c>
      <c r="I658" s="182" t="s">
        <v>82</v>
      </c>
      <c r="J658" s="181">
        <v>1</v>
      </c>
      <c r="K658" s="181">
        <v>0</v>
      </c>
      <c r="L658" s="181">
        <v>0.5</v>
      </c>
      <c r="M658" s="181" t="str">
        <f t="shared" si="27"/>
        <v>לא לרכוש</v>
      </c>
      <c r="N658" s="181">
        <v>1000</v>
      </c>
      <c r="O658" s="183"/>
      <c r="P658" s="183">
        <v>2</v>
      </c>
      <c r="Q658" s="183"/>
    </row>
    <row r="659" spans="1:17" s="12" customFormat="1" ht="14.25" customHeight="1">
      <c r="A659" s="180" t="str">
        <f>'רשימת מכשור 2015'!A658</f>
        <v>צג לחץ הפרשי</v>
      </c>
      <c r="B659" s="180" t="str">
        <f>'רשימת מכשור 2015'!B658</f>
        <v>ACI</v>
      </c>
      <c r="C659" s="180" t="str">
        <f>'רשימת מכשור 2015'!C658</f>
        <v>ACI/LCD 4-20mA</v>
      </c>
      <c r="D659" s="233" t="str">
        <f>'רשימת מכשור 2015'!D658</f>
        <v>AHU-1 PILOT</v>
      </c>
      <c r="E659" s="180" t="str">
        <f>'רשימת מכשור 2015'!E658</f>
        <v>1-2- 3-PDI-142</v>
      </c>
      <c r="F659" s="180">
        <f>'רשימת מכשור 2015'!F658</f>
        <v>250</v>
      </c>
      <c r="G659" s="181">
        <v>1</v>
      </c>
      <c r="H659" s="181">
        <f t="shared" si="26"/>
        <v>250</v>
      </c>
      <c r="I659" s="182" t="s">
        <v>82</v>
      </c>
      <c r="J659" s="181">
        <v>1</v>
      </c>
      <c r="K659" s="181">
        <v>1</v>
      </c>
      <c r="L659" s="181">
        <v>0.5</v>
      </c>
      <c r="M659" s="181" t="str">
        <f t="shared" si="27"/>
        <v>לא לרכוש</v>
      </c>
      <c r="N659" s="181">
        <v>1000</v>
      </c>
      <c r="O659" s="183"/>
      <c r="P659" s="183">
        <v>14</v>
      </c>
      <c r="Q659" s="183"/>
    </row>
    <row r="660" spans="1:17" s="12" customFormat="1" ht="14.25" customHeight="1">
      <c r="A660" s="180" t="str">
        <f>'רשימת מכשור 2015'!A659</f>
        <v>צג לחץ הפרשי</v>
      </c>
      <c r="B660" s="180" t="str">
        <f>'רשימת מכשור 2015'!B659</f>
        <v>ACI</v>
      </c>
      <c r="C660" s="180" t="str">
        <f>'רשימת מכשור 2015'!C659</f>
        <v>ACI/LCD 4-20mA</v>
      </c>
      <c r="D660" s="233" t="str">
        <f>'רשימת מכשור 2015'!D659</f>
        <v>AHU-1 PILOT</v>
      </c>
      <c r="E660" s="180" t="str">
        <f>'רשימת מכשור 2015'!E659</f>
        <v>1-2- 3-PDI-143</v>
      </c>
      <c r="F660" s="180">
        <f>'רשימת מכשור 2015'!F659</f>
        <v>250</v>
      </c>
      <c r="G660" s="181">
        <v>1</v>
      </c>
      <c r="H660" s="181">
        <f t="shared" si="26"/>
        <v>250</v>
      </c>
      <c r="I660" s="182" t="s">
        <v>82</v>
      </c>
      <c r="J660" s="181">
        <v>1</v>
      </c>
      <c r="K660" s="181">
        <v>1</v>
      </c>
      <c r="L660" s="181">
        <v>0.5</v>
      </c>
      <c r="M660" s="181" t="str">
        <f t="shared" si="27"/>
        <v>לא לרכוש</v>
      </c>
      <c r="N660" s="181">
        <v>1000</v>
      </c>
      <c r="O660" s="183"/>
      <c r="P660" s="183">
        <v>14</v>
      </c>
      <c r="Q660" s="183"/>
    </row>
    <row r="661" spans="1:17" s="12" customFormat="1" ht="14.25" customHeight="1">
      <c r="A661" s="180" t="str">
        <f>'רשימת מכשור 2015'!A660</f>
        <v>מד לחץ הפרשי</v>
      </c>
      <c r="B661" s="180" t="str">
        <f>'רשימת מכשור 2015'!B660</f>
        <v>ACI</v>
      </c>
      <c r="C661" s="180" t="str">
        <f>'רשימת מכשור 2015'!C660</f>
        <v>ACI/LCD 4-20mA</v>
      </c>
      <c r="D661" s="233" t="str">
        <f>'רשימת מכשור 2015'!D660</f>
        <v>AHU-1 PILOT</v>
      </c>
      <c r="E661" s="180" t="str">
        <f>'רשימת מכשור 2015'!E660</f>
        <v>1-2- 3-PDI-141</v>
      </c>
      <c r="F661" s="180">
        <f>'רשימת מכשור 2015'!F660</f>
        <v>250</v>
      </c>
      <c r="G661" s="181">
        <v>1</v>
      </c>
      <c r="H661" s="181">
        <f t="shared" si="26"/>
        <v>250</v>
      </c>
      <c r="I661" s="182" t="s">
        <v>82</v>
      </c>
      <c r="J661" s="181">
        <v>1</v>
      </c>
      <c r="K661" s="181">
        <v>1</v>
      </c>
      <c r="L661" s="181">
        <v>0.5</v>
      </c>
      <c r="M661" s="181" t="str">
        <f t="shared" si="27"/>
        <v>לא לרכוש</v>
      </c>
      <c r="N661" s="181">
        <v>1000</v>
      </c>
      <c r="O661" s="183"/>
      <c r="P661" s="183">
        <v>14</v>
      </c>
      <c r="Q661" s="183"/>
    </row>
    <row r="662" spans="1:17" s="12" customFormat="1" ht="14.25" customHeight="1">
      <c r="A662" s="180" t="str">
        <f>'רשימת מכשור 2015'!A661</f>
        <v>צג לחץ הפרשי</v>
      </c>
      <c r="B662" s="180" t="str">
        <f>'רשימת מכשור 2015'!B661</f>
        <v>ACI</v>
      </c>
      <c r="C662" s="180" t="str">
        <f>'רשימת מכשור 2015'!C661</f>
        <v>ACI/LCD 4-20mA</v>
      </c>
      <c r="D662" s="233" t="str">
        <f>'רשימת מכשור 2015'!D661</f>
        <v>AHU-1 PILOT</v>
      </c>
      <c r="E662" s="180" t="str">
        <f>'רשימת מכשור 2015'!E661</f>
        <v>1-2- 3-PDI-148</v>
      </c>
      <c r="F662" s="180">
        <f>'רשימת מכשור 2015'!F661</f>
        <v>250</v>
      </c>
      <c r="G662" s="181">
        <v>1</v>
      </c>
      <c r="H662" s="181">
        <f t="shared" si="26"/>
        <v>250</v>
      </c>
      <c r="I662" s="182" t="s">
        <v>82</v>
      </c>
      <c r="J662" s="181">
        <v>1</v>
      </c>
      <c r="K662" s="181">
        <v>1</v>
      </c>
      <c r="L662" s="181">
        <v>0.5</v>
      </c>
      <c r="M662" s="181" t="str">
        <f t="shared" si="27"/>
        <v>לא לרכוש</v>
      </c>
      <c r="N662" s="181">
        <v>1000</v>
      </c>
      <c r="O662" s="183"/>
      <c r="P662" s="183">
        <v>14</v>
      </c>
      <c r="Q662" s="183"/>
    </row>
    <row r="663" spans="1:17" s="12" customFormat="1" ht="14.25" customHeight="1">
      <c r="A663" s="180" t="str">
        <f>'רשימת מכשור 2015'!A662</f>
        <v>צג לחץ הפרשי</v>
      </c>
      <c r="B663" s="180" t="str">
        <f>'רשימת מכשור 2015'!B662</f>
        <v>ACI</v>
      </c>
      <c r="C663" s="180" t="str">
        <f>'רשימת מכשור 2015'!C662</f>
        <v>ACI/LCD 4-20mA</v>
      </c>
      <c r="D663" s="233" t="str">
        <f>'רשימת מכשור 2015'!D662</f>
        <v>AHU-1 PILOT</v>
      </c>
      <c r="E663" s="180" t="str">
        <f>'רשימת מכשור 2015'!E662</f>
        <v>1-2- 3-PDI-146</v>
      </c>
      <c r="F663" s="180">
        <f>'רשימת מכשור 2015'!F662</f>
        <v>250</v>
      </c>
      <c r="G663" s="181">
        <v>1</v>
      </c>
      <c r="H663" s="181">
        <f t="shared" si="26"/>
        <v>250</v>
      </c>
      <c r="I663" s="182" t="s">
        <v>82</v>
      </c>
      <c r="J663" s="181">
        <v>1</v>
      </c>
      <c r="K663" s="181">
        <v>1</v>
      </c>
      <c r="L663" s="181">
        <v>0.5</v>
      </c>
      <c r="M663" s="181" t="str">
        <f t="shared" si="27"/>
        <v>לא לרכוש</v>
      </c>
      <c r="N663" s="181">
        <v>1000</v>
      </c>
      <c r="O663" s="183"/>
      <c r="P663" s="183">
        <v>14</v>
      </c>
      <c r="Q663" s="183"/>
    </row>
    <row r="664" spans="1:17" s="12" customFormat="1" ht="14.25" customHeight="1">
      <c r="A664" s="180" t="str">
        <f>'רשימת מכשור 2015'!A663</f>
        <v>צג לחץ הפרשי</v>
      </c>
      <c r="B664" s="180" t="str">
        <f>'רשימת מכשור 2015'!B663</f>
        <v>ACI</v>
      </c>
      <c r="C664" s="180" t="str">
        <f>'רשימת מכשור 2015'!C663</f>
        <v>ACI/LCD 4-20mA</v>
      </c>
      <c r="D664" s="233" t="str">
        <f>'רשימת מכשור 2015'!D663</f>
        <v>AHU-1 PILOT</v>
      </c>
      <c r="E664" s="180" t="str">
        <f>'רשימת מכשור 2015'!E663</f>
        <v>1-2- 3-PDI-145</v>
      </c>
      <c r="F664" s="180">
        <f>'רשימת מכשור 2015'!F663</f>
        <v>250</v>
      </c>
      <c r="G664" s="181">
        <v>1</v>
      </c>
      <c r="H664" s="181">
        <f t="shared" si="26"/>
        <v>250</v>
      </c>
      <c r="I664" s="182" t="s">
        <v>82</v>
      </c>
      <c r="J664" s="181">
        <v>1</v>
      </c>
      <c r="K664" s="181">
        <v>1</v>
      </c>
      <c r="L664" s="181">
        <v>0.5</v>
      </c>
      <c r="M664" s="181" t="str">
        <f t="shared" si="27"/>
        <v>לא לרכוש</v>
      </c>
      <c r="N664" s="181">
        <v>1000</v>
      </c>
      <c r="O664" s="183"/>
      <c r="P664" s="183">
        <v>14</v>
      </c>
      <c r="Q664" s="183"/>
    </row>
    <row r="665" spans="1:17" s="12" customFormat="1" ht="14.25" customHeight="1">
      <c r="A665" s="180" t="str">
        <f>'רשימת מכשור 2015'!A664</f>
        <v>צג לחץ הפרשי</v>
      </c>
      <c r="B665" s="180" t="str">
        <f>'רשימת מכשור 2015'!B664</f>
        <v>ACI</v>
      </c>
      <c r="C665" s="180" t="str">
        <f>'רשימת מכשור 2015'!C664</f>
        <v>ACI/LCD 4-20mA</v>
      </c>
      <c r="D665" s="233" t="str">
        <f>'רשימת מכשור 2015'!D664</f>
        <v>AHU-1 PILOT</v>
      </c>
      <c r="E665" s="180" t="str">
        <f>'רשימת מכשור 2015'!E664</f>
        <v>1-2-3-PDI-135</v>
      </c>
      <c r="F665" s="180">
        <f>'רשימת מכשור 2015'!F664</f>
        <v>250</v>
      </c>
      <c r="G665" s="181">
        <v>1</v>
      </c>
      <c r="H665" s="181">
        <f t="shared" si="26"/>
        <v>250</v>
      </c>
      <c r="I665" s="182" t="s">
        <v>82</v>
      </c>
      <c r="J665" s="181">
        <v>1</v>
      </c>
      <c r="K665" s="181">
        <v>1</v>
      </c>
      <c r="L665" s="181">
        <v>0.5</v>
      </c>
      <c r="M665" s="181" t="str">
        <f t="shared" si="27"/>
        <v>לא לרכוש</v>
      </c>
      <c r="N665" s="181">
        <v>1000</v>
      </c>
      <c r="O665" s="183"/>
      <c r="P665" s="183">
        <v>14</v>
      </c>
      <c r="Q665" s="183"/>
    </row>
    <row r="666" spans="1:17" s="12" customFormat="1" ht="14.25" customHeight="1">
      <c r="A666" s="180" t="str">
        <f>'רשימת מכשור 2015'!A665</f>
        <v>מד לחץ הפרשי</v>
      </c>
      <c r="B666" s="180" t="str">
        <f>'רשימת מכשור 2015'!B665</f>
        <v>ACI</v>
      </c>
      <c r="C666" s="180" t="str">
        <f>'רשימת מכשור 2015'!C665</f>
        <v>ACI/LCD 4-20mA</v>
      </c>
      <c r="D666" s="233" t="str">
        <f>'רשימת מכשור 2015'!D665</f>
        <v>AHU-1 PILOT</v>
      </c>
      <c r="E666" s="180" t="str">
        <f>'רשימת מכשור 2015'!E665</f>
        <v>1-2- 3-PDI-133</v>
      </c>
      <c r="F666" s="180">
        <f>'רשימת מכשור 2015'!F665</f>
        <v>250</v>
      </c>
      <c r="G666" s="181">
        <v>1</v>
      </c>
      <c r="H666" s="181">
        <f t="shared" si="26"/>
        <v>250</v>
      </c>
      <c r="I666" s="182" t="s">
        <v>82</v>
      </c>
      <c r="J666" s="181">
        <v>1</v>
      </c>
      <c r="K666" s="181">
        <v>1</v>
      </c>
      <c r="L666" s="181">
        <v>0.5</v>
      </c>
      <c r="M666" s="181" t="str">
        <f t="shared" si="27"/>
        <v>לא לרכוש</v>
      </c>
      <c r="N666" s="181">
        <v>1000</v>
      </c>
      <c r="O666" s="183"/>
      <c r="P666" s="183">
        <v>14</v>
      </c>
      <c r="Q666" s="183"/>
    </row>
    <row r="667" spans="1:17" s="12" customFormat="1" ht="14.25" customHeight="1">
      <c r="A667" s="180" t="str">
        <f>'רשימת מכשור 2015'!A666</f>
        <v>צג לחץ הפרשי</v>
      </c>
      <c r="B667" s="180" t="str">
        <f>'רשימת מכשור 2015'!B666</f>
        <v>ACI</v>
      </c>
      <c r="C667" s="180" t="str">
        <f>'רשימת מכשור 2015'!C666</f>
        <v>ACI/LCD 4-20mA</v>
      </c>
      <c r="D667" s="233" t="str">
        <f>'רשימת מכשור 2015'!D666</f>
        <v>AHU-1 PILOT</v>
      </c>
      <c r="E667" s="180" t="str">
        <f>'רשימת מכשור 2015'!E666</f>
        <v>1-2- 3-PDI-132</v>
      </c>
      <c r="F667" s="180">
        <f>'רשימת מכשור 2015'!F666</f>
        <v>250</v>
      </c>
      <c r="G667" s="181">
        <v>1</v>
      </c>
      <c r="H667" s="181">
        <f t="shared" ref="H667:H708" si="28">G667*F667</f>
        <v>250</v>
      </c>
      <c r="I667" s="182" t="s">
        <v>82</v>
      </c>
      <c r="J667" s="181">
        <v>1</v>
      </c>
      <c r="K667" s="181">
        <v>1</v>
      </c>
      <c r="L667" s="181">
        <v>0.5</v>
      </c>
      <c r="M667" s="181" t="str">
        <f t="shared" si="27"/>
        <v>לא לרכוש</v>
      </c>
      <c r="N667" s="181">
        <v>1000</v>
      </c>
      <c r="O667" s="183"/>
      <c r="P667" s="183">
        <v>14</v>
      </c>
      <c r="Q667" s="183"/>
    </row>
    <row r="668" spans="1:17" s="12" customFormat="1" ht="14.25" customHeight="1">
      <c r="A668" s="180" t="str">
        <f>'רשימת מכשור 2015'!A667</f>
        <v>מד לחץ הפרשי</v>
      </c>
      <c r="B668" s="180" t="str">
        <f>'רשימת מכשור 2015'!B667</f>
        <v>ACI</v>
      </c>
      <c r="C668" s="180" t="str">
        <f>'רשימת מכשור 2015'!C667</f>
        <v>ACI/LCD 4-20mA</v>
      </c>
      <c r="D668" s="233" t="str">
        <f>'רשימת מכשור 2015'!D667</f>
        <v>AHU-1 PILOT</v>
      </c>
      <c r="E668" s="180" t="str">
        <f>'רשימת מכשור 2015'!E667</f>
        <v xml:space="preserve"> 1-2-3-PDI-140</v>
      </c>
      <c r="F668" s="180">
        <f>'רשימת מכשור 2015'!F667</f>
        <v>250</v>
      </c>
      <c r="G668" s="181">
        <v>1</v>
      </c>
      <c r="H668" s="181">
        <f t="shared" si="28"/>
        <v>250</v>
      </c>
      <c r="I668" s="182" t="s">
        <v>82</v>
      </c>
      <c r="J668" s="181">
        <v>1</v>
      </c>
      <c r="K668" s="181">
        <v>1</v>
      </c>
      <c r="L668" s="181">
        <v>0.5</v>
      </c>
      <c r="M668" s="181" t="str">
        <f t="shared" si="27"/>
        <v>לא לרכוש</v>
      </c>
      <c r="N668" s="181">
        <v>1000</v>
      </c>
      <c r="O668" s="183"/>
      <c r="P668" s="183">
        <v>14</v>
      </c>
      <c r="Q668" s="183"/>
    </row>
    <row r="669" spans="1:17" s="12" customFormat="1" ht="14.25" customHeight="1">
      <c r="A669" s="180" t="str">
        <f>'רשימת מכשור 2015'!A668</f>
        <v>צג לחץ הפרשי</v>
      </c>
      <c r="B669" s="180" t="str">
        <f>'רשימת מכשור 2015'!B668</f>
        <v>ACI</v>
      </c>
      <c r="C669" s="180" t="str">
        <f>'רשימת מכשור 2015'!C668</f>
        <v>ACI/LCD 4-20mA</v>
      </c>
      <c r="D669" s="233" t="str">
        <f>'רשימת מכשור 2015'!D668</f>
        <v>AHU-1 PILOT</v>
      </c>
      <c r="E669" s="180" t="str">
        <f>'רשימת מכשור 2015'!E668</f>
        <v>1-2- 3-PDI-139</v>
      </c>
      <c r="F669" s="180">
        <f>'רשימת מכשור 2015'!F668</f>
        <v>250</v>
      </c>
      <c r="G669" s="181">
        <v>1</v>
      </c>
      <c r="H669" s="181">
        <f t="shared" si="28"/>
        <v>250</v>
      </c>
      <c r="I669" s="182" t="s">
        <v>82</v>
      </c>
      <c r="J669" s="181">
        <v>1</v>
      </c>
      <c r="K669" s="181">
        <v>1</v>
      </c>
      <c r="L669" s="181">
        <v>0.5</v>
      </c>
      <c r="M669" s="181" t="str">
        <f t="shared" si="27"/>
        <v>לא לרכוש</v>
      </c>
      <c r="N669" s="181">
        <v>1000</v>
      </c>
      <c r="O669" s="183"/>
      <c r="P669" s="183">
        <v>14</v>
      </c>
      <c r="Q669" s="183"/>
    </row>
    <row r="670" spans="1:17" s="12" customFormat="1" ht="14.25" customHeight="1">
      <c r="A670" s="180" t="str">
        <f>'רשימת מכשור 2015'!A669</f>
        <v>צג לחץ הפרשי</v>
      </c>
      <c r="B670" s="180" t="str">
        <f>'רשימת מכשור 2015'!B669</f>
        <v>ACI</v>
      </c>
      <c r="C670" s="180" t="str">
        <f>'רשימת מכשור 2015'!C669</f>
        <v>ACI/LCD 4-20mA</v>
      </c>
      <c r="D670" s="233" t="str">
        <f>'רשימת מכשור 2015'!D669</f>
        <v>AHU-1 PILOT</v>
      </c>
      <c r="E670" s="180" t="str">
        <f>'רשימת מכשור 2015'!E669</f>
        <v>1-2-3-PDI-138</v>
      </c>
      <c r="F670" s="180">
        <f>'רשימת מכשור 2015'!F669</f>
        <v>250</v>
      </c>
      <c r="G670" s="181">
        <v>1</v>
      </c>
      <c r="H670" s="181">
        <f t="shared" si="28"/>
        <v>250</v>
      </c>
      <c r="I670" s="182" t="s">
        <v>82</v>
      </c>
      <c r="J670" s="181">
        <v>1</v>
      </c>
      <c r="K670" s="181">
        <v>1</v>
      </c>
      <c r="L670" s="181">
        <v>0.5</v>
      </c>
      <c r="M670" s="181" t="str">
        <f t="shared" si="27"/>
        <v>לא לרכוש</v>
      </c>
      <c r="N670" s="181">
        <v>1000</v>
      </c>
      <c r="O670" s="183"/>
      <c r="P670" s="183">
        <v>14</v>
      </c>
      <c r="Q670" s="183"/>
    </row>
    <row r="671" spans="1:17" s="12" customFormat="1" ht="14.25" customHeight="1">
      <c r="A671" s="180" t="str">
        <f>'רשימת מכשור 2015'!A670</f>
        <v>מד לחץ הפרשי</v>
      </c>
      <c r="B671" s="180" t="str">
        <f>'רשימת מכשור 2015'!B670</f>
        <v>ACI</v>
      </c>
      <c r="C671" s="180" t="str">
        <f>'רשימת מכשור 2015'!C670</f>
        <v>ACI/LCD 4-20mA</v>
      </c>
      <c r="D671" s="233" t="str">
        <f>'רשימת מכשור 2015'!D670</f>
        <v>AHU-1 PILOT</v>
      </c>
      <c r="E671" s="180" t="str">
        <f>'רשימת מכשור 2015'!E670</f>
        <v>1-2-3-PDI-136</v>
      </c>
      <c r="F671" s="180">
        <f>'רשימת מכשור 2015'!F670</f>
        <v>250</v>
      </c>
      <c r="G671" s="181">
        <v>1</v>
      </c>
      <c r="H671" s="181">
        <f t="shared" si="28"/>
        <v>250</v>
      </c>
      <c r="I671" s="182" t="s">
        <v>82</v>
      </c>
      <c r="J671" s="181">
        <v>1</v>
      </c>
      <c r="K671" s="181">
        <v>1</v>
      </c>
      <c r="L671" s="181">
        <v>0.5</v>
      </c>
      <c r="M671" s="181" t="str">
        <f t="shared" si="27"/>
        <v>לא לרכוש</v>
      </c>
      <c r="N671" s="181">
        <v>1000</v>
      </c>
      <c r="O671" s="183"/>
      <c r="P671" s="183">
        <v>14</v>
      </c>
      <c r="Q671" s="183"/>
    </row>
    <row r="672" spans="1:17" s="12" customFormat="1" ht="14.25" customHeight="1">
      <c r="A672" s="180" t="str">
        <f>'רשימת מכשור 2015'!A671</f>
        <v>צג לחץ הפרשי</v>
      </c>
      <c r="B672" s="180" t="str">
        <f>'רשימת מכשור 2015'!B671</f>
        <v>ACI</v>
      </c>
      <c r="C672" s="180" t="str">
        <f>'רשימת מכשור 2015'!C671</f>
        <v>ACI/LCD 4-20mA</v>
      </c>
      <c r="D672" s="233" t="str">
        <f>'רשימת מכשור 2015'!D671</f>
        <v>AHU-1 PILOT</v>
      </c>
      <c r="E672" s="180" t="str">
        <f>'רשימת מכשור 2015'!E671</f>
        <v>1-2-3-PDIC-21</v>
      </c>
      <c r="F672" s="180">
        <f>'רשימת מכשור 2015'!F671</f>
        <v>250</v>
      </c>
      <c r="G672" s="181">
        <v>1</v>
      </c>
      <c r="H672" s="181">
        <f t="shared" si="28"/>
        <v>250</v>
      </c>
      <c r="I672" s="182" t="s">
        <v>82</v>
      </c>
      <c r="J672" s="181">
        <v>1</v>
      </c>
      <c r="K672" s="181">
        <v>1</v>
      </c>
      <c r="L672" s="181">
        <v>0.5</v>
      </c>
      <c r="M672" s="181" t="str">
        <f t="shared" si="27"/>
        <v>לא לרכוש</v>
      </c>
      <c r="N672" s="181">
        <v>1000</v>
      </c>
      <c r="O672" s="183"/>
      <c r="P672" s="183">
        <v>14</v>
      </c>
      <c r="Q672" s="183"/>
    </row>
    <row r="673" spans="1:17" s="12" customFormat="1" ht="14.25" customHeight="1">
      <c r="A673" s="180" t="str">
        <f>'רשימת מכשור 2015'!A672</f>
        <v>מפסק לחץ הפרשי</v>
      </c>
      <c r="B673" s="180" t="str">
        <f>'רשימת מכשור 2015'!B672</f>
        <v>Dwyer</v>
      </c>
      <c r="C673" s="180" t="str">
        <f>'רשימת מכשור 2015'!C672</f>
        <v>ADPS-03</v>
      </c>
      <c r="D673" s="233" t="str">
        <f>'רשימת מכשור 2015'!D672</f>
        <v>AHU-38</v>
      </c>
      <c r="E673" s="180" t="str">
        <f>'רשימת מכשור 2015'!E672</f>
        <v>1-1-38-DPS-1</v>
      </c>
      <c r="F673" s="180">
        <f>'רשימת מכשור 2015'!F672</f>
        <v>250</v>
      </c>
      <c r="G673" s="181">
        <v>1</v>
      </c>
      <c r="H673" s="181">
        <f t="shared" si="28"/>
        <v>250</v>
      </c>
      <c r="I673" s="182" t="s">
        <v>82</v>
      </c>
      <c r="J673" s="181">
        <v>1</v>
      </c>
      <c r="K673" s="181">
        <v>0</v>
      </c>
      <c r="L673" s="181">
        <v>0.5</v>
      </c>
      <c r="M673" s="181" t="str">
        <f t="shared" ref="M673:M736" si="29">IF(AND(K673*L673*30*N673&gt;H673/J673,I673=""),"לרכוש","לא לרכוש")</f>
        <v>לא לרכוש</v>
      </c>
      <c r="N673" s="181">
        <v>1000</v>
      </c>
      <c r="O673" s="183"/>
      <c r="P673" s="183">
        <v>4</v>
      </c>
      <c r="Q673" s="183"/>
    </row>
    <row r="674" spans="1:17" s="12" customFormat="1" ht="14.25" customHeight="1">
      <c r="A674" s="180" t="str">
        <f>'רשימת מכשור 2015'!A673</f>
        <v>מפסק לחץ הפרשי</v>
      </c>
      <c r="B674" s="180" t="str">
        <f>'רשימת מכשור 2015'!B673</f>
        <v>Dwyer</v>
      </c>
      <c r="C674" s="180" t="str">
        <f>'רשימת מכשור 2015'!C673</f>
        <v>ADPS-03</v>
      </c>
      <c r="D674" s="233" t="str">
        <f>'רשימת מכשור 2015'!D673</f>
        <v>AHU-38</v>
      </c>
      <c r="E674" s="180" t="str">
        <f>'רשימת מכשור 2015'!E673</f>
        <v>1-1-38-DPS-2</v>
      </c>
      <c r="F674" s="180">
        <f>'רשימת מכשור 2015'!F673</f>
        <v>250</v>
      </c>
      <c r="G674" s="181">
        <v>1</v>
      </c>
      <c r="H674" s="181">
        <f t="shared" si="28"/>
        <v>250</v>
      </c>
      <c r="I674" s="182" t="s">
        <v>82</v>
      </c>
      <c r="J674" s="181">
        <v>1</v>
      </c>
      <c r="K674" s="181">
        <v>0</v>
      </c>
      <c r="L674" s="181">
        <v>0.5</v>
      </c>
      <c r="M674" s="181" t="str">
        <f t="shared" si="29"/>
        <v>לא לרכוש</v>
      </c>
      <c r="N674" s="181">
        <v>1000</v>
      </c>
      <c r="O674" s="183"/>
      <c r="P674" s="183">
        <v>4</v>
      </c>
      <c r="Q674" s="183"/>
    </row>
    <row r="675" spans="1:17" s="12" customFormat="1" ht="14.25" customHeight="1">
      <c r="A675" s="180" t="str">
        <f>'רשימת מכשור 2015'!A674</f>
        <v>מפסק לחץ הפרשי</v>
      </c>
      <c r="B675" s="180" t="str">
        <f>'רשימת מכשור 2015'!B674</f>
        <v>Dwyer</v>
      </c>
      <c r="C675" s="180" t="str">
        <f>'רשימת מכשור 2015'!C674</f>
        <v>ADPS-03</v>
      </c>
      <c r="D675" s="233" t="str">
        <f>'רשימת מכשור 2015'!D674</f>
        <v>AHU-38</v>
      </c>
      <c r="E675" s="180" t="str">
        <f>'רשימת מכשור 2015'!E674</f>
        <v>1-1-38-DPS-3</v>
      </c>
      <c r="F675" s="180">
        <f>'רשימת מכשור 2015'!F674</f>
        <v>250</v>
      </c>
      <c r="G675" s="181">
        <v>1</v>
      </c>
      <c r="H675" s="181">
        <f t="shared" si="28"/>
        <v>250</v>
      </c>
      <c r="I675" s="182" t="s">
        <v>82</v>
      </c>
      <c r="J675" s="181">
        <v>1</v>
      </c>
      <c r="K675" s="181">
        <v>0</v>
      </c>
      <c r="L675" s="181">
        <v>0.5</v>
      </c>
      <c r="M675" s="181" t="str">
        <f t="shared" si="29"/>
        <v>לא לרכוש</v>
      </c>
      <c r="N675" s="181">
        <v>1000</v>
      </c>
      <c r="O675" s="183"/>
      <c r="P675" s="183">
        <v>4</v>
      </c>
      <c r="Q675" s="183"/>
    </row>
    <row r="676" spans="1:17" s="12" customFormat="1" ht="14.25" customHeight="1">
      <c r="A676" s="180" t="str">
        <f>'רשימת מכשור 2015'!A675</f>
        <v>מפסק לחץ הפרשי</v>
      </c>
      <c r="B676" s="180" t="str">
        <f>'רשימת מכשור 2015'!B675</f>
        <v>Dwyer</v>
      </c>
      <c r="C676" s="180" t="str">
        <f>'רשימת מכשור 2015'!C675</f>
        <v>ADPS-01</v>
      </c>
      <c r="D676" s="233" t="str">
        <f>'רשימת מכשור 2015'!D675</f>
        <v>AHU-38</v>
      </c>
      <c r="E676" s="180" t="str">
        <f>'רשימת מכשור 2015'!E675</f>
        <v>1-1-38-FS-1</v>
      </c>
      <c r="F676" s="180">
        <f>'רשימת מכשור 2015'!F675</f>
        <v>250</v>
      </c>
      <c r="G676" s="181">
        <v>1</v>
      </c>
      <c r="H676" s="181">
        <f t="shared" si="28"/>
        <v>250</v>
      </c>
      <c r="I676" s="182"/>
      <c r="J676" s="181">
        <v>1</v>
      </c>
      <c r="K676" s="181">
        <v>1</v>
      </c>
      <c r="L676" s="181">
        <v>0.5</v>
      </c>
      <c r="M676" s="181" t="str">
        <f t="shared" si="29"/>
        <v>לרכוש</v>
      </c>
      <c r="N676" s="181">
        <v>1000</v>
      </c>
      <c r="O676" s="183"/>
      <c r="P676" s="183">
        <v>4</v>
      </c>
      <c r="Q676" s="183"/>
    </row>
    <row r="677" spans="1:17" s="12" customFormat="1" ht="14.25" customHeight="1">
      <c r="A677" s="180" t="str">
        <f>'רשימת מכשור 2015'!A676</f>
        <v>מפסק זרימה</v>
      </c>
      <c r="B677" s="180" t="str">
        <f>'רשימת מכשור 2015'!B676</f>
        <v>Beck.</v>
      </c>
      <c r="C677" s="180" t="str">
        <f>'רשימת מכשור 2015'!C676</f>
        <v>930.80</v>
      </c>
      <c r="D677" s="233" t="str">
        <f>'רשימת מכשור 2015'!D676</f>
        <v>AHU-39</v>
      </c>
      <c r="E677" s="180" t="str">
        <f>'רשימת מכשור 2015'!E676</f>
        <v>1-1-39-FS-1</v>
      </c>
      <c r="F677" s="180">
        <f>'רשימת מכשור 2015'!F676</f>
        <v>250</v>
      </c>
      <c r="G677" s="181">
        <v>1</v>
      </c>
      <c r="H677" s="181">
        <f t="shared" si="28"/>
        <v>250</v>
      </c>
      <c r="I677" s="182" t="s">
        <v>82</v>
      </c>
      <c r="J677" s="181">
        <v>1</v>
      </c>
      <c r="K677" s="181">
        <v>0</v>
      </c>
      <c r="L677" s="181">
        <v>0.5</v>
      </c>
      <c r="M677" s="181" t="str">
        <f t="shared" si="29"/>
        <v>לא לרכוש</v>
      </c>
      <c r="N677" s="181">
        <v>1000</v>
      </c>
      <c r="O677" s="183"/>
      <c r="P677" s="183">
        <v>8</v>
      </c>
      <c r="Q677" s="183"/>
    </row>
    <row r="678" spans="1:17" s="12" customFormat="1" ht="14.25" customHeight="1">
      <c r="A678" s="180" t="str">
        <f>'רשימת מכשור 2015'!A677</f>
        <v>מפסק זרימה</v>
      </c>
      <c r="B678" s="180" t="str">
        <f>'רשימת מכשור 2015'!B677</f>
        <v>Beck.</v>
      </c>
      <c r="C678" s="180" t="str">
        <f>'רשימת מכשור 2015'!C677</f>
        <v>930.80</v>
      </c>
      <c r="D678" s="233" t="str">
        <f>'רשימת מכשור 2015'!D677</f>
        <v>AHU-39</v>
      </c>
      <c r="E678" s="180" t="str">
        <f>'רשימת מכשור 2015'!E677</f>
        <v>1-1-39-FS-2</v>
      </c>
      <c r="F678" s="180">
        <f>'רשימת מכשור 2015'!F677</f>
        <v>250</v>
      </c>
      <c r="G678" s="181">
        <v>1</v>
      </c>
      <c r="H678" s="181">
        <f t="shared" si="28"/>
        <v>250</v>
      </c>
      <c r="I678" s="182" t="s">
        <v>82</v>
      </c>
      <c r="J678" s="181">
        <v>1</v>
      </c>
      <c r="K678" s="181">
        <v>0</v>
      </c>
      <c r="L678" s="181">
        <v>0.5</v>
      </c>
      <c r="M678" s="181" t="str">
        <f t="shared" si="29"/>
        <v>לא לרכוש</v>
      </c>
      <c r="N678" s="181">
        <v>1000</v>
      </c>
      <c r="O678" s="183"/>
      <c r="P678" s="183">
        <v>8</v>
      </c>
      <c r="Q678" s="183"/>
    </row>
    <row r="679" spans="1:17" s="12" customFormat="1" ht="14.25" customHeight="1">
      <c r="A679" s="180" t="str">
        <f>'רשימת מכשור 2015'!A678</f>
        <v>מפסק לחץ</v>
      </c>
      <c r="B679" s="180" t="str">
        <f>'רשימת מכשור 2015'!B678</f>
        <v>Beck.</v>
      </c>
      <c r="C679" s="180" t="str">
        <f>'רשימת מכשור 2015'!C678</f>
        <v>930.80</v>
      </c>
      <c r="D679" s="233" t="str">
        <f>'רשימת מכשור 2015'!D678</f>
        <v>AHU-40</v>
      </c>
      <c r="E679" s="180" t="str">
        <f>'רשימת מכשור 2015'!E678</f>
        <v>1-1-40-FS-1</v>
      </c>
      <c r="F679" s="180">
        <f>'רשימת מכשור 2015'!F678</f>
        <v>250</v>
      </c>
      <c r="G679" s="181">
        <v>1</v>
      </c>
      <c r="H679" s="181">
        <f t="shared" si="28"/>
        <v>250</v>
      </c>
      <c r="I679" s="182" t="s">
        <v>82</v>
      </c>
      <c r="J679" s="181">
        <v>1</v>
      </c>
      <c r="K679" s="181">
        <v>0</v>
      </c>
      <c r="L679" s="181">
        <v>0.5</v>
      </c>
      <c r="M679" s="181" t="str">
        <f t="shared" si="29"/>
        <v>לא לרכוש</v>
      </c>
      <c r="N679" s="181">
        <v>1000</v>
      </c>
      <c r="O679" s="183"/>
      <c r="P679" s="183">
        <v>4</v>
      </c>
      <c r="Q679" s="183"/>
    </row>
    <row r="680" spans="1:17" s="12" customFormat="1" ht="14.25" customHeight="1">
      <c r="A680" s="180" t="str">
        <f>'רשימת מכשור 2015'!A679</f>
        <v>מפסק לחץ</v>
      </c>
      <c r="B680" s="180" t="str">
        <f>'רשימת מכשור 2015'!B679</f>
        <v>Beck.</v>
      </c>
      <c r="C680" s="180" t="str">
        <f>'רשימת מכשור 2015'!C679</f>
        <v>930.80</v>
      </c>
      <c r="D680" s="233" t="str">
        <f>'רשימת מכשור 2015'!D679</f>
        <v>AHU-40</v>
      </c>
      <c r="E680" s="180" t="str">
        <f>'רשימת מכשור 2015'!E679</f>
        <v>1-1-40-FS-2</v>
      </c>
      <c r="F680" s="180">
        <f>'רשימת מכשור 2015'!F679</f>
        <v>250</v>
      </c>
      <c r="G680" s="181">
        <v>1</v>
      </c>
      <c r="H680" s="181">
        <f t="shared" si="28"/>
        <v>250</v>
      </c>
      <c r="I680" s="182" t="s">
        <v>82</v>
      </c>
      <c r="J680" s="181">
        <v>1</v>
      </c>
      <c r="K680" s="181">
        <v>0</v>
      </c>
      <c r="L680" s="181">
        <v>0.5</v>
      </c>
      <c r="M680" s="181" t="str">
        <f t="shared" si="29"/>
        <v>לא לרכוש</v>
      </c>
      <c r="N680" s="181">
        <v>1000</v>
      </c>
      <c r="O680" s="183"/>
      <c r="P680" s="183">
        <v>4</v>
      </c>
      <c r="Q680" s="183"/>
    </row>
    <row r="681" spans="1:17" s="12" customFormat="1" ht="14.25" customHeight="1">
      <c r="A681" s="180" t="str">
        <f>'רשימת מכשור 2015'!A680</f>
        <v>מפסק לחץ</v>
      </c>
      <c r="B681" s="180" t="str">
        <f>'רשימת מכשור 2015'!B680</f>
        <v>Beck.</v>
      </c>
      <c r="C681" s="180" t="str">
        <f>'רשימת מכשור 2015'!C680</f>
        <v>930.80</v>
      </c>
      <c r="D681" s="233" t="str">
        <f>'רשימת מכשור 2015'!D680</f>
        <v>AHU-40</v>
      </c>
      <c r="E681" s="180" t="str">
        <f>'רשימת מכשור 2015'!E680</f>
        <v>1-1-40-FS-3</v>
      </c>
      <c r="F681" s="180">
        <f>'רשימת מכשור 2015'!F680</f>
        <v>250</v>
      </c>
      <c r="G681" s="181">
        <v>1</v>
      </c>
      <c r="H681" s="181">
        <f t="shared" si="28"/>
        <v>250</v>
      </c>
      <c r="I681" s="182" t="s">
        <v>82</v>
      </c>
      <c r="J681" s="181">
        <v>1</v>
      </c>
      <c r="K681" s="181">
        <v>0</v>
      </c>
      <c r="L681" s="181">
        <v>0.5</v>
      </c>
      <c r="M681" s="181" t="str">
        <f t="shared" si="29"/>
        <v>לא לרכוש</v>
      </c>
      <c r="N681" s="181">
        <v>1000</v>
      </c>
      <c r="O681" s="183"/>
      <c r="P681" s="183">
        <v>4</v>
      </c>
      <c r="Q681" s="183"/>
    </row>
    <row r="682" spans="1:17" s="12" customFormat="1" ht="14.25" customHeight="1">
      <c r="A682" s="180" t="str">
        <f>'רשימת מכשור 2015'!A681</f>
        <v>מפסק לחץ</v>
      </c>
      <c r="B682" s="180" t="str">
        <f>'רשימת מכשור 2015'!B681</f>
        <v>Beck.</v>
      </c>
      <c r="C682" s="180" t="str">
        <f>'רשימת מכשור 2015'!C681</f>
        <v>930.80</v>
      </c>
      <c r="D682" s="233" t="str">
        <f>'רשימת מכשור 2015'!D681</f>
        <v>AHU-40</v>
      </c>
      <c r="E682" s="180" t="str">
        <f>'רשימת מכשור 2015'!E681</f>
        <v>1-1-40-FS-4</v>
      </c>
      <c r="F682" s="180">
        <f>'רשימת מכשור 2015'!F681</f>
        <v>250</v>
      </c>
      <c r="G682" s="181">
        <v>1</v>
      </c>
      <c r="H682" s="181">
        <f t="shared" si="28"/>
        <v>250</v>
      </c>
      <c r="I682" s="182" t="s">
        <v>82</v>
      </c>
      <c r="J682" s="181">
        <v>1</v>
      </c>
      <c r="K682" s="181">
        <v>0</v>
      </c>
      <c r="L682" s="181">
        <v>0.5</v>
      </c>
      <c r="M682" s="181" t="str">
        <f t="shared" si="29"/>
        <v>לא לרכוש</v>
      </c>
      <c r="N682" s="181">
        <v>1000</v>
      </c>
      <c r="O682" s="183"/>
      <c r="P682" s="183">
        <v>4</v>
      </c>
      <c r="Q682" s="183"/>
    </row>
    <row r="683" spans="1:17" s="12" customFormat="1" ht="14.25" customHeight="1">
      <c r="A683" s="180" t="str">
        <f>'רשימת מכשור 2015'!A682</f>
        <v>מפסק לחץ הפרשי</v>
      </c>
      <c r="B683" s="180" t="str">
        <f>'רשימת מכשור 2015'!B682</f>
        <v>Beck.</v>
      </c>
      <c r="C683" s="180">
        <f>'רשימת מכשור 2015'!C682</f>
        <v>930.83</v>
      </c>
      <c r="D683" s="233" t="str">
        <f>'רשימת מכשור 2015'!D682</f>
        <v>AHU-N01</v>
      </c>
      <c r="E683" s="180" t="str">
        <f>'רשימת מכשור 2015'!E682</f>
        <v>1-1-51005-DPS-N01-01</v>
      </c>
      <c r="F683" s="180">
        <f>'רשימת מכשור 2015'!F682</f>
        <v>250</v>
      </c>
      <c r="G683" s="181">
        <v>1</v>
      </c>
      <c r="H683" s="181">
        <f t="shared" si="28"/>
        <v>250</v>
      </c>
      <c r="I683" s="182" t="s">
        <v>82</v>
      </c>
      <c r="J683" s="181">
        <v>1</v>
      </c>
      <c r="K683" s="181">
        <v>0</v>
      </c>
      <c r="L683" s="181">
        <v>0.5</v>
      </c>
      <c r="M683" s="181" t="str">
        <f t="shared" si="29"/>
        <v>לא לרכוש</v>
      </c>
      <c r="N683" s="181">
        <v>1000</v>
      </c>
      <c r="O683" s="183"/>
      <c r="P683" s="183">
        <v>8</v>
      </c>
      <c r="Q683" s="183"/>
    </row>
    <row r="684" spans="1:17" s="12" customFormat="1" ht="14.25" customHeight="1">
      <c r="A684" s="180" t="str">
        <f>'רשימת מכשור 2015'!A683</f>
        <v>מפסק לחץ הפרשי</v>
      </c>
      <c r="B684" s="180" t="str">
        <f>'רשימת מכשור 2015'!B683</f>
        <v>Beck.</v>
      </c>
      <c r="C684" s="180" t="str">
        <f>'רשימת מכשור 2015'!C683</f>
        <v>930.80</v>
      </c>
      <c r="D684" s="233" t="str">
        <f>'רשימת מכשור 2015'!D683</f>
        <v>AHU-N01</v>
      </c>
      <c r="E684" s="180" t="str">
        <f>'רשימת מכשור 2015'!E683</f>
        <v>1-1-51005-DPS-N01-02</v>
      </c>
      <c r="F684" s="180">
        <f>'רשימת מכשור 2015'!F683</f>
        <v>250</v>
      </c>
      <c r="G684" s="181">
        <v>1</v>
      </c>
      <c r="H684" s="181">
        <f t="shared" si="28"/>
        <v>250</v>
      </c>
      <c r="I684" s="182" t="s">
        <v>82</v>
      </c>
      <c r="J684" s="181">
        <v>1</v>
      </c>
      <c r="K684" s="181">
        <v>0</v>
      </c>
      <c r="L684" s="181">
        <v>0.5</v>
      </c>
      <c r="M684" s="181" t="str">
        <f t="shared" si="29"/>
        <v>לא לרכוש</v>
      </c>
      <c r="N684" s="181">
        <v>1000</v>
      </c>
      <c r="O684" s="183"/>
      <c r="P684" s="183">
        <v>8</v>
      </c>
      <c r="Q684" s="183"/>
    </row>
    <row r="685" spans="1:17" s="12" customFormat="1" ht="14.25" customHeight="1">
      <c r="A685" s="180" t="str">
        <f>'רשימת מכשור 2015'!A684</f>
        <v>מפסק לחץ הפרשי</v>
      </c>
      <c r="B685" s="180" t="str">
        <f>'רשימת מכשור 2015'!B684</f>
        <v>Beck.</v>
      </c>
      <c r="C685" s="180" t="str">
        <f>'רשימת מכשור 2015'!C684</f>
        <v>930.80</v>
      </c>
      <c r="D685" s="233" t="str">
        <f>'רשימת מכשור 2015'!D684</f>
        <v>AHU-N02</v>
      </c>
      <c r="E685" s="180" t="str">
        <f>'רשימת מכשור 2015'!E684</f>
        <v>1-1-51005-DPS-N02-001</v>
      </c>
      <c r="F685" s="180">
        <f>'רשימת מכשור 2015'!F684</f>
        <v>250</v>
      </c>
      <c r="G685" s="181">
        <v>1</v>
      </c>
      <c r="H685" s="181">
        <f t="shared" si="28"/>
        <v>250</v>
      </c>
      <c r="I685" s="182" t="s">
        <v>82</v>
      </c>
      <c r="J685" s="181">
        <v>1</v>
      </c>
      <c r="K685" s="181">
        <v>0</v>
      </c>
      <c r="L685" s="181">
        <v>0.5</v>
      </c>
      <c r="M685" s="181" t="str">
        <f t="shared" si="29"/>
        <v>לא לרכוש</v>
      </c>
      <c r="N685" s="181">
        <v>1000</v>
      </c>
      <c r="O685" s="183"/>
      <c r="P685" s="183">
        <v>8</v>
      </c>
      <c r="Q685" s="183"/>
    </row>
    <row r="686" spans="1:17" s="12" customFormat="1" ht="14.25" customHeight="1">
      <c r="A686" s="180" t="str">
        <f>'רשימת מכשור 2015'!A685</f>
        <v>מפסק לחץ הפרשי</v>
      </c>
      <c r="B686" s="180" t="str">
        <f>'רשימת מכשור 2015'!B685</f>
        <v>Beck.</v>
      </c>
      <c r="C686" s="180">
        <f>'רשימת מכשור 2015'!C685</f>
        <v>930.83</v>
      </c>
      <c r="D686" s="233" t="str">
        <f>'רשימת מכשור 2015'!D685</f>
        <v>AHU-N02</v>
      </c>
      <c r="E686" s="180" t="str">
        <f>'רשימת מכשור 2015'!E685</f>
        <v>1-1-51005-DPS-N02-002</v>
      </c>
      <c r="F686" s="180">
        <f>'רשימת מכשור 2015'!F685</f>
        <v>250</v>
      </c>
      <c r="G686" s="181">
        <v>1</v>
      </c>
      <c r="H686" s="181">
        <f t="shared" si="28"/>
        <v>250</v>
      </c>
      <c r="I686" s="182" t="s">
        <v>82</v>
      </c>
      <c r="J686" s="181">
        <v>1</v>
      </c>
      <c r="K686" s="181">
        <v>0</v>
      </c>
      <c r="L686" s="181">
        <v>0.5</v>
      </c>
      <c r="M686" s="181" t="str">
        <f t="shared" si="29"/>
        <v>לא לרכוש</v>
      </c>
      <c r="N686" s="181">
        <v>1000</v>
      </c>
      <c r="O686" s="183"/>
      <c r="P686" s="183">
        <v>8</v>
      </c>
      <c r="Q686" s="183"/>
    </row>
    <row r="687" spans="1:17" s="12" customFormat="1" ht="14.25" customHeight="1">
      <c r="A687" s="180" t="str">
        <f>'רשימת מכשור 2015'!A686</f>
        <v>גשש קירבה</v>
      </c>
      <c r="B687" s="180" t="str">
        <f>'רשימת מכשור 2015'!B686</f>
        <v>Autonics</v>
      </c>
      <c r="C687" s="180" t="str">
        <f>'רשימת מכשור 2015'!C686</f>
        <v>PR18-5DP</v>
      </c>
      <c r="D687" s="233" t="str">
        <f>'רשימת מכשור 2015'!D686</f>
        <v xml:space="preserve">R&amp;D </v>
      </c>
      <c r="E687" s="180" t="str">
        <f>'רשימת מכשור 2015'!E686</f>
        <v>1-2-2010-PXS-8</v>
      </c>
      <c r="F687" s="180">
        <f>'רשימת מכשור 2015'!F686</f>
        <v>250</v>
      </c>
      <c r="G687" s="181">
        <v>1</v>
      </c>
      <c r="H687" s="181">
        <f t="shared" si="28"/>
        <v>250</v>
      </c>
      <c r="I687" s="182" t="s">
        <v>82</v>
      </c>
      <c r="J687" s="181">
        <v>1</v>
      </c>
      <c r="K687" s="181">
        <v>0</v>
      </c>
      <c r="L687" s="181">
        <v>0.5</v>
      </c>
      <c r="M687" s="181" t="str">
        <f t="shared" si="29"/>
        <v>לא לרכוש</v>
      </c>
      <c r="N687" s="181">
        <v>1000</v>
      </c>
      <c r="O687" s="183"/>
      <c r="P687" s="183">
        <v>1</v>
      </c>
      <c r="Q687" s="183"/>
    </row>
    <row r="688" spans="1:17" s="12" customFormat="1" ht="14.25" customHeight="1">
      <c r="A688" s="180" t="str">
        <f>'רשימת מכשור 2015'!A687</f>
        <v>רגש קירבה גיבוי לאינדיקציה לסיבוב</v>
      </c>
      <c r="B688" s="180" t="str">
        <f>'רשימת מכשור 2015'!B687</f>
        <v>Autonics</v>
      </c>
      <c r="C688" s="180" t="str">
        <f>'רשימת מכשור 2015'!C687</f>
        <v xml:space="preserve">PR18-5DP
</v>
      </c>
      <c r="D688" s="233" t="str">
        <f>'רשימת מכשור 2015'!D687</f>
        <v xml:space="preserve">R&amp;D </v>
      </c>
      <c r="E688" s="180" t="str">
        <f>'רשימת מכשור 2015'!E687</f>
        <v>PXS-?
יקבל תג חדש במסגרת שינוי</v>
      </c>
      <c r="F688" s="180">
        <f>'רשימת מכשור 2015'!F687</f>
        <v>250</v>
      </c>
      <c r="G688" s="181">
        <v>1</v>
      </c>
      <c r="H688" s="181">
        <f t="shared" si="28"/>
        <v>250</v>
      </c>
      <c r="I688" s="182" t="s">
        <v>82</v>
      </c>
      <c r="J688" s="181">
        <v>1</v>
      </c>
      <c r="K688" s="181">
        <v>0</v>
      </c>
      <c r="L688" s="181">
        <v>0.5</v>
      </c>
      <c r="M688" s="181" t="str">
        <f t="shared" si="29"/>
        <v>לא לרכוש</v>
      </c>
      <c r="N688" s="181">
        <v>1000</v>
      </c>
      <c r="O688" s="183"/>
      <c r="P688" s="183">
        <v>2</v>
      </c>
      <c r="Q688" s="183"/>
    </row>
    <row r="689" spans="1:17" s="12" customFormat="1" ht="14.25" customHeight="1">
      <c r="A689" s="180" t="str">
        <f>'רשימת מכשור 2015'!A688</f>
        <v>רגש קירבה גיבוי לאינדיקציה לסיבוב</v>
      </c>
      <c r="B689" s="180" t="str">
        <f>'רשימת מכשור 2015'!B688</f>
        <v>Autonics</v>
      </c>
      <c r="C689" s="180" t="str">
        <f>'רשימת מכשור 2015'!C688</f>
        <v xml:space="preserve">PR18-5DP
</v>
      </c>
      <c r="D689" s="233" t="str">
        <f>'רשימת מכשור 2015'!D688</f>
        <v xml:space="preserve">R&amp;D </v>
      </c>
      <c r="E689" s="180" t="str">
        <f>'רשימת מכשור 2015'!E688</f>
        <v xml:space="preserve">1-2-2010-PXS-6
</v>
      </c>
      <c r="F689" s="180">
        <f>'רשימת מכשור 2015'!F688</f>
        <v>250</v>
      </c>
      <c r="G689" s="181">
        <v>1</v>
      </c>
      <c r="H689" s="181">
        <f t="shared" si="28"/>
        <v>250</v>
      </c>
      <c r="I689" s="182" t="s">
        <v>82</v>
      </c>
      <c r="J689" s="181">
        <v>1</v>
      </c>
      <c r="K689" s="181">
        <v>0</v>
      </c>
      <c r="L689" s="181">
        <v>0.5</v>
      </c>
      <c r="M689" s="181" t="str">
        <f t="shared" si="29"/>
        <v>לא לרכוש</v>
      </c>
      <c r="N689" s="181">
        <v>1000</v>
      </c>
      <c r="O689" s="183"/>
      <c r="P689" s="183">
        <v>2</v>
      </c>
      <c r="Q689" s="183"/>
    </row>
    <row r="690" spans="1:17" s="12" customFormat="1" ht="14.25" customHeight="1">
      <c r="A690" s="180" t="str">
        <f>'רשימת מכשור 2015'!A689</f>
        <v>מפסק לחץ הפרשי</v>
      </c>
      <c r="B690" s="180" t="str">
        <f>'רשימת מכשור 2015'!B689</f>
        <v>Dwyer</v>
      </c>
      <c r="C690" s="180" t="str">
        <f>'רשימת מכשור 2015'!C689</f>
        <v>ADPS-01</v>
      </c>
      <c r="D690" s="233" t="str">
        <f>'רשימת מכשור 2015'!D689</f>
        <v>WH-B4 AHU-1</v>
      </c>
      <c r="E690" s="180" t="str">
        <f>'רשימת מכשור 2015'!E689</f>
        <v>1-4-1-PDSL-1</v>
      </c>
      <c r="F690" s="180">
        <f>'רשימת מכשור 2015'!F689</f>
        <v>250</v>
      </c>
      <c r="G690" s="181">
        <v>1</v>
      </c>
      <c r="H690" s="181">
        <f t="shared" si="28"/>
        <v>250</v>
      </c>
      <c r="I690" s="182" t="s">
        <v>82</v>
      </c>
      <c r="J690" s="181">
        <v>1</v>
      </c>
      <c r="K690" s="181">
        <v>0</v>
      </c>
      <c r="L690" s="181">
        <v>0.3</v>
      </c>
      <c r="M690" s="181" t="str">
        <f t="shared" si="29"/>
        <v>לא לרכוש</v>
      </c>
      <c r="N690" s="181">
        <v>1000</v>
      </c>
      <c r="O690" s="183"/>
      <c r="P690" s="183">
        <v>12</v>
      </c>
      <c r="Q690" s="183"/>
    </row>
    <row r="691" spans="1:17" s="12" customFormat="1" ht="14.25" customHeight="1">
      <c r="A691" s="180" t="str">
        <f>'רשימת מכשור 2015'!A690</f>
        <v>מפסק לחץ הפרשי</v>
      </c>
      <c r="B691" s="180" t="str">
        <f>'רשימת מכשור 2015'!B690</f>
        <v>Dwyer</v>
      </c>
      <c r="C691" s="180" t="str">
        <f>'רשימת מכשור 2015'!C690</f>
        <v>ADPS-03</v>
      </c>
      <c r="D691" s="233" t="str">
        <f>'רשימת מכשור 2015'!D690</f>
        <v>WH-B4 AHU-1</v>
      </c>
      <c r="E691" s="180" t="str">
        <f>'רשימת מכשור 2015'!E690</f>
        <v>1-4-1-PDSH-1</v>
      </c>
      <c r="F691" s="180">
        <f>'רשימת מכשור 2015'!F690</f>
        <v>250</v>
      </c>
      <c r="G691" s="181">
        <v>1</v>
      </c>
      <c r="H691" s="181">
        <f t="shared" si="28"/>
        <v>250</v>
      </c>
      <c r="I691" s="182" t="s">
        <v>82</v>
      </c>
      <c r="J691" s="181">
        <v>1</v>
      </c>
      <c r="K691" s="181">
        <v>0</v>
      </c>
      <c r="L691" s="181">
        <v>0.3</v>
      </c>
      <c r="M691" s="181" t="str">
        <f t="shared" si="29"/>
        <v>לא לרכוש</v>
      </c>
      <c r="N691" s="181">
        <v>1000</v>
      </c>
      <c r="O691" s="183"/>
      <c r="P691" s="183">
        <v>12</v>
      </c>
      <c r="Q691" s="183"/>
    </row>
    <row r="692" spans="1:17" s="12" customFormat="1" ht="14.25" customHeight="1">
      <c r="A692" s="180" t="str">
        <f>'רשימת מכשור 2015'!A691</f>
        <v>מפסק לחץ הפרשי</v>
      </c>
      <c r="B692" s="180" t="str">
        <f>'רשימת מכשור 2015'!B691</f>
        <v>Dwyer</v>
      </c>
      <c r="C692" s="180" t="str">
        <f>'רשימת מכשור 2015'!C691</f>
        <v>ADPS-03</v>
      </c>
      <c r="D692" s="233" t="str">
        <f>'רשימת מכשור 2015'!D691</f>
        <v>WH-B4 AHU-1</v>
      </c>
      <c r="E692" s="180" t="str">
        <f>'רשימת מכשור 2015'!E691</f>
        <v>1-4-1-PDSH-2</v>
      </c>
      <c r="F692" s="180">
        <f>'רשימת מכשור 2015'!F691</f>
        <v>250</v>
      </c>
      <c r="G692" s="181">
        <v>1</v>
      </c>
      <c r="H692" s="181">
        <f t="shared" si="28"/>
        <v>250</v>
      </c>
      <c r="I692" s="182" t="s">
        <v>82</v>
      </c>
      <c r="J692" s="181">
        <v>1</v>
      </c>
      <c r="K692" s="181">
        <v>0</v>
      </c>
      <c r="L692" s="181">
        <v>0.3</v>
      </c>
      <c r="M692" s="181" t="str">
        <f t="shared" si="29"/>
        <v>לא לרכוש</v>
      </c>
      <c r="N692" s="181">
        <v>1000</v>
      </c>
      <c r="O692" s="183"/>
      <c r="P692" s="183">
        <v>12</v>
      </c>
      <c r="Q692" s="183"/>
    </row>
    <row r="693" spans="1:17" s="12" customFormat="1" ht="14.25" customHeight="1">
      <c r="A693" s="180" t="str">
        <f>'רשימת מכשור 2015'!A692</f>
        <v>מפסק לחץ הפרשי</v>
      </c>
      <c r="B693" s="180" t="str">
        <f>'רשימת מכשור 2015'!B692</f>
        <v>Dwyer</v>
      </c>
      <c r="C693" s="180" t="str">
        <f>'רשימת מכשור 2015'!C692</f>
        <v>ADPS-01</v>
      </c>
      <c r="D693" s="233" t="str">
        <f>'רשימת מכשור 2015'!D692</f>
        <v>WH-B4 AHU-2</v>
      </c>
      <c r="E693" s="180" t="str">
        <f>'רשימת מכשור 2015'!E692</f>
        <v>1-4-1-PDSL-2</v>
      </c>
      <c r="F693" s="180">
        <f>'רשימת מכשור 2015'!F692</f>
        <v>250</v>
      </c>
      <c r="G693" s="181">
        <v>1</v>
      </c>
      <c r="H693" s="181">
        <f t="shared" si="28"/>
        <v>250</v>
      </c>
      <c r="I693" s="182" t="s">
        <v>82</v>
      </c>
      <c r="J693" s="181">
        <v>1</v>
      </c>
      <c r="K693" s="181">
        <v>0</v>
      </c>
      <c r="L693" s="181">
        <v>0.3</v>
      </c>
      <c r="M693" s="181" t="str">
        <f t="shared" si="29"/>
        <v>לא לרכוש</v>
      </c>
      <c r="N693" s="181">
        <v>1000</v>
      </c>
      <c r="O693" s="183"/>
      <c r="P693" s="183">
        <v>12</v>
      </c>
      <c r="Q693" s="183"/>
    </row>
    <row r="694" spans="1:17" s="12" customFormat="1" ht="14.25" customHeight="1">
      <c r="A694" s="180" t="str">
        <f>'רשימת מכשור 2015'!A693</f>
        <v>מפסק לחץ הפרשי</v>
      </c>
      <c r="B694" s="180" t="str">
        <f>'רשימת מכשור 2015'!B693</f>
        <v>Dwyer</v>
      </c>
      <c r="C694" s="180" t="str">
        <f>'רשימת מכשור 2015'!C693</f>
        <v>ADPS-03</v>
      </c>
      <c r="D694" s="233" t="str">
        <f>'רשימת מכשור 2015'!D693</f>
        <v>WH-B4 AHU-2</v>
      </c>
      <c r="E694" s="180" t="str">
        <f>'רשימת מכשור 2015'!E693</f>
        <v>1-4-1-PDSH-5</v>
      </c>
      <c r="F694" s="180">
        <f>'רשימת מכשור 2015'!F693</f>
        <v>250</v>
      </c>
      <c r="G694" s="181">
        <v>1</v>
      </c>
      <c r="H694" s="181">
        <f t="shared" si="28"/>
        <v>250</v>
      </c>
      <c r="I694" s="182" t="s">
        <v>82</v>
      </c>
      <c r="J694" s="181">
        <v>1</v>
      </c>
      <c r="K694" s="181">
        <v>0</v>
      </c>
      <c r="L694" s="181">
        <v>0.3</v>
      </c>
      <c r="M694" s="181" t="str">
        <f t="shared" si="29"/>
        <v>לא לרכוש</v>
      </c>
      <c r="N694" s="181">
        <v>1000</v>
      </c>
      <c r="O694" s="183"/>
      <c r="P694" s="183">
        <v>12</v>
      </c>
      <c r="Q694" s="183"/>
    </row>
    <row r="695" spans="1:17" s="12" customFormat="1" ht="14.25" customHeight="1">
      <c r="A695" s="180" t="str">
        <f>'רשימת מכשור 2015'!A694</f>
        <v>מפסק לחץ הפרשי</v>
      </c>
      <c r="B695" s="180" t="str">
        <f>'רשימת מכשור 2015'!B694</f>
        <v>Dwyer</v>
      </c>
      <c r="C695" s="180" t="str">
        <f>'רשימת מכשור 2015'!C694</f>
        <v>ADPS-03</v>
      </c>
      <c r="D695" s="233" t="str">
        <f>'רשימת מכשור 2015'!D694</f>
        <v>WH-B4 AHU-2</v>
      </c>
      <c r="E695" s="180" t="str">
        <f>'רשימת מכשור 2015'!E694</f>
        <v>1-4-1-PDSH-4</v>
      </c>
      <c r="F695" s="180">
        <f>'רשימת מכשור 2015'!F694</f>
        <v>250</v>
      </c>
      <c r="G695" s="181">
        <v>1</v>
      </c>
      <c r="H695" s="181">
        <f t="shared" si="28"/>
        <v>250</v>
      </c>
      <c r="I695" s="182" t="s">
        <v>82</v>
      </c>
      <c r="J695" s="181">
        <v>1</v>
      </c>
      <c r="K695" s="181">
        <v>0</v>
      </c>
      <c r="L695" s="181">
        <v>0.3</v>
      </c>
      <c r="M695" s="181" t="str">
        <f t="shared" si="29"/>
        <v>לא לרכוש</v>
      </c>
      <c r="N695" s="181">
        <v>1000</v>
      </c>
      <c r="O695" s="183"/>
      <c r="P695" s="183">
        <v>12</v>
      </c>
      <c r="Q695" s="183"/>
    </row>
    <row r="696" spans="1:17" s="12" customFormat="1" ht="14.25" customHeight="1">
      <c r="A696" s="180" t="str">
        <f>'רשימת מכשור 2015'!A695</f>
        <v>מפסק לחץ הפרשי</v>
      </c>
      <c r="B696" s="180" t="str">
        <f>'רשימת מכשור 2015'!B695</f>
        <v>Dwyer</v>
      </c>
      <c r="C696" s="180" t="str">
        <f>'רשימת מכשור 2015'!C695</f>
        <v>ADPS-01</v>
      </c>
      <c r="D696" s="233" t="str">
        <f>'רשימת מכשור 2015'!D695</f>
        <v>WH-B4 AHU-3</v>
      </c>
      <c r="E696" s="180" t="str">
        <f>'רשימת מכשור 2015'!E695</f>
        <v>1-4-1-PDSL-3</v>
      </c>
      <c r="F696" s="180">
        <f>'רשימת מכשור 2015'!F695</f>
        <v>250</v>
      </c>
      <c r="G696" s="181">
        <v>1</v>
      </c>
      <c r="H696" s="181">
        <f t="shared" si="28"/>
        <v>250</v>
      </c>
      <c r="I696" s="182" t="s">
        <v>82</v>
      </c>
      <c r="J696" s="181">
        <v>1</v>
      </c>
      <c r="K696" s="181">
        <v>0</v>
      </c>
      <c r="L696" s="181">
        <v>0.3</v>
      </c>
      <c r="M696" s="181" t="str">
        <f t="shared" si="29"/>
        <v>לא לרכוש</v>
      </c>
      <c r="N696" s="181">
        <v>1000</v>
      </c>
      <c r="O696" s="183"/>
      <c r="P696" s="183">
        <v>12</v>
      </c>
      <c r="Q696" s="183"/>
    </row>
    <row r="697" spans="1:17" s="12" customFormat="1" ht="14.25" customHeight="1">
      <c r="A697" s="180" t="str">
        <f>'רשימת מכשור 2015'!A696</f>
        <v>מפסק לחץ הפרשי</v>
      </c>
      <c r="B697" s="180" t="str">
        <f>'רשימת מכשור 2015'!B696</f>
        <v>Dwyer</v>
      </c>
      <c r="C697" s="180" t="str">
        <f>'רשימת מכשור 2015'!C696</f>
        <v>ADPS-03</v>
      </c>
      <c r="D697" s="233" t="str">
        <f>'רשימת מכשור 2015'!D696</f>
        <v>WH-B4 AHU-3</v>
      </c>
      <c r="E697" s="180" t="str">
        <f>'רשימת מכשור 2015'!E696</f>
        <v>1-4-1-PDSH-7</v>
      </c>
      <c r="F697" s="180">
        <f>'רשימת מכשור 2015'!F696</f>
        <v>250</v>
      </c>
      <c r="G697" s="181">
        <v>1</v>
      </c>
      <c r="H697" s="181">
        <f t="shared" si="28"/>
        <v>250</v>
      </c>
      <c r="I697" s="182" t="s">
        <v>82</v>
      </c>
      <c r="J697" s="181">
        <v>1</v>
      </c>
      <c r="K697" s="181">
        <v>0</v>
      </c>
      <c r="L697" s="181">
        <v>0.3</v>
      </c>
      <c r="M697" s="181" t="str">
        <f t="shared" si="29"/>
        <v>לא לרכוש</v>
      </c>
      <c r="N697" s="181">
        <v>1000</v>
      </c>
      <c r="O697" s="183"/>
      <c r="P697" s="183">
        <v>12</v>
      </c>
      <c r="Q697" s="183"/>
    </row>
    <row r="698" spans="1:17" s="12" customFormat="1" ht="14.25" customHeight="1">
      <c r="A698" s="180" t="str">
        <f>'רשימת מכשור 2015'!A697</f>
        <v>מפסק לחץ הפרשי</v>
      </c>
      <c r="B698" s="180" t="str">
        <f>'רשימת מכשור 2015'!B697</f>
        <v>Dwyer</v>
      </c>
      <c r="C698" s="180" t="str">
        <f>'רשימת מכשור 2015'!C697</f>
        <v>ADPS-03</v>
      </c>
      <c r="D698" s="233" t="str">
        <f>'רשימת מכשור 2015'!D697</f>
        <v>WH-B4 AHU-3</v>
      </c>
      <c r="E698" s="180" t="str">
        <f>'רשימת מכשור 2015'!E697</f>
        <v>1-4-1-PDSH-8</v>
      </c>
      <c r="F698" s="180">
        <f>'רשימת מכשור 2015'!F697</f>
        <v>250</v>
      </c>
      <c r="G698" s="181">
        <v>1</v>
      </c>
      <c r="H698" s="181">
        <f t="shared" si="28"/>
        <v>250</v>
      </c>
      <c r="I698" s="182" t="s">
        <v>82</v>
      </c>
      <c r="J698" s="181">
        <v>1</v>
      </c>
      <c r="K698" s="181">
        <v>0</v>
      </c>
      <c r="L698" s="181">
        <v>0.3</v>
      </c>
      <c r="M698" s="181" t="str">
        <f t="shared" si="29"/>
        <v>לא לרכוש</v>
      </c>
      <c r="N698" s="181">
        <v>1000</v>
      </c>
      <c r="O698" s="183"/>
      <c r="P698" s="183">
        <v>12</v>
      </c>
      <c r="Q698" s="183"/>
    </row>
    <row r="699" spans="1:17" s="12" customFormat="1" ht="14.25" customHeight="1">
      <c r="A699" s="180" t="str">
        <f>'רשימת מכשור 2015'!A698</f>
        <v>מפסק לחץ הפרשי</v>
      </c>
      <c r="B699" s="180" t="str">
        <f>'רשימת מכשור 2015'!B698</f>
        <v>Dwyer</v>
      </c>
      <c r="C699" s="180" t="str">
        <f>'רשימת מכשור 2015'!C698</f>
        <v>ADPS-01</v>
      </c>
      <c r="D699" s="233" t="str">
        <f>'רשימת מכשור 2015'!D698</f>
        <v>WH-B4 AHU-4</v>
      </c>
      <c r="E699" s="180" t="str">
        <f>'רשימת מכשור 2015'!E698</f>
        <v>1-4-4-PDSL-4</v>
      </c>
      <c r="F699" s="180">
        <f>'רשימת מכשור 2015'!F698</f>
        <v>250</v>
      </c>
      <c r="G699" s="181">
        <v>1</v>
      </c>
      <c r="H699" s="181">
        <f t="shared" si="28"/>
        <v>250</v>
      </c>
      <c r="I699" s="182" t="s">
        <v>82</v>
      </c>
      <c r="J699" s="181">
        <v>1</v>
      </c>
      <c r="K699" s="181">
        <v>0</v>
      </c>
      <c r="L699" s="181">
        <v>0.3</v>
      </c>
      <c r="M699" s="181" t="str">
        <f t="shared" si="29"/>
        <v>לא לרכוש</v>
      </c>
      <c r="N699" s="181">
        <v>1000</v>
      </c>
      <c r="O699" s="183"/>
      <c r="P699" s="183">
        <v>12</v>
      </c>
      <c r="Q699" s="183"/>
    </row>
    <row r="700" spans="1:17" s="12" customFormat="1" ht="14.25" customHeight="1">
      <c r="A700" s="180" t="str">
        <f>'רשימת מכשור 2015'!A699</f>
        <v>מפסק לחץ הפרשי</v>
      </c>
      <c r="B700" s="180" t="str">
        <f>'רשימת מכשור 2015'!B699</f>
        <v>Dwyer</v>
      </c>
      <c r="C700" s="180" t="str">
        <f>'רשימת מכשור 2015'!C699</f>
        <v>ADPS-03</v>
      </c>
      <c r="D700" s="233" t="str">
        <f>'רשימת מכשור 2015'!D699</f>
        <v>WH-B4 AHU-4</v>
      </c>
      <c r="E700" s="180" t="str">
        <f>'רשימת מכשור 2015'!E699</f>
        <v>1-4-4-PDSH-7</v>
      </c>
      <c r="F700" s="180">
        <f>'רשימת מכשור 2015'!F699</f>
        <v>250</v>
      </c>
      <c r="G700" s="181">
        <v>1</v>
      </c>
      <c r="H700" s="181">
        <f t="shared" si="28"/>
        <v>250</v>
      </c>
      <c r="I700" s="182" t="s">
        <v>82</v>
      </c>
      <c r="J700" s="181">
        <v>1</v>
      </c>
      <c r="K700" s="181">
        <v>0</v>
      </c>
      <c r="L700" s="181">
        <v>0.3</v>
      </c>
      <c r="M700" s="181" t="str">
        <f t="shared" si="29"/>
        <v>לא לרכוש</v>
      </c>
      <c r="N700" s="181">
        <v>1000</v>
      </c>
      <c r="O700" s="183"/>
      <c r="P700" s="183">
        <v>12</v>
      </c>
      <c r="Q700" s="183"/>
    </row>
    <row r="701" spans="1:17" s="12" customFormat="1" ht="14.25" customHeight="1">
      <c r="A701" s="180" t="str">
        <f>'רשימת מכשור 2015'!A700</f>
        <v>מפסק לחץ הפרשי</v>
      </c>
      <c r="B701" s="180" t="str">
        <f>'רשימת מכשור 2015'!B700</f>
        <v>Dwyer</v>
      </c>
      <c r="C701" s="180" t="str">
        <f>'רשימת מכשור 2015'!C700</f>
        <v>ADPS-03</v>
      </c>
      <c r="D701" s="233" t="str">
        <f>'רשימת מכשור 2015'!D700</f>
        <v>WH-B4 AHU-4</v>
      </c>
      <c r="E701" s="180" t="str">
        <f>'רשימת מכשור 2015'!E700</f>
        <v>1-4-4-PDSH-8</v>
      </c>
      <c r="F701" s="180">
        <f>'רשימת מכשור 2015'!F700</f>
        <v>250</v>
      </c>
      <c r="G701" s="181">
        <v>1</v>
      </c>
      <c r="H701" s="181">
        <f t="shared" si="28"/>
        <v>250</v>
      </c>
      <c r="I701" s="182" t="s">
        <v>82</v>
      </c>
      <c r="J701" s="181">
        <v>1</v>
      </c>
      <c r="K701" s="181">
        <v>0</v>
      </c>
      <c r="L701" s="181">
        <v>0.3</v>
      </c>
      <c r="M701" s="181" t="str">
        <f t="shared" si="29"/>
        <v>לא לרכוש</v>
      </c>
      <c r="N701" s="181">
        <v>1000</v>
      </c>
      <c r="O701" s="183"/>
      <c r="P701" s="183">
        <v>12</v>
      </c>
      <c r="Q701" s="183"/>
    </row>
    <row r="702" spans="1:17" s="12" customFormat="1" ht="14.25" customHeight="1">
      <c r="A702" s="180" t="str">
        <f>'רשימת מכשור 2015'!A701</f>
        <v>גשש קירבה</v>
      </c>
      <c r="B702" s="180" t="str">
        <f>'רשימת מכשור 2015'!B701</f>
        <v>SICK</v>
      </c>
      <c r="C702" s="180" t="str">
        <f>'רשימת מכשור 2015'!C701</f>
        <v>IME12-04BPSZC0S</v>
      </c>
      <c r="D702" s="233" t="str">
        <f>'רשימת מכשור 2015'!D701</f>
        <v>DS ייצור</v>
      </c>
      <c r="E702" s="180" t="str">
        <f>'רשימת מכשור 2015'!E701</f>
        <v>1-1-2010-PXS-1</v>
      </c>
      <c r="F702" s="180">
        <f>'רשימת מכשור 2015'!F701</f>
        <v>250</v>
      </c>
      <c r="G702" s="181">
        <v>1</v>
      </c>
      <c r="H702" s="181">
        <f t="shared" si="28"/>
        <v>250</v>
      </c>
      <c r="I702" s="182" t="s">
        <v>82</v>
      </c>
      <c r="J702" s="181">
        <v>1</v>
      </c>
      <c r="K702" s="181">
        <v>0</v>
      </c>
      <c r="L702" s="181">
        <v>0.2</v>
      </c>
      <c r="M702" s="181" t="str">
        <f t="shared" si="29"/>
        <v>לא לרכוש</v>
      </c>
      <c r="N702" s="181">
        <v>1000</v>
      </c>
      <c r="O702" s="183"/>
      <c r="P702" s="183">
        <v>12</v>
      </c>
      <c r="Q702" s="183"/>
    </row>
    <row r="703" spans="1:17" s="12" customFormat="1" ht="14.25" customHeight="1">
      <c r="A703" s="180" t="str">
        <f>'רשימת מכשור 2015'!A702</f>
        <v>מפסק מפלס נמוך</v>
      </c>
      <c r="B703" s="180" t="str">
        <f>'רשימת מכשור 2015'!B702</f>
        <v>GES</v>
      </c>
      <c r="C703" s="180" t="str">
        <f>'רשימת מכשור 2015'!C702</f>
        <v>מצוף עמיד בכימיקלים</v>
      </c>
      <c r="D703" s="233" t="str">
        <f>'רשימת מכשור 2015'!D702</f>
        <v>PW PRETREAMENT
2500</v>
      </c>
      <c r="E703" s="180" t="str">
        <f>'רשימת מכשור 2015'!E702</f>
        <v>1-1-605-LSL-001</v>
      </c>
      <c r="F703" s="180">
        <f>'רשימת מכשור 2015'!F702</f>
        <v>200</v>
      </c>
      <c r="G703" s="181">
        <v>1</v>
      </c>
      <c r="H703" s="181">
        <f t="shared" si="28"/>
        <v>200</v>
      </c>
      <c r="I703" s="182" t="s">
        <v>82</v>
      </c>
      <c r="J703" s="181">
        <v>1</v>
      </c>
      <c r="K703" s="185">
        <v>0</v>
      </c>
      <c r="L703" s="181">
        <v>0.2</v>
      </c>
      <c r="M703" s="181" t="str">
        <f t="shared" si="29"/>
        <v>לא לרכוש</v>
      </c>
      <c r="N703" s="181">
        <v>1000</v>
      </c>
      <c r="O703" s="183"/>
      <c r="P703" s="183">
        <v>1</v>
      </c>
      <c r="Q703" s="183" t="s">
        <v>200</v>
      </c>
    </row>
    <row r="704" spans="1:17" s="12" customFormat="1" ht="14.25" customHeight="1">
      <c r="A704" s="180" t="str">
        <f>'רשימת מכשור 2015'!A703</f>
        <v>מפסק מפלס נמוך</v>
      </c>
      <c r="B704" s="180" t="str">
        <f>'רשימת מכשור 2015'!B703</f>
        <v>carlo gavazi</v>
      </c>
      <c r="C704" s="180" t="str">
        <f>'רשימת מכשור 2015'!C703</f>
        <v>מפסק גובה קיבולי</v>
      </c>
      <c r="D704" s="233" t="str">
        <f>'רשימת מכשור 2015'!D703</f>
        <v>PW PRETREAMENT
2500</v>
      </c>
      <c r="E704" s="180" t="str">
        <f>'רשימת מכשור 2015'!E703</f>
        <v>1-1-605-LSL-002</v>
      </c>
      <c r="F704" s="180">
        <f>'רשימת מכשור 2015'!F703</f>
        <v>200</v>
      </c>
      <c r="G704" s="181">
        <v>1</v>
      </c>
      <c r="H704" s="181">
        <f t="shared" si="28"/>
        <v>200</v>
      </c>
      <c r="I704" s="182" t="s">
        <v>82</v>
      </c>
      <c r="J704" s="181">
        <v>1</v>
      </c>
      <c r="K704" s="185">
        <v>0</v>
      </c>
      <c r="L704" s="181">
        <v>0.2</v>
      </c>
      <c r="M704" s="181" t="str">
        <f t="shared" si="29"/>
        <v>לא לרכוש</v>
      </c>
      <c r="N704" s="181">
        <v>1000</v>
      </c>
      <c r="O704" s="183"/>
      <c r="P704" s="183">
        <v>2</v>
      </c>
      <c r="Q704" s="187" t="s">
        <v>201</v>
      </c>
    </row>
    <row r="705" spans="1:17" s="12" customFormat="1" ht="15" customHeight="1">
      <c r="A705" s="180" t="str">
        <f>'רשימת מכשור 2015'!A704</f>
        <v>מפסק לחץ הפרשי</v>
      </c>
      <c r="B705" s="180" t="str">
        <f>'רשימת מכשור 2015'!B704</f>
        <v>Beck.</v>
      </c>
      <c r="C705" s="180">
        <f>'רשימת מכשור 2015'!C704</f>
        <v>930.83</v>
      </c>
      <c r="D705" s="233" t="str">
        <f>'רשימת מכשור 2015'!D704</f>
        <v>AHU-WH</v>
      </c>
      <c r="E705" s="180" t="str">
        <f>'רשימת מכשור 2015'!E704</f>
        <v>1-2-51021-PSH-1</v>
      </c>
      <c r="F705" s="180">
        <f>'רשימת מכשור 2015'!F704</f>
        <v>200</v>
      </c>
      <c r="G705" s="181">
        <v>1</v>
      </c>
      <c r="H705" s="181">
        <f t="shared" si="28"/>
        <v>200</v>
      </c>
      <c r="I705" s="182"/>
      <c r="J705" s="181">
        <v>1</v>
      </c>
      <c r="K705" s="181">
        <v>1</v>
      </c>
      <c r="L705" s="181">
        <v>0.2</v>
      </c>
      <c r="M705" s="181" t="str">
        <f t="shared" si="29"/>
        <v>לרכוש</v>
      </c>
      <c r="N705" s="181">
        <v>1000</v>
      </c>
      <c r="O705" s="183"/>
      <c r="P705" s="183">
        <v>4</v>
      </c>
      <c r="Q705" s="183"/>
    </row>
    <row r="706" spans="1:17" s="12" customFormat="1" ht="14.25" customHeight="1">
      <c r="A706" s="180" t="str">
        <f>'רשימת מכשור 2015'!A705</f>
        <v>מפסק לחץ הפרשי</v>
      </c>
      <c r="B706" s="180" t="str">
        <f>'רשימת מכשור 2015'!B705</f>
        <v>Beck.</v>
      </c>
      <c r="C706" s="180">
        <f>'רשימת מכשור 2015'!C705</f>
        <v>930.83</v>
      </c>
      <c r="D706" s="233" t="str">
        <f>'רשימת מכשור 2015'!D705</f>
        <v>AHU-WH</v>
      </c>
      <c r="E706" s="180" t="str">
        <f>'רשימת מכשור 2015'!E705</f>
        <v>1-2-51021-PSH-2</v>
      </c>
      <c r="F706" s="180">
        <f>'רשימת מכשור 2015'!F705</f>
        <v>200</v>
      </c>
      <c r="G706" s="181">
        <v>1</v>
      </c>
      <c r="H706" s="181">
        <f t="shared" si="28"/>
        <v>200</v>
      </c>
      <c r="I706" s="182"/>
      <c r="J706" s="181">
        <v>1</v>
      </c>
      <c r="K706" s="181">
        <v>1</v>
      </c>
      <c r="L706" s="181">
        <v>0.2</v>
      </c>
      <c r="M706" s="181" t="str">
        <f t="shared" si="29"/>
        <v>לרכוש</v>
      </c>
      <c r="N706" s="181">
        <v>1000</v>
      </c>
      <c r="O706" s="183"/>
      <c r="P706" s="183">
        <v>4</v>
      </c>
      <c r="Q706" s="183"/>
    </row>
    <row r="707" spans="1:17" s="12" customFormat="1" ht="14.25" customHeight="1">
      <c r="A707" s="180" t="str">
        <f>'רשימת מכשור 2015'!A706</f>
        <v>מפסק לחץ הפרשי</v>
      </c>
      <c r="B707" s="180" t="str">
        <f>'רשימת מכשור 2015'!B706</f>
        <v>Beck.</v>
      </c>
      <c r="C707" s="180">
        <f>'רשימת מכשור 2015'!C706</f>
        <v>930.83</v>
      </c>
      <c r="D707" s="233" t="str">
        <f>'רשימת מכשור 2015'!D706</f>
        <v>AHU-WH</v>
      </c>
      <c r="E707" s="180" t="str">
        <f>'רשימת מכשור 2015'!E706</f>
        <v>1-2-51021-PSH-3</v>
      </c>
      <c r="F707" s="180">
        <f>'רשימת מכשור 2015'!F706</f>
        <v>200</v>
      </c>
      <c r="G707" s="181">
        <v>1</v>
      </c>
      <c r="H707" s="181">
        <f t="shared" si="28"/>
        <v>200</v>
      </c>
      <c r="I707" s="182"/>
      <c r="J707" s="181">
        <v>1</v>
      </c>
      <c r="K707" s="181">
        <v>1</v>
      </c>
      <c r="L707" s="181">
        <v>0.2</v>
      </c>
      <c r="M707" s="181" t="str">
        <f t="shared" si="29"/>
        <v>לרכוש</v>
      </c>
      <c r="N707" s="181">
        <v>1000</v>
      </c>
      <c r="O707" s="183"/>
      <c r="P707" s="183">
        <v>4</v>
      </c>
      <c r="Q707" s="183"/>
    </row>
    <row r="708" spans="1:17" s="12" customFormat="1" ht="14.25" customHeight="1">
      <c r="A708" s="180" t="str">
        <f>'רשימת מכשור 2015'!A707</f>
        <v>מפסק לחץ הפרשי</v>
      </c>
      <c r="B708" s="180" t="str">
        <f>'רשימת מכשור 2015'!B707</f>
        <v>Beck.</v>
      </c>
      <c r="C708" s="180">
        <f>'רשימת מכשור 2015'!C707</f>
        <v>930.83</v>
      </c>
      <c r="D708" s="233" t="str">
        <f>'רשימת מכשור 2015'!D707</f>
        <v>AHU-WH</v>
      </c>
      <c r="E708" s="180" t="str">
        <f>'רשימת מכשור 2015'!E707</f>
        <v>1-2-51021-FI-1</v>
      </c>
      <c r="F708" s="180">
        <f>'רשימת מכשור 2015'!F707</f>
        <v>200</v>
      </c>
      <c r="G708" s="181">
        <v>1</v>
      </c>
      <c r="H708" s="181">
        <f t="shared" si="28"/>
        <v>200</v>
      </c>
      <c r="I708" s="182"/>
      <c r="J708" s="181">
        <v>1</v>
      </c>
      <c r="K708" s="181">
        <v>1</v>
      </c>
      <c r="L708" s="181">
        <v>0.2</v>
      </c>
      <c r="M708" s="181" t="str">
        <f t="shared" si="29"/>
        <v>לרכוש</v>
      </c>
      <c r="N708" s="181">
        <v>1000</v>
      </c>
      <c r="O708" s="183"/>
      <c r="P708" s="183">
        <v>4</v>
      </c>
      <c r="Q708" s="183"/>
    </row>
    <row r="709" spans="1:17" s="12" customFormat="1" ht="14.25" customHeight="1">
      <c r="A709" s="180" t="str">
        <f>'רשימת מכשור 2015'!A708</f>
        <v>גשש קירבה</v>
      </c>
      <c r="B709" s="180" t="str">
        <f>'רשימת מכשור 2015'!B708</f>
        <v>SICK</v>
      </c>
      <c r="C709" s="180" t="str">
        <f>'רשימת מכשור 2015'!C708</f>
        <v>IME12-04BPSZC0S</v>
      </c>
      <c r="D709" s="233" t="str">
        <f>'רשימת מכשור 2015'!D708</f>
        <v>WH-B2 DEVICE MONITORING</v>
      </c>
      <c r="E709" s="180" t="str">
        <f>'רשימת מכשור 2015'!E708</f>
        <v>1-2-2010-PXS-10</v>
      </c>
      <c r="F709" s="180">
        <f>'רשימת מכשור 2015'!F708</f>
        <v>150</v>
      </c>
      <c r="G709" s="181">
        <v>1</v>
      </c>
      <c r="H709" s="181">
        <v>250</v>
      </c>
      <c r="I709" s="182" t="s">
        <v>82</v>
      </c>
      <c r="J709" s="181">
        <v>1</v>
      </c>
      <c r="K709" s="181">
        <v>0</v>
      </c>
      <c r="L709" s="181">
        <v>0.2</v>
      </c>
      <c r="M709" s="181" t="str">
        <f t="shared" si="29"/>
        <v>לא לרכוש</v>
      </c>
      <c r="N709" s="181">
        <v>1000</v>
      </c>
      <c r="O709" s="183"/>
      <c r="P709" s="183">
        <v>4</v>
      </c>
      <c r="Q709" s="183"/>
    </row>
    <row r="710" spans="1:17" s="12" customFormat="1" ht="14.25" customHeight="1">
      <c r="A710" s="180" t="str">
        <f>'רשימת מכשור 2015'!A709</f>
        <v>גשש קירבה</v>
      </c>
      <c r="B710" s="180" t="str">
        <f>'רשימת מכשור 2015'!B709</f>
        <v>SICK</v>
      </c>
      <c r="C710" s="180" t="str">
        <f>'רשימת מכשור 2015'!C709</f>
        <v>IME12-04BPSZC0S</v>
      </c>
      <c r="D710" s="233" t="str">
        <f>'רשימת מכשור 2015'!D709</f>
        <v>WH-B2 DEVICE MONITORING</v>
      </c>
      <c r="E710" s="180" t="str">
        <f>'רשימת מכשור 2015'!E709</f>
        <v>1-2-2010-PXS-11</v>
      </c>
      <c r="F710" s="180">
        <f>'רשימת מכשור 2015'!F709</f>
        <v>150</v>
      </c>
      <c r="G710" s="181">
        <v>1</v>
      </c>
      <c r="H710" s="181">
        <v>250</v>
      </c>
      <c r="I710" s="182" t="s">
        <v>82</v>
      </c>
      <c r="J710" s="181">
        <v>1</v>
      </c>
      <c r="K710" s="181">
        <v>0</v>
      </c>
      <c r="L710" s="181">
        <v>0.2</v>
      </c>
      <c r="M710" s="181" t="str">
        <f t="shared" si="29"/>
        <v>לא לרכוש</v>
      </c>
      <c r="N710" s="181">
        <v>1000</v>
      </c>
      <c r="O710" s="183"/>
      <c r="P710" s="183">
        <v>4</v>
      </c>
      <c r="Q710" s="183"/>
    </row>
    <row r="711" spans="1:17" s="12" customFormat="1" ht="14.25" customHeight="1">
      <c r="A711" s="180" t="str">
        <f>'רשימת מכשור 2015'!A710</f>
        <v>גשש קירבה</v>
      </c>
      <c r="B711" s="180" t="str">
        <f>'רשימת מכשור 2015'!B710</f>
        <v>SICK</v>
      </c>
      <c r="C711" s="180" t="str">
        <f>'רשימת מכשור 2015'!C710</f>
        <v>IME12-04BPSZC0S</v>
      </c>
      <c r="D711" s="233" t="str">
        <f>'רשימת מכשור 2015'!D710</f>
        <v>WH-B2 DEVICE MONITORING</v>
      </c>
      <c r="E711" s="180" t="str">
        <f>'רשימת מכשור 2015'!E710</f>
        <v>1-2-2010-PXS-9</v>
      </c>
      <c r="F711" s="180">
        <f>'רשימת מכשור 2015'!F710</f>
        <v>150</v>
      </c>
      <c r="G711" s="181">
        <v>1</v>
      </c>
      <c r="H711" s="181">
        <v>250</v>
      </c>
      <c r="I711" s="182" t="s">
        <v>82</v>
      </c>
      <c r="J711" s="181">
        <v>1</v>
      </c>
      <c r="K711" s="181">
        <v>0</v>
      </c>
      <c r="L711" s="181">
        <v>0.2</v>
      </c>
      <c r="M711" s="181" t="str">
        <f t="shared" si="29"/>
        <v>לא לרכוש</v>
      </c>
      <c r="N711" s="181">
        <v>1000</v>
      </c>
      <c r="O711" s="183"/>
      <c r="P711" s="183">
        <v>4</v>
      </c>
      <c r="Q711" s="183"/>
    </row>
    <row r="712" spans="1:17" s="12" customFormat="1" ht="14.25" customHeight="1">
      <c r="A712" s="180" t="str">
        <f>'רשימת מכשור 2015'!A711</f>
        <v>מד לחץ</v>
      </c>
      <c r="B712" s="180">
        <f>'רשימת מכשור 2015'!B711</f>
        <v>0</v>
      </c>
      <c r="C712" s="180">
        <f>'רשימת מכשור 2015'!C711</f>
        <v>0</v>
      </c>
      <c r="D712" s="233" t="str">
        <f>'רשימת מכשור 2015'!D711</f>
        <v>maindman</v>
      </c>
      <c r="E712" s="180" t="str">
        <f>'רשימת מכשור 2015'!E711</f>
        <v>1.5" חיבור אחורי 1/8 0-4באר</v>
      </c>
      <c r="F712" s="180">
        <f>'רשימת מכשור 2015'!F711</f>
        <v>0</v>
      </c>
      <c r="G712" s="181">
        <v>1</v>
      </c>
      <c r="H712" s="181">
        <v>250</v>
      </c>
      <c r="I712" s="182" t="s">
        <v>82</v>
      </c>
      <c r="J712" s="181">
        <v>1</v>
      </c>
      <c r="K712" s="181">
        <v>0</v>
      </c>
      <c r="L712" s="181">
        <v>0.2</v>
      </c>
      <c r="M712" s="181" t="str">
        <f t="shared" si="29"/>
        <v>לא לרכוש</v>
      </c>
      <c r="N712" s="181">
        <v>1000</v>
      </c>
      <c r="O712" s="183"/>
      <c r="P712" s="183">
        <v>4</v>
      </c>
      <c r="Q712" s="183"/>
    </row>
    <row r="713" spans="1:17" s="12" customFormat="1" ht="14.25" customHeight="1">
      <c r="A713" s="180" t="str">
        <f>'רשימת מכשור 2015'!A712</f>
        <v>מד לחץ</v>
      </c>
      <c r="B713" s="180">
        <f>'רשימת מכשור 2015'!B712</f>
        <v>0</v>
      </c>
      <c r="C713" s="180">
        <f>'רשימת מכשור 2015'!C712</f>
        <v>0</v>
      </c>
      <c r="D713" s="233" t="str">
        <f>'רשימת מכשור 2015'!D712</f>
        <v>maindman</v>
      </c>
      <c r="E713" s="180" t="str">
        <f>'רשימת מכשור 2015'!E712</f>
        <v>1.5" חיבור אחורי 1/8 0-10באר</v>
      </c>
      <c r="F713" s="180">
        <f>'רשימת מכשור 2015'!F712</f>
        <v>0</v>
      </c>
      <c r="G713" s="181">
        <v>1</v>
      </c>
      <c r="H713" s="181">
        <v>250</v>
      </c>
      <c r="I713" s="182" t="s">
        <v>82</v>
      </c>
      <c r="J713" s="181">
        <v>1</v>
      </c>
      <c r="K713" s="181">
        <v>0</v>
      </c>
      <c r="L713" s="181">
        <v>0.2</v>
      </c>
      <c r="M713" s="181" t="str">
        <f t="shared" si="29"/>
        <v>לא לרכוש</v>
      </c>
      <c r="N713" s="181">
        <v>1000</v>
      </c>
      <c r="O713" s="183"/>
      <c r="P713" s="183">
        <v>4</v>
      </c>
      <c r="Q713" s="183"/>
    </row>
    <row r="714" spans="1:17" s="12" customFormat="1" ht="14.25" customHeight="1">
      <c r="A714" s="180" t="str">
        <f>'רשימת מכשור 2015'!A713</f>
        <v>מד לחץ</v>
      </c>
      <c r="B714" s="180">
        <f>'רשימת מכשור 2015'!B713</f>
        <v>0</v>
      </c>
      <c r="C714" s="180">
        <f>'רשימת מכשור 2015'!C713</f>
        <v>0</v>
      </c>
      <c r="D714" s="233" t="str">
        <f>'רשימת מכשור 2015'!D713</f>
        <v>maindman</v>
      </c>
      <c r="E714" s="180" t="str">
        <f>'רשימת מכשור 2015'!E713</f>
        <v>1.5" חיבור אחורי 1/8 - 0.. ..1-באר</v>
      </c>
      <c r="F714" s="180">
        <f>'רשימת מכשור 2015'!F713</f>
        <v>0</v>
      </c>
      <c r="G714" s="181">
        <v>1</v>
      </c>
      <c r="H714" s="181">
        <v>250</v>
      </c>
      <c r="I714" s="182" t="s">
        <v>82</v>
      </c>
      <c r="J714" s="181">
        <v>1</v>
      </c>
      <c r="K714" s="181">
        <v>0</v>
      </c>
      <c r="L714" s="181">
        <v>0.2</v>
      </c>
      <c r="M714" s="181" t="str">
        <f t="shared" si="29"/>
        <v>לא לרכוש</v>
      </c>
      <c r="N714" s="181">
        <v>1000</v>
      </c>
      <c r="O714" s="183"/>
      <c r="P714" s="183">
        <v>4</v>
      </c>
      <c r="Q714" s="183"/>
    </row>
    <row r="715" spans="1:17" s="12" customFormat="1" ht="14.25" customHeight="1">
      <c r="A715" s="180" t="str">
        <f>'רשימת מכשור 2015'!A714</f>
        <v>מד לחץ</v>
      </c>
      <c r="B715" s="180">
        <f>'רשימת מכשור 2015'!B714</f>
        <v>0</v>
      </c>
      <c r="C715" s="180">
        <f>'רשימת מכשור 2015'!C714</f>
        <v>0</v>
      </c>
      <c r="D715" s="233" t="str">
        <f>'רשימת מכשור 2015'!D714</f>
        <v>מדיד</v>
      </c>
      <c r="E715" s="180" t="str">
        <f>'רשימת מכשור 2015'!E714</f>
        <v>1.5tri-clamp 0-6bar</v>
      </c>
      <c r="F715" s="180">
        <f>'רשימת מכשור 2015'!F714</f>
        <v>0</v>
      </c>
      <c r="G715" s="181">
        <v>1</v>
      </c>
      <c r="H715" s="181">
        <v>250</v>
      </c>
      <c r="I715" s="182" t="s">
        <v>82</v>
      </c>
      <c r="J715" s="181">
        <v>1</v>
      </c>
      <c r="K715" s="181">
        <v>0</v>
      </c>
      <c r="L715" s="181">
        <v>0.2</v>
      </c>
      <c r="M715" s="181" t="str">
        <f t="shared" si="29"/>
        <v>לא לרכוש</v>
      </c>
      <c r="N715" s="181">
        <v>1000</v>
      </c>
      <c r="O715" s="183"/>
      <c r="P715" s="183">
        <v>4</v>
      </c>
      <c r="Q715" s="183"/>
    </row>
    <row r="716" spans="1:17" s="12" customFormat="1" ht="14.25" customHeight="1">
      <c r="A716" s="180" t="str">
        <f>'רשימת מכשור 2015'!A715</f>
        <v>מד לחץ</v>
      </c>
      <c r="B716" s="180">
        <f>'רשימת מכשור 2015'!B715</f>
        <v>0</v>
      </c>
      <c r="C716" s="180">
        <f>'רשימת מכשור 2015'!C715</f>
        <v>0</v>
      </c>
      <c r="D716" s="233" t="str">
        <f>'רשימת מכשור 2015'!D715</f>
        <v>מדיד</v>
      </c>
      <c r="E716" s="180" t="str">
        <f>'רשימת מכשור 2015'!E715</f>
        <v>1.5tri-clamp 0-10bar</v>
      </c>
      <c r="F716" s="180">
        <f>'רשימת מכשור 2015'!F715</f>
        <v>0</v>
      </c>
      <c r="G716" s="181">
        <v>1</v>
      </c>
      <c r="H716" s="181">
        <v>250</v>
      </c>
      <c r="I716" s="182" t="s">
        <v>82</v>
      </c>
      <c r="J716" s="181">
        <v>1</v>
      </c>
      <c r="K716" s="181">
        <v>0</v>
      </c>
      <c r="L716" s="181">
        <v>0.2</v>
      </c>
      <c r="M716" s="181" t="str">
        <f t="shared" si="29"/>
        <v>לא לרכוש</v>
      </c>
      <c r="N716" s="181">
        <v>1000</v>
      </c>
      <c r="O716" s="183"/>
      <c r="P716" s="183">
        <v>4</v>
      </c>
      <c r="Q716" s="183"/>
    </row>
    <row r="717" spans="1:17" s="12" customFormat="1" ht="14.25" customHeight="1">
      <c r="A717" s="180" t="str">
        <f>'רשימת מכשור 2015'!A716</f>
        <v>מד טמפרטורה</v>
      </c>
      <c r="B717" s="180">
        <f>'רשימת מכשור 2015'!B716</f>
        <v>0</v>
      </c>
      <c r="C717" s="180">
        <f>'רשימת מכשור 2015'!C716</f>
        <v>0</v>
      </c>
      <c r="D717" s="233" t="str">
        <f>'רשימת מכשור 2015'!D716</f>
        <v>wika</v>
      </c>
      <c r="E717" s="180" t="str">
        <f>'רשימת מכשור 2015'!E716</f>
        <v>0-100°c  1/2" npt</v>
      </c>
      <c r="F717" s="180">
        <f>'רשימת מכשור 2015'!F716</f>
        <v>0</v>
      </c>
      <c r="G717" s="181">
        <v>1</v>
      </c>
      <c r="H717" s="181">
        <v>250</v>
      </c>
      <c r="I717" s="182" t="s">
        <v>82</v>
      </c>
      <c r="J717" s="181">
        <v>1</v>
      </c>
      <c r="K717" s="181">
        <v>0</v>
      </c>
      <c r="L717" s="181">
        <v>0.2</v>
      </c>
      <c r="M717" s="181" t="str">
        <f t="shared" si="29"/>
        <v>לא לרכוש</v>
      </c>
      <c r="N717" s="181">
        <v>1000</v>
      </c>
      <c r="O717" s="183"/>
      <c r="P717" s="183">
        <v>4</v>
      </c>
      <c r="Q717" s="183"/>
    </row>
    <row r="718" spans="1:17" s="12" customFormat="1" ht="14.25" customHeight="1">
      <c r="A718" s="180" t="str">
        <f>'רשימת מכשור 2015'!A717</f>
        <v xml:space="preserve">סולונואיד </v>
      </c>
      <c r="B718" s="180" t="str">
        <f>'רשימת מכשור 2015'!B717</f>
        <v>smc</v>
      </c>
      <c r="C718" s="180" t="str">
        <f>'רשימת מכשור 2015'!C717</f>
        <v>3/2 sq1a31n</v>
      </c>
      <c r="D718" s="233" t="str">
        <f>'רשימת מכשור 2015'!D717</f>
        <v>N/A</v>
      </c>
      <c r="E718" s="180" t="str">
        <f>'רשימת מכשור 2015'!E717</f>
        <v>N/A</v>
      </c>
      <c r="F718" s="180">
        <f>'רשימת מכשור 2015'!F717</f>
        <v>150</v>
      </c>
      <c r="G718" s="181">
        <v>1</v>
      </c>
      <c r="H718" s="181">
        <v>250</v>
      </c>
      <c r="I718" s="182" t="s">
        <v>82</v>
      </c>
      <c r="J718" s="181">
        <v>1</v>
      </c>
      <c r="K718" s="181">
        <v>0</v>
      </c>
      <c r="L718" s="181">
        <v>0.2</v>
      </c>
      <c r="M718" s="181" t="str">
        <f t="shared" si="29"/>
        <v>לא לרכוש</v>
      </c>
      <c r="N718" s="181">
        <v>1000</v>
      </c>
      <c r="O718" s="183"/>
      <c r="P718" s="183">
        <v>4</v>
      </c>
      <c r="Q718" s="183"/>
    </row>
    <row r="719" spans="1:17" s="12" customFormat="1" ht="14.25" customHeight="1">
      <c r="A719" s="180" t="str">
        <f>'רשימת מכשור 2015'!A718</f>
        <v>ממסר 24Vdc</v>
      </c>
      <c r="B719" s="180" t="str">
        <f>'רשימת מכשור 2015'!B718</f>
        <v>WEIMULLER</v>
      </c>
      <c r="C719" s="180" t="str">
        <f>'רשימת מכשור 2015'!C718</f>
        <v>MRS24Vdc</v>
      </c>
      <c r="D719" s="233" t="str">
        <f>'רשימת מכשור 2015'!D718</f>
        <v>N/A</v>
      </c>
      <c r="E719" s="180" t="str">
        <f>'רשימת מכשור 2015'!E718</f>
        <v>N/A</v>
      </c>
      <c r="F719" s="180">
        <f>'רשימת מכשור 2015'!F718</f>
        <v>40</v>
      </c>
      <c r="G719" s="181">
        <v>1</v>
      </c>
      <c r="H719" s="181">
        <v>250</v>
      </c>
      <c r="I719" s="182" t="s">
        <v>82</v>
      </c>
      <c r="J719" s="181">
        <v>1</v>
      </c>
      <c r="K719" s="181">
        <v>0</v>
      </c>
      <c r="L719" s="181">
        <v>0.2</v>
      </c>
      <c r="M719" s="181" t="str">
        <f t="shared" si="29"/>
        <v>לא לרכוש</v>
      </c>
      <c r="N719" s="181">
        <v>1000</v>
      </c>
      <c r="O719" s="183"/>
      <c r="P719" s="183">
        <v>4</v>
      </c>
      <c r="Q719" s="183"/>
    </row>
    <row r="720" spans="1:17" s="12" customFormat="1" ht="14.25" customHeight="1">
      <c r="A720" s="180" t="str">
        <f>'רשימת מכשור 2015'!A719</f>
        <v xml:space="preserve">סעפת אוויר </v>
      </c>
      <c r="B720" s="180" t="str">
        <f>'רשימת מכשור 2015'!B719</f>
        <v>OMRON</v>
      </c>
      <c r="C720" s="180" t="str">
        <f>'רשימת מכשור 2015'!C719</f>
        <v>G2R-1-SNI</v>
      </c>
      <c r="D720" s="233" t="str">
        <f>'רשימת מכשור 2015'!D719</f>
        <v>N/A</v>
      </c>
      <c r="E720" s="180" t="str">
        <f>'רשימת מכשור 2015'!E719</f>
        <v>N/A</v>
      </c>
      <c r="F720" s="180">
        <f>'רשימת מכשור 2015'!F719</f>
        <v>150</v>
      </c>
      <c r="G720" s="181">
        <v>1</v>
      </c>
      <c r="H720" s="181">
        <v>250</v>
      </c>
      <c r="I720" s="182" t="s">
        <v>82</v>
      </c>
      <c r="J720" s="181">
        <v>1</v>
      </c>
      <c r="K720" s="181">
        <v>0</v>
      </c>
      <c r="L720" s="181">
        <v>0.2</v>
      </c>
      <c r="M720" s="181" t="str">
        <f t="shared" si="29"/>
        <v>לא לרכוש</v>
      </c>
      <c r="N720" s="181">
        <v>1000</v>
      </c>
      <c r="O720" s="183"/>
      <c r="P720" s="183">
        <v>4</v>
      </c>
      <c r="Q720" s="183"/>
    </row>
    <row r="721" spans="1:17" s="12" customFormat="1" ht="14.25" customHeight="1">
      <c r="A721" s="180">
        <f>'רשימת מכשור 2015'!A720</f>
        <v>0</v>
      </c>
      <c r="B721" s="180">
        <f>'רשימת מכשור 2015'!B720</f>
        <v>0</v>
      </c>
      <c r="C721" s="180">
        <f>'רשימת מכשור 2015'!C720</f>
        <v>0</v>
      </c>
      <c r="D721" s="233">
        <f>'רשימת מכשור 2015'!D720</f>
        <v>0</v>
      </c>
      <c r="E721" s="180">
        <f>'רשימת מכשור 2015'!E720</f>
        <v>0</v>
      </c>
      <c r="F721" s="180">
        <f>'רשימת מכשור 2015'!F720</f>
        <v>0</v>
      </c>
      <c r="G721" s="181"/>
      <c r="H721" s="181">
        <f t="shared" ref="H721:H730" si="30">G721*F721</f>
        <v>0</v>
      </c>
      <c r="I721" s="182"/>
      <c r="J721" s="181"/>
      <c r="K721" s="181"/>
      <c r="L721" s="181"/>
      <c r="M721" s="181" t="e">
        <f t="shared" si="29"/>
        <v>#DIV/0!</v>
      </c>
      <c r="N721" s="181"/>
      <c r="O721" s="183"/>
      <c r="P721" s="183"/>
      <c r="Q721" s="183"/>
    </row>
    <row r="722" spans="1:17" s="12" customFormat="1" ht="14.25" customHeight="1">
      <c r="A722" s="180">
        <f>'רשימת מכשור 2015'!A721</f>
        <v>0</v>
      </c>
      <c r="B722" s="180">
        <f>'רשימת מכשור 2015'!B721</f>
        <v>0</v>
      </c>
      <c r="C722" s="180">
        <f>'רשימת מכשור 2015'!C721</f>
        <v>0</v>
      </c>
      <c r="D722" s="233">
        <f>'רשימת מכשור 2015'!D721</f>
        <v>0</v>
      </c>
      <c r="E722" s="180">
        <f>'רשימת מכשור 2015'!E721</f>
        <v>0</v>
      </c>
      <c r="F722" s="180">
        <f>'רשימת מכשור 2015'!F721</f>
        <v>0</v>
      </c>
      <c r="G722" s="181"/>
      <c r="H722" s="181">
        <f t="shared" si="30"/>
        <v>0</v>
      </c>
      <c r="I722" s="182"/>
      <c r="J722" s="181"/>
      <c r="K722" s="181"/>
      <c r="L722" s="181"/>
      <c r="M722" s="181" t="e">
        <f t="shared" si="29"/>
        <v>#DIV/0!</v>
      </c>
      <c r="N722" s="181"/>
      <c r="O722" s="183"/>
      <c r="P722" s="183"/>
      <c r="Q722" s="183"/>
    </row>
    <row r="723" spans="1:17" s="12" customFormat="1" ht="14.25" customHeight="1">
      <c r="A723" s="180">
        <f>'רשימת מכשור 2015'!A722</f>
        <v>0</v>
      </c>
      <c r="B723" s="180">
        <f>'רשימת מכשור 2015'!B722</f>
        <v>0</v>
      </c>
      <c r="C723" s="180">
        <f>'רשימת מכשור 2015'!C722</f>
        <v>0</v>
      </c>
      <c r="D723" s="233">
        <f>'רשימת מכשור 2015'!D722</f>
        <v>0</v>
      </c>
      <c r="E723" s="180">
        <f>'רשימת מכשור 2015'!E722</f>
        <v>0</v>
      </c>
      <c r="F723" s="180">
        <f>'רשימת מכשור 2015'!F722</f>
        <v>0</v>
      </c>
      <c r="G723" s="181"/>
      <c r="H723" s="181">
        <f t="shared" si="30"/>
        <v>0</v>
      </c>
      <c r="I723" s="182"/>
      <c r="J723" s="181"/>
      <c r="K723" s="181"/>
      <c r="L723" s="181"/>
      <c r="M723" s="181" t="e">
        <f t="shared" si="29"/>
        <v>#DIV/0!</v>
      </c>
      <c r="N723" s="181"/>
      <c r="O723" s="183"/>
      <c r="P723" s="183"/>
      <c r="Q723" s="183"/>
    </row>
    <row r="724" spans="1:17" s="12" customFormat="1" ht="14.25" customHeight="1">
      <c r="A724" s="180">
        <f>'רשימת מכשור 2015'!A723</f>
        <v>0</v>
      </c>
      <c r="B724" s="180">
        <f>'רשימת מכשור 2015'!B723</f>
        <v>0</v>
      </c>
      <c r="C724" s="180">
        <f>'רשימת מכשור 2015'!C723</f>
        <v>0</v>
      </c>
      <c r="D724" s="233">
        <f>'רשימת מכשור 2015'!D723</f>
        <v>0</v>
      </c>
      <c r="E724" s="180">
        <f>'רשימת מכשור 2015'!E723</f>
        <v>0</v>
      </c>
      <c r="F724" s="180">
        <f>'רשימת מכשור 2015'!F723</f>
        <v>0</v>
      </c>
      <c r="G724" s="181"/>
      <c r="H724" s="181">
        <f t="shared" si="30"/>
        <v>0</v>
      </c>
      <c r="I724" s="182"/>
      <c r="J724" s="181"/>
      <c r="K724" s="181"/>
      <c r="L724" s="181"/>
      <c r="M724" s="181" t="e">
        <f t="shared" si="29"/>
        <v>#DIV/0!</v>
      </c>
      <c r="N724" s="181"/>
      <c r="O724" s="183"/>
      <c r="P724" s="183"/>
      <c r="Q724" s="183"/>
    </row>
    <row r="725" spans="1:17" s="12" customFormat="1" ht="14.25" customHeight="1">
      <c r="A725" s="180">
        <f>'רשימת מכשור 2015'!A724</f>
        <v>0</v>
      </c>
      <c r="B725" s="180">
        <f>'רשימת מכשור 2015'!B724</f>
        <v>0</v>
      </c>
      <c r="C725" s="180">
        <f>'רשימת מכשור 2015'!C724</f>
        <v>0</v>
      </c>
      <c r="D725" s="233">
        <f>'רשימת מכשור 2015'!D724</f>
        <v>0</v>
      </c>
      <c r="E725" s="180">
        <f>'רשימת מכשור 2015'!E724</f>
        <v>0</v>
      </c>
      <c r="F725" s="180">
        <f>'רשימת מכשור 2015'!F724</f>
        <v>0</v>
      </c>
      <c r="G725" s="181"/>
      <c r="H725" s="181">
        <f t="shared" si="30"/>
        <v>0</v>
      </c>
      <c r="I725" s="182"/>
      <c r="J725" s="181"/>
      <c r="K725" s="181"/>
      <c r="L725" s="181"/>
      <c r="M725" s="181" t="e">
        <f t="shared" si="29"/>
        <v>#DIV/0!</v>
      </c>
      <c r="N725" s="181"/>
      <c r="O725" s="183"/>
      <c r="P725" s="183"/>
      <c r="Q725" s="183"/>
    </row>
    <row r="726" spans="1:17" s="12" customFormat="1" ht="14.25" customHeight="1">
      <c r="A726" s="180">
        <f>'רשימת מכשור 2015'!A725</f>
        <v>0</v>
      </c>
      <c r="B726" s="180">
        <f>'רשימת מכשור 2015'!B725</f>
        <v>0</v>
      </c>
      <c r="C726" s="180">
        <f>'רשימת מכשור 2015'!C725</f>
        <v>0</v>
      </c>
      <c r="D726" s="233">
        <f>'רשימת מכשור 2015'!D725</f>
        <v>0</v>
      </c>
      <c r="E726" s="180">
        <f>'רשימת מכשור 2015'!E725</f>
        <v>0</v>
      </c>
      <c r="F726" s="180">
        <f>'רשימת מכשור 2015'!F725</f>
        <v>0</v>
      </c>
      <c r="G726" s="181"/>
      <c r="H726" s="181">
        <f t="shared" si="30"/>
        <v>0</v>
      </c>
      <c r="I726" s="182"/>
      <c r="J726" s="181"/>
      <c r="K726" s="181"/>
      <c r="L726" s="181"/>
      <c r="M726" s="181" t="e">
        <f t="shared" si="29"/>
        <v>#DIV/0!</v>
      </c>
      <c r="N726" s="181"/>
      <c r="O726" s="183"/>
      <c r="P726" s="183"/>
      <c r="Q726" s="183"/>
    </row>
    <row r="727" spans="1:17" s="12" customFormat="1" ht="14.25" customHeight="1">
      <c r="A727" s="180">
        <f>'רשימת מכשור 2015'!A726</f>
        <v>0</v>
      </c>
      <c r="B727" s="180">
        <f>'רשימת מכשור 2015'!B726</f>
        <v>0</v>
      </c>
      <c r="C727" s="180">
        <f>'רשימת מכשור 2015'!C726</f>
        <v>0</v>
      </c>
      <c r="D727" s="233">
        <f>'רשימת מכשור 2015'!D726</f>
        <v>0</v>
      </c>
      <c r="E727" s="180">
        <f>'רשימת מכשור 2015'!E726</f>
        <v>0</v>
      </c>
      <c r="F727" s="180">
        <f>'רשימת מכשור 2015'!F726</f>
        <v>0</v>
      </c>
      <c r="G727" s="181"/>
      <c r="H727" s="181">
        <f t="shared" si="30"/>
        <v>0</v>
      </c>
      <c r="I727" s="182"/>
      <c r="J727" s="181"/>
      <c r="K727" s="181"/>
      <c r="L727" s="181"/>
      <c r="M727" s="181" t="e">
        <f t="shared" si="29"/>
        <v>#DIV/0!</v>
      </c>
      <c r="N727" s="181"/>
      <c r="O727" s="183"/>
      <c r="P727" s="183"/>
      <c r="Q727" s="183"/>
    </row>
    <row r="728" spans="1:17" s="12" customFormat="1" ht="14.25" customHeight="1">
      <c r="A728" s="180">
        <f>'רשימת מכשור 2015'!A727</f>
        <v>0</v>
      </c>
      <c r="B728" s="180">
        <f>'רשימת מכשור 2015'!B727</f>
        <v>0</v>
      </c>
      <c r="C728" s="180">
        <f>'רשימת מכשור 2015'!C727</f>
        <v>0</v>
      </c>
      <c r="D728" s="233">
        <f>'רשימת מכשור 2015'!D727</f>
        <v>0</v>
      </c>
      <c r="E728" s="180">
        <f>'רשימת מכשור 2015'!E727</f>
        <v>0</v>
      </c>
      <c r="F728" s="180">
        <f>'רשימת מכשור 2015'!F727</f>
        <v>0</v>
      </c>
      <c r="G728" s="181"/>
      <c r="H728" s="181">
        <f t="shared" si="30"/>
        <v>0</v>
      </c>
      <c r="I728" s="182"/>
      <c r="J728" s="181"/>
      <c r="K728" s="181"/>
      <c r="L728" s="181"/>
      <c r="M728" s="181" t="e">
        <f t="shared" si="29"/>
        <v>#DIV/0!</v>
      </c>
      <c r="N728" s="181"/>
      <c r="O728" s="183"/>
      <c r="P728" s="183"/>
      <c r="Q728" s="183"/>
    </row>
    <row r="729" spans="1:17" s="12" customFormat="1" ht="14.25" customHeight="1">
      <c r="A729" s="180">
        <f>'רשימת מכשור 2015'!A728</f>
        <v>0</v>
      </c>
      <c r="B729" s="180">
        <f>'רשימת מכשור 2015'!B728</f>
        <v>0</v>
      </c>
      <c r="C729" s="180">
        <f>'רשימת מכשור 2015'!C728</f>
        <v>0</v>
      </c>
      <c r="D729" s="233">
        <f>'רשימת מכשור 2015'!D728</f>
        <v>0</v>
      </c>
      <c r="E729" s="180">
        <f>'רשימת מכשור 2015'!E728</f>
        <v>0</v>
      </c>
      <c r="F729" s="180">
        <f>'רשימת מכשור 2015'!F728</f>
        <v>0</v>
      </c>
      <c r="G729" s="181"/>
      <c r="H729" s="181">
        <f t="shared" si="30"/>
        <v>0</v>
      </c>
      <c r="I729" s="182"/>
      <c r="J729" s="181"/>
      <c r="K729" s="181"/>
      <c r="L729" s="181"/>
      <c r="M729" s="181" t="e">
        <f t="shared" si="29"/>
        <v>#DIV/0!</v>
      </c>
      <c r="N729" s="181"/>
      <c r="O729" s="183"/>
      <c r="P729" s="183"/>
      <c r="Q729" s="183"/>
    </row>
    <row r="730" spans="1:17" s="12" customFormat="1" ht="14.25" customHeight="1">
      <c r="A730" s="180">
        <f>'רשימת מכשור 2015'!A729</f>
        <v>0</v>
      </c>
      <c r="B730" s="180">
        <f>'רשימת מכשור 2015'!B729</f>
        <v>0</v>
      </c>
      <c r="C730" s="180">
        <f>'רשימת מכשור 2015'!C729</f>
        <v>0</v>
      </c>
      <c r="D730" s="233">
        <f>'רשימת מכשור 2015'!D729</f>
        <v>0</v>
      </c>
      <c r="E730" s="180">
        <f>'רשימת מכשור 2015'!E729</f>
        <v>0</v>
      </c>
      <c r="F730" s="180">
        <f>'רשימת מכשור 2015'!F729</f>
        <v>0</v>
      </c>
      <c r="G730" s="181"/>
      <c r="H730" s="181">
        <f t="shared" si="30"/>
        <v>0</v>
      </c>
      <c r="I730" s="182"/>
      <c r="J730" s="181"/>
      <c r="K730" s="181"/>
      <c r="L730" s="181"/>
      <c r="M730" s="181" t="e">
        <f t="shared" si="29"/>
        <v>#DIV/0!</v>
      </c>
      <c r="N730" s="181"/>
      <c r="O730" s="183"/>
      <c r="P730" s="183"/>
      <c r="Q730" s="183"/>
    </row>
    <row r="731" spans="1:17" s="12" customFormat="1" ht="14.25" customHeight="1">
      <c r="A731" s="180">
        <f>'רשימת מכשור 2015'!A730</f>
        <v>0</v>
      </c>
      <c r="B731" s="180">
        <f>'רשימת מכשור 2015'!B730</f>
        <v>0</v>
      </c>
      <c r="C731" s="180">
        <f>'רשימת מכשור 2015'!C730</f>
        <v>0</v>
      </c>
      <c r="D731" s="233">
        <f>'רשימת מכשור 2015'!D730</f>
        <v>0</v>
      </c>
      <c r="E731" s="180">
        <f>'רשימת מכשור 2015'!E730</f>
        <v>0</v>
      </c>
      <c r="F731" s="180">
        <f>'רשימת מכשור 2015'!F730</f>
        <v>0</v>
      </c>
      <c r="G731" s="181"/>
      <c r="H731" s="181">
        <f t="shared" ref="H731:H794" si="31">G731*F731</f>
        <v>0</v>
      </c>
      <c r="I731" s="182"/>
      <c r="J731" s="181"/>
      <c r="K731" s="181"/>
      <c r="L731" s="181"/>
      <c r="M731" s="181" t="e">
        <f t="shared" si="29"/>
        <v>#DIV/0!</v>
      </c>
      <c r="N731" s="181"/>
      <c r="O731" s="183"/>
      <c r="P731" s="183"/>
      <c r="Q731" s="183"/>
    </row>
    <row r="732" spans="1:17" s="12" customFormat="1" ht="14.25" customHeight="1">
      <c r="A732" s="180">
        <f>'רשימת מכשור 2015'!A731</f>
        <v>0</v>
      </c>
      <c r="B732" s="180">
        <f>'רשימת מכשור 2015'!B731</f>
        <v>0</v>
      </c>
      <c r="C732" s="180">
        <f>'רשימת מכשור 2015'!C731</f>
        <v>0</v>
      </c>
      <c r="D732" s="233">
        <f>'רשימת מכשור 2015'!D731</f>
        <v>0</v>
      </c>
      <c r="E732" s="180">
        <f>'רשימת מכשור 2015'!E731</f>
        <v>0</v>
      </c>
      <c r="F732" s="180">
        <f>'רשימת מכשור 2015'!F731</f>
        <v>0</v>
      </c>
      <c r="G732" s="181"/>
      <c r="H732" s="181">
        <f t="shared" si="31"/>
        <v>0</v>
      </c>
      <c r="I732" s="182"/>
      <c r="J732" s="181"/>
      <c r="K732" s="181"/>
      <c r="L732" s="181"/>
      <c r="M732" s="181" t="e">
        <f t="shared" si="29"/>
        <v>#DIV/0!</v>
      </c>
      <c r="N732" s="181"/>
      <c r="O732" s="183"/>
      <c r="P732" s="183"/>
      <c r="Q732" s="183"/>
    </row>
    <row r="733" spans="1:17" s="12" customFormat="1" ht="14.25" customHeight="1">
      <c r="A733" s="180">
        <f>'רשימת מכשור 2015'!A732</f>
        <v>0</v>
      </c>
      <c r="B733" s="180">
        <f>'רשימת מכשור 2015'!B732</f>
        <v>0</v>
      </c>
      <c r="C733" s="180">
        <f>'רשימת מכשור 2015'!C732</f>
        <v>0</v>
      </c>
      <c r="D733" s="233">
        <f>'רשימת מכשור 2015'!D732</f>
        <v>0</v>
      </c>
      <c r="E733" s="180">
        <f>'רשימת מכשור 2015'!E732</f>
        <v>0</v>
      </c>
      <c r="F733" s="180">
        <f>'רשימת מכשור 2015'!F732</f>
        <v>0</v>
      </c>
      <c r="G733" s="181"/>
      <c r="H733" s="181">
        <f t="shared" si="31"/>
        <v>0</v>
      </c>
      <c r="I733" s="182"/>
      <c r="J733" s="181"/>
      <c r="K733" s="181"/>
      <c r="L733" s="181"/>
      <c r="M733" s="181" t="e">
        <f t="shared" si="29"/>
        <v>#DIV/0!</v>
      </c>
      <c r="N733" s="181"/>
      <c r="O733" s="183"/>
      <c r="P733" s="183"/>
      <c r="Q733" s="183"/>
    </row>
    <row r="734" spans="1:17" s="12" customFormat="1" ht="14.25" customHeight="1">
      <c r="A734" s="180">
        <f>'רשימת מכשור 2015'!A733</f>
        <v>0</v>
      </c>
      <c r="B734" s="180">
        <f>'רשימת מכשור 2015'!B733</f>
        <v>0</v>
      </c>
      <c r="C734" s="180">
        <f>'רשימת מכשור 2015'!C733</f>
        <v>0</v>
      </c>
      <c r="D734" s="233">
        <f>'רשימת מכשור 2015'!D733</f>
        <v>0</v>
      </c>
      <c r="E734" s="180">
        <f>'רשימת מכשור 2015'!E733</f>
        <v>0</v>
      </c>
      <c r="F734" s="180">
        <f>'רשימת מכשור 2015'!F733</f>
        <v>0</v>
      </c>
      <c r="G734" s="181"/>
      <c r="H734" s="181">
        <f t="shared" si="31"/>
        <v>0</v>
      </c>
      <c r="I734" s="182"/>
      <c r="J734" s="181"/>
      <c r="K734" s="181"/>
      <c r="L734" s="181"/>
      <c r="M734" s="181" t="e">
        <f t="shared" si="29"/>
        <v>#DIV/0!</v>
      </c>
      <c r="N734" s="181"/>
      <c r="O734" s="183"/>
      <c r="P734" s="183"/>
      <c r="Q734" s="183"/>
    </row>
    <row r="735" spans="1:17" s="12" customFormat="1" ht="14.25" customHeight="1">
      <c r="A735" s="180">
        <f>'רשימת מכשור 2015'!A734</f>
        <v>0</v>
      </c>
      <c r="B735" s="180">
        <f>'רשימת מכשור 2015'!B734</f>
        <v>0</v>
      </c>
      <c r="C735" s="180">
        <f>'רשימת מכשור 2015'!C734</f>
        <v>0</v>
      </c>
      <c r="D735" s="233">
        <f>'רשימת מכשור 2015'!D734</f>
        <v>0</v>
      </c>
      <c r="E735" s="180">
        <f>'רשימת מכשור 2015'!E734</f>
        <v>0</v>
      </c>
      <c r="F735" s="180">
        <f>'רשימת מכשור 2015'!F734</f>
        <v>0</v>
      </c>
      <c r="G735" s="181"/>
      <c r="H735" s="181">
        <f t="shared" si="31"/>
        <v>0</v>
      </c>
      <c r="I735" s="182"/>
      <c r="J735" s="181"/>
      <c r="K735" s="181"/>
      <c r="L735" s="181"/>
      <c r="M735" s="181" t="e">
        <f t="shared" si="29"/>
        <v>#DIV/0!</v>
      </c>
      <c r="N735" s="181"/>
      <c r="O735" s="183"/>
      <c r="P735" s="183"/>
      <c r="Q735" s="183"/>
    </row>
    <row r="736" spans="1:17" s="12" customFormat="1" ht="14.25" customHeight="1">
      <c r="A736" s="180">
        <f>'רשימת מכשור 2015'!A735</f>
        <v>0</v>
      </c>
      <c r="B736" s="180">
        <f>'רשימת מכשור 2015'!B735</f>
        <v>0</v>
      </c>
      <c r="C736" s="180">
        <f>'רשימת מכשור 2015'!C735</f>
        <v>0</v>
      </c>
      <c r="D736" s="233">
        <f>'רשימת מכשור 2015'!D735</f>
        <v>0</v>
      </c>
      <c r="E736" s="180">
        <f>'רשימת מכשור 2015'!E735</f>
        <v>0</v>
      </c>
      <c r="F736" s="180">
        <f>'רשימת מכשור 2015'!F735</f>
        <v>0</v>
      </c>
      <c r="G736" s="181"/>
      <c r="H736" s="181">
        <f t="shared" si="31"/>
        <v>0</v>
      </c>
      <c r="I736" s="182"/>
      <c r="J736" s="181"/>
      <c r="K736" s="181"/>
      <c r="L736" s="181"/>
      <c r="M736" s="181" t="e">
        <f t="shared" si="29"/>
        <v>#DIV/0!</v>
      </c>
      <c r="N736" s="181"/>
      <c r="O736" s="183"/>
      <c r="P736" s="183"/>
      <c r="Q736" s="183"/>
    </row>
    <row r="737" spans="1:17" s="12" customFormat="1" ht="14.25" customHeight="1">
      <c r="A737" s="180">
        <f>'רשימת מכשור 2015'!A736</f>
        <v>0</v>
      </c>
      <c r="B737" s="180">
        <f>'רשימת מכשור 2015'!B736</f>
        <v>0</v>
      </c>
      <c r="C737" s="180">
        <f>'רשימת מכשור 2015'!C736</f>
        <v>0</v>
      </c>
      <c r="D737" s="233">
        <f>'רשימת מכשור 2015'!D736</f>
        <v>0</v>
      </c>
      <c r="E737" s="180">
        <f>'רשימת מכשור 2015'!E736</f>
        <v>0</v>
      </c>
      <c r="F737" s="180">
        <f>'רשימת מכשור 2015'!F736</f>
        <v>0</v>
      </c>
      <c r="G737" s="181"/>
      <c r="H737" s="181">
        <f t="shared" si="31"/>
        <v>0</v>
      </c>
      <c r="I737" s="182"/>
      <c r="J737" s="181"/>
      <c r="K737" s="181"/>
      <c r="L737" s="181"/>
      <c r="M737" s="181" t="e">
        <f t="shared" ref="M737:M800" si="32">IF(AND(K737*L737*30*N737&gt;H737/J737,I737=""),"לרכוש","לא לרכוש")</f>
        <v>#DIV/0!</v>
      </c>
      <c r="N737" s="181"/>
      <c r="O737" s="183"/>
      <c r="P737" s="183"/>
      <c r="Q737" s="183"/>
    </row>
    <row r="738" spans="1:17" s="12" customFormat="1" ht="14.25" customHeight="1">
      <c r="A738" s="180">
        <f>'רשימת מכשור 2015'!A737</f>
        <v>0</v>
      </c>
      <c r="B738" s="180">
        <f>'רשימת מכשור 2015'!B737</f>
        <v>0</v>
      </c>
      <c r="C738" s="180">
        <f>'רשימת מכשור 2015'!C737</f>
        <v>0</v>
      </c>
      <c r="D738" s="233">
        <f>'רשימת מכשור 2015'!D737</f>
        <v>0</v>
      </c>
      <c r="E738" s="180">
        <f>'רשימת מכשור 2015'!E737</f>
        <v>0</v>
      </c>
      <c r="F738" s="180">
        <f>'רשימת מכשור 2015'!F737</f>
        <v>0</v>
      </c>
      <c r="G738" s="181"/>
      <c r="H738" s="181">
        <f t="shared" si="31"/>
        <v>0</v>
      </c>
      <c r="I738" s="182"/>
      <c r="J738" s="181"/>
      <c r="K738" s="181"/>
      <c r="L738" s="181"/>
      <c r="M738" s="181" t="e">
        <f t="shared" si="32"/>
        <v>#DIV/0!</v>
      </c>
      <c r="N738" s="181"/>
      <c r="O738" s="183"/>
      <c r="P738" s="183"/>
      <c r="Q738" s="183"/>
    </row>
    <row r="739" spans="1:17" s="12" customFormat="1" ht="14.25" customHeight="1">
      <c r="A739" s="180">
        <f>'רשימת מכשור 2015'!A738</f>
        <v>0</v>
      </c>
      <c r="B739" s="180">
        <f>'רשימת מכשור 2015'!B738</f>
        <v>0</v>
      </c>
      <c r="C739" s="180">
        <f>'רשימת מכשור 2015'!C738</f>
        <v>0</v>
      </c>
      <c r="D739" s="233">
        <f>'רשימת מכשור 2015'!D738</f>
        <v>0</v>
      </c>
      <c r="E739" s="180">
        <f>'רשימת מכשור 2015'!E738</f>
        <v>0</v>
      </c>
      <c r="F739" s="180">
        <f>'רשימת מכשור 2015'!F738</f>
        <v>0</v>
      </c>
      <c r="G739" s="181"/>
      <c r="H739" s="181">
        <f t="shared" si="31"/>
        <v>0</v>
      </c>
      <c r="I739" s="182"/>
      <c r="J739" s="181"/>
      <c r="K739" s="181"/>
      <c r="L739" s="181"/>
      <c r="M739" s="181" t="e">
        <f t="shared" si="32"/>
        <v>#DIV/0!</v>
      </c>
      <c r="N739" s="181"/>
      <c r="O739" s="183"/>
      <c r="P739" s="183"/>
      <c r="Q739" s="183"/>
    </row>
    <row r="740" spans="1:17" s="12" customFormat="1" ht="14.25" customHeight="1">
      <c r="A740" s="180">
        <f>'רשימת מכשור 2015'!A739</f>
        <v>0</v>
      </c>
      <c r="B740" s="180">
        <f>'רשימת מכשור 2015'!B739</f>
        <v>0</v>
      </c>
      <c r="C740" s="180">
        <f>'רשימת מכשור 2015'!C739</f>
        <v>0</v>
      </c>
      <c r="D740" s="233">
        <f>'רשימת מכשור 2015'!D739</f>
        <v>0</v>
      </c>
      <c r="E740" s="180">
        <f>'רשימת מכשור 2015'!E739</f>
        <v>0</v>
      </c>
      <c r="F740" s="180">
        <f>'רשימת מכשור 2015'!F739</f>
        <v>0</v>
      </c>
      <c r="G740" s="181"/>
      <c r="H740" s="181">
        <f t="shared" si="31"/>
        <v>0</v>
      </c>
      <c r="I740" s="182"/>
      <c r="J740" s="181"/>
      <c r="K740" s="181"/>
      <c r="L740" s="181"/>
      <c r="M740" s="181" t="e">
        <f t="shared" si="32"/>
        <v>#DIV/0!</v>
      </c>
      <c r="N740" s="181"/>
      <c r="O740" s="183"/>
      <c r="P740" s="183"/>
      <c r="Q740" s="183"/>
    </row>
    <row r="741" spans="1:17" s="12" customFormat="1" ht="14.25" customHeight="1">
      <c r="A741" s="180">
        <f>'רשימת מכשור 2015'!A740</f>
        <v>0</v>
      </c>
      <c r="B741" s="180">
        <f>'רשימת מכשור 2015'!B740</f>
        <v>0</v>
      </c>
      <c r="C741" s="180">
        <f>'רשימת מכשור 2015'!C740</f>
        <v>0</v>
      </c>
      <c r="D741" s="233">
        <f>'רשימת מכשור 2015'!D740</f>
        <v>0</v>
      </c>
      <c r="E741" s="180">
        <f>'רשימת מכשור 2015'!E740</f>
        <v>0</v>
      </c>
      <c r="F741" s="180">
        <f>'רשימת מכשור 2015'!F740</f>
        <v>0</v>
      </c>
      <c r="G741" s="181"/>
      <c r="H741" s="181">
        <f t="shared" si="31"/>
        <v>0</v>
      </c>
      <c r="I741" s="182"/>
      <c r="J741" s="181"/>
      <c r="K741" s="181"/>
      <c r="L741" s="181"/>
      <c r="M741" s="181" t="e">
        <f t="shared" si="32"/>
        <v>#DIV/0!</v>
      </c>
      <c r="N741" s="181"/>
      <c r="O741" s="183"/>
      <c r="P741" s="183"/>
      <c r="Q741" s="183"/>
    </row>
    <row r="742" spans="1:17" s="12" customFormat="1" ht="14.25" customHeight="1">
      <c r="A742" s="180">
        <f>'רשימת מכשור 2015'!A741</f>
        <v>0</v>
      </c>
      <c r="B742" s="180">
        <f>'רשימת מכשור 2015'!B741</f>
        <v>0</v>
      </c>
      <c r="C742" s="180">
        <f>'רשימת מכשור 2015'!C741</f>
        <v>0</v>
      </c>
      <c r="D742" s="233">
        <f>'רשימת מכשור 2015'!D741</f>
        <v>0</v>
      </c>
      <c r="E742" s="180">
        <f>'רשימת מכשור 2015'!E741</f>
        <v>0</v>
      </c>
      <c r="F742" s="180">
        <f>'רשימת מכשור 2015'!F741</f>
        <v>0</v>
      </c>
      <c r="G742" s="181"/>
      <c r="H742" s="181">
        <f t="shared" si="31"/>
        <v>0</v>
      </c>
      <c r="I742" s="182"/>
      <c r="J742" s="181"/>
      <c r="K742" s="181"/>
      <c r="L742" s="181"/>
      <c r="M742" s="181" t="e">
        <f t="shared" si="32"/>
        <v>#DIV/0!</v>
      </c>
      <c r="N742" s="181"/>
      <c r="O742" s="183"/>
      <c r="P742" s="183"/>
      <c r="Q742" s="183"/>
    </row>
    <row r="743" spans="1:17" s="12" customFormat="1" ht="14.25" customHeight="1">
      <c r="A743" s="180">
        <f>'רשימת מכשור 2015'!A742</f>
        <v>0</v>
      </c>
      <c r="B743" s="180">
        <f>'רשימת מכשור 2015'!B742</f>
        <v>0</v>
      </c>
      <c r="C743" s="180">
        <f>'רשימת מכשור 2015'!C742</f>
        <v>0</v>
      </c>
      <c r="D743" s="233">
        <f>'רשימת מכשור 2015'!D742</f>
        <v>0</v>
      </c>
      <c r="E743" s="180">
        <f>'רשימת מכשור 2015'!E742</f>
        <v>0</v>
      </c>
      <c r="F743" s="180">
        <f>'רשימת מכשור 2015'!F742</f>
        <v>0</v>
      </c>
      <c r="G743" s="181"/>
      <c r="H743" s="181">
        <f t="shared" si="31"/>
        <v>0</v>
      </c>
      <c r="I743" s="182"/>
      <c r="J743" s="181"/>
      <c r="K743" s="181"/>
      <c r="L743" s="181"/>
      <c r="M743" s="181" t="e">
        <f t="shared" si="32"/>
        <v>#DIV/0!</v>
      </c>
      <c r="N743" s="181"/>
      <c r="O743" s="183"/>
      <c r="P743" s="183"/>
      <c r="Q743" s="183"/>
    </row>
    <row r="744" spans="1:17" s="12" customFormat="1" ht="14.25" customHeight="1">
      <c r="A744" s="180">
        <f>'רשימת מכשור 2015'!A743</f>
        <v>0</v>
      </c>
      <c r="B744" s="180">
        <f>'רשימת מכשור 2015'!B743</f>
        <v>0</v>
      </c>
      <c r="C744" s="180">
        <f>'רשימת מכשור 2015'!C743</f>
        <v>0</v>
      </c>
      <c r="D744" s="233">
        <f>'רשימת מכשור 2015'!D743</f>
        <v>0</v>
      </c>
      <c r="E744" s="180">
        <f>'רשימת מכשור 2015'!E743</f>
        <v>0</v>
      </c>
      <c r="F744" s="180">
        <f>'רשימת מכשור 2015'!F743</f>
        <v>0</v>
      </c>
      <c r="G744" s="181"/>
      <c r="H744" s="181">
        <f t="shared" si="31"/>
        <v>0</v>
      </c>
      <c r="I744" s="182"/>
      <c r="J744" s="181"/>
      <c r="K744" s="181"/>
      <c r="L744" s="181"/>
      <c r="M744" s="181" t="e">
        <f t="shared" si="32"/>
        <v>#DIV/0!</v>
      </c>
      <c r="N744" s="181"/>
      <c r="O744" s="183"/>
      <c r="P744" s="183"/>
      <c r="Q744" s="183"/>
    </row>
    <row r="745" spans="1:17" s="12" customFormat="1" ht="14.25" customHeight="1">
      <c r="A745" s="180">
        <f>'רשימת מכשור 2015'!A744</f>
        <v>0</v>
      </c>
      <c r="B745" s="180">
        <f>'רשימת מכשור 2015'!B744</f>
        <v>0</v>
      </c>
      <c r="C745" s="180">
        <f>'רשימת מכשור 2015'!C744</f>
        <v>0</v>
      </c>
      <c r="D745" s="233">
        <f>'רשימת מכשור 2015'!D744</f>
        <v>0</v>
      </c>
      <c r="E745" s="180">
        <f>'רשימת מכשור 2015'!E744</f>
        <v>0</v>
      </c>
      <c r="F745" s="180">
        <f>'רשימת מכשור 2015'!F744</f>
        <v>0</v>
      </c>
      <c r="G745" s="181"/>
      <c r="H745" s="181">
        <f t="shared" si="31"/>
        <v>0</v>
      </c>
      <c r="I745" s="182"/>
      <c r="J745" s="181"/>
      <c r="K745" s="181"/>
      <c r="L745" s="181"/>
      <c r="M745" s="181" t="e">
        <f t="shared" si="32"/>
        <v>#DIV/0!</v>
      </c>
      <c r="N745" s="181"/>
      <c r="O745" s="183"/>
      <c r="P745" s="183"/>
      <c r="Q745" s="183"/>
    </row>
    <row r="746" spans="1:17" s="12" customFormat="1" ht="14.25" customHeight="1">
      <c r="A746" s="180">
        <f>'רשימת מכשור 2015'!A745</f>
        <v>0</v>
      </c>
      <c r="B746" s="180">
        <f>'רשימת מכשור 2015'!B745</f>
        <v>0</v>
      </c>
      <c r="C746" s="180">
        <f>'רשימת מכשור 2015'!C745</f>
        <v>0</v>
      </c>
      <c r="D746" s="233">
        <f>'רשימת מכשור 2015'!D745</f>
        <v>0</v>
      </c>
      <c r="E746" s="180">
        <f>'רשימת מכשור 2015'!E745</f>
        <v>0</v>
      </c>
      <c r="F746" s="180">
        <f>'רשימת מכשור 2015'!F745</f>
        <v>0</v>
      </c>
      <c r="G746" s="181"/>
      <c r="H746" s="181">
        <f t="shared" si="31"/>
        <v>0</v>
      </c>
      <c r="I746" s="182"/>
      <c r="J746" s="181"/>
      <c r="K746" s="181"/>
      <c r="L746" s="181"/>
      <c r="M746" s="181" t="e">
        <f t="shared" si="32"/>
        <v>#DIV/0!</v>
      </c>
      <c r="N746" s="181"/>
      <c r="O746" s="183"/>
      <c r="P746" s="183"/>
      <c r="Q746" s="183"/>
    </row>
    <row r="747" spans="1:17" s="12" customFormat="1" ht="14.25" customHeight="1">
      <c r="A747" s="180">
        <f>'רשימת מכשור 2015'!A746</f>
        <v>0</v>
      </c>
      <c r="B747" s="180">
        <f>'רשימת מכשור 2015'!B746</f>
        <v>0</v>
      </c>
      <c r="C747" s="180">
        <f>'רשימת מכשור 2015'!C746</f>
        <v>0</v>
      </c>
      <c r="D747" s="233">
        <f>'רשימת מכשור 2015'!D746</f>
        <v>0</v>
      </c>
      <c r="E747" s="180">
        <f>'רשימת מכשור 2015'!E746</f>
        <v>0</v>
      </c>
      <c r="F747" s="180">
        <f>'רשימת מכשור 2015'!F746</f>
        <v>0</v>
      </c>
      <c r="G747" s="181"/>
      <c r="H747" s="181">
        <f t="shared" si="31"/>
        <v>0</v>
      </c>
      <c r="I747" s="182"/>
      <c r="J747" s="181"/>
      <c r="K747" s="181"/>
      <c r="L747" s="181"/>
      <c r="M747" s="181" t="e">
        <f t="shared" si="32"/>
        <v>#DIV/0!</v>
      </c>
      <c r="N747" s="181"/>
      <c r="O747" s="183"/>
      <c r="P747" s="183"/>
      <c r="Q747" s="183"/>
    </row>
    <row r="748" spans="1:17" s="12" customFormat="1" ht="14.25" customHeight="1">
      <c r="A748" s="180">
        <f>'רשימת מכשור 2015'!A747</f>
        <v>0</v>
      </c>
      <c r="B748" s="180">
        <f>'רשימת מכשור 2015'!B747</f>
        <v>0</v>
      </c>
      <c r="C748" s="180">
        <f>'רשימת מכשור 2015'!C747</f>
        <v>0</v>
      </c>
      <c r="D748" s="233">
        <f>'רשימת מכשור 2015'!D747</f>
        <v>0</v>
      </c>
      <c r="E748" s="180">
        <f>'רשימת מכשור 2015'!E747</f>
        <v>0</v>
      </c>
      <c r="F748" s="180">
        <f>'רשימת מכשור 2015'!F747</f>
        <v>0</v>
      </c>
      <c r="G748" s="181"/>
      <c r="H748" s="181">
        <f t="shared" si="31"/>
        <v>0</v>
      </c>
      <c r="I748" s="182"/>
      <c r="J748" s="181"/>
      <c r="K748" s="181"/>
      <c r="L748" s="181"/>
      <c r="M748" s="181" t="e">
        <f t="shared" si="32"/>
        <v>#DIV/0!</v>
      </c>
      <c r="N748" s="181"/>
      <c r="O748" s="183"/>
      <c r="P748" s="183"/>
      <c r="Q748" s="183"/>
    </row>
    <row r="749" spans="1:17" s="12" customFormat="1" ht="14.25" customHeight="1">
      <c r="A749" s="180">
        <f>'רשימת מכשור 2015'!A748</f>
        <v>0</v>
      </c>
      <c r="B749" s="180">
        <f>'רשימת מכשור 2015'!B748</f>
        <v>0</v>
      </c>
      <c r="C749" s="180">
        <f>'רשימת מכשור 2015'!C748</f>
        <v>0</v>
      </c>
      <c r="D749" s="233">
        <f>'רשימת מכשור 2015'!D748</f>
        <v>0</v>
      </c>
      <c r="E749" s="180">
        <f>'רשימת מכשור 2015'!E748</f>
        <v>0</v>
      </c>
      <c r="F749" s="180">
        <f>'רשימת מכשור 2015'!F748</f>
        <v>0</v>
      </c>
      <c r="G749" s="181"/>
      <c r="H749" s="181">
        <f t="shared" si="31"/>
        <v>0</v>
      </c>
      <c r="I749" s="182"/>
      <c r="J749" s="181"/>
      <c r="K749" s="181"/>
      <c r="L749" s="181"/>
      <c r="M749" s="181" t="e">
        <f t="shared" si="32"/>
        <v>#DIV/0!</v>
      </c>
      <c r="N749" s="181"/>
      <c r="O749" s="183"/>
      <c r="P749" s="183"/>
      <c r="Q749" s="183"/>
    </row>
    <row r="750" spans="1:17" s="12" customFormat="1" ht="14.25" customHeight="1">
      <c r="A750" s="180">
        <f>'רשימת מכשור 2015'!A749</f>
        <v>0</v>
      </c>
      <c r="B750" s="180">
        <f>'רשימת מכשור 2015'!B749</f>
        <v>0</v>
      </c>
      <c r="C750" s="180">
        <f>'רשימת מכשור 2015'!C749</f>
        <v>0</v>
      </c>
      <c r="D750" s="233">
        <f>'רשימת מכשור 2015'!D749</f>
        <v>0</v>
      </c>
      <c r="E750" s="180">
        <f>'רשימת מכשור 2015'!E749</f>
        <v>0</v>
      </c>
      <c r="F750" s="180">
        <f>'רשימת מכשור 2015'!F749</f>
        <v>0</v>
      </c>
      <c r="G750" s="181"/>
      <c r="H750" s="181">
        <f t="shared" si="31"/>
        <v>0</v>
      </c>
      <c r="I750" s="182"/>
      <c r="J750" s="181"/>
      <c r="K750" s="181"/>
      <c r="L750" s="181"/>
      <c r="M750" s="181" t="e">
        <f t="shared" si="32"/>
        <v>#DIV/0!</v>
      </c>
      <c r="N750" s="181"/>
      <c r="O750" s="183"/>
      <c r="P750" s="183"/>
      <c r="Q750" s="183"/>
    </row>
    <row r="751" spans="1:17" s="12" customFormat="1" ht="14.25" customHeight="1">
      <c r="A751" s="180">
        <f>'רשימת מכשור 2015'!A750</f>
        <v>0</v>
      </c>
      <c r="B751" s="180">
        <f>'רשימת מכשור 2015'!B750</f>
        <v>0</v>
      </c>
      <c r="C751" s="180">
        <f>'רשימת מכשור 2015'!C750</f>
        <v>0</v>
      </c>
      <c r="D751" s="233">
        <f>'רשימת מכשור 2015'!D750</f>
        <v>0</v>
      </c>
      <c r="E751" s="180">
        <f>'רשימת מכשור 2015'!E750</f>
        <v>0</v>
      </c>
      <c r="F751" s="180">
        <f>'רשימת מכשור 2015'!F750</f>
        <v>0</v>
      </c>
      <c r="G751" s="181"/>
      <c r="H751" s="181">
        <f t="shared" si="31"/>
        <v>0</v>
      </c>
      <c r="I751" s="182"/>
      <c r="J751" s="181"/>
      <c r="K751" s="181"/>
      <c r="L751" s="181"/>
      <c r="M751" s="181" t="e">
        <f t="shared" si="32"/>
        <v>#DIV/0!</v>
      </c>
      <c r="N751" s="181"/>
      <c r="O751" s="183"/>
      <c r="P751" s="183"/>
      <c r="Q751" s="183"/>
    </row>
    <row r="752" spans="1:17" s="12" customFormat="1" ht="14.25" customHeight="1">
      <c r="A752" s="180">
        <f>'רשימת מכשור 2015'!A751</f>
        <v>0</v>
      </c>
      <c r="B752" s="180">
        <f>'רשימת מכשור 2015'!B751</f>
        <v>0</v>
      </c>
      <c r="C752" s="180">
        <f>'רשימת מכשור 2015'!C751</f>
        <v>0</v>
      </c>
      <c r="D752" s="233">
        <f>'רשימת מכשור 2015'!D751</f>
        <v>0</v>
      </c>
      <c r="E752" s="180">
        <f>'רשימת מכשור 2015'!E751</f>
        <v>0</v>
      </c>
      <c r="F752" s="180">
        <f>'רשימת מכשור 2015'!F751</f>
        <v>0</v>
      </c>
      <c r="G752" s="181"/>
      <c r="H752" s="181">
        <f t="shared" si="31"/>
        <v>0</v>
      </c>
      <c r="I752" s="182"/>
      <c r="J752" s="181"/>
      <c r="K752" s="181"/>
      <c r="L752" s="181"/>
      <c r="M752" s="181" t="e">
        <f t="shared" si="32"/>
        <v>#DIV/0!</v>
      </c>
      <c r="N752" s="181"/>
      <c r="O752" s="183"/>
      <c r="P752" s="183"/>
      <c r="Q752" s="183"/>
    </row>
    <row r="753" spans="1:17" s="12" customFormat="1" ht="14.25" customHeight="1">
      <c r="A753" s="180">
        <f>'רשימת מכשור 2015'!A752</f>
        <v>0</v>
      </c>
      <c r="B753" s="180">
        <f>'רשימת מכשור 2015'!B752</f>
        <v>0</v>
      </c>
      <c r="C753" s="180">
        <f>'רשימת מכשור 2015'!C752</f>
        <v>0</v>
      </c>
      <c r="D753" s="233">
        <f>'רשימת מכשור 2015'!D752</f>
        <v>0</v>
      </c>
      <c r="E753" s="180">
        <f>'רשימת מכשור 2015'!E752</f>
        <v>0</v>
      </c>
      <c r="F753" s="180">
        <f>'רשימת מכשור 2015'!F752</f>
        <v>0</v>
      </c>
      <c r="G753" s="181"/>
      <c r="H753" s="181">
        <f t="shared" si="31"/>
        <v>0</v>
      </c>
      <c r="I753" s="182"/>
      <c r="J753" s="181"/>
      <c r="K753" s="181"/>
      <c r="L753" s="181"/>
      <c r="M753" s="181" t="e">
        <f t="shared" si="32"/>
        <v>#DIV/0!</v>
      </c>
      <c r="N753" s="181"/>
      <c r="O753" s="183"/>
      <c r="P753" s="183"/>
      <c r="Q753" s="183"/>
    </row>
    <row r="754" spans="1:17" s="12" customFormat="1" ht="14.25" customHeight="1">
      <c r="A754" s="180">
        <f>'רשימת מכשור 2015'!A753</f>
        <v>0</v>
      </c>
      <c r="B754" s="180">
        <f>'רשימת מכשור 2015'!B753</f>
        <v>0</v>
      </c>
      <c r="C754" s="180">
        <f>'רשימת מכשור 2015'!C753</f>
        <v>0</v>
      </c>
      <c r="D754" s="233">
        <f>'רשימת מכשור 2015'!D753</f>
        <v>0</v>
      </c>
      <c r="E754" s="180">
        <f>'רשימת מכשור 2015'!E753</f>
        <v>0</v>
      </c>
      <c r="F754" s="180">
        <f>'רשימת מכשור 2015'!F753</f>
        <v>0</v>
      </c>
      <c r="G754" s="181"/>
      <c r="H754" s="181">
        <f t="shared" si="31"/>
        <v>0</v>
      </c>
      <c r="I754" s="182"/>
      <c r="J754" s="181"/>
      <c r="K754" s="181"/>
      <c r="L754" s="181"/>
      <c r="M754" s="181" t="e">
        <f t="shared" si="32"/>
        <v>#DIV/0!</v>
      </c>
      <c r="N754" s="181"/>
      <c r="O754" s="183"/>
      <c r="P754" s="183"/>
      <c r="Q754" s="183"/>
    </row>
    <row r="755" spans="1:17" s="12" customFormat="1" ht="14.25" customHeight="1">
      <c r="A755" s="180">
        <f>'רשימת מכשור 2015'!A754</f>
        <v>0</v>
      </c>
      <c r="B755" s="180">
        <f>'רשימת מכשור 2015'!B754</f>
        <v>0</v>
      </c>
      <c r="C755" s="180">
        <f>'רשימת מכשור 2015'!C754</f>
        <v>0</v>
      </c>
      <c r="D755" s="233">
        <f>'רשימת מכשור 2015'!D754</f>
        <v>0</v>
      </c>
      <c r="E755" s="180">
        <f>'רשימת מכשור 2015'!E754</f>
        <v>0</v>
      </c>
      <c r="F755" s="180">
        <f>'רשימת מכשור 2015'!F754</f>
        <v>0</v>
      </c>
      <c r="G755" s="181"/>
      <c r="H755" s="181">
        <f t="shared" si="31"/>
        <v>0</v>
      </c>
      <c r="I755" s="182"/>
      <c r="J755" s="181"/>
      <c r="K755" s="181"/>
      <c r="L755" s="181"/>
      <c r="M755" s="181" t="e">
        <f t="shared" si="32"/>
        <v>#DIV/0!</v>
      </c>
      <c r="N755" s="181"/>
      <c r="O755" s="183"/>
      <c r="P755" s="183"/>
      <c r="Q755" s="183"/>
    </row>
    <row r="756" spans="1:17" s="12" customFormat="1" ht="14.25" customHeight="1">
      <c r="A756" s="180">
        <f>'רשימת מכשור 2015'!A755</f>
        <v>0</v>
      </c>
      <c r="B756" s="180">
        <f>'רשימת מכשור 2015'!B755</f>
        <v>0</v>
      </c>
      <c r="C756" s="180">
        <f>'רשימת מכשור 2015'!C755</f>
        <v>0</v>
      </c>
      <c r="D756" s="233">
        <f>'רשימת מכשור 2015'!D755</f>
        <v>0</v>
      </c>
      <c r="E756" s="180">
        <f>'רשימת מכשור 2015'!E755</f>
        <v>0</v>
      </c>
      <c r="F756" s="180">
        <f>'רשימת מכשור 2015'!F755</f>
        <v>0</v>
      </c>
      <c r="G756" s="181"/>
      <c r="H756" s="181">
        <f t="shared" si="31"/>
        <v>0</v>
      </c>
      <c r="I756" s="182"/>
      <c r="J756" s="181"/>
      <c r="K756" s="181"/>
      <c r="L756" s="181"/>
      <c r="M756" s="181" t="e">
        <f t="shared" si="32"/>
        <v>#DIV/0!</v>
      </c>
      <c r="N756" s="181"/>
      <c r="O756" s="183"/>
      <c r="P756" s="183"/>
      <c r="Q756" s="183"/>
    </row>
    <row r="757" spans="1:17" s="12" customFormat="1" ht="14.25" customHeight="1">
      <c r="A757" s="180">
        <f>'רשימת מכשור 2015'!A756</f>
        <v>0</v>
      </c>
      <c r="B757" s="180">
        <f>'רשימת מכשור 2015'!B756</f>
        <v>0</v>
      </c>
      <c r="C757" s="180">
        <f>'רשימת מכשור 2015'!C756</f>
        <v>0</v>
      </c>
      <c r="D757" s="233">
        <f>'רשימת מכשור 2015'!D756</f>
        <v>0</v>
      </c>
      <c r="E757" s="180">
        <f>'רשימת מכשור 2015'!E756</f>
        <v>0</v>
      </c>
      <c r="F757" s="180">
        <f>'רשימת מכשור 2015'!F756</f>
        <v>0</v>
      </c>
      <c r="G757" s="181"/>
      <c r="H757" s="181">
        <f t="shared" si="31"/>
        <v>0</v>
      </c>
      <c r="I757" s="182"/>
      <c r="J757" s="181"/>
      <c r="K757" s="181"/>
      <c r="L757" s="181"/>
      <c r="M757" s="181" t="e">
        <f t="shared" si="32"/>
        <v>#DIV/0!</v>
      </c>
      <c r="N757" s="181"/>
      <c r="O757" s="183"/>
      <c r="P757" s="183"/>
      <c r="Q757" s="183"/>
    </row>
    <row r="758" spans="1:17" s="12" customFormat="1" ht="14.25" customHeight="1">
      <c r="A758" s="180">
        <f>'רשימת מכשור 2015'!A757</f>
        <v>0</v>
      </c>
      <c r="B758" s="180">
        <f>'רשימת מכשור 2015'!B757</f>
        <v>0</v>
      </c>
      <c r="C758" s="180">
        <f>'רשימת מכשור 2015'!C757</f>
        <v>0</v>
      </c>
      <c r="D758" s="233">
        <f>'רשימת מכשור 2015'!D757</f>
        <v>0</v>
      </c>
      <c r="E758" s="180">
        <f>'רשימת מכשור 2015'!E757</f>
        <v>0</v>
      </c>
      <c r="F758" s="180">
        <f>'רשימת מכשור 2015'!F757</f>
        <v>0</v>
      </c>
      <c r="G758" s="181"/>
      <c r="H758" s="181">
        <f t="shared" si="31"/>
        <v>0</v>
      </c>
      <c r="I758" s="182"/>
      <c r="J758" s="181"/>
      <c r="K758" s="181"/>
      <c r="L758" s="181"/>
      <c r="M758" s="181" t="e">
        <f t="shared" si="32"/>
        <v>#DIV/0!</v>
      </c>
      <c r="N758" s="181"/>
      <c r="O758" s="183"/>
      <c r="P758" s="183"/>
      <c r="Q758" s="183"/>
    </row>
    <row r="759" spans="1:17" s="12" customFormat="1" ht="14.25" customHeight="1">
      <c r="A759" s="180">
        <f>'רשימת מכשור 2015'!A758</f>
        <v>0</v>
      </c>
      <c r="B759" s="180">
        <f>'רשימת מכשור 2015'!B758</f>
        <v>0</v>
      </c>
      <c r="C759" s="180">
        <f>'רשימת מכשור 2015'!C758</f>
        <v>0</v>
      </c>
      <c r="D759" s="233">
        <f>'רשימת מכשור 2015'!D758</f>
        <v>0</v>
      </c>
      <c r="E759" s="180">
        <f>'רשימת מכשור 2015'!E758</f>
        <v>0</v>
      </c>
      <c r="F759" s="180">
        <f>'רשימת מכשור 2015'!F758</f>
        <v>0</v>
      </c>
      <c r="G759" s="181"/>
      <c r="H759" s="181">
        <f t="shared" si="31"/>
        <v>0</v>
      </c>
      <c r="I759" s="182"/>
      <c r="J759" s="181"/>
      <c r="K759" s="181"/>
      <c r="L759" s="181"/>
      <c r="M759" s="181" t="e">
        <f t="shared" si="32"/>
        <v>#DIV/0!</v>
      </c>
      <c r="N759" s="181"/>
      <c r="O759" s="183"/>
      <c r="P759" s="183"/>
      <c r="Q759" s="183"/>
    </row>
    <row r="760" spans="1:17" s="12" customFormat="1" ht="14.25" customHeight="1">
      <c r="A760" s="180">
        <f>'רשימת מכשור 2015'!A759</f>
        <v>0</v>
      </c>
      <c r="B760" s="180">
        <f>'רשימת מכשור 2015'!B759</f>
        <v>0</v>
      </c>
      <c r="C760" s="180">
        <f>'רשימת מכשור 2015'!C759</f>
        <v>0</v>
      </c>
      <c r="D760" s="233">
        <f>'רשימת מכשור 2015'!D759</f>
        <v>0</v>
      </c>
      <c r="E760" s="180">
        <f>'רשימת מכשור 2015'!E759</f>
        <v>0</v>
      </c>
      <c r="F760" s="180">
        <f>'רשימת מכשור 2015'!F759</f>
        <v>0</v>
      </c>
      <c r="G760" s="181"/>
      <c r="H760" s="181">
        <f t="shared" si="31"/>
        <v>0</v>
      </c>
      <c r="I760" s="182"/>
      <c r="J760" s="181"/>
      <c r="K760" s="181"/>
      <c r="L760" s="181"/>
      <c r="M760" s="181" t="e">
        <f t="shared" si="32"/>
        <v>#DIV/0!</v>
      </c>
      <c r="N760" s="181"/>
      <c r="O760" s="183"/>
      <c r="P760" s="183"/>
      <c r="Q760" s="183"/>
    </row>
    <row r="761" spans="1:17" s="12" customFormat="1" ht="14.25" customHeight="1">
      <c r="A761" s="180">
        <f>'רשימת מכשור 2015'!A760</f>
        <v>0</v>
      </c>
      <c r="B761" s="180">
        <f>'רשימת מכשור 2015'!B760</f>
        <v>0</v>
      </c>
      <c r="C761" s="180">
        <f>'רשימת מכשור 2015'!C760</f>
        <v>0</v>
      </c>
      <c r="D761" s="233">
        <f>'רשימת מכשור 2015'!D760</f>
        <v>0</v>
      </c>
      <c r="E761" s="180">
        <f>'רשימת מכשור 2015'!E760</f>
        <v>0</v>
      </c>
      <c r="F761" s="180">
        <f>'רשימת מכשור 2015'!F760</f>
        <v>0</v>
      </c>
      <c r="G761" s="181"/>
      <c r="H761" s="181">
        <f t="shared" si="31"/>
        <v>0</v>
      </c>
      <c r="I761" s="182"/>
      <c r="J761" s="181"/>
      <c r="K761" s="181"/>
      <c r="L761" s="181"/>
      <c r="M761" s="181" t="e">
        <f t="shared" si="32"/>
        <v>#DIV/0!</v>
      </c>
      <c r="N761" s="181"/>
      <c r="O761" s="183"/>
      <c r="P761" s="183"/>
      <c r="Q761" s="183"/>
    </row>
    <row r="762" spans="1:17" s="12" customFormat="1" ht="14.25" customHeight="1">
      <c r="A762" s="180">
        <f>'רשימת מכשור 2015'!A761</f>
        <v>0</v>
      </c>
      <c r="B762" s="180">
        <f>'רשימת מכשור 2015'!B761</f>
        <v>0</v>
      </c>
      <c r="C762" s="180">
        <f>'רשימת מכשור 2015'!C761</f>
        <v>0</v>
      </c>
      <c r="D762" s="233">
        <f>'רשימת מכשור 2015'!D761</f>
        <v>0</v>
      </c>
      <c r="E762" s="180">
        <f>'רשימת מכשור 2015'!E761</f>
        <v>0</v>
      </c>
      <c r="F762" s="180">
        <f>'רשימת מכשור 2015'!F761</f>
        <v>0</v>
      </c>
      <c r="G762" s="181"/>
      <c r="H762" s="181">
        <f t="shared" si="31"/>
        <v>0</v>
      </c>
      <c r="I762" s="182"/>
      <c r="J762" s="181"/>
      <c r="K762" s="181"/>
      <c r="L762" s="181"/>
      <c r="M762" s="181" t="e">
        <f t="shared" si="32"/>
        <v>#DIV/0!</v>
      </c>
      <c r="N762" s="181"/>
      <c r="O762" s="183"/>
      <c r="P762" s="183"/>
      <c r="Q762" s="183"/>
    </row>
    <row r="763" spans="1:17" s="12" customFormat="1" ht="14.25" customHeight="1">
      <c r="A763" s="180">
        <f>'רשימת מכשור 2015'!A762</f>
        <v>0</v>
      </c>
      <c r="B763" s="180">
        <f>'רשימת מכשור 2015'!B762</f>
        <v>0</v>
      </c>
      <c r="C763" s="180">
        <f>'רשימת מכשור 2015'!C762</f>
        <v>0</v>
      </c>
      <c r="D763" s="233">
        <f>'רשימת מכשור 2015'!D762</f>
        <v>0</v>
      </c>
      <c r="E763" s="180">
        <f>'רשימת מכשור 2015'!E762</f>
        <v>0</v>
      </c>
      <c r="F763" s="180">
        <f>'רשימת מכשור 2015'!F762</f>
        <v>0</v>
      </c>
      <c r="G763" s="181"/>
      <c r="H763" s="181">
        <f t="shared" si="31"/>
        <v>0</v>
      </c>
      <c r="I763" s="182"/>
      <c r="J763" s="181"/>
      <c r="K763" s="181"/>
      <c r="L763" s="181"/>
      <c r="M763" s="181" t="e">
        <f t="shared" si="32"/>
        <v>#DIV/0!</v>
      </c>
      <c r="N763" s="181"/>
      <c r="O763" s="183"/>
      <c r="P763" s="183"/>
      <c r="Q763" s="183"/>
    </row>
    <row r="764" spans="1:17" s="12" customFormat="1" ht="14.25" customHeight="1">
      <c r="A764" s="180">
        <f>'רשימת מכשור 2015'!A763</f>
        <v>0</v>
      </c>
      <c r="B764" s="180">
        <f>'רשימת מכשור 2015'!B763</f>
        <v>0</v>
      </c>
      <c r="C764" s="180">
        <f>'רשימת מכשור 2015'!C763</f>
        <v>0</v>
      </c>
      <c r="D764" s="233">
        <f>'רשימת מכשור 2015'!D763</f>
        <v>0</v>
      </c>
      <c r="E764" s="180">
        <f>'רשימת מכשור 2015'!E763</f>
        <v>0</v>
      </c>
      <c r="F764" s="180">
        <f>'רשימת מכשור 2015'!F763</f>
        <v>0</v>
      </c>
      <c r="G764" s="181"/>
      <c r="H764" s="181">
        <f t="shared" si="31"/>
        <v>0</v>
      </c>
      <c r="I764" s="182"/>
      <c r="J764" s="181"/>
      <c r="K764" s="181"/>
      <c r="L764" s="181"/>
      <c r="M764" s="181" t="e">
        <f t="shared" si="32"/>
        <v>#DIV/0!</v>
      </c>
      <c r="N764" s="181"/>
      <c r="O764" s="183"/>
      <c r="P764" s="183"/>
      <c r="Q764" s="183"/>
    </row>
    <row r="765" spans="1:17" s="12" customFormat="1" ht="14.25" customHeight="1">
      <c r="A765" s="180">
        <f>'רשימת מכשור 2015'!A764</f>
        <v>0</v>
      </c>
      <c r="B765" s="180">
        <f>'רשימת מכשור 2015'!B764</f>
        <v>0</v>
      </c>
      <c r="C765" s="180">
        <f>'רשימת מכשור 2015'!C764</f>
        <v>0</v>
      </c>
      <c r="D765" s="233">
        <f>'רשימת מכשור 2015'!D764</f>
        <v>0</v>
      </c>
      <c r="E765" s="180">
        <f>'רשימת מכשור 2015'!E764</f>
        <v>0</v>
      </c>
      <c r="F765" s="180">
        <f>'רשימת מכשור 2015'!F764</f>
        <v>0</v>
      </c>
      <c r="G765" s="181"/>
      <c r="H765" s="181">
        <f t="shared" si="31"/>
        <v>0</v>
      </c>
      <c r="I765" s="182"/>
      <c r="J765" s="181"/>
      <c r="K765" s="181"/>
      <c r="L765" s="181"/>
      <c r="M765" s="181" t="e">
        <f t="shared" si="32"/>
        <v>#DIV/0!</v>
      </c>
      <c r="N765" s="181"/>
      <c r="O765" s="183"/>
      <c r="P765" s="183"/>
      <c r="Q765" s="183"/>
    </row>
    <row r="766" spans="1:17" s="12" customFormat="1" ht="14.25" customHeight="1">
      <c r="A766" s="180">
        <f>'רשימת מכשור 2015'!A765</f>
        <v>0</v>
      </c>
      <c r="B766" s="180">
        <f>'רשימת מכשור 2015'!B765</f>
        <v>0</v>
      </c>
      <c r="C766" s="180">
        <f>'רשימת מכשור 2015'!C765</f>
        <v>0</v>
      </c>
      <c r="D766" s="233">
        <f>'רשימת מכשור 2015'!D765</f>
        <v>0</v>
      </c>
      <c r="E766" s="180">
        <f>'רשימת מכשור 2015'!E765</f>
        <v>0</v>
      </c>
      <c r="F766" s="180">
        <f>'רשימת מכשור 2015'!F765</f>
        <v>0</v>
      </c>
      <c r="G766" s="181"/>
      <c r="H766" s="181">
        <f t="shared" si="31"/>
        <v>0</v>
      </c>
      <c r="I766" s="182"/>
      <c r="J766" s="181"/>
      <c r="K766" s="181"/>
      <c r="L766" s="181"/>
      <c r="M766" s="181" t="e">
        <f t="shared" si="32"/>
        <v>#DIV/0!</v>
      </c>
      <c r="N766" s="181"/>
      <c r="O766" s="183"/>
      <c r="P766" s="183"/>
      <c r="Q766" s="183"/>
    </row>
    <row r="767" spans="1:17" s="12" customFormat="1" ht="14.25" customHeight="1">
      <c r="A767" s="180">
        <f>'רשימת מכשור 2015'!A766</f>
        <v>0</v>
      </c>
      <c r="B767" s="180">
        <f>'רשימת מכשור 2015'!B766</f>
        <v>0</v>
      </c>
      <c r="C767" s="180">
        <f>'רשימת מכשור 2015'!C766</f>
        <v>0</v>
      </c>
      <c r="D767" s="233">
        <f>'רשימת מכשור 2015'!D766</f>
        <v>0</v>
      </c>
      <c r="E767" s="180">
        <f>'רשימת מכשור 2015'!E766</f>
        <v>0</v>
      </c>
      <c r="F767" s="180">
        <f>'רשימת מכשור 2015'!F766</f>
        <v>0</v>
      </c>
      <c r="G767" s="181"/>
      <c r="H767" s="181">
        <f t="shared" si="31"/>
        <v>0</v>
      </c>
      <c r="I767" s="182"/>
      <c r="J767" s="181"/>
      <c r="K767" s="181"/>
      <c r="L767" s="181"/>
      <c r="M767" s="181" t="e">
        <f t="shared" si="32"/>
        <v>#DIV/0!</v>
      </c>
      <c r="N767" s="181"/>
      <c r="O767" s="183"/>
      <c r="P767" s="183"/>
      <c r="Q767" s="183"/>
    </row>
    <row r="768" spans="1:17" s="12" customFormat="1" ht="14.25" customHeight="1">
      <c r="A768" s="180">
        <f>'רשימת מכשור 2015'!A767</f>
        <v>0</v>
      </c>
      <c r="B768" s="180">
        <f>'רשימת מכשור 2015'!B767</f>
        <v>0</v>
      </c>
      <c r="C768" s="180">
        <f>'רשימת מכשור 2015'!C767</f>
        <v>0</v>
      </c>
      <c r="D768" s="233">
        <f>'רשימת מכשור 2015'!D767</f>
        <v>0</v>
      </c>
      <c r="E768" s="180">
        <f>'רשימת מכשור 2015'!E767</f>
        <v>0</v>
      </c>
      <c r="F768" s="180">
        <f>'רשימת מכשור 2015'!F767</f>
        <v>0</v>
      </c>
      <c r="G768" s="181"/>
      <c r="H768" s="181">
        <f t="shared" si="31"/>
        <v>0</v>
      </c>
      <c r="I768" s="182"/>
      <c r="J768" s="181"/>
      <c r="K768" s="181"/>
      <c r="L768" s="181"/>
      <c r="M768" s="181" t="e">
        <f t="shared" si="32"/>
        <v>#DIV/0!</v>
      </c>
      <c r="N768" s="181"/>
      <c r="O768" s="183"/>
      <c r="P768" s="183"/>
      <c r="Q768" s="183"/>
    </row>
    <row r="769" spans="1:17" s="12" customFormat="1" ht="14.25" customHeight="1">
      <c r="A769" s="180">
        <f>'רשימת מכשור 2015'!A768</f>
        <v>0</v>
      </c>
      <c r="B769" s="180">
        <f>'רשימת מכשור 2015'!B768</f>
        <v>0</v>
      </c>
      <c r="C769" s="180">
        <f>'רשימת מכשור 2015'!C768</f>
        <v>0</v>
      </c>
      <c r="D769" s="233">
        <f>'רשימת מכשור 2015'!D768</f>
        <v>0</v>
      </c>
      <c r="E769" s="180">
        <f>'רשימת מכשור 2015'!E768</f>
        <v>0</v>
      </c>
      <c r="F769" s="180">
        <f>'רשימת מכשור 2015'!F768</f>
        <v>0</v>
      </c>
      <c r="G769" s="181"/>
      <c r="H769" s="181">
        <f t="shared" si="31"/>
        <v>0</v>
      </c>
      <c r="I769" s="182"/>
      <c r="J769" s="181"/>
      <c r="K769" s="181"/>
      <c r="L769" s="181"/>
      <c r="M769" s="181" t="e">
        <f t="shared" si="32"/>
        <v>#DIV/0!</v>
      </c>
      <c r="N769" s="181"/>
      <c r="O769" s="183"/>
      <c r="P769" s="183"/>
      <c r="Q769" s="183"/>
    </row>
    <row r="770" spans="1:17" s="12" customFormat="1" ht="14.25" customHeight="1">
      <c r="A770" s="180">
        <f>'רשימת מכשור 2015'!A769</f>
        <v>0</v>
      </c>
      <c r="B770" s="180">
        <f>'רשימת מכשור 2015'!B769</f>
        <v>0</v>
      </c>
      <c r="C770" s="180">
        <f>'רשימת מכשור 2015'!C769</f>
        <v>0</v>
      </c>
      <c r="D770" s="233">
        <f>'רשימת מכשור 2015'!D769</f>
        <v>0</v>
      </c>
      <c r="E770" s="180">
        <f>'רשימת מכשור 2015'!E769</f>
        <v>0</v>
      </c>
      <c r="F770" s="180">
        <f>'רשימת מכשור 2015'!F769</f>
        <v>0</v>
      </c>
      <c r="G770" s="181"/>
      <c r="H770" s="181">
        <f t="shared" si="31"/>
        <v>0</v>
      </c>
      <c r="I770" s="182"/>
      <c r="J770" s="181"/>
      <c r="K770" s="181"/>
      <c r="L770" s="181"/>
      <c r="M770" s="181" t="e">
        <f t="shared" si="32"/>
        <v>#DIV/0!</v>
      </c>
      <c r="N770" s="181"/>
      <c r="O770" s="183"/>
      <c r="P770" s="183"/>
      <c r="Q770" s="183"/>
    </row>
    <row r="771" spans="1:17" s="12" customFormat="1" ht="14.25" customHeight="1">
      <c r="A771" s="180">
        <f>'רשימת מכשור 2015'!A770</f>
        <v>0</v>
      </c>
      <c r="B771" s="180">
        <f>'רשימת מכשור 2015'!B770</f>
        <v>0</v>
      </c>
      <c r="C771" s="180">
        <f>'רשימת מכשור 2015'!C770</f>
        <v>0</v>
      </c>
      <c r="D771" s="233">
        <f>'רשימת מכשור 2015'!D770</f>
        <v>0</v>
      </c>
      <c r="E771" s="180">
        <f>'רשימת מכשור 2015'!E770</f>
        <v>0</v>
      </c>
      <c r="F771" s="180">
        <f>'רשימת מכשור 2015'!F770</f>
        <v>0</v>
      </c>
      <c r="G771" s="181"/>
      <c r="H771" s="181">
        <f t="shared" si="31"/>
        <v>0</v>
      </c>
      <c r="I771" s="182"/>
      <c r="J771" s="181"/>
      <c r="K771" s="181"/>
      <c r="L771" s="181"/>
      <c r="M771" s="181" t="e">
        <f t="shared" si="32"/>
        <v>#DIV/0!</v>
      </c>
      <c r="N771" s="181"/>
      <c r="O771" s="183"/>
      <c r="P771" s="183"/>
      <c r="Q771" s="183"/>
    </row>
    <row r="772" spans="1:17" s="12" customFormat="1" ht="14.25" customHeight="1">
      <c r="A772" s="180">
        <f>'רשימת מכשור 2015'!A771</f>
        <v>0</v>
      </c>
      <c r="B772" s="180">
        <f>'רשימת מכשור 2015'!B771</f>
        <v>0</v>
      </c>
      <c r="C772" s="180">
        <f>'רשימת מכשור 2015'!C771</f>
        <v>0</v>
      </c>
      <c r="D772" s="233">
        <f>'רשימת מכשור 2015'!D771</f>
        <v>0</v>
      </c>
      <c r="E772" s="180">
        <f>'רשימת מכשור 2015'!E771</f>
        <v>0</v>
      </c>
      <c r="F772" s="180">
        <f>'רשימת מכשור 2015'!F771</f>
        <v>0</v>
      </c>
      <c r="G772" s="181"/>
      <c r="H772" s="181">
        <f t="shared" si="31"/>
        <v>0</v>
      </c>
      <c r="I772" s="182"/>
      <c r="J772" s="181"/>
      <c r="K772" s="181"/>
      <c r="L772" s="181"/>
      <c r="M772" s="181" t="e">
        <f t="shared" si="32"/>
        <v>#DIV/0!</v>
      </c>
      <c r="N772" s="181"/>
      <c r="O772" s="183"/>
      <c r="P772" s="183"/>
      <c r="Q772" s="183"/>
    </row>
    <row r="773" spans="1:17" s="12" customFormat="1" ht="14.25" customHeight="1">
      <c r="A773" s="180">
        <f>'רשימת מכשור 2015'!A772</f>
        <v>0</v>
      </c>
      <c r="B773" s="180">
        <f>'רשימת מכשור 2015'!B772</f>
        <v>0</v>
      </c>
      <c r="C773" s="180">
        <f>'רשימת מכשור 2015'!C772</f>
        <v>0</v>
      </c>
      <c r="D773" s="233">
        <f>'רשימת מכשור 2015'!D772</f>
        <v>0</v>
      </c>
      <c r="E773" s="180">
        <f>'רשימת מכשור 2015'!E772</f>
        <v>0</v>
      </c>
      <c r="F773" s="180">
        <f>'רשימת מכשור 2015'!F772</f>
        <v>0</v>
      </c>
      <c r="G773" s="181"/>
      <c r="H773" s="181">
        <f t="shared" si="31"/>
        <v>0</v>
      </c>
      <c r="I773" s="182"/>
      <c r="J773" s="181"/>
      <c r="K773" s="181"/>
      <c r="L773" s="181"/>
      <c r="M773" s="181" t="e">
        <f t="shared" si="32"/>
        <v>#DIV/0!</v>
      </c>
      <c r="N773" s="181"/>
      <c r="O773" s="183"/>
      <c r="P773" s="183"/>
      <c r="Q773" s="183"/>
    </row>
    <row r="774" spans="1:17" s="12" customFormat="1" ht="14.25" customHeight="1">
      <c r="A774" s="180">
        <f>'רשימת מכשור 2015'!A773</f>
        <v>0</v>
      </c>
      <c r="B774" s="180">
        <f>'רשימת מכשור 2015'!B773</f>
        <v>0</v>
      </c>
      <c r="C774" s="180">
        <f>'רשימת מכשור 2015'!C773</f>
        <v>0</v>
      </c>
      <c r="D774" s="233">
        <f>'רשימת מכשור 2015'!D773</f>
        <v>0</v>
      </c>
      <c r="E774" s="180">
        <f>'רשימת מכשור 2015'!E773</f>
        <v>0</v>
      </c>
      <c r="F774" s="180">
        <f>'רשימת מכשור 2015'!F773</f>
        <v>0</v>
      </c>
      <c r="G774" s="181"/>
      <c r="H774" s="181">
        <f t="shared" si="31"/>
        <v>0</v>
      </c>
      <c r="I774" s="182"/>
      <c r="J774" s="181"/>
      <c r="K774" s="181"/>
      <c r="L774" s="181"/>
      <c r="M774" s="181" t="e">
        <f t="shared" si="32"/>
        <v>#DIV/0!</v>
      </c>
      <c r="N774" s="181"/>
      <c r="O774" s="183"/>
      <c r="P774" s="183"/>
      <c r="Q774" s="183"/>
    </row>
    <row r="775" spans="1:17" s="12" customFormat="1" ht="14.25" customHeight="1">
      <c r="A775" s="180">
        <f>'רשימת מכשור 2015'!A774</f>
        <v>0</v>
      </c>
      <c r="B775" s="180">
        <f>'רשימת מכשור 2015'!B774</f>
        <v>0</v>
      </c>
      <c r="C775" s="180">
        <f>'רשימת מכשור 2015'!C774</f>
        <v>0</v>
      </c>
      <c r="D775" s="233">
        <f>'רשימת מכשור 2015'!D774</f>
        <v>0</v>
      </c>
      <c r="E775" s="180">
        <f>'רשימת מכשור 2015'!E774</f>
        <v>0</v>
      </c>
      <c r="F775" s="180">
        <f>'רשימת מכשור 2015'!F774</f>
        <v>0</v>
      </c>
      <c r="G775" s="181"/>
      <c r="H775" s="181">
        <f t="shared" si="31"/>
        <v>0</v>
      </c>
      <c r="I775" s="182"/>
      <c r="J775" s="181"/>
      <c r="K775" s="181"/>
      <c r="L775" s="181"/>
      <c r="M775" s="181" t="e">
        <f t="shared" si="32"/>
        <v>#DIV/0!</v>
      </c>
      <c r="N775" s="181"/>
      <c r="O775" s="183"/>
      <c r="P775" s="183"/>
      <c r="Q775" s="183"/>
    </row>
    <row r="776" spans="1:17" s="12" customFormat="1" ht="14.25" customHeight="1">
      <c r="A776" s="180">
        <f>'רשימת מכשור 2015'!A775</f>
        <v>0</v>
      </c>
      <c r="B776" s="180">
        <f>'רשימת מכשור 2015'!B775</f>
        <v>0</v>
      </c>
      <c r="C776" s="180">
        <f>'רשימת מכשור 2015'!C775</f>
        <v>0</v>
      </c>
      <c r="D776" s="233">
        <f>'רשימת מכשור 2015'!D775</f>
        <v>0</v>
      </c>
      <c r="E776" s="180">
        <f>'רשימת מכשור 2015'!E775</f>
        <v>0</v>
      </c>
      <c r="F776" s="180">
        <f>'רשימת מכשור 2015'!F775</f>
        <v>0</v>
      </c>
      <c r="G776" s="181"/>
      <c r="H776" s="181">
        <f t="shared" si="31"/>
        <v>0</v>
      </c>
      <c r="I776" s="182"/>
      <c r="J776" s="181"/>
      <c r="K776" s="181"/>
      <c r="L776" s="181"/>
      <c r="M776" s="181" t="e">
        <f t="shared" si="32"/>
        <v>#DIV/0!</v>
      </c>
      <c r="N776" s="181"/>
      <c r="O776" s="183"/>
      <c r="P776" s="183"/>
      <c r="Q776" s="183"/>
    </row>
    <row r="777" spans="1:17" s="12" customFormat="1" ht="14.25" customHeight="1">
      <c r="A777" s="180">
        <f>'רשימת מכשור 2015'!A776</f>
        <v>0</v>
      </c>
      <c r="B777" s="180">
        <f>'רשימת מכשור 2015'!B776</f>
        <v>0</v>
      </c>
      <c r="C777" s="180">
        <f>'רשימת מכשור 2015'!C776</f>
        <v>0</v>
      </c>
      <c r="D777" s="233">
        <f>'רשימת מכשור 2015'!D776</f>
        <v>0</v>
      </c>
      <c r="E777" s="180">
        <f>'רשימת מכשור 2015'!E776</f>
        <v>0</v>
      </c>
      <c r="F777" s="180">
        <f>'רשימת מכשור 2015'!F776</f>
        <v>0</v>
      </c>
      <c r="G777" s="181"/>
      <c r="H777" s="181">
        <f t="shared" si="31"/>
        <v>0</v>
      </c>
      <c r="I777" s="182"/>
      <c r="J777" s="181"/>
      <c r="K777" s="181"/>
      <c r="L777" s="181"/>
      <c r="M777" s="181" t="e">
        <f t="shared" si="32"/>
        <v>#DIV/0!</v>
      </c>
      <c r="N777" s="181"/>
      <c r="O777" s="183"/>
      <c r="P777" s="183"/>
      <c r="Q777" s="183"/>
    </row>
    <row r="778" spans="1:17" s="12" customFormat="1" ht="14.25" customHeight="1">
      <c r="A778" s="180">
        <f>'רשימת מכשור 2015'!A777</f>
        <v>0</v>
      </c>
      <c r="B778" s="180">
        <f>'רשימת מכשור 2015'!B777</f>
        <v>0</v>
      </c>
      <c r="C778" s="180">
        <f>'רשימת מכשור 2015'!C777</f>
        <v>0</v>
      </c>
      <c r="D778" s="233">
        <f>'רשימת מכשור 2015'!D777</f>
        <v>0</v>
      </c>
      <c r="E778" s="180">
        <f>'רשימת מכשור 2015'!E777</f>
        <v>0</v>
      </c>
      <c r="F778" s="180">
        <f>'רשימת מכשור 2015'!F777</f>
        <v>0</v>
      </c>
      <c r="G778" s="181"/>
      <c r="H778" s="181">
        <f t="shared" si="31"/>
        <v>0</v>
      </c>
      <c r="I778" s="182"/>
      <c r="J778" s="181"/>
      <c r="K778" s="181"/>
      <c r="L778" s="181"/>
      <c r="M778" s="181" t="e">
        <f t="shared" si="32"/>
        <v>#DIV/0!</v>
      </c>
      <c r="N778" s="181"/>
      <c r="O778" s="183"/>
      <c r="P778" s="183"/>
      <c r="Q778" s="183"/>
    </row>
    <row r="779" spans="1:17" s="12" customFormat="1" ht="14.25" customHeight="1">
      <c r="A779" s="180">
        <f>'רשימת מכשור 2015'!A778</f>
        <v>0</v>
      </c>
      <c r="B779" s="180">
        <f>'רשימת מכשור 2015'!B778</f>
        <v>0</v>
      </c>
      <c r="C779" s="180">
        <f>'רשימת מכשור 2015'!C778</f>
        <v>0</v>
      </c>
      <c r="D779" s="233">
        <f>'רשימת מכשור 2015'!D778</f>
        <v>0</v>
      </c>
      <c r="E779" s="180">
        <f>'רשימת מכשור 2015'!E778</f>
        <v>0</v>
      </c>
      <c r="F779" s="180">
        <f>'רשימת מכשור 2015'!F778</f>
        <v>0</v>
      </c>
      <c r="G779" s="181"/>
      <c r="H779" s="181">
        <f t="shared" si="31"/>
        <v>0</v>
      </c>
      <c r="I779" s="182"/>
      <c r="J779" s="181"/>
      <c r="K779" s="181"/>
      <c r="L779" s="181"/>
      <c r="M779" s="181" t="e">
        <f t="shared" si="32"/>
        <v>#DIV/0!</v>
      </c>
      <c r="N779" s="181"/>
      <c r="O779" s="183"/>
      <c r="P779" s="183"/>
      <c r="Q779" s="183"/>
    </row>
    <row r="780" spans="1:17" s="12" customFormat="1" ht="14.25" customHeight="1">
      <c r="A780" s="180">
        <f>'רשימת מכשור 2015'!A779</f>
        <v>0</v>
      </c>
      <c r="B780" s="180">
        <f>'רשימת מכשור 2015'!B779</f>
        <v>0</v>
      </c>
      <c r="C780" s="180">
        <f>'רשימת מכשור 2015'!C779</f>
        <v>0</v>
      </c>
      <c r="D780" s="233">
        <f>'רשימת מכשור 2015'!D779</f>
        <v>0</v>
      </c>
      <c r="E780" s="180">
        <f>'רשימת מכשור 2015'!E779</f>
        <v>0</v>
      </c>
      <c r="F780" s="180">
        <f>'רשימת מכשור 2015'!F779</f>
        <v>0</v>
      </c>
      <c r="G780" s="181"/>
      <c r="H780" s="181">
        <f t="shared" si="31"/>
        <v>0</v>
      </c>
      <c r="I780" s="182"/>
      <c r="J780" s="181"/>
      <c r="K780" s="181"/>
      <c r="L780" s="181"/>
      <c r="M780" s="181" t="e">
        <f t="shared" si="32"/>
        <v>#DIV/0!</v>
      </c>
      <c r="N780" s="181"/>
      <c r="O780" s="183"/>
      <c r="P780" s="183"/>
      <c r="Q780" s="183"/>
    </row>
    <row r="781" spans="1:17" s="12" customFormat="1" ht="14.25" customHeight="1">
      <c r="A781" s="180">
        <f>'רשימת מכשור 2015'!A780</f>
        <v>0</v>
      </c>
      <c r="B781" s="180">
        <f>'רשימת מכשור 2015'!B780</f>
        <v>0</v>
      </c>
      <c r="C781" s="180">
        <f>'רשימת מכשור 2015'!C780</f>
        <v>0</v>
      </c>
      <c r="D781" s="233">
        <f>'רשימת מכשור 2015'!D780</f>
        <v>0</v>
      </c>
      <c r="E781" s="180">
        <f>'רשימת מכשור 2015'!E780</f>
        <v>0</v>
      </c>
      <c r="F781" s="180">
        <f>'רשימת מכשור 2015'!F780</f>
        <v>0</v>
      </c>
      <c r="G781" s="181"/>
      <c r="H781" s="181">
        <f t="shared" si="31"/>
        <v>0</v>
      </c>
      <c r="I781" s="182"/>
      <c r="J781" s="181"/>
      <c r="K781" s="181"/>
      <c r="L781" s="181"/>
      <c r="M781" s="181" t="e">
        <f t="shared" si="32"/>
        <v>#DIV/0!</v>
      </c>
      <c r="N781" s="181"/>
      <c r="O781" s="183"/>
      <c r="P781" s="183"/>
      <c r="Q781" s="183"/>
    </row>
    <row r="782" spans="1:17" s="12" customFormat="1" ht="14.25" customHeight="1">
      <c r="A782" s="180">
        <f>'רשימת מכשור 2015'!A781</f>
        <v>0</v>
      </c>
      <c r="B782" s="180">
        <f>'רשימת מכשור 2015'!B781</f>
        <v>0</v>
      </c>
      <c r="C782" s="180">
        <f>'רשימת מכשור 2015'!C781</f>
        <v>0</v>
      </c>
      <c r="D782" s="233">
        <f>'רשימת מכשור 2015'!D781</f>
        <v>0</v>
      </c>
      <c r="E782" s="180">
        <f>'רשימת מכשור 2015'!E781</f>
        <v>0</v>
      </c>
      <c r="F782" s="180">
        <f>'רשימת מכשור 2015'!F781</f>
        <v>0</v>
      </c>
      <c r="G782" s="181"/>
      <c r="H782" s="181">
        <f t="shared" si="31"/>
        <v>0</v>
      </c>
      <c r="I782" s="182"/>
      <c r="J782" s="181"/>
      <c r="K782" s="181"/>
      <c r="L782" s="181"/>
      <c r="M782" s="181" t="e">
        <f t="shared" si="32"/>
        <v>#DIV/0!</v>
      </c>
      <c r="N782" s="181"/>
      <c r="O782" s="183"/>
      <c r="P782" s="183"/>
      <c r="Q782" s="183"/>
    </row>
    <row r="783" spans="1:17" s="12" customFormat="1" ht="14.25" customHeight="1">
      <c r="A783" s="180">
        <f>'רשימת מכשור 2015'!A782</f>
        <v>0</v>
      </c>
      <c r="B783" s="180">
        <f>'רשימת מכשור 2015'!B782</f>
        <v>0</v>
      </c>
      <c r="C783" s="180">
        <f>'רשימת מכשור 2015'!C782</f>
        <v>0</v>
      </c>
      <c r="D783" s="233">
        <f>'רשימת מכשור 2015'!D782</f>
        <v>0</v>
      </c>
      <c r="E783" s="180">
        <f>'רשימת מכשור 2015'!E782</f>
        <v>0</v>
      </c>
      <c r="F783" s="180">
        <f>'רשימת מכשור 2015'!F782</f>
        <v>0</v>
      </c>
      <c r="G783" s="181"/>
      <c r="H783" s="181">
        <f t="shared" si="31"/>
        <v>0</v>
      </c>
      <c r="I783" s="182"/>
      <c r="J783" s="181"/>
      <c r="K783" s="181"/>
      <c r="L783" s="181"/>
      <c r="M783" s="181" t="e">
        <f t="shared" si="32"/>
        <v>#DIV/0!</v>
      </c>
      <c r="N783" s="181"/>
      <c r="O783" s="183"/>
      <c r="P783" s="183"/>
      <c r="Q783" s="183"/>
    </row>
    <row r="784" spans="1:17" s="12" customFormat="1" ht="14.25" customHeight="1">
      <c r="A784" s="180">
        <f>'רשימת מכשור 2015'!A783</f>
        <v>0</v>
      </c>
      <c r="B784" s="180">
        <f>'רשימת מכשור 2015'!B783</f>
        <v>0</v>
      </c>
      <c r="C784" s="180">
        <f>'רשימת מכשור 2015'!C783</f>
        <v>0</v>
      </c>
      <c r="D784" s="233">
        <f>'רשימת מכשור 2015'!D783</f>
        <v>0</v>
      </c>
      <c r="E784" s="180">
        <f>'רשימת מכשור 2015'!E783</f>
        <v>0</v>
      </c>
      <c r="F784" s="180">
        <f>'רשימת מכשור 2015'!F783</f>
        <v>0</v>
      </c>
      <c r="G784" s="181"/>
      <c r="H784" s="181">
        <f t="shared" si="31"/>
        <v>0</v>
      </c>
      <c r="I784" s="182"/>
      <c r="J784" s="181"/>
      <c r="K784" s="181"/>
      <c r="L784" s="181"/>
      <c r="M784" s="181" t="e">
        <f t="shared" si="32"/>
        <v>#DIV/0!</v>
      </c>
      <c r="N784" s="181"/>
      <c r="O784" s="183"/>
      <c r="P784" s="183"/>
      <c r="Q784" s="183"/>
    </row>
    <row r="785" spans="1:17" s="12" customFormat="1" ht="14.25" customHeight="1">
      <c r="A785" s="180">
        <f>'רשימת מכשור 2015'!A784</f>
        <v>0</v>
      </c>
      <c r="B785" s="180">
        <f>'רשימת מכשור 2015'!B784</f>
        <v>0</v>
      </c>
      <c r="C785" s="180">
        <f>'רשימת מכשור 2015'!C784</f>
        <v>0</v>
      </c>
      <c r="D785" s="233">
        <f>'רשימת מכשור 2015'!D784</f>
        <v>0</v>
      </c>
      <c r="E785" s="180">
        <f>'רשימת מכשור 2015'!E784</f>
        <v>0</v>
      </c>
      <c r="F785" s="180">
        <f>'רשימת מכשור 2015'!F784</f>
        <v>0</v>
      </c>
      <c r="G785" s="181"/>
      <c r="H785" s="181">
        <f t="shared" si="31"/>
        <v>0</v>
      </c>
      <c r="I785" s="182"/>
      <c r="J785" s="181"/>
      <c r="K785" s="181"/>
      <c r="L785" s="181"/>
      <c r="M785" s="181" t="e">
        <f t="shared" si="32"/>
        <v>#DIV/0!</v>
      </c>
      <c r="N785" s="181"/>
      <c r="O785" s="183"/>
      <c r="P785" s="183"/>
      <c r="Q785" s="183"/>
    </row>
    <row r="786" spans="1:17" ht="14.25" customHeight="1">
      <c r="A786" s="180">
        <f>'רשימת מכשור 2015'!A785</f>
        <v>0</v>
      </c>
      <c r="B786" s="180">
        <f>'רשימת מכשור 2015'!B785</f>
        <v>0</v>
      </c>
      <c r="C786" s="180">
        <f>'רשימת מכשור 2015'!C785</f>
        <v>0</v>
      </c>
      <c r="D786" s="233">
        <f>'רשימת מכשור 2015'!D785</f>
        <v>0</v>
      </c>
      <c r="E786" s="180">
        <f>'רשימת מכשור 2015'!E785</f>
        <v>0</v>
      </c>
      <c r="F786" s="180">
        <f>'רשימת מכשור 2015'!F785</f>
        <v>0</v>
      </c>
      <c r="G786" s="181"/>
      <c r="H786" s="181">
        <f t="shared" si="31"/>
        <v>0</v>
      </c>
      <c r="I786" s="182"/>
      <c r="J786" s="181"/>
      <c r="K786" s="181"/>
      <c r="L786" s="181"/>
      <c r="M786" s="181" t="e">
        <f t="shared" si="32"/>
        <v>#DIV/0!</v>
      </c>
      <c r="N786" s="181"/>
      <c r="O786" s="183"/>
      <c r="P786" s="183"/>
      <c r="Q786" s="193"/>
    </row>
    <row r="787" spans="1:17" ht="14.25" customHeight="1">
      <c r="A787" s="180">
        <f>'רשימת מכשור 2015'!A786</f>
        <v>0</v>
      </c>
      <c r="B787" s="180">
        <f>'רשימת מכשור 2015'!B786</f>
        <v>0</v>
      </c>
      <c r="C787" s="180">
        <f>'רשימת מכשור 2015'!C786</f>
        <v>0</v>
      </c>
      <c r="D787" s="233">
        <f>'רשימת מכשור 2015'!D786</f>
        <v>0</v>
      </c>
      <c r="E787" s="180">
        <f>'רשימת מכשור 2015'!E786</f>
        <v>0</v>
      </c>
      <c r="F787" s="180">
        <f>'רשימת מכשור 2015'!F786</f>
        <v>0</v>
      </c>
      <c r="G787" s="181"/>
      <c r="H787" s="181">
        <f t="shared" si="31"/>
        <v>0</v>
      </c>
      <c r="I787" s="182"/>
      <c r="J787" s="181"/>
      <c r="K787" s="181"/>
      <c r="L787" s="181"/>
      <c r="M787" s="181" t="e">
        <f t="shared" si="32"/>
        <v>#DIV/0!</v>
      </c>
      <c r="N787" s="181"/>
      <c r="O787" s="183"/>
      <c r="P787" s="183"/>
      <c r="Q787" s="193"/>
    </row>
    <row r="788" spans="1:17" ht="14.25" customHeight="1">
      <c r="A788" s="180">
        <f>'רשימת מכשור 2015'!A787</f>
        <v>0</v>
      </c>
      <c r="B788" s="180">
        <f>'רשימת מכשור 2015'!B787</f>
        <v>0</v>
      </c>
      <c r="C788" s="180">
        <f>'רשימת מכשור 2015'!C787</f>
        <v>0</v>
      </c>
      <c r="D788" s="233">
        <f>'רשימת מכשור 2015'!D787</f>
        <v>0</v>
      </c>
      <c r="E788" s="180">
        <f>'רשימת מכשור 2015'!E787</f>
        <v>0</v>
      </c>
      <c r="F788" s="180">
        <f>'רשימת מכשור 2015'!F787</f>
        <v>0</v>
      </c>
      <c r="G788" s="181"/>
      <c r="H788" s="181">
        <f t="shared" si="31"/>
        <v>0</v>
      </c>
      <c r="I788" s="182"/>
      <c r="J788" s="181"/>
      <c r="K788" s="181"/>
      <c r="L788" s="181"/>
      <c r="M788" s="181" t="e">
        <f t="shared" si="32"/>
        <v>#DIV/0!</v>
      </c>
      <c r="N788" s="181"/>
      <c r="O788" s="183"/>
      <c r="P788" s="183"/>
      <c r="Q788" s="193"/>
    </row>
    <row r="789" spans="1:17" ht="14.25" customHeight="1">
      <c r="A789" s="180">
        <f>'רשימת מכשור 2015'!A788</f>
        <v>0</v>
      </c>
      <c r="B789" s="180">
        <f>'רשימת מכשור 2015'!B788</f>
        <v>0</v>
      </c>
      <c r="C789" s="180">
        <f>'רשימת מכשור 2015'!C788</f>
        <v>0</v>
      </c>
      <c r="D789" s="233">
        <f>'רשימת מכשור 2015'!D788</f>
        <v>0</v>
      </c>
      <c r="E789" s="180">
        <f>'רשימת מכשור 2015'!E788</f>
        <v>0</v>
      </c>
      <c r="F789" s="180">
        <f>'רשימת מכשור 2015'!F788</f>
        <v>0</v>
      </c>
      <c r="G789" s="181"/>
      <c r="H789" s="181">
        <f t="shared" si="31"/>
        <v>0</v>
      </c>
      <c r="I789" s="182"/>
      <c r="J789" s="181"/>
      <c r="K789" s="181"/>
      <c r="L789" s="181"/>
      <c r="M789" s="181" t="e">
        <f t="shared" si="32"/>
        <v>#DIV/0!</v>
      </c>
      <c r="N789" s="181"/>
      <c r="O789" s="183"/>
      <c r="P789" s="183"/>
      <c r="Q789" s="193"/>
    </row>
    <row r="790" spans="1:17" ht="14.25" customHeight="1">
      <c r="A790" s="180">
        <f>'רשימת מכשור 2015'!A789</f>
        <v>0</v>
      </c>
      <c r="B790" s="180">
        <f>'רשימת מכשור 2015'!B789</f>
        <v>0</v>
      </c>
      <c r="C790" s="180">
        <f>'רשימת מכשור 2015'!C789</f>
        <v>0</v>
      </c>
      <c r="D790" s="233">
        <f>'רשימת מכשור 2015'!D789</f>
        <v>0</v>
      </c>
      <c r="E790" s="180">
        <f>'רשימת מכשור 2015'!E789</f>
        <v>0</v>
      </c>
      <c r="F790" s="180">
        <f>'רשימת מכשור 2015'!F789</f>
        <v>0</v>
      </c>
      <c r="G790" s="181"/>
      <c r="H790" s="181">
        <f t="shared" si="31"/>
        <v>0</v>
      </c>
      <c r="I790" s="182"/>
      <c r="J790" s="181"/>
      <c r="K790" s="181"/>
      <c r="L790" s="181"/>
      <c r="M790" s="181" t="e">
        <f t="shared" si="32"/>
        <v>#DIV/0!</v>
      </c>
      <c r="N790" s="181"/>
      <c r="O790" s="183"/>
      <c r="P790" s="183"/>
      <c r="Q790" s="193"/>
    </row>
    <row r="791" spans="1:17" ht="14.25" customHeight="1">
      <c r="A791" s="180">
        <f>'רשימת מכשור 2015'!A790</f>
        <v>0</v>
      </c>
      <c r="B791" s="180">
        <f>'רשימת מכשור 2015'!B790</f>
        <v>0</v>
      </c>
      <c r="C791" s="180">
        <f>'רשימת מכשור 2015'!C790</f>
        <v>0</v>
      </c>
      <c r="D791" s="233">
        <f>'רשימת מכשור 2015'!D790</f>
        <v>0</v>
      </c>
      <c r="E791" s="180">
        <f>'רשימת מכשור 2015'!E790</f>
        <v>0</v>
      </c>
      <c r="F791" s="180">
        <f>'רשימת מכשור 2015'!F790</f>
        <v>0</v>
      </c>
      <c r="G791" s="181"/>
      <c r="H791" s="181">
        <f t="shared" si="31"/>
        <v>0</v>
      </c>
      <c r="I791" s="182"/>
      <c r="J791" s="181"/>
      <c r="K791" s="181"/>
      <c r="L791" s="181"/>
      <c r="M791" s="181" t="e">
        <f t="shared" si="32"/>
        <v>#DIV/0!</v>
      </c>
      <c r="N791" s="181"/>
      <c r="O791" s="183"/>
      <c r="P791" s="183"/>
      <c r="Q791" s="193"/>
    </row>
    <row r="792" spans="1:17" ht="14.25" customHeight="1">
      <c r="A792" s="180">
        <f>'רשימת מכשור 2015'!A791</f>
        <v>0</v>
      </c>
      <c r="B792" s="180">
        <f>'רשימת מכשור 2015'!B791</f>
        <v>0</v>
      </c>
      <c r="C792" s="180">
        <f>'רשימת מכשור 2015'!C791</f>
        <v>0</v>
      </c>
      <c r="D792" s="233">
        <f>'רשימת מכשור 2015'!D791</f>
        <v>0</v>
      </c>
      <c r="E792" s="180">
        <f>'רשימת מכשור 2015'!E791</f>
        <v>0</v>
      </c>
      <c r="F792" s="180">
        <f>'רשימת מכשור 2015'!F791</f>
        <v>0</v>
      </c>
      <c r="G792" s="181"/>
      <c r="H792" s="181">
        <f t="shared" si="31"/>
        <v>0</v>
      </c>
      <c r="I792" s="182"/>
      <c r="J792" s="181"/>
      <c r="K792" s="181"/>
      <c r="L792" s="181"/>
      <c r="M792" s="181" t="e">
        <f t="shared" si="32"/>
        <v>#DIV/0!</v>
      </c>
      <c r="N792" s="181"/>
      <c r="O792" s="183"/>
      <c r="P792" s="183"/>
      <c r="Q792" s="193"/>
    </row>
    <row r="793" spans="1:17" ht="14.25" customHeight="1">
      <c r="A793" s="180">
        <f>'רשימת מכשור 2015'!A792</f>
        <v>0</v>
      </c>
      <c r="B793" s="180">
        <f>'רשימת מכשור 2015'!B792</f>
        <v>0</v>
      </c>
      <c r="C793" s="180">
        <f>'רשימת מכשור 2015'!C792</f>
        <v>0</v>
      </c>
      <c r="D793" s="233">
        <f>'רשימת מכשור 2015'!D792</f>
        <v>0</v>
      </c>
      <c r="E793" s="180">
        <f>'רשימת מכשור 2015'!E792</f>
        <v>0</v>
      </c>
      <c r="F793" s="180">
        <f>'רשימת מכשור 2015'!F792</f>
        <v>0</v>
      </c>
      <c r="G793" s="181"/>
      <c r="H793" s="181">
        <f t="shared" si="31"/>
        <v>0</v>
      </c>
      <c r="I793" s="182"/>
      <c r="J793" s="181"/>
      <c r="K793" s="181"/>
      <c r="L793" s="181"/>
      <c r="M793" s="181" t="e">
        <f t="shared" si="32"/>
        <v>#DIV/0!</v>
      </c>
      <c r="N793" s="181"/>
      <c r="O793" s="183"/>
      <c r="P793" s="183"/>
      <c r="Q793" s="193"/>
    </row>
    <row r="794" spans="1:17" ht="14.25" customHeight="1">
      <c r="A794" s="180">
        <f>'רשימת מכשור 2015'!A793</f>
        <v>0</v>
      </c>
      <c r="B794" s="180">
        <f>'רשימת מכשור 2015'!B793</f>
        <v>0</v>
      </c>
      <c r="C794" s="180">
        <f>'רשימת מכשור 2015'!C793</f>
        <v>0</v>
      </c>
      <c r="D794" s="233">
        <f>'רשימת מכשור 2015'!D793</f>
        <v>0</v>
      </c>
      <c r="E794" s="180">
        <f>'רשימת מכשור 2015'!E793</f>
        <v>0</v>
      </c>
      <c r="F794" s="180">
        <f>'רשימת מכשור 2015'!F793</f>
        <v>0</v>
      </c>
      <c r="G794" s="181"/>
      <c r="H794" s="181">
        <f t="shared" si="31"/>
        <v>0</v>
      </c>
      <c r="I794" s="182"/>
      <c r="J794" s="181"/>
      <c r="K794" s="181"/>
      <c r="L794" s="181"/>
      <c r="M794" s="181" t="e">
        <f t="shared" si="32"/>
        <v>#DIV/0!</v>
      </c>
      <c r="N794" s="181"/>
      <c r="O794" s="183"/>
      <c r="P794" s="183"/>
      <c r="Q794" s="193"/>
    </row>
    <row r="795" spans="1:17" ht="14.25" customHeight="1">
      <c r="A795" s="180">
        <f>'רשימת מכשור 2015'!A794</f>
        <v>0</v>
      </c>
      <c r="B795" s="180">
        <f>'רשימת מכשור 2015'!B794</f>
        <v>0</v>
      </c>
      <c r="C795" s="180">
        <f>'רשימת מכשור 2015'!C794</f>
        <v>0</v>
      </c>
      <c r="D795" s="233">
        <f>'רשימת מכשור 2015'!D794</f>
        <v>0</v>
      </c>
      <c r="E795" s="180">
        <f>'רשימת מכשור 2015'!E794</f>
        <v>0</v>
      </c>
      <c r="F795" s="180">
        <f>'רשימת מכשור 2015'!F794</f>
        <v>0</v>
      </c>
      <c r="G795" s="181"/>
      <c r="H795" s="181">
        <f t="shared" ref="H795:H858" si="33">G795*F795</f>
        <v>0</v>
      </c>
      <c r="I795" s="182"/>
      <c r="J795" s="181"/>
      <c r="K795" s="181"/>
      <c r="L795" s="181"/>
      <c r="M795" s="181" t="e">
        <f t="shared" si="32"/>
        <v>#DIV/0!</v>
      </c>
      <c r="N795" s="181"/>
      <c r="O795" s="183"/>
      <c r="P795" s="183"/>
      <c r="Q795" s="193"/>
    </row>
    <row r="796" spans="1:17" ht="14.25" customHeight="1">
      <c r="A796" s="180">
        <f>'רשימת מכשור 2015'!A795</f>
        <v>0</v>
      </c>
      <c r="B796" s="180">
        <f>'רשימת מכשור 2015'!B795</f>
        <v>0</v>
      </c>
      <c r="C796" s="180">
        <f>'רשימת מכשור 2015'!C795</f>
        <v>0</v>
      </c>
      <c r="D796" s="233">
        <f>'רשימת מכשור 2015'!D795</f>
        <v>0</v>
      </c>
      <c r="E796" s="180">
        <f>'רשימת מכשור 2015'!E795</f>
        <v>0</v>
      </c>
      <c r="F796" s="180">
        <f>'רשימת מכשור 2015'!F795</f>
        <v>0</v>
      </c>
      <c r="G796" s="181"/>
      <c r="H796" s="181">
        <f t="shared" si="33"/>
        <v>0</v>
      </c>
      <c r="I796" s="182"/>
      <c r="J796" s="181"/>
      <c r="K796" s="181"/>
      <c r="L796" s="181"/>
      <c r="M796" s="181" t="e">
        <f t="shared" si="32"/>
        <v>#DIV/0!</v>
      </c>
      <c r="N796" s="181"/>
      <c r="O796" s="183"/>
      <c r="P796" s="183"/>
      <c r="Q796" s="193"/>
    </row>
    <row r="797" spans="1:17" ht="14.25" customHeight="1">
      <c r="A797" s="180">
        <f>'רשימת מכשור 2015'!A796</f>
        <v>0</v>
      </c>
      <c r="B797" s="180">
        <f>'רשימת מכשור 2015'!B796</f>
        <v>0</v>
      </c>
      <c r="C797" s="180">
        <f>'רשימת מכשור 2015'!C796</f>
        <v>0</v>
      </c>
      <c r="D797" s="233">
        <f>'רשימת מכשור 2015'!D796</f>
        <v>0</v>
      </c>
      <c r="E797" s="180">
        <f>'רשימת מכשור 2015'!E796</f>
        <v>0</v>
      </c>
      <c r="F797" s="180">
        <f>'רשימת מכשור 2015'!F796</f>
        <v>0</v>
      </c>
      <c r="G797" s="181"/>
      <c r="H797" s="181">
        <f t="shared" si="33"/>
        <v>0</v>
      </c>
      <c r="I797" s="182"/>
      <c r="J797" s="181"/>
      <c r="K797" s="181"/>
      <c r="L797" s="181"/>
      <c r="M797" s="181" t="e">
        <f t="shared" si="32"/>
        <v>#DIV/0!</v>
      </c>
      <c r="N797" s="181"/>
      <c r="O797" s="183"/>
      <c r="P797" s="183"/>
      <c r="Q797" s="193"/>
    </row>
    <row r="798" spans="1:17" ht="14.25" customHeight="1">
      <c r="A798" s="180">
        <f>'רשימת מכשור 2015'!A797</f>
        <v>0</v>
      </c>
      <c r="B798" s="180">
        <f>'רשימת מכשור 2015'!B797</f>
        <v>0</v>
      </c>
      <c r="C798" s="180">
        <f>'רשימת מכשור 2015'!C797</f>
        <v>0</v>
      </c>
      <c r="D798" s="233">
        <f>'רשימת מכשור 2015'!D797</f>
        <v>0</v>
      </c>
      <c r="E798" s="180">
        <f>'רשימת מכשור 2015'!E797</f>
        <v>0</v>
      </c>
      <c r="F798" s="180">
        <f>'רשימת מכשור 2015'!F797</f>
        <v>0</v>
      </c>
      <c r="G798" s="181"/>
      <c r="H798" s="181">
        <f t="shared" si="33"/>
        <v>0</v>
      </c>
      <c r="I798" s="182"/>
      <c r="J798" s="181"/>
      <c r="K798" s="181"/>
      <c r="L798" s="181"/>
      <c r="M798" s="181" t="e">
        <f t="shared" si="32"/>
        <v>#DIV/0!</v>
      </c>
      <c r="N798" s="181"/>
      <c r="O798" s="183"/>
      <c r="P798" s="183"/>
      <c r="Q798" s="193"/>
    </row>
    <row r="799" spans="1:17" ht="14.25" customHeight="1">
      <c r="A799" s="180">
        <f>'רשימת מכשור 2015'!A798</f>
        <v>0</v>
      </c>
      <c r="B799" s="180">
        <f>'רשימת מכשור 2015'!B798</f>
        <v>0</v>
      </c>
      <c r="C799" s="180">
        <f>'רשימת מכשור 2015'!C798</f>
        <v>0</v>
      </c>
      <c r="D799" s="233">
        <f>'רשימת מכשור 2015'!D798</f>
        <v>0</v>
      </c>
      <c r="E799" s="180">
        <f>'רשימת מכשור 2015'!E798</f>
        <v>0</v>
      </c>
      <c r="F799" s="180">
        <f>'רשימת מכשור 2015'!F798</f>
        <v>0</v>
      </c>
      <c r="G799" s="181"/>
      <c r="H799" s="181">
        <f t="shared" si="33"/>
        <v>0</v>
      </c>
      <c r="I799" s="182"/>
      <c r="J799" s="181"/>
      <c r="K799" s="181"/>
      <c r="L799" s="181"/>
      <c r="M799" s="181" t="e">
        <f t="shared" si="32"/>
        <v>#DIV/0!</v>
      </c>
      <c r="N799" s="181"/>
      <c r="O799" s="183"/>
      <c r="P799" s="183"/>
      <c r="Q799" s="193"/>
    </row>
    <row r="800" spans="1:17" ht="14.25" customHeight="1">
      <c r="A800" s="180">
        <f>'רשימת מכשור 2015'!A799</f>
        <v>0</v>
      </c>
      <c r="B800" s="180">
        <f>'רשימת מכשור 2015'!B799</f>
        <v>0</v>
      </c>
      <c r="C800" s="180">
        <f>'רשימת מכשור 2015'!C799</f>
        <v>0</v>
      </c>
      <c r="D800" s="233">
        <f>'רשימת מכשור 2015'!D799</f>
        <v>0</v>
      </c>
      <c r="E800" s="180">
        <f>'רשימת מכשור 2015'!E799</f>
        <v>0</v>
      </c>
      <c r="F800" s="180">
        <f>'רשימת מכשור 2015'!F799</f>
        <v>0</v>
      </c>
      <c r="G800" s="181"/>
      <c r="H800" s="181">
        <f t="shared" si="33"/>
        <v>0</v>
      </c>
      <c r="I800" s="182"/>
      <c r="J800" s="181"/>
      <c r="K800" s="181"/>
      <c r="L800" s="181"/>
      <c r="M800" s="181" t="e">
        <f t="shared" si="32"/>
        <v>#DIV/0!</v>
      </c>
      <c r="N800" s="181"/>
      <c r="O800" s="183"/>
      <c r="P800" s="183"/>
      <c r="Q800" s="193"/>
    </row>
    <row r="801" spans="1:17" ht="14.25" customHeight="1">
      <c r="A801" s="180">
        <f>'רשימת מכשור 2015'!A800</f>
        <v>0</v>
      </c>
      <c r="B801" s="180">
        <f>'רשימת מכשור 2015'!B800</f>
        <v>0</v>
      </c>
      <c r="C801" s="180">
        <f>'רשימת מכשור 2015'!C800</f>
        <v>0</v>
      </c>
      <c r="D801" s="233">
        <f>'רשימת מכשור 2015'!D800</f>
        <v>0</v>
      </c>
      <c r="E801" s="180">
        <f>'רשימת מכשור 2015'!E800</f>
        <v>0</v>
      </c>
      <c r="F801" s="180">
        <f>'רשימת מכשור 2015'!F800</f>
        <v>0</v>
      </c>
      <c r="G801" s="181"/>
      <c r="H801" s="181">
        <f t="shared" si="33"/>
        <v>0</v>
      </c>
      <c r="I801" s="182"/>
      <c r="J801" s="181"/>
      <c r="K801" s="181"/>
      <c r="L801" s="181"/>
      <c r="M801" s="181" t="e">
        <f t="shared" ref="M801:M864" si="34">IF(AND(K801*L801*30*N801&gt;H801/J801,I801=""),"לרכוש","לא לרכוש")</f>
        <v>#DIV/0!</v>
      </c>
      <c r="N801" s="181"/>
      <c r="O801" s="183"/>
      <c r="P801" s="183"/>
      <c r="Q801" s="193"/>
    </row>
    <row r="802" spans="1:17" ht="14.25" customHeight="1">
      <c r="A802" s="180">
        <f>'רשימת מכשור 2015'!A801</f>
        <v>0</v>
      </c>
      <c r="B802" s="180">
        <f>'רשימת מכשור 2015'!B801</f>
        <v>0</v>
      </c>
      <c r="C802" s="180">
        <f>'רשימת מכשור 2015'!C801</f>
        <v>0</v>
      </c>
      <c r="D802" s="233">
        <f>'רשימת מכשור 2015'!D801</f>
        <v>0</v>
      </c>
      <c r="E802" s="180">
        <f>'רשימת מכשור 2015'!E801</f>
        <v>0</v>
      </c>
      <c r="F802" s="180">
        <f>'רשימת מכשור 2015'!F801</f>
        <v>0</v>
      </c>
      <c r="G802" s="181"/>
      <c r="H802" s="181">
        <f t="shared" si="33"/>
        <v>0</v>
      </c>
      <c r="I802" s="182"/>
      <c r="J802" s="181"/>
      <c r="K802" s="181"/>
      <c r="L802" s="181"/>
      <c r="M802" s="181" t="e">
        <f t="shared" si="34"/>
        <v>#DIV/0!</v>
      </c>
      <c r="N802" s="181"/>
      <c r="O802" s="183"/>
      <c r="P802" s="183"/>
      <c r="Q802" s="193"/>
    </row>
    <row r="803" spans="1:17" ht="14.25" customHeight="1">
      <c r="A803" s="180">
        <f>'רשימת מכשור 2015'!A802</f>
        <v>0</v>
      </c>
      <c r="B803" s="180">
        <f>'רשימת מכשור 2015'!B802</f>
        <v>0</v>
      </c>
      <c r="C803" s="180">
        <f>'רשימת מכשור 2015'!C802</f>
        <v>0</v>
      </c>
      <c r="D803" s="233">
        <f>'רשימת מכשור 2015'!D802</f>
        <v>0</v>
      </c>
      <c r="E803" s="180">
        <f>'רשימת מכשור 2015'!E802</f>
        <v>0</v>
      </c>
      <c r="F803" s="180">
        <f>'רשימת מכשור 2015'!F802</f>
        <v>0</v>
      </c>
      <c r="G803" s="181"/>
      <c r="H803" s="181">
        <f t="shared" si="33"/>
        <v>0</v>
      </c>
      <c r="I803" s="182"/>
      <c r="J803" s="181"/>
      <c r="K803" s="181"/>
      <c r="L803" s="181"/>
      <c r="M803" s="181" t="e">
        <f t="shared" si="34"/>
        <v>#DIV/0!</v>
      </c>
      <c r="N803" s="181"/>
      <c r="O803" s="183"/>
      <c r="P803" s="183"/>
      <c r="Q803" s="193"/>
    </row>
    <row r="804" spans="1:17" ht="14.25" customHeight="1">
      <c r="A804" s="180">
        <f>'רשימת מכשור 2015'!A803</f>
        <v>0</v>
      </c>
      <c r="B804" s="180">
        <f>'רשימת מכשור 2015'!B803</f>
        <v>0</v>
      </c>
      <c r="C804" s="180">
        <f>'רשימת מכשור 2015'!C803</f>
        <v>0</v>
      </c>
      <c r="D804" s="233">
        <f>'רשימת מכשור 2015'!D803</f>
        <v>0</v>
      </c>
      <c r="E804" s="180">
        <f>'רשימת מכשור 2015'!E803</f>
        <v>0</v>
      </c>
      <c r="F804" s="180">
        <f>'רשימת מכשור 2015'!F803</f>
        <v>0</v>
      </c>
      <c r="G804" s="181"/>
      <c r="H804" s="181">
        <f t="shared" si="33"/>
        <v>0</v>
      </c>
      <c r="I804" s="182"/>
      <c r="J804" s="181"/>
      <c r="K804" s="181"/>
      <c r="L804" s="181"/>
      <c r="M804" s="181" t="e">
        <f t="shared" si="34"/>
        <v>#DIV/0!</v>
      </c>
      <c r="N804" s="181"/>
      <c r="O804" s="183"/>
      <c r="P804" s="183"/>
      <c r="Q804" s="193"/>
    </row>
    <row r="805" spans="1:17" ht="14.25" customHeight="1">
      <c r="A805" s="180">
        <f>'רשימת מכשור 2015'!A804</f>
        <v>0</v>
      </c>
      <c r="B805" s="180">
        <f>'רשימת מכשור 2015'!B804</f>
        <v>0</v>
      </c>
      <c r="C805" s="180">
        <f>'רשימת מכשור 2015'!C804</f>
        <v>0</v>
      </c>
      <c r="D805" s="233">
        <f>'רשימת מכשור 2015'!D804</f>
        <v>0</v>
      </c>
      <c r="E805" s="180">
        <f>'רשימת מכשור 2015'!E804</f>
        <v>0</v>
      </c>
      <c r="F805" s="180">
        <f>'רשימת מכשור 2015'!F804</f>
        <v>0</v>
      </c>
      <c r="G805" s="181"/>
      <c r="H805" s="181">
        <f t="shared" si="33"/>
        <v>0</v>
      </c>
      <c r="I805" s="182"/>
      <c r="J805" s="181"/>
      <c r="K805" s="181"/>
      <c r="L805" s="181"/>
      <c r="M805" s="181" t="e">
        <f t="shared" si="34"/>
        <v>#DIV/0!</v>
      </c>
      <c r="N805" s="181"/>
      <c r="O805" s="183"/>
      <c r="P805" s="183"/>
      <c r="Q805" s="193"/>
    </row>
    <row r="806" spans="1:17" ht="14.25" customHeight="1">
      <c r="A806" s="180">
        <f>'רשימת מכשור 2015'!A805</f>
        <v>0</v>
      </c>
      <c r="B806" s="180">
        <f>'רשימת מכשור 2015'!B805</f>
        <v>0</v>
      </c>
      <c r="C806" s="180">
        <f>'רשימת מכשור 2015'!C805</f>
        <v>0</v>
      </c>
      <c r="D806" s="233">
        <f>'רשימת מכשור 2015'!D805</f>
        <v>0</v>
      </c>
      <c r="E806" s="180">
        <f>'רשימת מכשור 2015'!E805</f>
        <v>0</v>
      </c>
      <c r="F806" s="180">
        <f>'רשימת מכשור 2015'!F805</f>
        <v>0</v>
      </c>
      <c r="G806" s="181"/>
      <c r="H806" s="181">
        <f t="shared" si="33"/>
        <v>0</v>
      </c>
      <c r="I806" s="182"/>
      <c r="J806" s="181"/>
      <c r="K806" s="181"/>
      <c r="L806" s="181"/>
      <c r="M806" s="181" t="e">
        <f t="shared" si="34"/>
        <v>#DIV/0!</v>
      </c>
      <c r="N806" s="181"/>
      <c r="O806" s="183"/>
      <c r="P806" s="183"/>
      <c r="Q806" s="193"/>
    </row>
    <row r="807" spans="1:17" ht="14.25" customHeight="1">
      <c r="A807" s="180">
        <f>'רשימת מכשור 2015'!A806</f>
        <v>0</v>
      </c>
      <c r="B807" s="180">
        <f>'רשימת מכשור 2015'!B806</f>
        <v>0</v>
      </c>
      <c r="C807" s="180">
        <f>'רשימת מכשור 2015'!C806</f>
        <v>0</v>
      </c>
      <c r="D807" s="233">
        <f>'רשימת מכשור 2015'!D806</f>
        <v>0</v>
      </c>
      <c r="E807" s="180">
        <f>'רשימת מכשור 2015'!E806</f>
        <v>0</v>
      </c>
      <c r="F807" s="180">
        <f>'רשימת מכשור 2015'!F806</f>
        <v>0</v>
      </c>
      <c r="G807" s="181"/>
      <c r="H807" s="181">
        <f t="shared" si="33"/>
        <v>0</v>
      </c>
      <c r="I807" s="182"/>
      <c r="J807" s="181"/>
      <c r="K807" s="181"/>
      <c r="L807" s="181"/>
      <c r="M807" s="181" t="e">
        <f t="shared" si="34"/>
        <v>#DIV/0!</v>
      </c>
      <c r="N807" s="181"/>
      <c r="O807" s="183"/>
      <c r="P807" s="183"/>
      <c r="Q807" s="193"/>
    </row>
    <row r="808" spans="1:17" ht="14.25" customHeight="1">
      <c r="A808" s="180">
        <f>'רשימת מכשור 2015'!A807</f>
        <v>0</v>
      </c>
      <c r="B808" s="180">
        <f>'רשימת מכשור 2015'!B807</f>
        <v>0</v>
      </c>
      <c r="C808" s="180">
        <f>'רשימת מכשור 2015'!C807</f>
        <v>0</v>
      </c>
      <c r="D808" s="233">
        <f>'רשימת מכשור 2015'!D807</f>
        <v>0</v>
      </c>
      <c r="E808" s="180">
        <f>'רשימת מכשור 2015'!E807</f>
        <v>0</v>
      </c>
      <c r="F808" s="180">
        <f>'רשימת מכשור 2015'!F807</f>
        <v>0</v>
      </c>
      <c r="G808" s="181"/>
      <c r="H808" s="181">
        <f t="shared" si="33"/>
        <v>0</v>
      </c>
      <c r="I808" s="182"/>
      <c r="J808" s="181"/>
      <c r="K808" s="181"/>
      <c r="L808" s="181"/>
      <c r="M808" s="181" t="e">
        <f t="shared" si="34"/>
        <v>#DIV/0!</v>
      </c>
      <c r="N808" s="181"/>
      <c r="O808" s="183"/>
      <c r="P808" s="183"/>
      <c r="Q808" s="193"/>
    </row>
    <row r="809" spans="1:17" ht="14.25" customHeight="1">
      <c r="A809" s="180">
        <f>'רשימת מכשור 2015'!A808</f>
        <v>0</v>
      </c>
      <c r="B809" s="180">
        <f>'רשימת מכשור 2015'!B808</f>
        <v>0</v>
      </c>
      <c r="C809" s="180">
        <f>'רשימת מכשור 2015'!C808</f>
        <v>0</v>
      </c>
      <c r="D809" s="233">
        <f>'רשימת מכשור 2015'!D808</f>
        <v>0</v>
      </c>
      <c r="E809" s="180">
        <f>'רשימת מכשור 2015'!E808</f>
        <v>0</v>
      </c>
      <c r="F809" s="180">
        <f>'רשימת מכשור 2015'!F808</f>
        <v>0</v>
      </c>
      <c r="G809" s="181"/>
      <c r="H809" s="181">
        <f t="shared" si="33"/>
        <v>0</v>
      </c>
      <c r="I809" s="182"/>
      <c r="J809" s="181"/>
      <c r="K809" s="181"/>
      <c r="L809" s="181"/>
      <c r="M809" s="181" t="e">
        <f t="shared" si="34"/>
        <v>#DIV/0!</v>
      </c>
      <c r="N809" s="181"/>
      <c r="O809" s="183"/>
      <c r="P809" s="183"/>
      <c r="Q809" s="193"/>
    </row>
    <row r="810" spans="1:17" ht="14.25" customHeight="1">
      <c r="A810" s="180">
        <f>'רשימת מכשור 2015'!A809</f>
        <v>0</v>
      </c>
      <c r="B810" s="180">
        <f>'רשימת מכשור 2015'!B809</f>
        <v>0</v>
      </c>
      <c r="C810" s="180">
        <f>'רשימת מכשור 2015'!C809</f>
        <v>0</v>
      </c>
      <c r="D810" s="233">
        <f>'רשימת מכשור 2015'!D809</f>
        <v>0</v>
      </c>
      <c r="E810" s="180">
        <f>'רשימת מכשור 2015'!E809</f>
        <v>0</v>
      </c>
      <c r="F810" s="180">
        <f>'רשימת מכשור 2015'!F809</f>
        <v>0</v>
      </c>
      <c r="G810" s="181"/>
      <c r="H810" s="181">
        <f t="shared" si="33"/>
        <v>0</v>
      </c>
      <c r="I810" s="182"/>
      <c r="J810" s="181"/>
      <c r="K810" s="181"/>
      <c r="L810" s="181"/>
      <c r="M810" s="181" t="e">
        <f t="shared" si="34"/>
        <v>#DIV/0!</v>
      </c>
      <c r="N810" s="181"/>
      <c r="O810" s="183"/>
      <c r="P810" s="183"/>
      <c r="Q810" s="193"/>
    </row>
    <row r="811" spans="1:17" ht="14.25" customHeight="1">
      <c r="A811" s="180">
        <f>'רשימת מכשור 2015'!A810</f>
        <v>0</v>
      </c>
      <c r="B811" s="180">
        <f>'רשימת מכשור 2015'!B810</f>
        <v>0</v>
      </c>
      <c r="C811" s="180">
        <f>'רשימת מכשור 2015'!C810</f>
        <v>0</v>
      </c>
      <c r="D811" s="233">
        <f>'רשימת מכשור 2015'!D810</f>
        <v>0</v>
      </c>
      <c r="E811" s="180">
        <f>'רשימת מכשור 2015'!E810</f>
        <v>0</v>
      </c>
      <c r="F811" s="180">
        <f>'רשימת מכשור 2015'!F810</f>
        <v>0</v>
      </c>
      <c r="G811" s="181"/>
      <c r="H811" s="181">
        <f t="shared" si="33"/>
        <v>0</v>
      </c>
      <c r="I811" s="182"/>
      <c r="J811" s="181"/>
      <c r="K811" s="181"/>
      <c r="L811" s="181"/>
      <c r="M811" s="181" t="e">
        <f t="shared" si="34"/>
        <v>#DIV/0!</v>
      </c>
      <c r="N811" s="181"/>
      <c r="O811" s="183"/>
      <c r="P811" s="183"/>
      <c r="Q811" s="193"/>
    </row>
    <row r="812" spans="1:17" ht="14.25" customHeight="1">
      <c r="A812" s="180">
        <f>'רשימת מכשור 2015'!A811</f>
        <v>0</v>
      </c>
      <c r="B812" s="180">
        <f>'רשימת מכשור 2015'!B811</f>
        <v>0</v>
      </c>
      <c r="C812" s="180">
        <f>'רשימת מכשור 2015'!C811</f>
        <v>0</v>
      </c>
      <c r="D812" s="233">
        <f>'רשימת מכשור 2015'!D811</f>
        <v>0</v>
      </c>
      <c r="E812" s="180">
        <f>'רשימת מכשור 2015'!E811</f>
        <v>0</v>
      </c>
      <c r="F812" s="180">
        <f>'רשימת מכשור 2015'!F811</f>
        <v>0</v>
      </c>
      <c r="G812" s="181"/>
      <c r="H812" s="181">
        <f t="shared" si="33"/>
        <v>0</v>
      </c>
      <c r="I812" s="182"/>
      <c r="J812" s="181"/>
      <c r="K812" s="181"/>
      <c r="L812" s="181"/>
      <c r="M812" s="181" t="e">
        <f t="shared" si="34"/>
        <v>#DIV/0!</v>
      </c>
      <c r="N812" s="181"/>
      <c r="O812" s="183"/>
      <c r="P812" s="183"/>
      <c r="Q812" s="193"/>
    </row>
    <row r="813" spans="1:17" ht="14.25" customHeight="1">
      <c r="A813" s="180">
        <f>'רשימת מכשור 2015'!A812</f>
        <v>0</v>
      </c>
      <c r="B813" s="180">
        <f>'רשימת מכשור 2015'!B812</f>
        <v>0</v>
      </c>
      <c r="C813" s="180">
        <f>'רשימת מכשור 2015'!C812</f>
        <v>0</v>
      </c>
      <c r="D813" s="233">
        <f>'רשימת מכשור 2015'!D812</f>
        <v>0</v>
      </c>
      <c r="E813" s="180">
        <f>'רשימת מכשור 2015'!E812</f>
        <v>0</v>
      </c>
      <c r="F813" s="180">
        <f>'רשימת מכשור 2015'!F812</f>
        <v>0</v>
      </c>
      <c r="G813" s="181"/>
      <c r="H813" s="181">
        <f t="shared" si="33"/>
        <v>0</v>
      </c>
      <c r="I813" s="182"/>
      <c r="J813" s="181"/>
      <c r="K813" s="181"/>
      <c r="L813" s="181"/>
      <c r="M813" s="181" t="e">
        <f t="shared" si="34"/>
        <v>#DIV/0!</v>
      </c>
      <c r="N813" s="181"/>
      <c r="O813" s="183"/>
      <c r="P813" s="183"/>
      <c r="Q813" s="193"/>
    </row>
    <row r="814" spans="1:17" ht="14.25" customHeight="1">
      <c r="A814" s="180">
        <f>'רשימת מכשור 2015'!A813</f>
        <v>0</v>
      </c>
      <c r="B814" s="180">
        <f>'רשימת מכשור 2015'!B813</f>
        <v>0</v>
      </c>
      <c r="C814" s="180">
        <f>'רשימת מכשור 2015'!C813</f>
        <v>0</v>
      </c>
      <c r="D814" s="233">
        <f>'רשימת מכשור 2015'!D813</f>
        <v>0</v>
      </c>
      <c r="E814" s="180">
        <f>'רשימת מכשור 2015'!E813</f>
        <v>0</v>
      </c>
      <c r="F814" s="180">
        <f>'רשימת מכשור 2015'!F813</f>
        <v>0</v>
      </c>
      <c r="G814" s="181"/>
      <c r="H814" s="181">
        <f t="shared" si="33"/>
        <v>0</v>
      </c>
      <c r="I814" s="182"/>
      <c r="J814" s="181"/>
      <c r="K814" s="181"/>
      <c r="L814" s="181"/>
      <c r="M814" s="181" t="e">
        <f t="shared" si="34"/>
        <v>#DIV/0!</v>
      </c>
      <c r="N814" s="181"/>
      <c r="O814" s="183"/>
      <c r="P814" s="183"/>
      <c r="Q814" s="193"/>
    </row>
    <row r="815" spans="1:17" ht="14.25" customHeight="1">
      <c r="A815" s="180">
        <f>'רשימת מכשור 2015'!A814</f>
        <v>0</v>
      </c>
      <c r="B815" s="180">
        <f>'רשימת מכשור 2015'!B814</f>
        <v>0</v>
      </c>
      <c r="C815" s="180">
        <f>'רשימת מכשור 2015'!C814</f>
        <v>0</v>
      </c>
      <c r="D815" s="233">
        <f>'רשימת מכשור 2015'!D814</f>
        <v>0</v>
      </c>
      <c r="E815" s="180">
        <f>'רשימת מכשור 2015'!E814</f>
        <v>0</v>
      </c>
      <c r="F815" s="180">
        <f>'רשימת מכשור 2015'!F814</f>
        <v>0</v>
      </c>
      <c r="G815" s="181"/>
      <c r="H815" s="181">
        <f t="shared" si="33"/>
        <v>0</v>
      </c>
      <c r="I815" s="182"/>
      <c r="J815" s="181"/>
      <c r="K815" s="181"/>
      <c r="L815" s="181"/>
      <c r="M815" s="181" t="e">
        <f t="shared" si="34"/>
        <v>#DIV/0!</v>
      </c>
      <c r="N815" s="181"/>
      <c r="O815" s="183"/>
      <c r="P815" s="183"/>
      <c r="Q815" s="193"/>
    </row>
    <row r="816" spans="1:17" ht="14.25" customHeight="1">
      <c r="A816" s="180">
        <f>'רשימת מכשור 2015'!A815</f>
        <v>0</v>
      </c>
      <c r="B816" s="180">
        <f>'רשימת מכשור 2015'!B815</f>
        <v>0</v>
      </c>
      <c r="C816" s="180">
        <f>'רשימת מכשור 2015'!C815</f>
        <v>0</v>
      </c>
      <c r="D816" s="233">
        <f>'רשימת מכשור 2015'!D815</f>
        <v>0</v>
      </c>
      <c r="E816" s="180">
        <f>'רשימת מכשור 2015'!E815</f>
        <v>0</v>
      </c>
      <c r="F816" s="180">
        <f>'רשימת מכשור 2015'!F815</f>
        <v>0</v>
      </c>
      <c r="G816" s="181"/>
      <c r="H816" s="181">
        <f t="shared" si="33"/>
        <v>0</v>
      </c>
      <c r="I816" s="182"/>
      <c r="J816" s="181"/>
      <c r="K816" s="181"/>
      <c r="L816" s="181"/>
      <c r="M816" s="181" t="e">
        <f t="shared" si="34"/>
        <v>#DIV/0!</v>
      </c>
      <c r="N816" s="181"/>
      <c r="O816" s="183"/>
      <c r="P816" s="183"/>
      <c r="Q816" s="193"/>
    </row>
    <row r="817" spans="1:17" ht="14.25" customHeight="1">
      <c r="A817" s="180">
        <f>'רשימת מכשור 2015'!A816</f>
        <v>0</v>
      </c>
      <c r="B817" s="180">
        <f>'רשימת מכשור 2015'!B816</f>
        <v>0</v>
      </c>
      <c r="C817" s="180">
        <f>'רשימת מכשור 2015'!C816</f>
        <v>0</v>
      </c>
      <c r="D817" s="233">
        <f>'רשימת מכשור 2015'!D816</f>
        <v>0</v>
      </c>
      <c r="E817" s="180">
        <f>'רשימת מכשור 2015'!E816</f>
        <v>0</v>
      </c>
      <c r="F817" s="180">
        <f>'רשימת מכשור 2015'!F816</f>
        <v>0</v>
      </c>
      <c r="G817" s="181"/>
      <c r="H817" s="181">
        <f t="shared" si="33"/>
        <v>0</v>
      </c>
      <c r="I817" s="182"/>
      <c r="J817" s="181"/>
      <c r="K817" s="181"/>
      <c r="L817" s="181"/>
      <c r="M817" s="181" t="e">
        <f t="shared" si="34"/>
        <v>#DIV/0!</v>
      </c>
      <c r="N817" s="181"/>
      <c r="O817" s="183"/>
      <c r="P817" s="183"/>
      <c r="Q817" s="193"/>
    </row>
    <row r="818" spans="1:17" ht="14.25" customHeight="1">
      <c r="A818" s="180">
        <f>'רשימת מכשור 2015'!A817</f>
        <v>0</v>
      </c>
      <c r="B818" s="180">
        <f>'רשימת מכשור 2015'!B817</f>
        <v>0</v>
      </c>
      <c r="C818" s="180">
        <f>'רשימת מכשור 2015'!C817</f>
        <v>0</v>
      </c>
      <c r="D818" s="233">
        <f>'רשימת מכשור 2015'!D817</f>
        <v>0</v>
      </c>
      <c r="E818" s="180">
        <f>'רשימת מכשור 2015'!E817</f>
        <v>0</v>
      </c>
      <c r="F818" s="180">
        <f>'רשימת מכשור 2015'!F817</f>
        <v>0</v>
      </c>
      <c r="G818" s="181"/>
      <c r="H818" s="181">
        <f t="shared" si="33"/>
        <v>0</v>
      </c>
      <c r="I818" s="182"/>
      <c r="J818" s="181"/>
      <c r="K818" s="181"/>
      <c r="L818" s="181"/>
      <c r="M818" s="181" t="e">
        <f t="shared" si="34"/>
        <v>#DIV/0!</v>
      </c>
      <c r="N818" s="181"/>
      <c r="O818" s="183"/>
      <c r="P818" s="183"/>
      <c r="Q818" s="193"/>
    </row>
    <row r="819" spans="1:17" ht="14.25" customHeight="1">
      <c r="A819" s="180">
        <f>'רשימת מכשור 2015'!A818</f>
        <v>0</v>
      </c>
      <c r="B819" s="180">
        <f>'רשימת מכשור 2015'!B818</f>
        <v>0</v>
      </c>
      <c r="C819" s="180">
        <f>'רשימת מכשור 2015'!C818</f>
        <v>0</v>
      </c>
      <c r="D819" s="233">
        <f>'רשימת מכשור 2015'!D818</f>
        <v>0</v>
      </c>
      <c r="E819" s="180">
        <f>'רשימת מכשור 2015'!E818</f>
        <v>0</v>
      </c>
      <c r="F819" s="180">
        <f>'רשימת מכשור 2015'!F818</f>
        <v>0</v>
      </c>
      <c r="G819" s="181"/>
      <c r="H819" s="181">
        <f t="shared" si="33"/>
        <v>0</v>
      </c>
      <c r="I819" s="182"/>
      <c r="J819" s="181"/>
      <c r="K819" s="181"/>
      <c r="L819" s="181"/>
      <c r="M819" s="181" t="e">
        <f t="shared" si="34"/>
        <v>#DIV/0!</v>
      </c>
      <c r="N819" s="181"/>
      <c r="O819" s="183"/>
      <c r="P819" s="183"/>
      <c r="Q819" s="193"/>
    </row>
    <row r="820" spans="1:17" ht="14.25" customHeight="1">
      <c r="A820" s="180">
        <f>'רשימת מכשור 2015'!A819</f>
        <v>0</v>
      </c>
      <c r="B820" s="180">
        <f>'רשימת מכשור 2015'!B819</f>
        <v>0</v>
      </c>
      <c r="C820" s="180">
        <f>'רשימת מכשור 2015'!C819</f>
        <v>0</v>
      </c>
      <c r="D820" s="233">
        <f>'רשימת מכשור 2015'!D819</f>
        <v>0</v>
      </c>
      <c r="E820" s="180">
        <f>'רשימת מכשור 2015'!E819</f>
        <v>0</v>
      </c>
      <c r="F820" s="180">
        <f>'רשימת מכשור 2015'!F819</f>
        <v>0</v>
      </c>
      <c r="G820" s="181"/>
      <c r="H820" s="181">
        <f t="shared" si="33"/>
        <v>0</v>
      </c>
      <c r="I820" s="182"/>
      <c r="J820" s="181"/>
      <c r="K820" s="181"/>
      <c r="L820" s="181"/>
      <c r="M820" s="181" t="e">
        <f t="shared" si="34"/>
        <v>#DIV/0!</v>
      </c>
      <c r="N820" s="181"/>
      <c r="O820" s="183"/>
      <c r="P820" s="183"/>
      <c r="Q820" s="193"/>
    </row>
    <row r="821" spans="1:17" ht="14.25" customHeight="1">
      <c r="A821" s="180">
        <f>'רשימת מכשור 2015'!A820</f>
        <v>0</v>
      </c>
      <c r="B821" s="180">
        <f>'רשימת מכשור 2015'!B820</f>
        <v>0</v>
      </c>
      <c r="C821" s="180">
        <f>'רשימת מכשור 2015'!C820</f>
        <v>0</v>
      </c>
      <c r="D821" s="233">
        <f>'רשימת מכשור 2015'!D820</f>
        <v>0</v>
      </c>
      <c r="E821" s="180">
        <f>'רשימת מכשור 2015'!E820</f>
        <v>0</v>
      </c>
      <c r="F821" s="180">
        <f>'רשימת מכשור 2015'!F820</f>
        <v>0</v>
      </c>
      <c r="G821" s="181"/>
      <c r="H821" s="181">
        <f t="shared" si="33"/>
        <v>0</v>
      </c>
      <c r="I821" s="182"/>
      <c r="J821" s="181"/>
      <c r="K821" s="181"/>
      <c r="L821" s="181"/>
      <c r="M821" s="181" t="e">
        <f t="shared" si="34"/>
        <v>#DIV/0!</v>
      </c>
      <c r="N821" s="181"/>
      <c r="O821" s="183"/>
      <c r="P821" s="183"/>
      <c r="Q821" s="193"/>
    </row>
    <row r="822" spans="1:17" ht="14.25" customHeight="1">
      <c r="A822" s="180">
        <f>'רשימת מכשור 2015'!A821</f>
        <v>0</v>
      </c>
      <c r="B822" s="180">
        <f>'רשימת מכשור 2015'!B821</f>
        <v>0</v>
      </c>
      <c r="C822" s="180">
        <f>'רשימת מכשור 2015'!C821</f>
        <v>0</v>
      </c>
      <c r="D822" s="233">
        <f>'רשימת מכשור 2015'!D821</f>
        <v>0</v>
      </c>
      <c r="E822" s="180">
        <f>'רשימת מכשור 2015'!E821</f>
        <v>0</v>
      </c>
      <c r="F822" s="180">
        <f>'רשימת מכשור 2015'!F821</f>
        <v>0</v>
      </c>
      <c r="G822" s="181"/>
      <c r="H822" s="181">
        <f t="shared" si="33"/>
        <v>0</v>
      </c>
      <c r="I822" s="182"/>
      <c r="J822" s="181"/>
      <c r="K822" s="181"/>
      <c r="L822" s="181"/>
      <c r="M822" s="181" t="e">
        <f t="shared" si="34"/>
        <v>#DIV/0!</v>
      </c>
      <c r="N822" s="181"/>
      <c r="O822" s="183"/>
      <c r="P822" s="183"/>
      <c r="Q822" s="193"/>
    </row>
    <row r="823" spans="1:17" ht="14.25" customHeight="1">
      <c r="A823" s="180">
        <f>'רשימת מכשור 2015'!A822</f>
        <v>0</v>
      </c>
      <c r="B823" s="180">
        <f>'רשימת מכשור 2015'!B822</f>
        <v>0</v>
      </c>
      <c r="C823" s="180">
        <f>'רשימת מכשור 2015'!C822</f>
        <v>0</v>
      </c>
      <c r="D823" s="233">
        <f>'רשימת מכשור 2015'!D822</f>
        <v>0</v>
      </c>
      <c r="E823" s="180">
        <f>'רשימת מכשור 2015'!E822</f>
        <v>0</v>
      </c>
      <c r="F823" s="180">
        <f>'רשימת מכשור 2015'!F822</f>
        <v>0</v>
      </c>
      <c r="G823" s="181"/>
      <c r="H823" s="181">
        <f t="shared" si="33"/>
        <v>0</v>
      </c>
      <c r="I823" s="182"/>
      <c r="J823" s="181"/>
      <c r="K823" s="181"/>
      <c r="L823" s="181"/>
      <c r="M823" s="181" t="e">
        <f t="shared" si="34"/>
        <v>#DIV/0!</v>
      </c>
      <c r="N823" s="181"/>
      <c r="O823" s="183"/>
      <c r="P823" s="183"/>
      <c r="Q823" s="193"/>
    </row>
    <row r="824" spans="1:17" ht="14.25" customHeight="1">
      <c r="A824" s="180">
        <f>'רשימת מכשור 2015'!A823</f>
        <v>0</v>
      </c>
      <c r="B824" s="180">
        <f>'רשימת מכשור 2015'!B823</f>
        <v>0</v>
      </c>
      <c r="C824" s="180">
        <f>'רשימת מכשור 2015'!C823</f>
        <v>0</v>
      </c>
      <c r="D824" s="233">
        <f>'רשימת מכשור 2015'!D823</f>
        <v>0</v>
      </c>
      <c r="E824" s="180">
        <f>'רשימת מכשור 2015'!E823</f>
        <v>0</v>
      </c>
      <c r="F824" s="180">
        <f>'רשימת מכשור 2015'!F823</f>
        <v>0</v>
      </c>
      <c r="G824" s="181"/>
      <c r="H824" s="181">
        <f t="shared" si="33"/>
        <v>0</v>
      </c>
      <c r="I824" s="182"/>
      <c r="J824" s="181"/>
      <c r="K824" s="181"/>
      <c r="L824" s="181"/>
      <c r="M824" s="181" t="e">
        <f t="shared" si="34"/>
        <v>#DIV/0!</v>
      </c>
      <c r="N824" s="181"/>
      <c r="O824" s="183"/>
      <c r="P824" s="183"/>
      <c r="Q824" s="193"/>
    </row>
    <row r="825" spans="1:17" ht="14.25" customHeight="1">
      <c r="A825" s="180">
        <f>'רשימת מכשור 2015'!A824</f>
        <v>0</v>
      </c>
      <c r="B825" s="180">
        <f>'רשימת מכשור 2015'!B824</f>
        <v>0</v>
      </c>
      <c r="C825" s="180">
        <f>'רשימת מכשור 2015'!C824</f>
        <v>0</v>
      </c>
      <c r="D825" s="233">
        <f>'רשימת מכשור 2015'!D824</f>
        <v>0</v>
      </c>
      <c r="E825" s="180">
        <f>'רשימת מכשור 2015'!E824</f>
        <v>0</v>
      </c>
      <c r="F825" s="180">
        <f>'רשימת מכשור 2015'!F824</f>
        <v>0</v>
      </c>
      <c r="G825" s="181"/>
      <c r="H825" s="181">
        <f t="shared" si="33"/>
        <v>0</v>
      </c>
      <c r="I825" s="182"/>
      <c r="J825" s="181"/>
      <c r="K825" s="181"/>
      <c r="L825" s="181"/>
      <c r="M825" s="181" t="e">
        <f t="shared" si="34"/>
        <v>#DIV/0!</v>
      </c>
      <c r="N825" s="181"/>
      <c r="O825" s="183"/>
      <c r="P825" s="183"/>
      <c r="Q825" s="193"/>
    </row>
    <row r="826" spans="1:17" ht="14.25" customHeight="1">
      <c r="A826" s="180">
        <f>'רשימת מכשור 2015'!A825</f>
        <v>0</v>
      </c>
      <c r="B826" s="180">
        <f>'רשימת מכשור 2015'!B825</f>
        <v>0</v>
      </c>
      <c r="C826" s="180">
        <f>'רשימת מכשור 2015'!C825</f>
        <v>0</v>
      </c>
      <c r="D826" s="233">
        <f>'רשימת מכשור 2015'!D825</f>
        <v>0</v>
      </c>
      <c r="E826" s="180">
        <f>'רשימת מכשור 2015'!E825</f>
        <v>0</v>
      </c>
      <c r="F826" s="180">
        <f>'רשימת מכשור 2015'!F825</f>
        <v>0</v>
      </c>
      <c r="G826" s="181"/>
      <c r="H826" s="181">
        <f t="shared" si="33"/>
        <v>0</v>
      </c>
      <c r="I826" s="182"/>
      <c r="J826" s="181"/>
      <c r="K826" s="181"/>
      <c r="L826" s="181"/>
      <c r="M826" s="181" t="e">
        <f t="shared" si="34"/>
        <v>#DIV/0!</v>
      </c>
      <c r="N826" s="181"/>
      <c r="O826" s="183"/>
      <c r="P826" s="183"/>
      <c r="Q826" s="193"/>
    </row>
    <row r="827" spans="1:17" ht="14.25" customHeight="1">
      <c r="A827" s="180">
        <f>'רשימת מכשור 2015'!A826</f>
        <v>0</v>
      </c>
      <c r="B827" s="180">
        <f>'רשימת מכשור 2015'!B826</f>
        <v>0</v>
      </c>
      <c r="C827" s="180">
        <f>'רשימת מכשור 2015'!C826</f>
        <v>0</v>
      </c>
      <c r="D827" s="233">
        <f>'רשימת מכשור 2015'!D826</f>
        <v>0</v>
      </c>
      <c r="E827" s="180">
        <f>'רשימת מכשור 2015'!E826</f>
        <v>0</v>
      </c>
      <c r="F827" s="180">
        <f>'רשימת מכשור 2015'!F826</f>
        <v>0</v>
      </c>
      <c r="G827" s="181"/>
      <c r="H827" s="181">
        <f t="shared" si="33"/>
        <v>0</v>
      </c>
      <c r="I827" s="182"/>
      <c r="J827" s="181"/>
      <c r="K827" s="181"/>
      <c r="L827" s="181"/>
      <c r="M827" s="181" t="e">
        <f t="shared" si="34"/>
        <v>#DIV/0!</v>
      </c>
      <c r="N827" s="181"/>
      <c r="O827" s="183"/>
      <c r="P827" s="183"/>
      <c r="Q827" s="193"/>
    </row>
    <row r="828" spans="1:17" ht="14.25" customHeight="1">
      <c r="A828" s="180">
        <f>'רשימת מכשור 2015'!A827</f>
        <v>0</v>
      </c>
      <c r="B828" s="180">
        <f>'רשימת מכשור 2015'!B827</f>
        <v>0</v>
      </c>
      <c r="C828" s="180">
        <f>'רשימת מכשור 2015'!C827</f>
        <v>0</v>
      </c>
      <c r="D828" s="233">
        <f>'רשימת מכשור 2015'!D827</f>
        <v>0</v>
      </c>
      <c r="E828" s="180">
        <f>'רשימת מכשור 2015'!E827</f>
        <v>0</v>
      </c>
      <c r="F828" s="180">
        <f>'רשימת מכשור 2015'!F827</f>
        <v>0</v>
      </c>
      <c r="G828" s="181"/>
      <c r="H828" s="181">
        <f t="shared" si="33"/>
        <v>0</v>
      </c>
      <c r="I828" s="182"/>
      <c r="J828" s="181"/>
      <c r="K828" s="181"/>
      <c r="L828" s="181"/>
      <c r="M828" s="181" t="e">
        <f t="shared" si="34"/>
        <v>#DIV/0!</v>
      </c>
      <c r="N828" s="181"/>
      <c r="O828" s="183"/>
      <c r="P828" s="183"/>
      <c r="Q828" s="193"/>
    </row>
    <row r="829" spans="1:17" ht="14.25" customHeight="1">
      <c r="A829" s="180">
        <f>'רשימת מכשור 2015'!A828</f>
        <v>0</v>
      </c>
      <c r="B829" s="180">
        <f>'רשימת מכשור 2015'!B828</f>
        <v>0</v>
      </c>
      <c r="C829" s="180">
        <f>'רשימת מכשור 2015'!C828</f>
        <v>0</v>
      </c>
      <c r="D829" s="233">
        <f>'רשימת מכשור 2015'!D828</f>
        <v>0</v>
      </c>
      <c r="E829" s="180">
        <f>'רשימת מכשור 2015'!E828</f>
        <v>0</v>
      </c>
      <c r="F829" s="180">
        <f>'רשימת מכשור 2015'!F828</f>
        <v>0</v>
      </c>
      <c r="G829" s="181"/>
      <c r="H829" s="181">
        <f t="shared" si="33"/>
        <v>0</v>
      </c>
      <c r="I829" s="182"/>
      <c r="J829" s="181"/>
      <c r="K829" s="181"/>
      <c r="L829" s="181"/>
      <c r="M829" s="181" t="e">
        <f t="shared" si="34"/>
        <v>#DIV/0!</v>
      </c>
      <c r="N829" s="181"/>
      <c r="O829" s="183"/>
      <c r="P829" s="183"/>
      <c r="Q829" s="193"/>
    </row>
    <row r="830" spans="1:17" ht="14.25" customHeight="1">
      <c r="A830" s="180">
        <f>'רשימת מכשור 2015'!A829</f>
        <v>0</v>
      </c>
      <c r="B830" s="180">
        <f>'רשימת מכשור 2015'!B829</f>
        <v>0</v>
      </c>
      <c r="C830" s="180">
        <f>'רשימת מכשור 2015'!C829</f>
        <v>0</v>
      </c>
      <c r="D830" s="233">
        <f>'רשימת מכשור 2015'!D829</f>
        <v>0</v>
      </c>
      <c r="E830" s="180">
        <f>'רשימת מכשור 2015'!E829</f>
        <v>0</v>
      </c>
      <c r="F830" s="180">
        <f>'רשימת מכשור 2015'!F829</f>
        <v>0</v>
      </c>
      <c r="G830" s="181"/>
      <c r="H830" s="181">
        <f t="shared" si="33"/>
        <v>0</v>
      </c>
      <c r="I830" s="182"/>
      <c r="J830" s="181"/>
      <c r="K830" s="181"/>
      <c r="L830" s="181"/>
      <c r="M830" s="181" t="e">
        <f t="shared" si="34"/>
        <v>#DIV/0!</v>
      </c>
      <c r="N830" s="181"/>
      <c r="O830" s="183"/>
      <c r="P830" s="183"/>
      <c r="Q830" s="193"/>
    </row>
    <row r="831" spans="1:17" ht="14.25" customHeight="1">
      <c r="A831" s="180">
        <f>'רשימת מכשור 2015'!A830</f>
        <v>0</v>
      </c>
      <c r="B831" s="180">
        <f>'רשימת מכשור 2015'!B830</f>
        <v>0</v>
      </c>
      <c r="C831" s="180">
        <f>'רשימת מכשור 2015'!C830</f>
        <v>0</v>
      </c>
      <c r="D831" s="233">
        <f>'רשימת מכשור 2015'!D830</f>
        <v>0</v>
      </c>
      <c r="E831" s="180">
        <f>'רשימת מכשור 2015'!E830</f>
        <v>0</v>
      </c>
      <c r="F831" s="180">
        <f>'רשימת מכשור 2015'!F830</f>
        <v>0</v>
      </c>
      <c r="G831" s="181"/>
      <c r="H831" s="181">
        <f t="shared" si="33"/>
        <v>0</v>
      </c>
      <c r="I831" s="182"/>
      <c r="J831" s="181"/>
      <c r="K831" s="181"/>
      <c r="L831" s="181"/>
      <c r="M831" s="181" t="e">
        <f t="shared" si="34"/>
        <v>#DIV/0!</v>
      </c>
      <c r="N831" s="181"/>
      <c r="O831" s="183"/>
      <c r="P831" s="183"/>
      <c r="Q831" s="193"/>
    </row>
    <row r="832" spans="1:17" ht="14.25" customHeight="1">
      <c r="A832" s="180">
        <f>'רשימת מכשור 2015'!A831</f>
        <v>0</v>
      </c>
      <c r="B832" s="180">
        <f>'רשימת מכשור 2015'!B831</f>
        <v>0</v>
      </c>
      <c r="C832" s="180">
        <f>'רשימת מכשור 2015'!C831</f>
        <v>0</v>
      </c>
      <c r="D832" s="233">
        <f>'רשימת מכשור 2015'!D831</f>
        <v>0</v>
      </c>
      <c r="E832" s="180">
        <f>'רשימת מכשור 2015'!E831</f>
        <v>0</v>
      </c>
      <c r="F832" s="180">
        <f>'רשימת מכשור 2015'!F831</f>
        <v>0</v>
      </c>
      <c r="G832" s="181"/>
      <c r="H832" s="181">
        <f t="shared" si="33"/>
        <v>0</v>
      </c>
      <c r="I832" s="182"/>
      <c r="J832" s="181"/>
      <c r="K832" s="181"/>
      <c r="L832" s="181"/>
      <c r="M832" s="181" t="e">
        <f t="shared" si="34"/>
        <v>#DIV/0!</v>
      </c>
      <c r="N832" s="181"/>
      <c r="O832" s="183"/>
      <c r="P832" s="183"/>
      <c r="Q832" s="193"/>
    </row>
    <row r="833" spans="1:17" ht="14.25" customHeight="1">
      <c r="A833" s="180">
        <f>'רשימת מכשור 2015'!A832</f>
        <v>0</v>
      </c>
      <c r="B833" s="180">
        <f>'רשימת מכשור 2015'!B832</f>
        <v>0</v>
      </c>
      <c r="C833" s="180">
        <f>'רשימת מכשור 2015'!C832</f>
        <v>0</v>
      </c>
      <c r="D833" s="233">
        <f>'רשימת מכשור 2015'!D832</f>
        <v>0</v>
      </c>
      <c r="E833" s="180">
        <f>'רשימת מכשור 2015'!E832</f>
        <v>0</v>
      </c>
      <c r="F833" s="180">
        <f>'רשימת מכשור 2015'!F832</f>
        <v>0</v>
      </c>
      <c r="G833" s="181"/>
      <c r="H833" s="181">
        <f t="shared" si="33"/>
        <v>0</v>
      </c>
      <c r="I833" s="182"/>
      <c r="J833" s="181"/>
      <c r="K833" s="181"/>
      <c r="L833" s="181"/>
      <c r="M833" s="181" t="e">
        <f t="shared" si="34"/>
        <v>#DIV/0!</v>
      </c>
      <c r="N833" s="181"/>
      <c r="O833" s="183"/>
      <c r="P833" s="183"/>
      <c r="Q833" s="193"/>
    </row>
    <row r="834" spans="1:17" ht="14.25" customHeight="1">
      <c r="A834" s="180">
        <f>'רשימת מכשור 2015'!A833</f>
        <v>0</v>
      </c>
      <c r="B834" s="180">
        <f>'רשימת מכשור 2015'!B833</f>
        <v>0</v>
      </c>
      <c r="C834" s="180">
        <f>'רשימת מכשור 2015'!C833</f>
        <v>0</v>
      </c>
      <c r="D834" s="233">
        <f>'רשימת מכשור 2015'!D833</f>
        <v>0</v>
      </c>
      <c r="E834" s="180">
        <f>'רשימת מכשור 2015'!E833</f>
        <v>0</v>
      </c>
      <c r="F834" s="180">
        <f>'רשימת מכשור 2015'!F833</f>
        <v>0</v>
      </c>
      <c r="G834" s="181"/>
      <c r="H834" s="181">
        <f t="shared" si="33"/>
        <v>0</v>
      </c>
      <c r="I834" s="182"/>
      <c r="J834" s="181"/>
      <c r="K834" s="181"/>
      <c r="L834" s="181"/>
      <c r="M834" s="181" t="e">
        <f t="shared" si="34"/>
        <v>#DIV/0!</v>
      </c>
      <c r="N834" s="181"/>
      <c r="O834" s="183"/>
      <c r="P834" s="183"/>
      <c r="Q834" s="193"/>
    </row>
    <row r="835" spans="1:17" ht="14.25" customHeight="1">
      <c r="A835" s="180">
        <f>'רשימת מכשור 2015'!A834</f>
        <v>0</v>
      </c>
      <c r="B835" s="180">
        <f>'רשימת מכשור 2015'!B834</f>
        <v>0</v>
      </c>
      <c r="C835" s="180">
        <f>'רשימת מכשור 2015'!C834</f>
        <v>0</v>
      </c>
      <c r="D835" s="233">
        <f>'רשימת מכשור 2015'!D834</f>
        <v>0</v>
      </c>
      <c r="E835" s="180">
        <f>'רשימת מכשור 2015'!E834</f>
        <v>0</v>
      </c>
      <c r="F835" s="180">
        <f>'רשימת מכשור 2015'!F834</f>
        <v>0</v>
      </c>
      <c r="G835" s="181"/>
      <c r="H835" s="181">
        <f t="shared" si="33"/>
        <v>0</v>
      </c>
      <c r="I835" s="182"/>
      <c r="J835" s="181"/>
      <c r="K835" s="181"/>
      <c r="L835" s="181"/>
      <c r="M835" s="181" t="e">
        <f t="shared" si="34"/>
        <v>#DIV/0!</v>
      </c>
      <c r="N835" s="181"/>
      <c r="O835" s="183"/>
      <c r="P835" s="183"/>
      <c r="Q835" s="193"/>
    </row>
    <row r="836" spans="1:17" ht="14.25" customHeight="1">
      <c r="A836" s="180">
        <f>'רשימת מכשור 2015'!A835</f>
        <v>0</v>
      </c>
      <c r="B836" s="180">
        <f>'רשימת מכשור 2015'!B835</f>
        <v>0</v>
      </c>
      <c r="C836" s="180">
        <f>'רשימת מכשור 2015'!C835</f>
        <v>0</v>
      </c>
      <c r="D836" s="233">
        <f>'רשימת מכשור 2015'!D835</f>
        <v>0</v>
      </c>
      <c r="E836" s="180">
        <f>'רשימת מכשור 2015'!E835</f>
        <v>0</v>
      </c>
      <c r="F836" s="180">
        <f>'רשימת מכשור 2015'!F835</f>
        <v>0</v>
      </c>
      <c r="G836" s="181"/>
      <c r="H836" s="181">
        <f t="shared" si="33"/>
        <v>0</v>
      </c>
      <c r="I836" s="182"/>
      <c r="J836" s="181"/>
      <c r="K836" s="181"/>
      <c r="L836" s="181"/>
      <c r="M836" s="181" t="e">
        <f t="shared" si="34"/>
        <v>#DIV/0!</v>
      </c>
      <c r="N836" s="181"/>
      <c r="O836" s="183"/>
      <c r="P836" s="183"/>
      <c r="Q836" s="193"/>
    </row>
    <row r="837" spans="1:17" ht="14.25" customHeight="1">
      <c r="A837" s="180">
        <f>'רשימת מכשור 2015'!A836</f>
        <v>0</v>
      </c>
      <c r="B837" s="180">
        <f>'רשימת מכשור 2015'!B836</f>
        <v>0</v>
      </c>
      <c r="C837" s="180">
        <f>'רשימת מכשור 2015'!C836</f>
        <v>0</v>
      </c>
      <c r="D837" s="233">
        <f>'רשימת מכשור 2015'!D836</f>
        <v>0</v>
      </c>
      <c r="E837" s="180">
        <f>'רשימת מכשור 2015'!E836</f>
        <v>0</v>
      </c>
      <c r="F837" s="180">
        <f>'רשימת מכשור 2015'!F836</f>
        <v>0</v>
      </c>
      <c r="G837" s="181"/>
      <c r="H837" s="181">
        <f t="shared" si="33"/>
        <v>0</v>
      </c>
      <c r="I837" s="182"/>
      <c r="J837" s="181"/>
      <c r="K837" s="181"/>
      <c r="L837" s="181"/>
      <c r="M837" s="181" t="e">
        <f t="shared" si="34"/>
        <v>#DIV/0!</v>
      </c>
      <c r="N837" s="181"/>
      <c r="O837" s="183"/>
      <c r="P837" s="183"/>
      <c r="Q837" s="193"/>
    </row>
    <row r="838" spans="1:17" ht="14.25" customHeight="1">
      <c r="A838" s="180">
        <f>'רשימת מכשור 2015'!A837</f>
        <v>0</v>
      </c>
      <c r="B838" s="180">
        <f>'רשימת מכשור 2015'!B837</f>
        <v>0</v>
      </c>
      <c r="C838" s="180">
        <f>'רשימת מכשור 2015'!C837</f>
        <v>0</v>
      </c>
      <c r="D838" s="233">
        <f>'רשימת מכשור 2015'!D837</f>
        <v>0</v>
      </c>
      <c r="E838" s="180">
        <f>'רשימת מכשור 2015'!E837</f>
        <v>0</v>
      </c>
      <c r="F838" s="180">
        <f>'רשימת מכשור 2015'!F837</f>
        <v>0</v>
      </c>
      <c r="G838" s="181"/>
      <c r="H838" s="181">
        <f t="shared" si="33"/>
        <v>0</v>
      </c>
      <c r="I838" s="182"/>
      <c r="J838" s="181"/>
      <c r="K838" s="181"/>
      <c r="L838" s="181"/>
      <c r="M838" s="181" t="e">
        <f t="shared" si="34"/>
        <v>#DIV/0!</v>
      </c>
      <c r="N838" s="181"/>
      <c r="O838" s="183"/>
      <c r="P838" s="183"/>
      <c r="Q838" s="193"/>
    </row>
    <row r="839" spans="1:17" ht="14.25" customHeight="1">
      <c r="A839" s="180">
        <f>'רשימת מכשור 2015'!A838</f>
        <v>0</v>
      </c>
      <c r="B839" s="180">
        <f>'רשימת מכשור 2015'!B838</f>
        <v>0</v>
      </c>
      <c r="C839" s="180">
        <f>'רשימת מכשור 2015'!C838</f>
        <v>0</v>
      </c>
      <c r="D839" s="233">
        <f>'רשימת מכשור 2015'!D838</f>
        <v>0</v>
      </c>
      <c r="E839" s="180">
        <f>'רשימת מכשור 2015'!E838</f>
        <v>0</v>
      </c>
      <c r="F839" s="180">
        <f>'רשימת מכשור 2015'!F838</f>
        <v>0</v>
      </c>
      <c r="G839" s="181"/>
      <c r="H839" s="181">
        <f t="shared" si="33"/>
        <v>0</v>
      </c>
      <c r="I839" s="182"/>
      <c r="J839" s="181"/>
      <c r="K839" s="181"/>
      <c r="L839" s="181"/>
      <c r="M839" s="181" t="e">
        <f t="shared" si="34"/>
        <v>#DIV/0!</v>
      </c>
      <c r="N839" s="181"/>
      <c r="O839" s="183"/>
      <c r="P839" s="183"/>
      <c r="Q839" s="193"/>
    </row>
    <row r="840" spans="1:17" ht="14.25" customHeight="1">
      <c r="A840" s="180">
        <f>'רשימת מכשור 2015'!A839</f>
        <v>0</v>
      </c>
      <c r="B840" s="180">
        <f>'רשימת מכשור 2015'!B839</f>
        <v>0</v>
      </c>
      <c r="C840" s="180">
        <f>'רשימת מכשור 2015'!C839</f>
        <v>0</v>
      </c>
      <c r="D840" s="233">
        <f>'רשימת מכשור 2015'!D839</f>
        <v>0</v>
      </c>
      <c r="E840" s="180">
        <f>'רשימת מכשור 2015'!E839</f>
        <v>0</v>
      </c>
      <c r="F840" s="180">
        <f>'רשימת מכשור 2015'!F839</f>
        <v>0</v>
      </c>
      <c r="G840" s="181"/>
      <c r="H840" s="181">
        <f t="shared" si="33"/>
        <v>0</v>
      </c>
      <c r="I840" s="182"/>
      <c r="J840" s="181"/>
      <c r="K840" s="181"/>
      <c r="L840" s="181"/>
      <c r="M840" s="181" t="e">
        <f t="shared" si="34"/>
        <v>#DIV/0!</v>
      </c>
      <c r="N840" s="181"/>
      <c r="O840" s="183"/>
      <c r="P840" s="183"/>
      <c r="Q840" s="193"/>
    </row>
    <row r="841" spans="1:17" ht="14.25" customHeight="1">
      <c r="A841" s="180">
        <f>'רשימת מכשור 2015'!A840</f>
        <v>0</v>
      </c>
      <c r="B841" s="180">
        <f>'רשימת מכשור 2015'!B840</f>
        <v>0</v>
      </c>
      <c r="C841" s="180">
        <f>'רשימת מכשור 2015'!C840</f>
        <v>0</v>
      </c>
      <c r="D841" s="233">
        <f>'רשימת מכשור 2015'!D840</f>
        <v>0</v>
      </c>
      <c r="E841" s="180">
        <f>'רשימת מכשור 2015'!E840</f>
        <v>0</v>
      </c>
      <c r="F841" s="180">
        <f>'רשימת מכשור 2015'!F840</f>
        <v>0</v>
      </c>
      <c r="G841" s="181"/>
      <c r="H841" s="181">
        <f t="shared" si="33"/>
        <v>0</v>
      </c>
      <c r="I841" s="182"/>
      <c r="J841" s="181"/>
      <c r="K841" s="181"/>
      <c r="L841" s="181"/>
      <c r="M841" s="181" t="e">
        <f t="shared" si="34"/>
        <v>#DIV/0!</v>
      </c>
      <c r="N841" s="181"/>
      <c r="O841" s="183"/>
      <c r="P841" s="183"/>
      <c r="Q841" s="193"/>
    </row>
    <row r="842" spans="1:17" ht="14.25" customHeight="1">
      <c r="A842" s="180">
        <f>'רשימת מכשור 2015'!A841</f>
        <v>0</v>
      </c>
      <c r="B842" s="180">
        <f>'רשימת מכשור 2015'!B841</f>
        <v>0</v>
      </c>
      <c r="C842" s="180">
        <f>'רשימת מכשור 2015'!C841</f>
        <v>0</v>
      </c>
      <c r="D842" s="233">
        <f>'רשימת מכשור 2015'!D841</f>
        <v>0</v>
      </c>
      <c r="E842" s="180">
        <f>'רשימת מכשור 2015'!E841</f>
        <v>0</v>
      </c>
      <c r="F842" s="180">
        <f>'רשימת מכשור 2015'!F841</f>
        <v>0</v>
      </c>
      <c r="G842" s="181"/>
      <c r="H842" s="181">
        <f t="shared" si="33"/>
        <v>0</v>
      </c>
      <c r="I842" s="182"/>
      <c r="J842" s="181"/>
      <c r="K842" s="181"/>
      <c r="L842" s="181"/>
      <c r="M842" s="181" t="e">
        <f t="shared" si="34"/>
        <v>#DIV/0!</v>
      </c>
      <c r="N842" s="181"/>
      <c r="O842" s="183"/>
      <c r="P842" s="183"/>
      <c r="Q842" s="193"/>
    </row>
    <row r="843" spans="1:17" ht="14.25" customHeight="1">
      <c r="A843" s="180">
        <f>'רשימת מכשור 2015'!A842</f>
        <v>0</v>
      </c>
      <c r="B843" s="180">
        <f>'רשימת מכשור 2015'!B842</f>
        <v>0</v>
      </c>
      <c r="C843" s="180">
        <f>'רשימת מכשור 2015'!C842</f>
        <v>0</v>
      </c>
      <c r="D843" s="233">
        <f>'רשימת מכשור 2015'!D842</f>
        <v>0</v>
      </c>
      <c r="E843" s="180">
        <f>'רשימת מכשור 2015'!E842</f>
        <v>0</v>
      </c>
      <c r="F843" s="180">
        <f>'רשימת מכשור 2015'!F842</f>
        <v>0</v>
      </c>
      <c r="G843" s="181"/>
      <c r="H843" s="181">
        <f t="shared" si="33"/>
        <v>0</v>
      </c>
      <c r="I843" s="182"/>
      <c r="J843" s="181"/>
      <c r="K843" s="181"/>
      <c r="L843" s="181"/>
      <c r="M843" s="181" t="e">
        <f t="shared" si="34"/>
        <v>#DIV/0!</v>
      </c>
      <c r="N843" s="181"/>
      <c r="O843" s="183"/>
      <c r="P843" s="183"/>
      <c r="Q843" s="193"/>
    </row>
    <row r="844" spans="1:17" ht="14.25" customHeight="1">
      <c r="A844" s="180">
        <f>'רשימת מכשור 2015'!A843</f>
        <v>0</v>
      </c>
      <c r="B844" s="180">
        <f>'רשימת מכשור 2015'!B843</f>
        <v>0</v>
      </c>
      <c r="C844" s="180">
        <f>'רשימת מכשור 2015'!C843</f>
        <v>0</v>
      </c>
      <c r="D844" s="233">
        <f>'רשימת מכשור 2015'!D843</f>
        <v>0</v>
      </c>
      <c r="E844" s="180">
        <f>'רשימת מכשור 2015'!E843</f>
        <v>0</v>
      </c>
      <c r="F844" s="180">
        <f>'רשימת מכשור 2015'!F843</f>
        <v>0</v>
      </c>
      <c r="G844" s="181"/>
      <c r="H844" s="181">
        <f t="shared" si="33"/>
        <v>0</v>
      </c>
      <c r="I844" s="182"/>
      <c r="J844" s="181"/>
      <c r="K844" s="181"/>
      <c r="L844" s="181"/>
      <c r="M844" s="181" t="e">
        <f t="shared" si="34"/>
        <v>#DIV/0!</v>
      </c>
      <c r="N844" s="181"/>
      <c r="O844" s="183"/>
      <c r="P844" s="183"/>
      <c r="Q844" s="193"/>
    </row>
    <row r="845" spans="1:17" ht="14.25" customHeight="1">
      <c r="A845" s="180">
        <f>'רשימת מכשור 2015'!A844</f>
        <v>0</v>
      </c>
      <c r="B845" s="180">
        <f>'רשימת מכשור 2015'!B844</f>
        <v>0</v>
      </c>
      <c r="C845" s="180">
        <f>'רשימת מכשור 2015'!C844</f>
        <v>0</v>
      </c>
      <c r="D845" s="233">
        <f>'רשימת מכשור 2015'!D844</f>
        <v>0</v>
      </c>
      <c r="E845" s="180">
        <f>'רשימת מכשור 2015'!E844</f>
        <v>0</v>
      </c>
      <c r="F845" s="180">
        <f>'רשימת מכשור 2015'!F844</f>
        <v>0</v>
      </c>
      <c r="G845" s="181"/>
      <c r="H845" s="181">
        <f t="shared" si="33"/>
        <v>0</v>
      </c>
      <c r="I845" s="182"/>
      <c r="J845" s="181"/>
      <c r="K845" s="181"/>
      <c r="L845" s="181"/>
      <c r="M845" s="181" t="e">
        <f t="shared" si="34"/>
        <v>#DIV/0!</v>
      </c>
      <c r="N845" s="181"/>
      <c r="O845" s="183"/>
      <c r="P845" s="183"/>
      <c r="Q845" s="193"/>
    </row>
    <row r="846" spans="1:17" ht="14.25" customHeight="1">
      <c r="A846" s="180">
        <f>'רשימת מכשור 2015'!A845</f>
        <v>0</v>
      </c>
      <c r="B846" s="180">
        <f>'רשימת מכשור 2015'!B845</f>
        <v>0</v>
      </c>
      <c r="C846" s="180">
        <f>'רשימת מכשור 2015'!C845</f>
        <v>0</v>
      </c>
      <c r="D846" s="233">
        <f>'רשימת מכשור 2015'!D845</f>
        <v>0</v>
      </c>
      <c r="E846" s="180">
        <f>'רשימת מכשור 2015'!E845</f>
        <v>0</v>
      </c>
      <c r="F846" s="180">
        <f>'רשימת מכשור 2015'!F845</f>
        <v>0</v>
      </c>
      <c r="G846" s="181"/>
      <c r="H846" s="181">
        <f t="shared" si="33"/>
        <v>0</v>
      </c>
      <c r="I846" s="182"/>
      <c r="J846" s="181"/>
      <c r="K846" s="181"/>
      <c r="L846" s="181"/>
      <c r="M846" s="181" t="e">
        <f t="shared" si="34"/>
        <v>#DIV/0!</v>
      </c>
      <c r="N846" s="181"/>
      <c r="O846" s="183"/>
      <c r="P846" s="183"/>
      <c r="Q846" s="193"/>
    </row>
    <row r="847" spans="1:17" ht="14.25" customHeight="1">
      <c r="A847" s="180">
        <f>'רשימת מכשור 2015'!A846</f>
        <v>0</v>
      </c>
      <c r="B847" s="180">
        <f>'רשימת מכשור 2015'!B846</f>
        <v>0</v>
      </c>
      <c r="C847" s="180">
        <f>'רשימת מכשור 2015'!C846</f>
        <v>0</v>
      </c>
      <c r="D847" s="233">
        <f>'רשימת מכשור 2015'!D846</f>
        <v>0</v>
      </c>
      <c r="E847" s="180">
        <f>'רשימת מכשור 2015'!E846</f>
        <v>0</v>
      </c>
      <c r="F847" s="180">
        <f>'רשימת מכשור 2015'!F846</f>
        <v>0</v>
      </c>
      <c r="G847" s="181"/>
      <c r="H847" s="181">
        <f t="shared" si="33"/>
        <v>0</v>
      </c>
      <c r="I847" s="182"/>
      <c r="J847" s="181"/>
      <c r="K847" s="181"/>
      <c r="L847" s="181"/>
      <c r="M847" s="181" t="e">
        <f t="shared" si="34"/>
        <v>#DIV/0!</v>
      </c>
      <c r="N847" s="181"/>
      <c r="O847" s="183"/>
      <c r="P847" s="183"/>
      <c r="Q847" s="193"/>
    </row>
    <row r="848" spans="1:17" ht="14.25" customHeight="1">
      <c r="A848" s="180">
        <f>'רשימת מכשור 2015'!A847</f>
        <v>0</v>
      </c>
      <c r="B848" s="180">
        <f>'רשימת מכשור 2015'!B847</f>
        <v>0</v>
      </c>
      <c r="C848" s="180">
        <f>'רשימת מכשור 2015'!C847</f>
        <v>0</v>
      </c>
      <c r="D848" s="233">
        <f>'רשימת מכשור 2015'!D847</f>
        <v>0</v>
      </c>
      <c r="E848" s="180">
        <f>'רשימת מכשור 2015'!E847</f>
        <v>0</v>
      </c>
      <c r="F848" s="180">
        <f>'רשימת מכשור 2015'!F847</f>
        <v>0</v>
      </c>
      <c r="G848" s="181"/>
      <c r="H848" s="181">
        <f t="shared" si="33"/>
        <v>0</v>
      </c>
      <c r="I848" s="182"/>
      <c r="J848" s="181"/>
      <c r="K848" s="181"/>
      <c r="L848" s="181"/>
      <c r="M848" s="181" t="e">
        <f t="shared" si="34"/>
        <v>#DIV/0!</v>
      </c>
      <c r="N848" s="181"/>
      <c r="O848" s="183"/>
      <c r="P848" s="183"/>
      <c r="Q848" s="193"/>
    </row>
    <row r="849" spans="1:17" ht="14.25" customHeight="1">
      <c r="A849" s="180">
        <f>'רשימת מכשור 2015'!A848</f>
        <v>0</v>
      </c>
      <c r="B849" s="180">
        <f>'רשימת מכשור 2015'!B848</f>
        <v>0</v>
      </c>
      <c r="C849" s="180">
        <f>'רשימת מכשור 2015'!C848</f>
        <v>0</v>
      </c>
      <c r="D849" s="233">
        <f>'רשימת מכשור 2015'!D848</f>
        <v>0</v>
      </c>
      <c r="E849" s="180">
        <f>'רשימת מכשור 2015'!E848</f>
        <v>0</v>
      </c>
      <c r="F849" s="180">
        <f>'רשימת מכשור 2015'!F848</f>
        <v>0</v>
      </c>
      <c r="G849" s="181"/>
      <c r="H849" s="181">
        <f t="shared" si="33"/>
        <v>0</v>
      </c>
      <c r="I849" s="182"/>
      <c r="J849" s="181"/>
      <c r="K849" s="181"/>
      <c r="L849" s="181"/>
      <c r="M849" s="181" t="e">
        <f t="shared" si="34"/>
        <v>#DIV/0!</v>
      </c>
      <c r="N849" s="181"/>
      <c r="O849" s="183"/>
      <c r="P849" s="183"/>
      <c r="Q849" s="193"/>
    </row>
    <row r="850" spans="1:17" ht="14.25" customHeight="1">
      <c r="A850" s="180">
        <f>'רשימת מכשור 2015'!A849</f>
        <v>0</v>
      </c>
      <c r="B850" s="180">
        <f>'רשימת מכשור 2015'!B849</f>
        <v>0</v>
      </c>
      <c r="C850" s="180">
        <f>'רשימת מכשור 2015'!C849</f>
        <v>0</v>
      </c>
      <c r="D850" s="233">
        <f>'רשימת מכשור 2015'!D849</f>
        <v>0</v>
      </c>
      <c r="E850" s="180">
        <f>'רשימת מכשור 2015'!E849</f>
        <v>0</v>
      </c>
      <c r="F850" s="180">
        <f>'רשימת מכשור 2015'!F849</f>
        <v>0</v>
      </c>
      <c r="G850" s="181"/>
      <c r="H850" s="181">
        <f t="shared" si="33"/>
        <v>0</v>
      </c>
      <c r="I850" s="182"/>
      <c r="J850" s="181"/>
      <c r="K850" s="181"/>
      <c r="L850" s="181"/>
      <c r="M850" s="181" t="e">
        <f t="shared" si="34"/>
        <v>#DIV/0!</v>
      </c>
      <c r="N850" s="181"/>
      <c r="O850" s="183"/>
      <c r="P850" s="183"/>
      <c r="Q850" s="193"/>
    </row>
    <row r="851" spans="1:17" ht="14.25" customHeight="1">
      <c r="A851" s="180">
        <f>'רשימת מכשור 2015'!A850</f>
        <v>0</v>
      </c>
      <c r="B851" s="180">
        <f>'רשימת מכשור 2015'!B850</f>
        <v>0</v>
      </c>
      <c r="C851" s="180">
        <f>'רשימת מכשור 2015'!C850</f>
        <v>0</v>
      </c>
      <c r="D851" s="233">
        <f>'רשימת מכשור 2015'!D850</f>
        <v>0</v>
      </c>
      <c r="E851" s="180">
        <f>'רשימת מכשור 2015'!E850</f>
        <v>0</v>
      </c>
      <c r="F851" s="180">
        <f>'רשימת מכשור 2015'!F850</f>
        <v>0</v>
      </c>
      <c r="G851" s="181"/>
      <c r="H851" s="181">
        <f t="shared" si="33"/>
        <v>0</v>
      </c>
      <c r="I851" s="182"/>
      <c r="J851" s="181"/>
      <c r="K851" s="181"/>
      <c r="L851" s="181"/>
      <c r="M851" s="181" t="e">
        <f t="shared" si="34"/>
        <v>#DIV/0!</v>
      </c>
      <c r="N851" s="181"/>
      <c r="O851" s="183"/>
      <c r="P851" s="183"/>
      <c r="Q851" s="193"/>
    </row>
    <row r="852" spans="1:17" ht="14.25" customHeight="1">
      <c r="A852" s="180">
        <f>'רשימת מכשור 2015'!A851</f>
        <v>0</v>
      </c>
      <c r="B852" s="180">
        <f>'רשימת מכשור 2015'!B851</f>
        <v>0</v>
      </c>
      <c r="C852" s="180">
        <f>'רשימת מכשור 2015'!C851</f>
        <v>0</v>
      </c>
      <c r="D852" s="233">
        <f>'רשימת מכשור 2015'!D851</f>
        <v>0</v>
      </c>
      <c r="E852" s="180">
        <f>'רשימת מכשור 2015'!E851</f>
        <v>0</v>
      </c>
      <c r="F852" s="180">
        <f>'רשימת מכשור 2015'!F851</f>
        <v>0</v>
      </c>
      <c r="G852" s="181"/>
      <c r="H852" s="181">
        <f t="shared" si="33"/>
        <v>0</v>
      </c>
      <c r="I852" s="182"/>
      <c r="J852" s="181"/>
      <c r="K852" s="181"/>
      <c r="L852" s="181"/>
      <c r="M852" s="181" t="e">
        <f t="shared" si="34"/>
        <v>#DIV/0!</v>
      </c>
      <c r="N852" s="181"/>
      <c r="O852" s="183"/>
      <c r="P852" s="183"/>
      <c r="Q852" s="193"/>
    </row>
    <row r="853" spans="1:17" ht="14.25" customHeight="1">
      <c r="A853" s="180">
        <f>'רשימת מכשור 2015'!A852</f>
        <v>0</v>
      </c>
      <c r="B853" s="180">
        <f>'רשימת מכשור 2015'!B852</f>
        <v>0</v>
      </c>
      <c r="C853" s="180">
        <f>'רשימת מכשור 2015'!C852</f>
        <v>0</v>
      </c>
      <c r="D853" s="233">
        <f>'רשימת מכשור 2015'!D852</f>
        <v>0</v>
      </c>
      <c r="E853" s="180">
        <f>'רשימת מכשור 2015'!E852</f>
        <v>0</v>
      </c>
      <c r="F853" s="180">
        <f>'רשימת מכשור 2015'!F852</f>
        <v>0</v>
      </c>
      <c r="G853" s="181"/>
      <c r="H853" s="181">
        <f t="shared" si="33"/>
        <v>0</v>
      </c>
      <c r="I853" s="182"/>
      <c r="J853" s="181"/>
      <c r="K853" s="181"/>
      <c r="L853" s="181"/>
      <c r="M853" s="181" t="e">
        <f t="shared" si="34"/>
        <v>#DIV/0!</v>
      </c>
      <c r="N853" s="181"/>
      <c r="O853" s="183"/>
      <c r="P853" s="183"/>
      <c r="Q853" s="193"/>
    </row>
    <row r="854" spans="1:17" ht="14.25" customHeight="1">
      <c r="A854" s="180">
        <f>'רשימת מכשור 2015'!A853</f>
        <v>0</v>
      </c>
      <c r="B854" s="180">
        <f>'רשימת מכשור 2015'!B853</f>
        <v>0</v>
      </c>
      <c r="C854" s="180">
        <f>'רשימת מכשור 2015'!C853</f>
        <v>0</v>
      </c>
      <c r="D854" s="233">
        <f>'רשימת מכשור 2015'!D853</f>
        <v>0</v>
      </c>
      <c r="E854" s="180">
        <f>'רשימת מכשור 2015'!E853</f>
        <v>0</v>
      </c>
      <c r="F854" s="180">
        <f>'רשימת מכשור 2015'!F853</f>
        <v>0</v>
      </c>
      <c r="G854" s="181"/>
      <c r="H854" s="181">
        <f t="shared" si="33"/>
        <v>0</v>
      </c>
      <c r="I854" s="182"/>
      <c r="J854" s="181"/>
      <c r="K854" s="181"/>
      <c r="L854" s="181"/>
      <c r="M854" s="181" t="e">
        <f t="shared" si="34"/>
        <v>#DIV/0!</v>
      </c>
      <c r="N854" s="181"/>
      <c r="O854" s="183"/>
      <c r="P854" s="183"/>
      <c r="Q854" s="193"/>
    </row>
    <row r="855" spans="1:17" ht="14.25" customHeight="1">
      <c r="A855" s="180">
        <f>'רשימת מכשור 2015'!A854</f>
        <v>0</v>
      </c>
      <c r="B855" s="180">
        <f>'רשימת מכשור 2015'!B854</f>
        <v>0</v>
      </c>
      <c r="C855" s="180">
        <f>'רשימת מכשור 2015'!C854</f>
        <v>0</v>
      </c>
      <c r="D855" s="233">
        <f>'רשימת מכשור 2015'!D854</f>
        <v>0</v>
      </c>
      <c r="E855" s="180">
        <f>'רשימת מכשור 2015'!E854</f>
        <v>0</v>
      </c>
      <c r="F855" s="180">
        <f>'רשימת מכשור 2015'!F854</f>
        <v>0</v>
      </c>
      <c r="G855" s="181"/>
      <c r="H855" s="181">
        <f t="shared" si="33"/>
        <v>0</v>
      </c>
      <c r="I855" s="182"/>
      <c r="J855" s="181"/>
      <c r="K855" s="181"/>
      <c r="L855" s="181"/>
      <c r="M855" s="181" t="e">
        <f t="shared" si="34"/>
        <v>#DIV/0!</v>
      </c>
      <c r="N855" s="181"/>
      <c r="O855" s="183"/>
      <c r="P855" s="183"/>
      <c r="Q855" s="193"/>
    </row>
    <row r="856" spans="1:17" ht="14.25" customHeight="1">
      <c r="A856" s="180">
        <f>'רשימת מכשור 2015'!A855</f>
        <v>0</v>
      </c>
      <c r="B856" s="180">
        <f>'רשימת מכשור 2015'!B855</f>
        <v>0</v>
      </c>
      <c r="C856" s="180">
        <f>'רשימת מכשור 2015'!C855</f>
        <v>0</v>
      </c>
      <c r="D856" s="233">
        <f>'רשימת מכשור 2015'!D855</f>
        <v>0</v>
      </c>
      <c r="E856" s="180">
        <f>'רשימת מכשור 2015'!E855</f>
        <v>0</v>
      </c>
      <c r="F856" s="180">
        <f>'רשימת מכשור 2015'!F855</f>
        <v>0</v>
      </c>
      <c r="G856" s="181"/>
      <c r="H856" s="181">
        <f t="shared" si="33"/>
        <v>0</v>
      </c>
      <c r="I856" s="182"/>
      <c r="J856" s="181"/>
      <c r="K856" s="181"/>
      <c r="L856" s="181"/>
      <c r="M856" s="181" t="e">
        <f t="shared" si="34"/>
        <v>#DIV/0!</v>
      </c>
      <c r="N856" s="181"/>
      <c r="O856" s="183"/>
      <c r="P856" s="183"/>
      <c r="Q856" s="193"/>
    </row>
    <row r="857" spans="1:17" ht="14.25" customHeight="1">
      <c r="A857" s="180">
        <f>'רשימת מכשור 2015'!A856</f>
        <v>0</v>
      </c>
      <c r="B857" s="180">
        <f>'רשימת מכשור 2015'!B856</f>
        <v>0</v>
      </c>
      <c r="C857" s="180">
        <f>'רשימת מכשור 2015'!C856</f>
        <v>0</v>
      </c>
      <c r="D857" s="233">
        <f>'רשימת מכשור 2015'!D856</f>
        <v>0</v>
      </c>
      <c r="E857" s="180">
        <f>'רשימת מכשור 2015'!E856</f>
        <v>0</v>
      </c>
      <c r="F857" s="180">
        <f>'רשימת מכשור 2015'!F856</f>
        <v>0</v>
      </c>
      <c r="G857" s="181"/>
      <c r="H857" s="181">
        <f t="shared" si="33"/>
        <v>0</v>
      </c>
      <c r="I857" s="182"/>
      <c r="J857" s="181"/>
      <c r="K857" s="181"/>
      <c r="L857" s="181"/>
      <c r="M857" s="181" t="e">
        <f t="shared" si="34"/>
        <v>#DIV/0!</v>
      </c>
      <c r="N857" s="181"/>
      <c r="O857" s="183"/>
      <c r="P857" s="183"/>
      <c r="Q857" s="193"/>
    </row>
    <row r="858" spans="1:17" ht="14.25" customHeight="1">
      <c r="A858" s="180">
        <f>'רשימת מכשור 2015'!A857</f>
        <v>0</v>
      </c>
      <c r="B858" s="180">
        <f>'רשימת מכשור 2015'!B857</f>
        <v>0</v>
      </c>
      <c r="C858" s="180">
        <f>'רשימת מכשור 2015'!C857</f>
        <v>0</v>
      </c>
      <c r="D858" s="233">
        <f>'רשימת מכשור 2015'!D857</f>
        <v>0</v>
      </c>
      <c r="E858" s="180">
        <f>'רשימת מכשור 2015'!E857</f>
        <v>0</v>
      </c>
      <c r="F858" s="180">
        <f>'רשימת מכשור 2015'!F857</f>
        <v>0</v>
      </c>
      <c r="G858" s="181"/>
      <c r="H858" s="181">
        <f t="shared" si="33"/>
        <v>0</v>
      </c>
      <c r="I858" s="182"/>
      <c r="J858" s="181"/>
      <c r="K858" s="181"/>
      <c r="L858" s="181"/>
      <c r="M858" s="181" t="e">
        <f t="shared" si="34"/>
        <v>#DIV/0!</v>
      </c>
      <c r="N858" s="181"/>
      <c r="O858" s="183"/>
      <c r="P858" s="183"/>
      <c r="Q858" s="193"/>
    </row>
    <row r="859" spans="1:17" ht="14.25" customHeight="1">
      <c r="A859" s="180">
        <f>'רשימת מכשור 2015'!A858</f>
        <v>0</v>
      </c>
      <c r="B859" s="180">
        <f>'רשימת מכשור 2015'!B858</f>
        <v>0</v>
      </c>
      <c r="C859" s="180">
        <f>'רשימת מכשור 2015'!C858</f>
        <v>0</v>
      </c>
      <c r="D859" s="233">
        <f>'רשימת מכשור 2015'!D858</f>
        <v>0</v>
      </c>
      <c r="E859" s="180">
        <f>'רשימת מכשור 2015'!E858</f>
        <v>0</v>
      </c>
      <c r="F859" s="180">
        <f>'רשימת מכשור 2015'!F858</f>
        <v>0</v>
      </c>
      <c r="G859" s="181"/>
      <c r="H859" s="181">
        <f t="shared" ref="H859:H922" si="35">G859*F859</f>
        <v>0</v>
      </c>
      <c r="I859" s="182"/>
      <c r="J859" s="181"/>
      <c r="K859" s="181"/>
      <c r="L859" s="181"/>
      <c r="M859" s="181" t="e">
        <f t="shared" si="34"/>
        <v>#DIV/0!</v>
      </c>
      <c r="N859" s="181"/>
      <c r="O859" s="183"/>
      <c r="P859" s="183"/>
      <c r="Q859" s="193"/>
    </row>
    <row r="860" spans="1:17" ht="14.25" customHeight="1">
      <c r="A860" s="180">
        <f>'רשימת מכשור 2015'!A859</f>
        <v>0</v>
      </c>
      <c r="B860" s="180">
        <f>'רשימת מכשור 2015'!B859</f>
        <v>0</v>
      </c>
      <c r="C860" s="180">
        <f>'רשימת מכשור 2015'!C859</f>
        <v>0</v>
      </c>
      <c r="D860" s="233">
        <f>'רשימת מכשור 2015'!D859</f>
        <v>0</v>
      </c>
      <c r="E860" s="180">
        <f>'רשימת מכשור 2015'!E859</f>
        <v>0</v>
      </c>
      <c r="F860" s="180">
        <f>'רשימת מכשור 2015'!F859</f>
        <v>0</v>
      </c>
      <c r="G860" s="181"/>
      <c r="H860" s="181">
        <f t="shared" si="35"/>
        <v>0</v>
      </c>
      <c r="I860" s="182"/>
      <c r="J860" s="181"/>
      <c r="K860" s="181"/>
      <c r="L860" s="181"/>
      <c r="M860" s="181" t="e">
        <f t="shared" si="34"/>
        <v>#DIV/0!</v>
      </c>
      <c r="N860" s="181"/>
      <c r="O860" s="183"/>
      <c r="P860" s="183"/>
      <c r="Q860" s="193"/>
    </row>
    <row r="861" spans="1:17" ht="14.25" customHeight="1">
      <c r="A861" s="180">
        <f>'רשימת מכשור 2015'!A860</f>
        <v>0</v>
      </c>
      <c r="B861" s="180">
        <f>'רשימת מכשור 2015'!B860</f>
        <v>0</v>
      </c>
      <c r="C861" s="180">
        <f>'רשימת מכשור 2015'!C860</f>
        <v>0</v>
      </c>
      <c r="D861" s="233">
        <f>'רשימת מכשור 2015'!D860</f>
        <v>0</v>
      </c>
      <c r="E861" s="180">
        <f>'רשימת מכשור 2015'!E860</f>
        <v>0</v>
      </c>
      <c r="F861" s="180">
        <f>'רשימת מכשור 2015'!F860</f>
        <v>0</v>
      </c>
      <c r="G861" s="181"/>
      <c r="H861" s="181">
        <f t="shared" si="35"/>
        <v>0</v>
      </c>
      <c r="I861" s="182"/>
      <c r="J861" s="181"/>
      <c r="K861" s="181"/>
      <c r="L861" s="181"/>
      <c r="M861" s="181" t="e">
        <f t="shared" si="34"/>
        <v>#DIV/0!</v>
      </c>
      <c r="N861" s="181"/>
      <c r="O861" s="183"/>
      <c r="P861" s="183"/>
      <c r="Q861" s="193"/>
    </row>
    <row r="862" spans="1:17" ht="14.25" customHeight="1">
      <c r="A862" s="180">
        <f>'רשימת מכשור 2015'!A861</f>
        <v>0</v>
      </c>
      <c r="B862" s="180">
        <f>'רשימת מכשור 2015'!B861</f>
        <v>0</v>
      </c>
      <c r="C862" s="180">
        <f>'רשימת מכשור 2015'!C861</f>
        <v>0</v>
      </c>
      <c r="D862" s="233">
        <f>'רשימת מכשור 2015'!D861</f>
        <v>0</v>
      </c>
      <c r="E862" s="180">
        <f>'רשימת מכשור 2015'!E861</f>
        <v>0</v>
      </c>
      <c r="F862" s="180">
        <f>'רשימת מכשור 2015'!F861</f>
        <v>0</v>
      </c>
      <c r="G862" s="181"/>
      <c r="H862" s="181">
        <f t="shared" si="35"/>
        <v>0</v>
      </c>
      <c r="I862" s="182"/>
      <c r="J862" s="181"/>
      <c r="K862" s="181"/>
      <c r="L862" s="181"/>
      <c r="M862" s="181" t="e">
        <f t="shared" si="34"/>
        <v>#DIV/0!</v>
      </c>
      <c r="N862" s="181"/>
      <c r="O862" s="183"/>
      <c r="P862" s="183"/>
      <c r="Q862" s="193"/>
    </row>
    <row r="863" spans="1:17" ht="14.25" customHeight="1">
      <c r="A863" s="180">
        <f>'רשימת מכשור 2015'!A862</f>
        <v>0</v>
      </c>
      <c r="B863" s="180">
        <f>'רשימת מכשור 2015'!B862</f>
        <v>0</v>
      </c>
      <c r="C863" s="180">
        <f>'רשימת מכשור 2015'!C862</f>
        <v>0</v>
      </c>
      <c r="D863" s="233">
        <f>'רשימת מכשור 2015'!D862</f>
        <v>0</v>
      </c>
      <c r="E863" s="180">
        <f>'רשימת מכשור 2015'!E862</f>
        <v>0</v>
      </c>
      <c r="F863" s="180">
        <f>'רשימת מכשור 2015'!F862</f>
        <v>0</v>
      </c>
      <c r="G863" s="181"/>
      <c r="H863" s="181">
        <f t="shared" si="35"/>
        <v>0</v>
      </c>
      <c r="I863" s="182"/>
      <c r="J863" s="181"/>
      <c r="K863" s="181"/>
      <c r="L863" s="181"/>
      <c r="M863" s="181" t="e">
        <f t="shared" si="34"/>
        <v>#DIV/0!</v>
      </c>
      <c r="N863" s="181"/>
      <c r="O863" s="183"/>
      <c r="P863" s="183"/>
      <c r="Q863" s="193"/>
    </row>
    <row r="864" spans="1:17" ht="14.25" customHeight="1">
      <c r="A864" s="180">
        <f>'רשימת מכשור 2015'!A863</f>
        <v>0</v>
      </c>
      <c r="B864" s="180">
        <f>'רשימת מכשור 2015'!B863</f>
        <v>0</v>
      </c>
      <c r="C864" s="180">
        <f>'רשימת מכשור 2015'!C863</f>
        <v>0</v>
      </c>
      <c r="D864" s="233">
        <f>'רשימת מכשור 2015'!D863</f>
        <v>0</v>
      </c>
      <c r="E864" s="180">
        <f>'רשימת מכשור 2015'!E863</f>
        <v>0</v>
      </c>
      <c r="F864" s="180">
        <f>'רשימת מכשור 2015'!F863</f>
        <v>0</v>
      </c>
      <c r="G864" s="181"/>
      <c r="H864" s="181">
        <f t="shared" si="35"/>
        <v>0</v>
      </c>
      <c r="I864" s="182"/>
      <c r="J864" s="181"/>
      <c r="K864" s="181"/>
      <c r="L864" s="181"/>
      <c r="M864" s="181" t="e">
        <f t="shared" si="34"/>
        <v>#DIV/0!</v>
      </c>
      <c r="N864" s="181"/>
      <c r="O864" s="183"/>
      <c r="P864" s="183"/>
      <c r="Q864" s="193"/>
    </row>
    <row r="865" spans="1:17" ht="14.25" customHeight="1">
      <c r="A865" s="180">
        <f>'רשימת מכשור 2015'!A864</f>
        <v>0</v>
      </c>
      <c r="B865" s="180">
        <f>'רשימת מכשור 2015'!B864</f>
        <v>0</v>
      </c>
      <c r="C865" s="180">
        <f>'רשימת מכשור 2015'!C864</f>
        <v>0</v>
      </c>
      <c r="D865" s="233">
        <f>'רשימת מכשור 2015'!D864</f>
        <v>0</v>
      </c>
      <c r="E865" s="180">
        <f>'רשימת מכשור 2015'!E864</f>
        <v>0</v>
      </c>
      <c r="F865" s="180">
        <f>'רשימת מכשור 2015'!F864</f>
        <v>0</v>
      </c>
      <c r="G865" s="181"/>
      <c r="H865" s="181">
        <f t="shared" si="35"/>
        <v>0</v>
      </c>
      <c r="I865" s="182"/>
      <c r="J865" s="181"/>
      <c r="K865" s="181"/>
      <c r="L865" s="181"/>
      <c r="M865" s="181" t="e">
        <f t="shared" ref="M865:M928" si="36">IF(AND(K865*L865*30*N865&gt;H865/J865,I865=""),"לרכוש","לא לרכוש")</f>
        <v>#DIV/0!</v>
      </c>
      <c r="N865" s="181"/>
      <c r="O865" s="183"/>
      <c r="P865" s="183"/>
      <c r="Q865" s="193"/>
    </row>
    <row r="866" spans="1:17" ht="14.25" customHeight="1">
      <c r="A866" s="180">
        <f>'רשימת מכשור 2015'!A865</f>
        <v>0</v>
      </c>
      <c r="B866" s="180">
        <f>'רשימת מכשור 2015'!B865</f>
        <v>0</v>
      </c>
      <c r="C866" s="180">
        <f>'רשימת מכשור 2015'!C865</f>
        <v>0</v>
      </c>
      <c r="D866" s="233">
        <f>'רשימת מכשור 2015'!D865</f>
        <v>0</v>
      </c>
      <c r="E866" s="180">
        <f>'רשימת מכשור 2015'!E865</f>
        <v>0</v>
      </c>
      <c r="F866" s="180">
        <f>'רשימת מכשור 2015'!F865</f>
        <v>0</v>
      </c>
      <c r="G866" s="181"/>
      <c r="H866" s="181">
        <f t="shared" si="35"/>
        <v>0</v>
      </c>
      <c r="I866" s="182"/>
      <c r="J866" s="181"/>
      <c r="K866" s="181"/>
      <c r="L866" s="181"/>
      <c r="M866" s="181" t="e">
        <f t="shared" si="36"/>
        <v>#DIV/0!</v>
      </c>
      <c r="N866" s="181"/>
      <c r="O866" s="183"/>
      <c r="P866" s="183"/>
      <c r="Q866" s="193"/>
    </row>
    <row r="867" spans="1:17" ht="14.25" customHeight="1">
      <c r="A867" s="180">
        <f>'רשימת מכשור 2015'!A866</f>
        <v>0</v>
      </c>
      <c r="B867" s="180">
        <f>'רשימת מכשור 2015'!B866</f>
        <v>0</v>
      </c>
      <c r="C867" s="180">
        <f>'רשימת מכשור 2015'!C866</f>
        <v>0</v>
      </c>
      <c r="D867" s="233">
        <f>'רשימת מכשור 2015'!D866</f>
        <v>0</v>
      </c>
      <c r="E867" s="180">
        <f>'רשימת מכשור 2015'!E866</f>
        <v>0</v>
      </c>
      <c r="F867" s="180">
        <f>'רשימת מכשור 2015'!F866</f>
        <v>0</v>
      </c>
      <c r="G867" s="181"/>
      <c r="H867" s="181">
        <f t="shared" si="35"/>
        <v>0</v>
      </c>
      <c r="I867" s="182"/>
      <c r="J867" s="181"/>
      <c r="K867" s="181"/>
      <c r="L867" s="181"/>
      <c r="M867" s="181" t="e">
        <f t="shared" si="36"/>
        <v>#DIV/0!</v>
      </c>
      <c r="N867" s="181"/>
      <c r="O867" s="183"/>
      <c r="P867" s="183"/>
      <c r="Q867" s="193"/>
    </row>
    <row r="868" spans="1:17" ht="14.25" customHeight="1">
      <c r="A868" s="180">
        <f>'רשימת מכשור 2015'!A867</f>
        <v>0</v>
      </c>
      <c r="B868" s="180">
        <f>'רשימת מכשור 2015'!B867</f>
        <v>0</v>
      </c>
      <c r="C868" s="180">
        <f>'רשימת מכשור 2015'!C867</f>
        <v>0</v>
      </c>
      <c r="D868" s="233">
        <f>'רשימת מכשור 2015'!D867</f>
        <v>0</v>
      </c>
      <c r="E868" s="180">
        <f>'רשימת מכשור 2015'!E867</f>
        <v>0</v>
      </c>
      <c r="F868" s="180">
        <f>'רשימת מכשור 2015'!F867</f>
        <v>0</v>
      </c>
      <c r="G868" s="181"/>
      <c r="H868" s="181">
        <f t="shared" si="35"/>
        <v>0</v>
      </c>
      <c r="I868" s="182"/>
      <c r="J868" s="181"/>
      <c r="K868" s="181"/>
      <c r="L868" s="181"/>
      <c r="M868" s="181" t="e">
        <f t="shared" si="36"/>
        <v>#DIV/0!</v>
      </c>
      <c r="N868" s="181"/>
      <c r="O868" s="183"/>
      <c r="P868" s="183"/>
      <c r="Q868" s="193"/>
    </row>
    <row r="869" spans="1:17" ht="14.25" customHeight="1">
      <c r="A869" s="180">
        <f>'רשימת מכשור 2015'!A868</f>
        <v>0</v>
      </c>
      <c r="B869" s="180">
        <f>'רשימת מכשור 2015'!B868</f>
        <v>0</v>
      </c>
      <c r="C869" s="180">
        <f>'רשימת מכשור 2015'!C868</f>
        <v>0</v>
      </c>
      <c r="D869" s="233">
        <f>'רשימת מכשור 2015'!D868</f>
        <v>0</v>
      </c>
      <c r="E869" s="180">
        <f>'רשימת מכשור 2015'!E868</f>
        <v>0</v>
      </c>
      <c r="F869" s="180">
        <f>'רשימת מכשור 2015'!F868</f>
        <v>0</v>
      </c>
      <c r="G869" s="181"/>
      <c r="H869" s="181">
        <f t="shared" si="35"/>
        <v>0</v>
      </c>
      <c r="I869" s="182"/>
      <c r="J869" s="181"/>
      <c r="K869" s="181"/>
      <c r="L869" s="181"/>
      <c r="M869" s="181" t="e">
        <f t="shared" si="36"/>
        <v>#DIV/0!</v>
      </c>
      <c r="N869" s="181"/>
      <c r="O869" s="183"/>
      <c r="P869" s="183"/>
      <c r="Q869" s="193"/>
    </row>
    <row r="870" spans="1:17" ht="14.25" customHeight="1">
      <c r="A870" s="180">
        <f>'רשימת מכשור 2015'!A869</f>
        <v>0</v>
      </c>
      <c r="B870" s="180">
        <f>'רשימת מכשור 2015'!B869</f>
        <v>0</v>
      </c>
      <c r="C870" s="180">
        <f>'רשימת מכשור 2015'!C869</f>
        <v>0</v>
      </c>
      <c r="D870" s="233">
        <f>'רשימת מכשור 2015'!D869</f>
        <v>0</v>
      </c>
      <c r="E870" s="180">
        <f>'רשימת מכשור 2015'!E869</f>
        <v>0</v>
      </c>
      <c r="F870" s="180">
        <f>'רשימת מכשור 2015'!F869</f>
        <v>0</v>
      </c>
      <c r="G870" s="181"/>
      <c r="H870" s="181">
        <f t="shared" si="35"/>
        <v>0</v>
      </c>
      <c r="I870" s="182"/>
      <c r="J870" s="181"/>
      <c r="K870" s="181"/>
      <c r="L870" s="181"/>
      <c r="M870" s="181" t="e">
        <f t="shared" si="36"/>
        <v>#DIV/0!</v>
      </c>
      <c r="N870" s="181"/>
      <c r="O870" s="183"/>
      <c r="P870" s="183"/>
      <c r="Q870" s="193"/>
    </row>
    <row r="871" spans="1:17" ht="14.25" customHeight="1">
      <c r="A871" s="180">
        <f>'רשימת מכשור 2015'!A870</f>
        <v>0</v>
      </c>
      <c r="B871" s="180">
        <f>'רשימת מכשור 2015'!B870</f>
        <v>0</v>
      </c>
      <c r="C871" s="180">
        <f>'רשימת מכשור 2015'!C870</f>
        <v>0</v>
      </c>
      <c r="D871" s="233">
        <f>'רשימת מכשור 2015'!D870</f>
        <v>0</v>
      </c>
      <c r="E871" s="180">
        <f>'רשימת מכשור 2015'!E870</f>
        <v>0</v>
      </c>
      <c r="F871" s="180">
        <f>'רשימת מכשור 2015'!F870</f>
        <v>0</v>
      </c>
      <c r="G871" s="181"/>
      <c r="H871" s="181">
        <f t="shared" si="35"/>
        <v>0</v>
      </c>
      <c r="I871" s="182"/>
      <c r="J871" s="181"/>
      <c r="K871" s="181"/>
      <c r="L871" s="181"/>
      <c r="M871" s="181" t="e">
        <f t="shared" si="36"/>
        <v>#DIV/0!</v>
      </c>
      <c r="N871" s="181"/>
      <c r="O871" s="183"/>
      <c r="P871" s="183"/>
      <c r="Q871" s="193"/>
    </row>
    <row r="872" spans="1:17" ht="14.25" customHeight="1">
      <c r="A872" s="180">
        <f>'רשימת מכשור 2015'!A871</f>
        <v>0</v>
      </c>
      <c r="B872" s="180">
        <f>'רשימת מכשור 2015'!B871</f>
        <v>0</v>
      </c>
      <c r="C872" s="180">
        <f>'רשימת מכשור 2015'!C871</f>
        <v>0</v>
      </c>
      <c r="D872" s="233">
        <f>'רשימת מכשור 2015'!D871</f>
        <v>0</v>
      </c>
      <c r="E872" s="180">
        <f>'רשימת מכשור 2015'!E871</f>
        <v>0</v>
      </c>
      <c r="F872" s="180">
        <f>'רשימת מכשור 2015'!F871</f>
        <v>0</v>
      </c>
      <c r="G872" s="181"/>
      <c r="H872" s="181">
        <f t="shared" si="35"/>
        <v>0</v>
      </c>
      <c r="I872" s="182"/>
      <c r="J872" s="181"/>
      <c r="K872" s="181"/>
      <c r="L872" s="181"/>
      <c r="M872" s="181" t="e">
        <f t="shared" si="36"/>
        <v>#DIV/0!</v>
      </c>
      <c r="N872" s="181"/>
      <c r="O872" s="183"/>
      <c r="P872" s="183"/>
      <c r="Q872" s="193"/>
    </row>
    <row r="873" spans="1:17" ht="14.25" customHeight="1">
      <c r="A873" s="180">
        <f>'רשימת מכשור 2015'!A872</f>
        <v>0</v>
      </c>
      <c r="B873" s="180">
        <f>'רשימת מכשור 2015'!B872</f>
        <v>0</v>
      </c>
      <c r="C873" s="180">
        <f>'רשימת מכשור 2015'!C872</f>
        <v>0</v>
      </c>
      <c r="D873" s="233">
        <f>'רשימת מכשור 2015'!D872</f>
        <v>0</v>
      </c>
      <c r="E873" s="180">
        <f>'רשימת מכשור 2015'!E872</f>
        <v>0</v>
      </c>
      <c r="F873" s="180">
        <f>'רשימת מכשור 2015'!F872</f>
        <v>0</v>
      </c>
      <c r="G873" s="181"/>
      <c r="H873" s="181">
        <f t="shared" si="35"/>
        <v>0</v>
      </c>
      <c r="I873" s="182"/>
      <c r="J873" s="181"/>
      <c r="K873" s="181"/>
      <c r="L873" s="181"/>
      <c r="M873" s="181" t="e">
        <f t="shared" si="36"/>
        <v>#DIV/0!</v>
      </c>
      <c r="N873" s="181"/>
      <c r="O873" s="183"/>
      <c r="P873" s="183"/>
      <c r="Q873" s="193"/>
    </row>
    <row r="874" spans="1:17" ht="14.25" customHeight="1">
      <c r="A874" s="180">
        <f>'רשימת מכשור 2015'!A873</f>
        <v>0</v>
      </c>
      <c r="B874" s="180">
        <f>'רשימת מכשור 2015'!B873</f>
        <v>0</v>
      </c>
      <c r="C874" s="180">
        <f>'רשימת מכשור 2015'!C873</f>
        <v>0</v>
      </c>
      <c r="D874" s="233">
        <f>'רשימת מכשור 2015'!D873</f>
        <v>0</v>
      </c>
      <c r="E874" s="180">
        <f>'רשימת מכשור 2015'!E873</f>
        <v>0</v>
      </c>
      <c r="F874" s="180">
        <f>'רשימת מכשור 2015'!F873</f>
        <v>0</v>
      </c>
      <c r="G874" s="181"/>
      <c r="H874" s="181">
        <f t="shared" si="35"/>
        <v>0</v>
      </c>
      <c r="I874" s="182"/>
      <c r="J874" s="181"/>
      <c r="K874" s="181"/>
      <c r="L874" s="181"/>
      <c r="M874" s="181" t="e">
        <f t="shared" si="36"/>
        <v>#DIV/0!</v>
      </c>
      <c r="N874" s="181"/>
      <c r="O874" s="183"/>
      <c r="P874" s="183"/>
      <c r="Q874" s="193"/>
    </row>
    <row r="875" spans="1:17" ht="14.25" customHeight="1">
      <c r="A875" s="180">
        <f>'רשימת מכשור 2015'!A874</f>
        <v>0</v>
      </c>
      <c r="B875" s="180">
        <f>'רשימת מכשור 2015'!B874</f>
        <v>0</v>
      </c>
      <c r="C875" s="180">
        <f>'רשימת מכשור 2015'!C874</f>
        <v>0</v>
      </c>
      <c r="D875" s="233">
        <f>'רשימת מכשור 2015'!D874</f>
        <v>0</v>
      </c>
      <c r="E875" s="180">
        <f>'רשימת מכשור 2015'!E874</f>
        <v>0</v>
      </c>
      <c r="F875" s="180">
        <f>'רשימת מכשור 2015'!F874</f>
        <v>0</v>
      </c>
      <c r="G875" s="181"/>
      <c r="H875" s="181">
        <f t="shared" si="35"/>
        <v>0</v>
      </c>
      <c r="I875" s="182"/>
      <c r="J875" s="181"/>
      <c r="K875" s="181"/>
      <c r="L875" s="181"/>
      <c r="M875" s="181" t="e">
        <f t="shared" si="36"/>
        <v>#DIV/0!</v>
      </c>
      <c r="N875" s="181"/>
      <c r="O875" s="183"/>
      <c r="P875" s="183"/>
      <c r="Q875" s="193"/>
    </row>
    <row r="876" spans="1:17" ht="14.25" customHeight="1">
      <c r="A876" s="180">
        <f>'רשימת מכשור 2015'!A875</f>
        <v>0</v>
      </c>
      <c r="B876" s="180">
        <f>'רשימת מכשור 2015'!B875</f>
        <v>0</v>
      </c>
      <c r="C876" s="180">
        <f>'רשימת מכשור 2015'!C875</f>
        <v>0</v>
      </c>
      <c r="D876" s="233">
        <f>'רשימת מכשור 2015'!D875</f>
        <v>0</v>
      </c>
      <c r="E876" s="180">
        <f>'רשימת מכשור 2015'!E875</f>
        <v>0</v>
      </c>
      <c r="F876" s="180">
        <f>'רשימת מכשור 2015'!F875</f>
        <v>0</v>
      </c>
      <c r="G876" s="181"/>
      <c r="H876" s="181">
        <f t="shared" si="35"/>
        <v>0</v>
      </c>
      <c r="I876" s="182"/>
      <c r="J876" s="181"/>
      <c r="K876" s="181"/>
      <c r="L876" s="181"/>
      <c r="M876" s="181" t="e">
        <f t="shared" si="36"/>
        <v>#DIV/0!</v>
      </c>
      <c r="N876" s="181"/>
      <c r="O876" s="183"/>
      <c r="P876" s="183"/>
      <c r="Q876" s="193"/>
    </row>
    <row r="877" spans="1:17" ht="14.25" customHeight="1">
      <c r="A877" s="180">
        <f>'רשימת מכשור 2015'!A876</f>
        <v>0</v>
      </c>
      <c r="B877" s="180">
        <f>'רשימת מכשור 2015'!B876</f>
        <v>0</v>
      </c>
      <c r="C877" s="180">
        <f>'רשימת מכשור 2015'!C876</f>
        <v>0</v>
      </c>
      <c r="D877" s="233">
        <f>'רשימת מכשור 2015'!D876</f>
        <v>0</v>
      </c>
      <c r="E877" s="180">
        <f>'רשימת מכשור 2015'!E876</f>
        <v>0</v>
      </c>
      <c r="F877" s="180">
        <f>'רשימת מכשור 2015'!F876</f>
        <v>0</v>
      </c>
      <c r="G877" s="181"/>
      <c r="H877" s="181">
        <f t="shared" si="35"/>
        <v>0</v>
      </c>
      <c r="I877" s="182"/>
      <c r="J877" s="181"/>
      <c r="K877" s="181"/>
      <c r="L877" s="181"/>
      <c r="M877" s="181" t="e">
        <f t="shared" si="36"/>
        <v>#DIV/0!</v>
      </c>
      <c r="N877" s="181"/>
      <c r="O877" s="183"/>
      <c r="P877" s="183"/>
      <c r="Q877" s="193"/>
    </row>
    <row r="878" spans="1:17" ht="14.25" customHeight="1">
      <c r="A878" s="180">
        <f>'רשימת מכשור 2015'!A877</f>
        <v>0</v>
      </c>
      <c r="B878" s="180">
        <f>'רשימת מכשור 2015'!B877</f>
        <v>0</v>
      </c>
      <c r="C878" s="180">
        <f>'רשימת מכשור 2015'!C877</f>
        <v>0</v>
      </c>
      <c r="D878" s="233">
        <f>'רשימת מכשור 2015'!D877</f>
        <v>0</v>
      </c>
      <c r="E878" s="180">
        <f>'רשימת מכשור 2015'!E877</f>
        <v>0</v>
      </c>
      <c r="F878" s="180">
        <f>'רשימת מכשור 2015'!F877</f>
        <v>0</v>
      </c>
      <c r="G878" s="181"/>
      <c r="H878" s="181">
        <f t="shared" si="35"/>
        <v>0</v>
      </c>
      <c r="I878" s="182"/>
      <c r="J878" s="181"/>
      <c r="K878" s="181"/>
      <c r="L878" s="181"/>
      <c r="M878" s="181" t="e">
        <f t="shared" si="36"/>
        <v>#DIV/0!</v>
      </c>
      <c r="N878" s="181"/>
      <c r="O878" s="183"/>
      <c r="P878" s="183"/>
      <c r="Q878" s="193"/>
    </row>
    <row r="879" spans="1:17" ht="14.25" customHeight="1">
      <c r="A879" s="180">
        <f>'רשימת מכשור 2015'!A878</f>
        <v>0</v>
      </c>
      <c r="B879" s="180">
        <f>'רשימת מכשור 2015'!B878</f>
        <v>0</v>
      </c>
      <c r="C879" s="180">
        <f>'רשימת מכשור 2015'!C878</f>
        <v>0</v>
      </c>
      <c r="D879" s="233">
        <f>'רשימת מכשור 2015'!D878</f>
        <v>0</v>
      </c>
      <c r="E879" s="180">
        <f>'רשימת מכשור 2015'!E878</f>
        <v>0</v>
      </c>
      <c r="F879" s="180">
        <f>'רשימת מכשור 2015'!F878</f>
        <v>0</v>
      </c>
      <c r="G879" s="181"/>
      <c r="H879" s="181">
        <f t="shared" si="35"/>
        <v>0</v>
      </c>
      <c r="I879" s="182"/>
      <c r="J879" s="181"/>
      <c r="K879" s="181"/>
      <c r="L879" s="181"/>
      <c r="M879" s="181" t="e">
        <f t="shared" si="36"/>
        <v>#DIV/0!</v>
      </c>
      <c r="N879" s="181"/>
      <c r="O879" s="183"/>
      <c r="P879" s="183"/>
      <c r="Q879" s="193"/>
    </row>
    <row r="880" spans="1:17" ht="14.25" customHeight="1">
      <c r="A880" s="180">
        <f>'רשימת מכשור 2015'!A879</f>
        <v>0</v>
      </c>
      <c r="B880" s="180">
        <f>'רשימת מכשור 2015'!B879</f>
        <v>0</v>
      </c>
      <c r="C880" s="180">
        <f>'רשימת מכשור 2015'!C879</f>
        <v>0</v>
      </c>
      <c r="D880" s="233">
        <f>'רשימת מכשור 2015'!D879</f>
        <v>0</v>
      </c>
      <c r="E880" s="180">
        <f>'רשימת מכשור 2015'!E879</f>
        <v>0</v>
      </c>
      <c r="F880" s="180">
        <f>'רשימת מכשור 2015'!F879</f>
        <v>0</v>
      </c>
      <c r="G880" s="181"/>
      <c r="H880" s="181">
        <f t="shared" si="35"/>
        <v>0</v>
      </c>
      <c r="I880" s="182"/>
      <c r="J880" s="181"/>
      <c r="K880" s="181"/>
      <c r="L880" s="181"/>
      <c r="M880" s="181" t="e">
        <f t="shared" si="36"/>
        <v>#DIV/0!</v>
      </c>
      <c r="N880" s="181"/>
      <c r="O880" s="183"/>
      <c r="P880" s="183"/>
      <c r="Q880" s="193"/>
    </row>
    <row r="881" spans="1:17" ht="14.25" customHeight="1">
      <c r="A881" s="180">
        <f>'רשימת מכשור 2015'!A880</f>
        <v>0</v>
      </c>
      <c r="B881" s="180">
        <f>'רשימת מכשור 2015'!B880</f>
        <v>0</v>
      </c>
      <c r="C881" s="180">
        <f>'רשימת מכשור 2015'!C880</f>
        <v>0</v>
      </c>
      <c r="D881" s="233">
        <f>'רשימת מכשור 2015'!D880</f>
        <v>0</v>
      </c>
      <c r="E881" s="180">
        <f>'רשימת מכשור 2015'!E880</f>
        <v>0</v>
      </c>
      <c r="F881" s="180">
        <f>'רשימת מכשור 2015'!F880</f>
        <v>0</v>
      </c>
      <c r="G881" s="181"/>
      <c r="H881" s="181">
        <f t="shared" si="35"/>
        <v>0</v>
      </c>
      <c r="I881" s="182"/>
      <c r="J881" s="181"/>
      <c r="K881" s="181"/>
      <c r="L881" s="181"/>
      <c r="M881" s="181" t="e">
        <f t="shared" si="36"/>
        <v>#DIV/0!</v>
      </c>
      <c r="N881" s="181"/>
      <c r="O881" s="183"/>
      <c r="P881" s="183"/>
      <c r="Q881" s="193"/>
    </row>
    <row r="882" spans="1:17" ht="14.25" customHeight="1">
      <c r="A882" s="180">
        <f>'רשימת מכשור 2015'!A881</f>
        <v>0</v>
      </c>
      <c r="B882" s="180">
        <f>'רשימת מכשור 2015'!B881</f>
        <v>0</v>
      </c>
      <c r="C882" s="180">
        <f>'רשימת מכשור 2015'!C881</f>
        <v>0</v>
      </c>
      <c r="D882" s="233">
        <f>'רשימת מכשור 2015'!D881</f>
        <v>0</v>
      </c>
      <c r="E882" s="180">
        <f>'רשימת מכשור 2015'!E881</f>
        <v>0</v>
      </c>
      <c r="F882" s="180">
        <f>'רשימת מכשור 2015'!F881</f>
        <v>0</v>
      </c>
      <c r="G882" s="181"/>
      <c r="H882" s="181">
        <f t="shared" si="35"/>
        <v>0</v>
      </c>
      <c r="I882" s="182"/>
      <c r="J882" s="181"/>
      <c r="K882" s="181"/>
      <c r="L882" s="181"/>
      <c r="M882" s="181" t="e">
        <f t="shared" si="36"/>
        <v>#DIV/0!</v>
      </c>
      <c r="N882" s="181"/>
      <c r="O882" s="183"/>
      <c r="P882" s="183"/>
      <c r="Q882" s="193"/>
    </row>
    <row r="883" spans="1:17" ht="14.25" customHeight="1">
      <c r="A883" s="180">
        <f>'רשימת מכשור 2015'!A882</f>
        <v>0</v>
      </c>
      <c r="B883" s="180">
        <f>'רשימת מכשור 2015'!B882</f>
        <v>0</v>
      </c>
      <c r="C883" s="180">
        <f>'רשימת מכשור 2015'!C882</f>
        <v>0</v>
      </c>
      <c r="D883" s="233">
        <f>'רשימת מכשור 2015'!D882</f>
        <v>0</v>
      </c>
      <c r="E883" s="180">
        <f>'רשימת מכשור 2015'!E882</f>
        <v>0</v>
      </c>
      <c r="F883" s="180">
        <f>'רשימת מכשור 2015'!F882</f>
        <v>0</v>
      </c>
      <c r="G883" s="181"/>
      <c r="H883" s="181">
        <f t="shared" si="35"/>
        <v>0</v>
      </c>
      <c r="I883" s="182"/>
      <c r="J883" s="181"/>
      <c r="K883" s="181"/>
      <c r="L883" s="181"/>
      <c r="M883" s="181" t="e">
        <f t="shared" si="36"/>
        <v>#DIV/0!</v>
      </c>
      <c r="N883" s="181"/>
      <c r="O883" s="183"/>
      <c r="P883" s="183"/>
      <c r="Q883" s="193"/>
    </row>
    <row r="884" spans="1:17" ht="14.25" customHeight="1">
      <c r="A884" s="180">
        <f>'רשימת מכשור 2015'!A883</f>
        <v>0</v>
      </c>
      <c r="B884" s="180">
        <f>'רשימת מכשור 2015'!B883</f>
        <v>0</v>
      </c>
      <c r="C884" s="180">
        <f>'רשימת מכשור 2015'!C883</f>
        <v>0</v>
      </c>
      <c r="D884" s="233">
        <f>'רשימת מכשור 2015'!D883</f>
        <v>0</v>
      </c>
      <c r="E884" s="180">
        <f>'רשימת מכשור 2015'!E883</f>
        <v>0</v>
      </c>
      <c r="F884" s="180">
        <f>'רשימת מכשור 2015'!F883</f>
        <v>0</v>
      </c>
      <c r="G884" s="181"/>
      <c r="H884" s="181">
        <f t="shared" si="35"/>
        <v>0</v>
      </c>
      <c r="I884" s="182"/>
      <c r="J884" s="181"/>
      <c r="K884" s="181"/>
      <c r="L884" s="181"/>
      <c r="M884" s="181" t="e">
        <f t="shared" si="36"/>
        <v>#DIV/0!</v>
      </c>
      <c r="N884" s="181"/>
      <c r="O884" s="183"/>
      <c r="P884" s="183"/>
      <c r="Q884" s="193"/>
    </row>
    <row r="885" spans="1:17" ht="14.25" customHeight="1">
      <c r="A885" s="180">
        <f>'רשימת מכשור 2015'!A884</f>
        <v>0</v>
      </c>
      <c r="B885" s="180">
        <f>'רשימת מכשור 2015'!B884</f>
        <v>0</v>
      </c>
      <c r="C885" s="180">
        <f>'רשימת מכשור 2015'!C884</f>
        <v>0</v>
      </c>
      <c r="D885" s="233">
        <f>'רשימת מכשור 2015'!D884</f>
        <v>0</v>
      </c>
      <c r="E885" s="180">
        <f>'רשימת מכשור 2015'!E884</f>
        <v>0</v>
      </c>
      <c r="F885" s="180">
        <f>'רשימת מכשור 2015'!F884</f>
        <v>0</v>
      </c>
      <c r="G885" s="181"/>
      <c r="H885" s="181">
        <f t="shared" si="35"/>
        <v>0</v>
      </c>
      <c r="I885" s="182"/>
      <c r="J885" s="181"/>
      <c r="K885" s="181"/>
      <c r="L885" s="181"/>
      <c r="M885" s="181" t="e">
        <f t="shared" si="36"/>
        <v>#DIV/0!</v>
      </c>
      <c r="N885" s="181"/>
      <c r="O885" s="183"/>
      <c r="P885" s="183"/>
      <c r="Q885" s="193"/>
    </row>
    <row r="886" spans="1:17" ht="14.25" customHeight="1">
      <c r="A886" s="180">
        <f>'רשימת מכשור 2015'!A885</f>
        <v>0</v>
      </c>
      <c r="B886" s="180">
        <f>'רשימת מכשור 2015'!B885</f>
        <v>0</v>
      </c>
      <c r="C886" s="180">
        <f>'רשימת מכשור 2015'!C885</f>
        <v>0</v>
      </c>
      <c r="D886" s="233">
        <f>'רשימת מכשור 2015'!D885</f>
        <v>0</v>
      </c>
      <c r="E886" s="180">
        <f>'רשימת מכשור 2015'!E885</f>
        <v>0</v>
      </c>
      <c r="F886" s="180">
        <f>'רשימת מכשור 2015'!F885</f>
        <v>0</v>
      </c>
      <c r="G886" s="181"/>
      <c r="H886" s="181">
        <f t="shared" si="35"/>
        <v>0</v>
      </c>
      <c r="I886" s="182"/>
      <c r="J886" s="181"/>
      <c r="K886" s="181"/>
      <c r="L886" s="181"/>
      <c r="M886" s="181" t="e">
        <f t="shared" si="36"/>
        <v>#DIV/0!</v>
      </c>
      <c r="N886" s="181"/>
      <c r="O886" s="183"/>
      <c r="P886" s="183"/>
      <c r="Q886" s="193"/>
    </row>
    <row r="887" spans="1:17" ht="14.25" customHeight="1">
      <c r="A887" s="180">
        <f>'רשימת מכשור 2015'!A886</f>
        <v>0</v>
      </c>
      <c r="B887" s="180">
        <f>'רשימת מכשור 2015'!B886</f>
        <v>0</v>
      </c>
      <c r="C887" s="180">
        <f>'רשימת מכשור 2015'!C886</f>
        <v>0</v>
      </c>
      <c r="D887" s="233">
        <f>'רשימת מכשור 2015'!D886</f>
        <v>0</v>
      </c>
      <c r="E887" s="180">
        <f>'רשימת מכשור 2015'!E886</f>
        <v>0</v>
      </c>
      <c r="F887" s="180">
        <f>'רשימת מכשור 2015'!F886</f>
        <v>0</v>
      </c>
      <c r="G887" s="181"/>
      <c r="H887" s="181">
        <f t="shared" si="35"/>
        <v>0</v>
      </c>
      <c r="I887" s="182"/>
      <c r="J887" s="181"/>
      <c r="K887" s="181"/>
      <c r="L887" s="181"/>
      <c r="M887" s="181" t="e">
        <f t="shared" si="36"/>
        <v>#DIV/0!</v>
      </c>
      <c r="N887" s="181"/>
      <c r="O887" s="183"/>
      <c r="P887" s="183"/>
      <c r="Q887" s="193"/>
    </row>
    <row r="888" spans="1:17" ht="14.25" customHeight="1">
      <c r="A888" s="180">
        <f>'רשימת מכשור 2015'!A887</f>
        <v>0</v>
      </c>
      <c r="B888" s="180">
        <f>'רשימת מכשור 2015'!B887</f>
        <v>0</v>
      </c>
      <c r="C888" s="180">
        <f>'רשימת מכשור 2015'!C887</f>
        <v>0</v>
      </c>
      <c r="D888" s="233">
        <f>'רשימת מכשור 2015'!D887</f>
        <v>0</v>
      </c>
      <c r="E888" s="180">
        <f>'רשימת מכשור 2015'!E887</f>
        <v>0</v>
      </c>
      <c r="F888" s="180">
        <f>'רשימת מכשור 2015'!F887</f>
        <v>0</v>
      </c>
      <c r="G888" s="181"/>
      <c r="H888" s="181">
        <f t="shared" si="35"/>
        <v>0</v>
      </c>
      <c r="I888" s="182"/>
      <c r="J888" s="181"/>
      <c r="K888" s="181"/>
      <c r="L888" s="181"/>
      <c r="M888" s="181" t="e">
        <f t="shared" si="36"/>
        <v>#DIV/0!</v>
      </c>
      <c r="N888" s="181"/>
      <c r="O888" s="183"/>
      <c r="P888" s="183"/>
      <c r="Q888" s="193"/>
    </row>
    <row r="889" spans="1:17" ht="14.25" customHeight="1">
      <c r="A889" s="180">
        <f>'רשימת מכשור 2015'!A888</f>
        <v>0</v>
      </c>
      <c r="B889" s="180">
        <f>'רשימת מכשור 2015'!B888</f>
        <v>0</v>
      </c>
      <c r="C889" s="180">
        <f>'רשימת מכשור 2015'!C888</f>
        <v>0</v>
      </c>
      <c r="D889" s="233">
        <f>'רשימת מכשור 2015'!D888</f>
        <v>0</v>
      </c>
      <c r="E889" s="180">
        <f>'רשימת מכשור 2015'!E888</f>
        <v>0</v>
      </c>
      <c r="F889" s="180">
        <f>'רשימת מכשור 2015'!F888</f>
        <v>0</v>
      </c>
      <c r="G889" s="181"/>
      <c r="H889" s="181">
        <f t="shared" si="35"/>
        <v>0</v>
      </c>
      <c r="I889" s="182"/>
      <c r="J889" s="181"/>
      <c r="K889" s="181"/>
      <c r="L889" s="181"/>
      <c r="M889" s="181" t="e">
        <f t="shared" si="36"/>
        <v>#DIV/0!</v>
      </c>
      <c r="N889" s="181"/>
      <c r="O889" s="183"/>
      <c r="P889" s="183"/>
      <c r="Q889" s="193"/>
    </row>
    <row r="890" spans="1:17" ht="14.25" customHeight="1">
      <c r="A890" s="180">
        <f>'רשימת מכשור 2015'!A889</f>
        <v>0</v>
      </c>
      <c r="B890" s="180">
        <f>'רשימת מכשור 2015'!B889</f>
        <v>0</v>
      </c>
      <c r="C890" s="180">
        <f>'רשימת מכשור 2015'!C889</f>
        <v>0</v>
      </c>
      <c r="D890" s="233">
        <f>'רשימת מכשור 2015'!D889</f>
        <v>0</v>
      </c>
      <c r="E890" s="180">
        <f>'רשימת מכשור 2015'!E889</f>
        <v>0</v>
      </c>
      <c r="F890" s="180">
        <f>'רשימת מכשור 2015'!F889</f>
        <v>0</v>
      </c>
      <c r="G890" s="181"/>
      <c r="H890" s="181">
        <f t="shared" si="35"/>
        <v>0</v>
      </c>
      <c r="I890" s="182"/>
      <c r="J890" s="181"/>
      <c r="K890" s="181"/>
      <c r="L890" s="181"/>
      <c r="M890" s="181" t="e">
        <f t="shared" si="36"/>
        <v>#DIV/0!</v>
      </c>
      <c r="N890" s="181"/>
      <c r="O890" s="183"/>
      <c r="P890" s="183"/>
      <c r="Q890" s="193"/>
    </row>
    <row r="891" spans="1:17" ht="14.25" customHeight="1">
      <c r="A891" s="180">
        <f>'רשימת מכשור 2015'!A890</f>
        <v>0</v>
      </c>
      <c r="B891" s="180">
        <f>'רשימת מכשור 2015'!B890</f>
        <v>0</v>
      </c>
      <c r="C891" s="180">
        <f>'רשימת מכשור 2015'!C890</f>
        <v>0</v>
      </c>
      <c r="D891" s="233">
        <f>'רשימת מכשור 2015'!D890</f>
        <v>0</v>
      </c>
      <c r="E891" s="180">
        <f>'רשימת מכשור 2015'!E890</f>
        <v>0</v>
      </c>
      <c r="F891" s="180">
        <f>'רשימת מכשור 2015'!F890</f>
        <v>0</v>
      </c>
      <c r="G891" s="181"/>
      <c r="H891" s="181">
        <f t="shared" si="35"/>
        <v>0</v>
      </c>
      <c r="I891" s="182"/>
      <c r="J891" s="181"/>
      <c r="K891" s="181"/>
      <c r="L891" s="181"/>
      <c r="M891" s="181" t="e">
        <f t="shared" si="36"/>
        <v>#DIV/0!</v>
      </c>
      <c r="N891" s="181"/>
      <c r="O891" s="183"/>
      <c r="P891" s="183"/>
      <c r="Q891" s="193"/>
    </row>
    <row r="892" spans="1:17" ht="14.25" customHeight="1">
      <c r="A892" s="180">
        <f>'רשימת מכשור 2015'!A891</f>
        <v>0</v>
      </c>
      <c r="B892" s="180">
        <f>'רשימת מכשור 2015'!B891</f>
        <v>0</v>
      </c>
      <c r="C892" s="180">
        <f>'רשימת מכשור 2015'!C891</f>
        <v>0</v>
      </c>
      <c r="D892" s="233">
        <f>'רשימת מכשור 2015'!D891</f>
        <v>0</v>
      </c>
      <c r="E892" s="180">
        <f>'רשימת מכשור 2015'!E891</f>
        <v>0</v>
      </c>
      <c r="F892" s="180">
        <f>'רשימת מכשור 2015'!F891</f>
        <v>0</v>
      </c>
      <c r="G892" s="181"/>
      <c r="H892" s="181">
        <f t="shared" si="35"/>
        <v>0</v>
      </c>
      <c r="I892" s="182"/>
      <c r="J892" s="181"/>
      <c r="K892" s="181"/>
      <c r="L892" s="181"/>
      <c r="M892" s="181" t="e">
        <f t="shared" si="36"/>
        <v>#DIV/0!</v>
      </c>
      <c r="N892" s="181"/>
      <c r="O892" s="183"/>
      <c r="P892" s="183"/>
      <c r="Q892" s="193"/>
    </row>
    <row r="893" spans="1:17" ht="14.25" customHeight="1">
      <c r="A893" s="180">
        <f>'רשימת מכשור 2015'!A892</f>
        <v>0</v>
      </c>
      <c r="B893" s="180">
        <f>'רשימת מכשור 2015'!B892</f>
        <v>0</v>
      </c>
      <c r="C893" s="180">
        <f>'רשימת מכשור 2015'!C892</f>
        <v>0</v>
      </c>
      <c r="D893" s="233">
        <f>'רשימת מכשור 2015'!D892</f>
        <v>0</v>
      </c>
      <c r="E893" s="180">
        <f>'רשימת מכשור 2015'!E892</f>
        <v>0</v>
      </c>
      <c r="F893" s="180">
        <f>'רשימת מכשור 2015'!F892</f>
        <v>0</v>
      </c>
      <c r="G893" s="181"/>
      <c r="H893" s="181">
        <f t="shared" si="35"/>
        <v>0</v>
      </c>
      <c r="I893" s="182"/>
      <c r="J893" s="181"/>
      <c r="K893" s="181"/>
      <c r="L893" s="181"/>
      <c r="M893" s="181" t="e">
        <f t="shared" si="36"/>
        <v>#DIV/0!</v>
      </c>
      <c r="N893" s="181"/>
      <c r="O893" s="183"/>
      <c r="P893" s="183"/>
      <c r="Q893" s="193"/>
    </row>
    <row r="894" spans="1:17" ht="14.25" customHeight="1">
      <c r="A894" s="180">
        <f>'רשימת מכשור 2015'!A893</f>
        <v>0</v>
      </c>
      <c r="B894" s="180">
        <f>'רשימת מכשור 2015'!B893</f>
        <v>0</v>
      </c>
      <c r="C894" s="180">
        <f>'רשימת מכשור 2015'!C893</f>
        <v>0</v>
      </c>
      <c r="D894" s="233">
        <f>'רשימת מכשור 2015'!D893</f>
        <v>0</v>
      </c>
      <c r="E894" s="180">
        <f>'רשימת מכשור 2015'!E893</f>
        <v>0</v>
      </c>
      <c r="F894" s="180">
        <f>'רשימת מכשור 2015'!F893</f>
        <v>0</v>
      </c>
      <c r="G894" s="181"/>
      <c r="H894" s="181">
        <f t="shared" si="35"/>
        <v>0</v>
      </c>
      <c r="I894" s="182"/>
      <c r="J894" s="181"/>
      <c r="K894" s="181"/>
      <c r="L894" s="181"/>
      <c r="M894" s="181" t="e">
        <f t="shared" si="36"/>
        <v>#DIV/0!</v>
      </c>
      <c r="N894" s="181"/>
      <c r="O894" s="183"/>
      <c r="P894" s="183"/>
      <c r="Q894" s="193"/>
    </row>
    <row r="895" spans="1:17" ht="14.25" customHeight="1">
      <c r="A895" s="180">
        <f>'רשימת מכשור 2015'!A894</f>
        <v>0</v>
      </c>
      <c r="B895" s="180">
        <f>'רשימת מכשור 2015'!B894</f>
        <v>0</v>
      </c>
      <c r="C895" s="180">
        <f>'רשימת מכשור 2015'!C894</f>
        <v>0</v>
      </c>
      <c r="D895" s="233">
        <f>'רשימת מכשור 2015'!D894</f>
        <v>0</v>
      </c>
      <c r="E895" s="180">
        <f>'רשימת מכשור 2015'!E894</f>
        <v>0</v>
      </c>
      <c r="F895" s="180">
        <f>'רשימת מכשור 2015'!F894</f>
        <v>0</v>
      </c>
      <c r="G895" s="181"/>
      <c r="H895" s="181">
        <f t="shared" si="35"/>
        <v>0</v>
      </c>
      <c r="I895" s="182"/>
      <c r="J895" s="181"/>
      <c r="K895" s="181"/>
      <c r="L895" s="181"/>
      <c r="M895" s="181" t="e">
        <f t="shared" si="36"/>
        <v>#DIV/0!</v>
      </c>
      <c r="N895" s="181"/>
      <c r="O895" s="183"/>
      <c r="P895" s="183"/>
      <c r="Q895" s="193"/>
    </row>
    <row r="896" spans="1:17" ht="14.25" customHeight="1">
      <c r="A896" s="180">
        <f>'רשימת מכשור 2015'!A895</f>
        <v>0</v>
      </c>
      <c r="B896" s="180">
        <f>'רשימת מכשור 2015'!B895</f>
        <v>0</v>
      </c>
      <c r="C896" s="180">
        <f>'רשימת מכשור 2015'!C895</f>
        <v>0</v>
      </c>
      <c r="D896" s="233">
        <f>'רשימת מכשור 2015'!D895</f>
        <v>0</v>
      </c>
      <c r="E896" s="180">
        <f>'רשימת מכשור 2015'!E895</f>
        <v>0</v>
      </c>
      <c r="F896" s="180">
        <f>'רשימת מכשור 2015'!F895</f>
        <v>0</v>
      </c>
      <c r="G896" s="181"/>
      <c r="H896" s="181">
        <f t="shared" si="35"/>
        <v>0</v>
      </c>
      <c r="I896" s="182"/>
      <c r="J896" s="181"/>
      <c r="K896" s="181"/>
      <c r="L896" s="181"/>
      <c r="M896" s="181" t="e">
        <f t="shared" si="36"/>
        <v>#DIV/0!</v>
      </c>
      <c r="N896" s="181"/>
      <c r="O896" s="183"/>
      <c r="P896" s="183"/>
      <c r="Q896" s="193"/>
    </row>
    <row r="897" spans="1:17" ht="14.25" customHeight="1">
      <c r="A897" s="180">
        <f>'רשימת מכשור 2015'!A896</f>
        <v>0</v>
      </c>
      <c r="B897" s="180">
        <f>'רשימת מכשור 2015'!B896</f>
        <v>0</v>
      </c>
      <c r="C897" s="180">
        <f>'רשימת מכשור 2015'!C896</f>
        <v>0</v>
      </c>
      <c r="D897" s="233">
        <f>'רשימת מכשור 2015'!D896</f>
        <v>0</v>
      </c>
      <c r="E897" s="180">
        <f>'רשימת מכשור 2015'!E896</f>
        <v>0</v>
      </c>
      <c r="F897" s="180">
        <f>'רשימת מכשור 2015'!F896</f>
        <v>0</v>
      </c>
      <c r="G897" s="181"/>
      <c r="H897" s="181">
        <f t="shared" si="35"/>
        <v>0</v>
      </c>
      <c r="I897" s="182"/>
      <c r="J897" s="181"/>
      <c r="K897" s="181"/>
      <c r="L897" s="181"/>
      <c r="M897" s="181" t="e">
        <f t="shared" si="36"/>
        <v>#DIV/0!</v>
      </c>
      <c r="N897" s="181"/>
      <c r="O897" s="183"/>
      <c r="P897" s="183"/>
      <c r="Q897" s="193"/>
    </row>
    <row r="898" spans="1:17" ht="14.25" customHeight="1">
      <c r="A898" s="180">
        <f>'רשימת מכשור 2015'!A897</f>
        <v>0</v>
      </c>
      <c r="B898" s="180">
        <f>'רשימת מכשור 2015'!B897</f>
        <v>0</v>
      </c>
      <c r="C898" s="180">
        <f>'רשימת מכשור 2015'!C897</f>
        <v>0</v>
      </c>
      <c r="D898" s="233">
        <f>'רשימת מכשור 2015'!D897</f>
        <v>0</v>
      </c>
      <c r="E898" s="180">
        <f>'רשימת מכשור 2015'!E897</f>
        <v>0</v>
      </c>
      <c r="F898" s="180">
        <f>'רשימת מכשור 2015'!F897</f>
        <v>0</v>
      </c>
      <c r="G898" s="181"/>
      <c r="H898" s="181">
        <f t="shared" si="35"/>
        <v>0</v>
      </c>
      <c r="I898" s="182"/>
      <c r="J898" s="181"/>
      <c r="K898" s="181"/>
      <c r="L898" s="181"/>
      <c r="M898" s="181" t="e">
        <f t="shared" si="36"/>
        <v>#DIV/0!</v>
      </c>
      <c r="N898" s="181"/>
      <c r="O898" s="183"/>
      <c r="P898" s="183"/>
      <c r="Q898" s="193"/>
    </row>
    <row r="899" spans="1:17" ht="14.25" customHeight="1">
      <c r="A899" s="180">
        <f>'רשימת מכשור 2015'!A898</f>
        <v>0</v>
      </c>
      <c r="B899" s="180">
        <f>'רשימת מכשור 2015'!B898</f>
        <v>0</v>
      </c>
      <c r="C899" s="180">
        <f>'רשימת מכשור 2015'!C898</f>
        <v>0</v>
      </c>
      <c r="D899" s="233">
        <f>'רשימת מכשור 2015'!D898</f>
        <v>0</v>
      </c>
      <c r="E899" s="180">
        <f>'רשימת מכשור 2015'!E898</f>
        <v>0</v>
      </c>
      <c r="F899" s="180">
        <f>'רשימת מכשור 2015'!F898</f>
        <v>0</v>
      </c>
      <c r="G899" s="181"/>
      <c r="H899" s="181">
        <f t="shared" si="35"/>
        <v>0</v>
      </c>
      <c r="I899" s="182"/>
      <c r="J899" s="181"/>
      <c r="K899" s="181"/>
      <c r="L899" s="181"/>
      <c r="M899" s="181" t="e">
        <f t="shared" si="36"/>
        <v>#DIV/0!</v>
      </c>
      <c r="N899" s="181"/>
      <c r="O899" s="183"/>
      <c r="P899" s="183"/>
      <c r="Q899" s="193"/>
    </row>
    <row r="900" spans="1:17" ht="14.25" customHeight="1">
      <c r="A900" s="180">
        <f>'רשימת מכשור 2015'!A899</f>
        <v>0</v>
      </c>
      <c r="B900" s="180">
        <f>'רשימת מכשור 2015'!B899</f>
        <v>0</v>
      </c>
      <c r="C900" s="180">
        <f>'רשימת מכשור 2015'!C899</f>
        <v>0</v>
      </c>
      <c r="D900" s="233">
        <f>'רשימת מכשור 2015'!D899</f>
        <v>0</v>
      </c>
      <c r="E900" s="180">
        <f>'רשימת מכשור 2015'!E899</f>
        <v>0</v>
      </c>
      <c r="F900" s="180">
        <f>'רשימת מכשור 2015'!F899</f>
        <v>0</v>
      </c>
      <c r="G900" s="181"/>
      <c r="H900" s="181">
        <f t="shared" si="35"/>
        <v>0</v>
      </c>
      <c r="I900" s="182"/>
      <c r="J900" s="181"/>
      <c r="K900" s="181"/>
      <c r="L900" s="181"/>
      <c r="M900" s="181" t="e">
        <f t="shared" si="36"/>
        <v>#DIV/0!</v>
      </c>
      <c r="N900" s="181"/>
      <c r="O900" s="183"/>
      <c r="P900" s="183"/>
      <c r="Q900" s="193"/>
    </row>
    <row r="901" spans="1:17" ht="14.25" customHeight="1">
      <c r="A901" s="180">
        <f>'רשימת מכשור 2015'!A900</f>
        <v>0</v>
      </c>
      <c r="B901" s="180">
        <f>'רשימת מכשור 2015'!B900</f>
        <v>0</v>
      </c>
      <c r="C901" s="180">
        <f>'רשימת מכשור 2015'!C900</f>
        <v>0</v>
      </c>
      <c r="D901" s="233">
        <f>'רשימת מכשור 2015'!D900</f>
        <v>0</v>
      </c>
      <c r="E901" s="180">
        <f>'רשימת מכשור 2015'!E900</f>
        <v>0</v>
      </c>
      <c r="F901" s="180">
        <f>'רשימת מכשור 2015'!F900</f>
        <v>0</v>
      </c>
      <c r="G901" s="181"/>
      <c r="H901" s="181">
        <f t="shared" si="35"/>
        <v>0</v>
      </c>
      <c r="I901" s="182"/>
      <c r="J901" s="181"/>
      <c r="K901" s="181"/>
      <c r="L901" s="181"/>
      <c r="M901" s="181" t="e">
        <f t="shared" si="36"/>
        <v>#DIV/0!</v>
      </c>
      <c r="N901" s="181"/>
      <c r="O901" s="183"/>
      <c r="P901" s="183"/>
      <c r="Q901" s="193"/>
    </row>
    <row r="902" spans="1:17" ht="14.25" customHeight="1">
      <c r="A902" s="180">
        <f>'רשימת מכשור 2015'!A901</f>
        <v>0</v>
      </c>
      <c r="B902" s="180">
        <f>'רשימת מכשור 2015'!B901</f>
        <v>0</v>
      </c>
      <c r="C902" s="180">
        <f>'רשימת מכשור 2015'!C901</f>
        <v>0</v>
      </c>
      <c r="D902" s="233">
        <f>'רשימת מכשור 2015'!D901</f>
        <v>0</v>
      </c>
      <c r="E902" s="180">
        <f>'רשימת מכשור 2015'!E901</f>
        <v>0</v>
      </c>
      <c r="F902" s="180">
        <f>'רשימת מכשור 2015'!F901</f>
        <v>0</v>
      </c>
      <c r="G902" s="181"/>
      <c r="H902" s="181">
        <f t="shared" si="35"/>
        <v>0</v>
      </c>
      <c r="I902" s="182"/>
      <c r="J902" s="181"/>
      <c r="K902" s="181"/>
      <c r="L902" s="181"/>
      <c r="M902" s="181" t="e">
        <f t="shared" si="36"/>
        <v>#DIV/0!</v>
      </c>
      <c r="N902" s="181"/>
      <c r="O902" s="183"/>
      <c r="P902" s="183"/>
      <c r="Q902" s="193"/>
    </row>
    <row r="903" spans="1:17" ht="14.25" customHeight="1">
      <c r="A903" s="180">
        <f>'רשימת מכשור 2015'!A902</f>
        <v>0</v>
      </c>
      <c r="B903" s="180">
        <f>'רשימת מכשור 2015'!B902</f>
        <v>0</v>
      </c>
      <c r="C903" s="180">
        <f>'רשימת מכשור 2015'!C902</f>
        <v>0</v>
      </c>
      <c r="D903" s="233">
        <f>'רשימת מכשור 2015'!D902</f>
        <v>0</v>
      </c>
      <c r="E903" s="180">
        <f>'רשימת מכשור 2015'!E902</f>
        <v>0</v>
      </c>
      <c r="F903" s="180">
        <f>'רשימת מכשור 2015'!F902</f>
        <v>0</v>
      </c>
      <c r="G903" s="181"/>
      <c r="H903" s="181">
        <f t="shared" si="35"/>
        <v>0</v>
      </c>
      <c r="I903" s="182"/>
      <c r="J903" s="181"/>
      <c r="K903" s="181"/>
      <c r="L903" s="181"/>
      <c r="M903" s="181" t="e">
        <f t="shared" si="36"/>
        <v>#DIV/0!</v>
      </c>
      <c r="N903" s="181"/>
      <c r="O903" s="183"/>
      <c r="P903" s="183"/>
      <c r="Q903" s="193"/>
    </row>
    <row r="904" spans="1:17" ht="14.25" customHeight="1">
      <c r="A904" s="180">
        <f>'רשימת מכשור 2015'!A903</f>
        <v>0</v>
      </c>
      <c r="B904" s="180">
        <f>'רשימת מכשור 2015'!B903</f>
        <v>0</v>
      </c>
      <c r="C904" s="180">
        <f>'רשימת מכשור 2015'!C903</f>
        <v>0</v>
      </c>
      <c r="D904" s="233">
        <f>'רשימת מכשור 2015'!D903</f>
        <v>0</v>
      </c>
      <c r="E904" s="180">
        <f>'רשימת מכשור 2015'!E903</f>
        <v>0</v>
      </c>
      <c r="F904" s="180">
        <f>'רשימת מכשור 2015'!F903</f>
        <v>0</v>
      </c>
      <c r="G904" s="181"/>
      <c r="H904" s="181">
        <f t="shared" si="35"/>
        <v>0</v>
      </c>
      <c r="I904" s="182"/>
      <c r="J904" s="181"/>
      <c r="K904" s="181"/>
      <c r="L904" s="181"/>
      <c r="M904" s="181" t="e">
        <f t="shared" si="36"/>
        <v>#DIV/0!</v>
      </c>
      <c r="N904" s="181"/>
      <c r="O904" s="183"/>
      <c r="P904" s="183"/>
      <c r="Q904" s="193"/>
    </row>
    <row r="905" spans="1:17" ht="14.25" customHeight="1">
      <c r="A905" s="180">
        <f>'רשימת מכשור 2015'!A904</f>
        <v>0</v>
      </c>
      <c r="B905" s="180">
        <f>'רשימת מכשור 2015'!B904</f>
        <v>0</v>
      </c>
      <c r="C905" s="180">
        <f>'רשימת מכשור 2015'!C904</f>
        <v>0</v>
      </c>
      <c r="D905" s="233">
        <f>'רשימת מכשור 2015'!D904</f>
        <v>0</v>
      </c>
      <c r="E905" s="180">
        <f>'רשימת מכשור 2015'!E904</f>
        <v>0</v>
      </c>
      <c r="F905" s="180">
        <f>'רשימת מכשור 2015'!F904</f>
        <v>0</v>
      </c>
      <c r="G905" s="181"/>
      <c r="H905" s="181">
        <f t="shared" si="35"/>
        <v>0</v>
      </c>
      <c r="I905" s="182"/>
      <c r="J905" s="181"/>
      <c r="K905" s="181"/>
      <c r="L905" s="181"/>
      <c r="M905" s="181" t="e">
        <f t="shared" si="36"/>
        <v>#DIV/0!</v>
      </c>
      <c r="N905" s="181"/>
      <c r="O905" s="183"/>
      <c r="P905" s="183"/>
      <c r="Q905" s="193"/>
    </row>
    <row r="906" spans="1:17" ht="14.25" customHeight="1">
      <c r="A906" s="180">
        <f>'רשימת מכשור 2015'!A905</f>
        <v>0</v>
      </c>
      <c r="B906" s="180">
        <f>'רשימת מכשור 2015'!B905</f>
        <v>0</v>
      </c>
      <c r="C906" s="180">
        <f>'רשימת מכשור 2015'!C905</f>
        <v>0</v>
      </c>
      <c r="D906" s="233">
        <f>'רשימת מכשור 2015'!D905</f>
        <v>0</v>
      </c>
      <c r="E906" s="180">
        <f>'רשימת מכשור 2015'!E905</f>
        <v>0</v>
      </c>
      <c r="F906" s="180">
        <f>'רשימת מכשור 2015'!F905</f>
        <v>0</v>
      </c>
      <c r="G906" s="181"/>
      <c r="H906" s="181">
        <f t="shared" si="35"/>
        <v>0</v>
      </c>
      <c r="I906" s="182"/>
      <c r="J906" s="181"/>
      <c r="K906" s="181"/>
      <c r="L906" s="181"/>
      <c r="M906" s="181" t="e">
        <f t="shared" si="36"/>
        <v>#DIV/0!</v>
      </c>
      <c r="N906" s="181"/>
      <c r="O906" s="183"/>
      <c r="P906" s="183"/>
      <c r="Q906" s="193"/>
    </row>
    <row r="907" spans="1:17" ht="14.25" customHeight="1">
      <c r="A907" s="180">
        <f>'רשימת מכשור 2015'!A906</f>
        <v>0</v>
      </c>
      <c r="B907" s="180">
        <f>'רשימת מכשור 2015'!B906</f>
        <v>0</v>
      </c>
      <c r="C907" s="180">
        <f>'רשימת מכשור 2015'!C906</f>
        <v>0</v>
      </c>
      <c r="D907" s="233">
        <f>'רשימת מכשור 2015'!D906</f>
        <v>0</v>
      </c>
      <c r="E907" s="180">
        <f>'רשימת מכשור 2015'!E906</f>
        <v>0</v>
      </c>
      <c r="F907" s="180">
        <f>'רשימת מכשור 2015'!F906</f>
        <v>0</v>
      </c>
      <c r="G907" s="181"/>
      <c r="H907" s="181">
        <f t="shared" si="35"/>
        <v>0</v>
      </c>
      <c r="I907" s="182"/>
      <c r="J907" s="181"/>
      <c r="K907" s="181"/>
      <c r="L907" s="181"/>
      <c r="M907" s="181" t="e">
        <f t="shared" si="36"/>
        <v>#DIV/0!</v>
      </c>
      <c r="N907" s="181"/>
      <c r="O907" s="183"/>
      <c r="P907" s="183"/>
      <c r="Q907" s="193"/>
    </row>
    <row r="908" spans="1:17" ht="14.25" customHeight="1">
      <c r="A908" s="180">
        <f>'רשימת מכשור 2015'!A907</f>
        <v>0</v>
      </c>
      <c r="B908" s="180">
        <f>'רשימת מכשור 2015'!B907</f>
        <v>0</v>
      </c>
      <c r="C908" s="180">
        <f>'רשימת מכשור 2015'!C907</f>
        <v>0</v>
      </c>
      <c r="D908" s="233">
        <f>'רשימת מכשור 2015'!D907</f>
        <v>0</v>
      </c>
      <c r="E908" s="180">
        <f>'רשימת מכשור 2015'!E907</f>
        <v>0</v>
      </c>
      <c r="F908" s="180">
        <f>'רשימת מכשור 2015'!F907</f>
        <v>0</v>
      </c>
      <c r="G908" s="181"/>
      <c r="H908" s="181">
        <f t="shared" si="35"/>
        <v>0</v>
      </c>
      <c r="I908" s="182"/>
      <c r="J908" s="181"/>
      <c r="K908" s="181"/>
      <c r="L908" s="181"/>
      <c r="M908" s="181" t="e">
        <f t="shared" si="36"/>
        <v>#DIV/0!</v>
      </c>
      <c r="N908" s="181"/>
      <c r="O908" s="183"/>
      <c r="P908" s="183"/>
      <c r="Q908" s="193"/>
    </row>
    <row r="909" spans="1:17" ht="14.25" customHeight="1">
      <c r="A909" s="180">
        <f>'רשימת מכשור 2015'!A908</f>
        <v>0</v>
      </c>
      <c r="B909" s="180">
        <f>'רשימת מכשור 2015'!B908</f>
        <v>0</v>
      </c>
      <c r="C909" s="180">
        <f>'רשימת מכשור 2015'!C908</f>
        <v>0</v>
      </c>
      <c r="D909" s="233">
        <f>'רשימת מכשור 2015'!D908</f>
        <v>0</v>
      </c>
      <c r="E909" s="180">
        <f>'רשימת מכשור 2015'!E908</f>
        <v>0</v>
      </c>
      <c r="F909" s="180">
        <f>'רשימת מכשור 2015'!F908</f>
        <v>0</v>
      </c>
      <c r="G909" s="181"/>
      <c r="H909" s="181">
        <f t="shared" si="35"/>
        <v>0</v>
      </c>
      <c r="I909" s="182"/>
      <c r="J909" s="181"/>
      <c r="K909" s="181"/>
      <c r="L909" s="181"/>
      <c r="M909" s="181" t="e">
        <f t="shared" si="36"/>
        <v>#DIV/0!</v>
      </c>
      <c r="N909" s="181"/>
      <c r="O909" s="183"/>
      <c r="P909" s="183"/>
      <c r="Q909" s="193"/>
    </row>
    <row r="910" spans="1:17" ht="14.25" customHeight="1">
      <c r="A910" s="180">
        <f>'רשימת מכשור 2015'!A909</f>
        <v>0</v>
      </c>
      <c r="B910" s="180">
        <f>'רשימת מכשור 2015'!B909</f>
        <v>0</v>
      </c>
      <c r="C910" s="180">
        <f>'רשימת מכשור 2015'!C909</f>
        <v>0</v>
      </c>
      <c r="D910" s="233">
        <f>'רשימת מכשור 2015'!D909</f>
        <v>0</v>
      </c>
      <c r="E910" s="180">
        <f>'רשימת מכשור 2015'!E909</f>
        <v>0</v>
      </c>
      <c r="F910" s="180">
        <f>'רשימת מכשור 2015'!F909</f>
        <v>0</v>
      </c>
      <c r="G910" s="181"/>
      <c r="H910" s="181">
        <f t="shared" si="35"/>
        <v>0</v>
      </c>
      <c r="I910" s="182"/>
      <c r="J910" s="181"/>
      <c r="K910" s="181"/>
      <c r="L910" s="181"/>
      <c r="M910" s="181" t="e">
        <f t="shared" si="36"/>
        <v>#DIV/0!</v>
      </c>
      <c r="N910" s="181"/>
      <c r="O910" s="183"/>
      <c r="P910" s="183"/>
      <c r="Q910" s="193"/>
    </row>
    <row r="911" spans="1:17" ht="14.25" customHeight="1">
      <c r="A911" s="180">
        <f>'רשימת מכשור 2015'!A910</f>
        <v>0</v>
      </c>
      <c r="B911" s="180">
        <f>'רשימת מכשור 2015'!B910</f>
        <v>0</v>
      </c>
      <c r="C911" s="180">
        <f>'רשימת מכשור 2015'!C910</f>
        <v>0</v>
      </c>
      <c r="D911" s="233">
        <f>'רשימת מכשור 2015'!D910</f>
        <v>0</v>
      </c>
      <c r="E911" s="180">
        <f>'רשימת מכשור 2015'!E910</f>
        <v>0</v>
      </c>
      <c r="F911" s="180">
        <f>'רשימת מכשור 2015'!F910</f>
        <v>0</v>
      </c>
      <c r="G911" s="181"/>
      <c r="H911" s="181">
        <f t="shared" si="35"/>
        <v>0</v>
      </c>
      <c r="I911" s="182"/>
      <c r="J911" s="181"/>
      <c r="K911" s="181"/>
      <c r="L911" s="181"/>
      <c r="M911" s="181" t="e">
        <f t="shared" si="36"/>
        <v>#DIV/0!</v>
      </c>
      <c r="N911" s="181"/>
      <c r="O911" s="183"/>
      <c r="P911" s="183"/>
      <c r="Q911" s="193"/>
    </row>
    <row r="912" spans="1:17" ht="14.25" customHeight="1">
      <c r="A912" s="180">
        <f>'רשימת מכשור 2015'!A911</f>
        <v>0</v>
      </c>
      <c r="B912" s="180">
        <f>'רשימת מכשור 2015'!B911</f>
        <v>0</v>
      </c>
      <c r="C912" s="180">
        <f>'רשימת מכשור 2015'!C911</f>
        <v>0</v>
      </c>
      <c r="D912" s="233">
        <f>'רשימת מכשור 2015'!D911</f>
        <v>0</v>
      </c>
      <c r="E912" s="180">
        <f>'רשימת מכשור 2015'!E911</f>
        <v>0</v>
      </c>
      <c r="F912" s="180">
        <f>'רשימת מכשור 2015'!F911</f>
        <v>0</v>
      </c>
      <c r="G912" s="181"/>
      <c r="H912" s="181">
        <f t="shared" si="35"/>
        <v>0</v>
      </c>
      <c r="I912" s="182"/>
      <c r="J912" s="181"/>
      <c r="K912" s="181"/>
      <c r="L912" s="181"/>
      <c r="M912" s="181" t="e">
        <f t="shared" si="36"/>
        <v>#DIV/0!</v>
      </c>
      <c r="N912" s="181"/>
      <c r="O912" s="183"/>
      <c r="P912" s="183"/>
      <c r="Q912" s="193"/>
    </row>
    <row r="913" spans="1:17" ht="14.25" customHeight="1">
      <c r="A913" s="180">
        <f>'רשימת מכשור 2015'!A912</f>
        <v>0</v>
      </c>
      <c r="B913" s="180">
        <f>'רשימת מכשור 2015'!B912</f>
        <v>0</v>
      </c>
      <c r="C913" s="180">
        <f>'רשימת מכשור 2015'!C912</f>
        <v>0</v>
      </c>
      <c r="D913" s="233">
        <f>'רשימת מכשור 2015'!D912</f>
        <v>0</v>
      </c>
      <c r="E913" s="180">
        <f>'רשימת מכשור 2015'!E912</f>
        <v>0</v>
      </c>
      <c r="F913" s="180">
        <f>'רשימת מכשור 2015'!F912</f>
        <v>0</v>
      </c>
      <c r="G913" s="181"/>
      <c r="H913" s="181">
        <f t="shared" si="35"/>
        <v>0</v>
      </c>
      <c r="I913" s="182"/>
      <c r="J913" s="181"/>
      <c r="K913" s="181"/>
      <c r="L913" s="181"/>
      <c r="M913" s="181" t="e">
        <f t="shared" si="36"/>
        <v>#DIV/0!</v>
      </c>
      <c r="N913" s="181"/>
      <c r="O913" s="183"/>
      <c r="P913" s="183"/>
      <c r="Q913" s="193"/>
    </row>
    <row r="914" spans="1:17" ht="14.25" customHeight="1">
      <c r="A914" s="180">
        <f>'רשימת מכשור 2015'!A913</f>
        <v>0</v>
      </c>
      <c r="B914" s="180">
        <f>'רשימת מכשור 2015'!B913</f>
        <v>0</v>
      </c>
      <c r="C914" s="180">
        <f>'רשימת מכשור 2015'!C913</f>
        <v>0</v>
      </c>
      <c r="D914" s="233">
        <f>'רשימת מכשור 2015'!D913</f>
        <v>0</v>
      </c>
      <c r="E914" s="180">
        <f>'רשימת מכשור 2015'!E913</f>
        <v>0</v>
      </c>
      <c r="F914" s="180">
        <f>'רשימת מכשור 2015'!F913</f>
        <v>0</v>
      </c>
      <c r="G914" s="181"/>
      <c r="H914" s="181">
        <f t="shared" si="35"/>
        <v>0</v>
      </c>
      <c r="I914" s="182"/>
      <c r="J914" s="181"/>
      <c r="K914" s="181"/>
      <c r="L914" s="181"/>
      <c r="M914" s="181" t="e">
        <f t="shared" si="36"/>
        <v>#DIV/0!</v>
      </c>
      <c r="N914" s="181"/>
      <c r="O914" s="183"/>
      <c r="P914" s="183"/>
      <c r="Q914" s="193"/>
    </row>
    <row r="915" spans="1:17" ht="14.25" customHeight="1">
      <c r="A915" s="180">
        <f>'רשימת מכשור 2015'!A914</f>
        <v>0</v>
      </c>
      <c r="B915" s="180">
        <f>'רשימת מכשור 2015'!B914</f>
        <v>0</v>
      </c>
      <c r="C915" s="180">
        <f>'רשימת מכשור 2015'!C914</f>
        <v>0</v>
      </c>
      <c r="D915" s="233">
        <f>'רשימת מכשור 2015'!D914</f>
        <v>0</v>
      </c>
      <c r="E915" s="180">
        <f>'רשימת מכשור 2015'!E914</f>
        <v>0</v>
      </c>
      <c r="F915" s="180">
        <f>'רשימת מכשור 2015'!F914</f>
        <v>0</v>
      </c>
      <c r="G915" s="181"/>
      <c r="H915" s="181">
        <f t="shared" si="35"/>
        <v>0</v>
      </c>
      <c r="I915" s="182"/>
      <c r="J915" s="181"/>
      <c r="K915" s="181"/>
      <c r="L915" s="181"/>
      <c r="M915" s="181" t="e">
        <f t="shared" si="36"/>
        <v>#DIV/0!</v>
      </c>
      <c r="N915" s="181"/>
      <c r="O915" s="183"/>
      <c r="P915" s="183"/>
      <c r="Q915" s="193"/>
    </row>
    <row r="916" spans="1:17" ht="14.25" customHeight="1">
      <c r="A916" s="180">
        <f>'רשימת מכשור 2015'!A915</f>
        <v>0</v>
      </c>
      <c r="B916" s="180">
        <f>'רשימת מכשור 2015'!B915</f>
        <v>0</v>
      </c>
      <c r="C916" s="180">
        <f>'רשימת מכשור 2015'!C915</f>
        <v>0</v>
      </c>
      <c r="D916" s="233">
        <f>'רשימת מכשור 2015'!D915</f>
        <v>0</v>
      </c>
      <c r="E916" s="180">
        <f>'רשימת מכשור 2015'!E915</f>
        <v>0</v>
      </c>
      <c r="F916" s="180">
        <f>'רשימת מכשור 2015'!F915</f>
        <v>0</v>
      </c>
      <c r="G916" s="181"/>
      <c r="H916" s="181">
        <f t="shared" si="35"/>
        <v>0</v>
      </c>
      <c r="I916" s="182"/>
      <c r="J916" s="181"/>
      <c r="K916" s="181"/>
      <c r="L916" s="181"/>
      <c r="M916" s="181" t="e">
        <f t="shared" si="36"/>
        <v>#DIV/0!</v>
      </c>
      <c r="N916" s="181"/>
      <c r="O916" s="183"/>
      <c r="P916" s="183"/>
      <c r="Q916" s="193"/>
    </row>
    <row r="917" spans="1:17" ht="14.25" customHeight="1">
      <c r="A917" s="180">
        <f>'רשימת מכשור 2015'!A916</f>
        <v>0</v>
      </c>
      <c r="B917" s="180">
        <f>'רשימת מכשור 2015'!B916</f>
        <v>0</v>
      </c>
      <c r="C917" s="180">
        <f>'רשימת מכשור 2015'!C916</f>
        <v>0</v>
      </c>
      <c r="D917" s="233">
        <f>'רשימת מכשור 2015'!D916</f>
        <v>0</v>
      </c>
      <c r="E917" s="180">
        <f>'רשימת מכשור 2015'!E916</f>
        <v>0</v>
      </c>
      <c r="F917" s="180">
        <f>'רשימת מכשור 2015'!F916</f>
        <v>0</v>
      </c>
      <c r="G917" s="181"/>
      <c r="H917" s="181">
        <f t="shared" si="35"/>
        <v>0</v>
      </c>
      <c r="I917" s="182"/>
      <c r="J917" s="181"/>
      <c r="K917" s="181"/>
      <c r="L917" s="181"/>
      <c r="M917" s="181" t="e">
        <f t="shared" si="36"/>
        <v>#DIV/0!</v>
      </c>
      <c r="N917" s="181"/>
      <c r="O917" s="183"/>
      <c r="P917" s="183"/>
      <c r="Q917" s="193"/>
    </row>
    <row r="918" spans="1:17" ht="14.25" customHeight="1">
      <c r="A918" s="180">
        <f>'רשימת מכשור 2015'!A917</f>
        <v>0</v>
      </c>
      <c r="B918" s="180">
        <f>'רשימת מכשור 2015'!B917</f>
        <v>0</v>
      </c>
      <c r="C918" s="180">
        <f>'רשימת מכשור 2015'!C917</f>
        <v>0</v>
      </c>
      <c r="D918" s="233">
        <f>'רשימת מכשור 2015'!D917</f>
        <v>0</v>
      </c>
      <c r="E918" s="180">
        <f>'רשימת מכשור 2015'!E917</f>
        <v>0</v>
      </c>
      <c r="F918" s="180">
        <f>'רשימת מכשור 2015'!F917</f>
        <v>0</v>
      </c>
      <c r="G918" s="181"/>
      <c r="H918" s="181">
        <f t="shared" si="35"/>
        <v>0</v>
      </c>
      <c r="I918" s="182"/>
      <c r="J918" s="181"/>
      <c r="K918" s="181"/>
      <c r="L918" s="181"/>
      <c r="M918" s="181" t="e">
        <f t="shared" si="36"/>
        <v>#DIV/0!</v>
      </c>
      <c r="N918" s="181"/>
      <c r="O918" s="183"/>
      <c r="P918" s="183"/>
      <c r="Q918" s="193"/>
    </row>
    <row r="919" spans="1:17" ht="14.25" customHeight="1">
      <c r="A919" s="180">
        <f>'רשימת מכשור 2015'!A918</f>
        <v>0</v>
      </c>
      <c r="B919" s="180">
        <f>'רשימת מכשור 2015'!B918</f>
        <v>0</v>
      </c>
      <c r="C919" s="180">
        <f>'רשימת מכשור 2015'!C918</f>
        <v>0</v>
      </c>
      <c r="D919" s="233">
        <f>'רשימת מכשור 2015'!D918</f>
        <v>0</v>
      </c>
      <c r="E919" s="180">
        <f>'רשימת מכשור 2015'!E918</f>
        <v>0</v>
      </c>
      <c r="F919" s="180">
        <f>'רשימת מכשור 2015'!F918</f>
        <v>0</v>
      </c>
      <c r="G919" s="181"/>
      <c r="H919" s="181">
        <f t="shared" si="35"/>
        <v>0</v>
      </c>
      <c r="I919" s="182"/>
      <c r="J919" s="181"/>
      <c r="K919" s="181"/>
      <c r="L919" s="181"/>
      <c r="M919" s="181" t="e">
        <f t="shared" si="36"/>
        <v>#DIV/0!</v>
      </c>
      <c r="N919" s="181"/>
      <c r="O919" s="183"/>
      <c r="P919" s="183"/>
      <c r="Q919" s="193"/>
    </row>
    <row r="920" spans="1:17" ht="14.25" customHeight="1">
      <c r="A920" s="180">
        <f>'רשימת מכשור 2015'!A919</f>
        <v>0</v>
      </c>
      <c r="B920" s="180">
        <f>'רשימת מכשור 2015'!B919</f>
        <v>0</v>
      </c>
      <c r="C920" s="180">
        <f>'רשימת מכשור 2015'!C919</f>
        <v>0</v>
      </c>
      <c r="D920" s="233">
        <f>'רשימת מכשור 2015'!D919</f>
        <v>0</v>
      </c>
      <c r="E920" s="180">
        <f>'רשימת מכשור 2015'!E919</f>
        <v>0</v>
      </c>
      <c r="F920" s="180">
        <f>'רשימת מכשור 2015'!F919</f>
        <v>0</v>
      </c>
      <c r="G920" s="181"/>
      <c r="H920" s="181">
        <f t="shared" si="35"/>
        <v>0</v>
      </c>
      <c r="I920" s="182"/>
      <c r="J920" s="181"/>
      <c r="K920" s="181"/>
      <c r="L920" s="181"/>
      <c r="M920" s="181" t="e">
        <f t="shared" si="36"/>
        <v>#DIV/0!</v>
      </c>
      <c r="N920" s="181"/>
      <c r="O920" s="183"/>
      <c r="P920" s="183"/>
      <c r="Q920" s="193"/>
    </row>
    <row r="921" spans="1:17" ht="14.25" customHeight="1">
      <c r="A921" s="180">
        <f>'רשימת מכשור 2015'!A920</f>
        <v>0</v>
      </c>
      <c r="B921" s="180">
        <f>'רשימת מכשור 2015'!B920</f>
        <v>0</v>
      </c>
      <c r="C921" s="180">
        <f>'רשימת מכשור 2015'!C920</f>
        <v>0</v>
      </c>
      <c r="D921" s="233">
        <f>'רשימת מכשור 2015'!D920</f>
        <v>0</v>
      </c>
      <c r="E921" s="180">
        <f>'רשימת מכשור 2015'!E920</f>
        <v>0</v>
      </c>
      <c r="F921" s="180">
        <f>'רשימת מכשור 2015'!F920</f>
        <v>0</v>
      </c>
      <c r="G921" s="181"/>
      <c r="H921" s="181">
        <f t="shared" si="35"/>
        <v>0</v>
      </c>
      <c r="I921" s="182"/>
      <c r="J921" s="181"/>
      <c r="K921" s="181"/>
      <c r="L921" s="181"/>
      <c r="M921" s="181" t="e">
        <f t="shared" si="36"/>
        <v>#DIV/0!</v>
      </c>
      <c r="N921" s="181"/>
      <c r="O921" s="183"/>
      <c r="P921" s="183"/>
      <c r="Q921" s="193"/>
    </row>
    <row r="922" spans="1:17" ht="14.25" customHeight="1">
      <c r="A922" s="180">
        <f>'רשימת מכשור 2015'!A921</f>
        <v>0</v>
      </c>
      <c r="B922" s="180">
        <f>'רשימת מכשור 2015'!B921</f>
        <v>0</v>
      </c>
      <c r="C922" s="180">
        <f>'רשימת מכשור 2015'!C921</f>
        <v>0</v>
      </c>
      <c r="D922" s="233">
        <f>'רשימת מכשור 2015'!D921</f>
        <v>0</v>
      </c>
      <c r="E922" s="180">
        <f>'רשימת מכשור 2015'!E921</f>
        <v>0</v>
      </c>
      <c r="F922" s="180">
        <f>'רשימת מכשור 2015'!F921</f>
        <v>0</v>
      </c>
      <c r="G922" s="181"/>
      <c r="H922" s="181">
        <f t="shared" si="35"/>
        <v>0</v>
      </c>
      <c r="I922" s="182"/>
      <c r="J922" s="181"/>
      <c r="K922" s="181"/>
      <c r="L922" s="181"/>
      <c r="M922" s="181" t="e">
        <f t="shared" si="36"/>
        <v>#DIV/0!</v>
      </c>
      <c r="N922" s="181"/>
      <c r="O922" s="183"/>
      <c r="P922" s="183"/>
      <c r="Q922" s="193"/>
    </row>
    <row r="923" spans="1:17" ht="14.25" customHeight="1">
      <c r="A923" s="180">
        <f>'רשימת מכשור 2015'!A922</f>
        <v>0</v>
      </c>
      <c r="B923" s="180">
        <f>'רשימת מכשור 2015'!B922</f>
        <v>0</v>
      </c>
      <c r="C923" s="180">
        <f>'רשימת מכשור 2015'!C922</f>
        <v>0</v>
      </c>
      <c r="D923" s="233">
        <f>'רשימת מכשור 2015'!D922</f>
        <v>0</v>
      </c>
      <c r="E923" s="180">
        <f>'רשימת מכשור 2015'!E922</f>
        <v>0</v>
      </c>
      <c r="F923" s="180">
        <f>'רשימת מכשור 2015'!F922</f>
        <v>0</v>
      </c>
      <c r="G923" s="181"/>
      <c r="H923" s="181">
        <f t="shared" ref="H923:H982" si="37">G923*F923</f>
        <v>0</v>
      </c>
      <c r="I923" s="182"/>
      <c r="J923" s="181"/>
      <c r="K923" s="181"/>
      <c r="L923" s="181"/>
      <c r="M923" s="181" t="e">
        <f t="shared" si="36"/>
        <v>#DIV/0!</v>
      </c>
      <c r="N923" s="181"/>
      <c r="O923" s="183"/>
      <c r="P923" s="183"/>
      <c r="Q923" s="193"/>
    </row>
    <row r="924" spans="1:17" ht="14.25" customHeight="1">
      <c r="A924" s="180">
        <f>'רשימת מכשור 2015'!A923</f>
        <v>0</v>
      </c>
      <c r="B924" s="180">
        <f>'רשימת מכשור 2015'!B923</f>
        <v>0</v>
      </c>
      <c r="C924" s="180">
        <f>'רשימת מכשור 2015'!C923</f>
        <v>0</v>
      </c>
      <c r="D924" s="233">
        <f>'רשימת מכשור 2015'!D923</f>
        <v>0</v>
      </c>
      <c r="E924" s="180">
        <f>'רשימת מכשור 2015'!E923</f>
        <v>0</v>
      </c>
      <c r="F924" s="180">
        <f>'רשימת מכשור 2015'!F923</f>
        <v>0</v>
      </c>
      <c r="G924" s="181"/>
      <c r="H924" s="181">
        <f t="shared" si="37"/>
        <v>0</v>
      </c>
      <c r="I924" s="182"/>
      <c r="J924" s="181"/>
      <c r="K924" s="181"/>
      <c r="L924" s="181"/>
      <c r="M924" s="181" t="e">
        <f t="shared" si="36"/>
        <v>#DIV/0!</v>
      </c>
      <c r="N924" s="181"/>
      <c r="O924" s="183"/>
      <c r="P924" s="183"/>
      <c r="Q924" s="193"/>
    </row>
    <row r="925" spans="1:17" ht="14.25" customHeight="1">
      <c r="A925" s="180">
        <f>'רשימת מכשור 2015'!A924</f>
        <v>0</v>
      </c>
      <c r="B925" s="180">
        <f>'רשימת מכשור 2015'!B924</f>
        <v>0</v>
      </c>
      <c r="C925" s="180">
        <f>'רשימת מכשור 2015'!C924</f>
        <v>0</v>
      </c>
      <c r="D925" s="233">
        <f>'רשימת מכשור 2015'!D924</f>
        <v>0</v>
      </c>
      <c r="E925" s="180">
        <f>'רשימת מכשור 2015'!E924</f>
        <v>0</v>
      </c>
      <c r="F925" s="180">
        <f>'רשימת מכשור 2015'!F924</f>
        <v>0</v>
      </c>
      <c r="G925" s="181"/>
      <c r="H925" s="181">
        <f t="shared" si="37"/>
        <v>0</v>
      </c>
      <c r="I925" s="182"/>
      <c r="J925" s="181"/>
      <c r="K925" s="181"/>
      <c r="L925" s="181"/>
      <c r="M925" s="181" t="e">
        <f t="shared" si="36"/>
        <v>#DIV/0!</v>
      </c>
      <c r="N925" s="181"/>
      <c r="O925" s="183"/>
      <c r="P925" s="183"/>
      <c r="Q925" s="193"/>
    </row>
    <row r="926" spans="1:17" ht="14.25" customHeight="1">
      <c r="A926" s="180">
        <f>'רשימת מכשור 2015'!A925</f>
        <v>0</v>
      </c>
      <c r="B926" s="180">
        <f>'רשימת מכשור 2015'!B925</f>
        <v>0</v>
      </c>
      <c r="C926" s="180">
        <f>'רשימת מכשור 2015'!C925</f>
        <v>0</v>
      </c>
      <c r="D926" s="233">
        <f>'רשימת מכשור 2015'!D925</f>
        <v>0</v>
      </c>
      <c r="E926" s="180">
        <f>'רשימת מכשור 2015'!E925</f>
        <v>0</v>
      </c>
      <c r="F926" s="180">
        <f>'רשימת מכשור 2015'!F925</f>
        <v>0</v>
      </c>
      <c r="G926" s="181"/>
      <c r="H926" s="181">
        <f t="shared" si="37"/>
        <v>0</v>
      </c>
      <c r="I926" s="182"/>
      <c r="J926" s="181"/>
      <c r="K926" s="181"/>
      <c r="L926" s="181"/>
      <c r="M926" s="181" t="e">
        <f t="shared" si="36"/>
        <v>#DIV/0!</v>
      </c>
      <c r="N926" s="181"/>
      <c r="O926" s="183"/>
      <c r="P926" s="183"/>
      <c r="Q926" s="193"/>
    </row>
    <row r="927" spans="1:17" ht="14.25" customHeight="1">
      <c r="A927" s="180">
        <f>'רשימת מכשור 2015'!A926</f>
        <v>0</v>
      </c>
      <c r="B927" s="180">
        <f>'רשימת מכשור 2015'!B926</f>
        <v>0</v>
      </c>
      <c r="C927" s="180">
        <f>'רשימת מכשור 2015'!C926</f>
        <v>0</v>
      </c>
      <c r="D927" s="233">
        <f>'רשימת מכשור 2015'!D926</f>
        <v>0</v>
      </c>
      <c r="E927" s="180">
        <f>'רשימת מכשור 2015'!E926</f>
        <v>0</v>
      </c>
      <c r="F927" s="180">
        <f>'רשימת מכשור 2015'!F926</f>
        <v>0</v>
      </c>
      <c r="G927" s="181"/>
      <c r="H927" s="181">
        <f t="shared" si="37"/>
        <v>0</v>
      </c>
      <c r="I927" s="182"/>
      <c r="J927" s="181"/>
      <c r="K927" s="181"/>
      <c r="L927" s="181"/>
      <c r="M927" s="181" t="e">
        <f t="shared" si="36"/>
        <v>#DIV/0!</v>
      </c>
      <c r="N927" s="181"/>
      <c r="O927" s="183"/>
      <c r="P927" s="183"/>
      <c r="Q927" s="193"/>
    </row>
    <row r="928" spans="1:17" ht="14.25" customHeight="1">
      <c r="A928" s="180">
        <f>'רשימת מכשור 2015'!A927</f>
        <v>0</v>
      </c>
      <c r="B928" s="180">
        <f>'רשימת מכשור 2015'!B927</f>
        <v>0</v>
      </c>
      <c r="C928" s="180">
        <f>'רשימת מכשור 2015'!C927</f>
        <v>0</v>
      </c>
      <c r="D928" s="233">
        <f>'רשימת מכשור 2015'!D927</f>
        <v>0</v>
      </c>
      <c r="E928" s="180">
        <f>'רשימת מכשור 2015'!E927</f>
        <v>0</v>
      </c>
      <c r="F928" s="180">
        <f>'רשימת מכשור 2015'!F927</f>
        <v>0</v>
      </c>
      <c r="G928" s="181"/>
      <c r="H928" s="181">
        <f t="shared" si="37"/>
        <v>0</v>
      </c>
      <c r="I928" s="182"/>
      <c r="J928" s="181"/>
      <c r="K928" s="181"/>
      <c r="L928" s="181"/>
      <c r="M928" s="181" t="e">
        <f t="shared" si="36"/>
        <v>#DIV/0!</v>
      </c>
      <c r="N928" s="181"/>
      <c r="O928" s="183"/>
      <c r="P928" s="183"/>
      <c r="Q928" s="193"/>
    </row>
    <row r="929" spans="1:17" ht="14.25" customHeight="1">
      <c r="A929" s="180">
        <f>'רשימת מכשור 2015'!A928</f>
        <v>0</v>
      </c>
      <c r="B929" s="180">
        <f>'רשימת מכשור 2015'!B928</f>
        <v>0</v>
      </c>
      <c r="C929" s="180">
        <f>'רשימת מכשור 2015'!C928</f>
        <v>0</v>
      </c>
      <c r="D929" s="233">
        <f>'רשימת מכשור 2015'!D928</f>
        <v>0</v>
      </c>
      <c r="E929" s="180">
        <f>'רשימת מכשור 2015'!E928</f>
        <v>0</v>
      </c>
      <c r="F929" s="180">
        <f>'רשימת מכשור 2015'!F928</f>
        <v>0</v>
      </c>
      <c r="G929" s="181"/>
      <c r="H929" s="181">
        <f t="shared" si="37"/>
        <v>0</v>
      </c>
      <c r="I929" s="182"/>
      <c r="J929" s="181"/>
      <c r="K929" s="181"/>
      <c r="L929" s="181"/>
      <c r="M929" s="181" t="e">
        <f t="shared" ref="M929:M982" si="38">IF(AND(K929*L929*30*N929&gt;H929/J929,I929=""),"לרכוש","לא לרכוש")</f>
        <v>#DIV/0!</v>
      </c>
      <c r="N929" s="181"/>
      <c r="O929" s="183"/>
      <c r="P929" s="183"/>
      <c r="Q929" s="193"/>
    </row>
    <row r="930" spans="1:17" ht="14.25" customHeight="1">
      <c r="A930" s="180">
        <f>'רשימת מכשור 2015'!A929</f>
        <v>0</v>
      </c>
      <c r="B930" s="180">
        <f>'רשימת מכשור 2015'!B929</f>
        <v>0</v>
      </c>
      <c r="C930" s="180">
        <f>'רשימת מכשור 2015'!C929</f>
        <v>0</v>
      </c>
      <c r="D930" s="233">
        <f>'רשימת מכשור 2015'!D929</f>
        <v>0</v>
      </c>
      <c r="E930" s="180">
        <f>'רשימת מכשור 2015'!E929</f>
        <v>0</v>
      </c>
      <c r="F930" s="180">
        <f>'רשימת מכשור 2015'!F929</f>
        <v>0</v>
      </c>
      <c r="G930" s="181"/>
      <c r="H930" s="181">
        <f t="shared" si="37"/>
        <v>0</v>
      </c>
      <c r="I930" s="182"/>
      <c r="J930" s="181"/>
      <c r="K930" s="181"/>
      <c r="L930" s="181"/>
      <c r="M930" s="181" t="e">
        <f t="shared" si="38"/>
        <v>#DIV/0!</v>
      </c>
      <c r="N930" s="181"/>
      <c r="O930" s="183"/>
      <c r="P930" s="183"/>
      <c r="Q930" s="193"/>
    </row>
    <row r="931" spans="1:17" ht="14.25" customHeight="1">
      <c r="A931" s="180">
        <f>'רשימת מכשור 2015'!A930</f>
        <v>0</v>
      </c>
      <c r="B931" s="180">
        <f>'רשימת מכשור 2015'!B930</f>
        <v>0</v>
      </c>
      <c r="C931" s="180">
        <f>'רשימת מכשור 2015'!C930</f>
        <v>0</v>
      </c>
      <c r="D931" s="233">
        <f>'רשימת מכשור 2015'!D930</f>
        <v>0</v>
      </c>
      <c r="E931" s="180">
        <f>'רשימת מכשור 2015'!E930</f>
        <v>0</v>
      </c>
      <c r="F931" s="180">
        <f>'רשימת מכשור 2015'!F930</f>
        <v>0</v>
      </c>
      <c r="G931" s="181"/>
      <c r="H931" s="181">
        <f t="shared" si="37"/>
        <v>0</v>
      </c>
      <c r="I931" s="182"/>
      <c r="J931" s="181"/>
      <c r="K931" s="181"/>
      <c r="L931" s="181"/>
      <c r="M931" s="181" t="e">
        <f t="shared" si="38"/>
        <v>#DIV/0!</v>
      </c>
      <c r="N931" s="181"/>
      <c r="O931" s="183"/>
      <c r="P931" s="183"/>
      <c r="Q931" s="193"/>
    </row>
    <row r="932" spans="1:17" ht="14.25" customHeight="1">
      <c r="A932" s="180">
        <f>'רשימת מכשור 2015'!A931</f>
        <v>0</v>
      </c>
      <c r="B932" s="180">
        <f>'רשימת מכשור 2015'!B931</f>
        <v>0</v>
      </c>
      <c r="C932" s="180">
        <f>'רשימת מכשור 2015'!C931</f>
        <v>0</v>
      </c>
      <c r="D932" s="233">
        <f>'רשימת מכשור 2015'!D931</f>
        <v>0</v>
      </c>
      <c r="E932" s="180">
        <f>'רשימת מכשור 2015'!E931</f>
        <v>0</v>
      </c>
      <c r="F932" s="180">
        <f>'רשימת מכשור 2015'!F931</f>
        <v>0</v>
      </c>
      <c r="G932" s="181"/>
      <c r="H932" s="181">
        <f t="shared" si="37"/>
        <v>0</v>
      </c>
      <c r="I932" s="182"/>
      <c r="J932" s="181"/>
      <c r="K932" s="181"/>
      <c r="L932" s="181"/>
      <c r="M932" s="181" t="e">
        <f t="shared" si="38"/>
        <v>#DIV/0!</v>
      </c>
      <c r="N932" s="181"/>
      <c r="O932" s="183"/>
      <c r="P932" s="183"/>
      <c r="Q932" s="193"/>
    </row>
    <row r="933" spans="1:17" ht="14.25" customHeight="1">
      <c r="A933" s="180">
        <f>'רשימת מכשור 2015'!A932</f>
        <v>0</v>
      </c>
      <c r="B933" s="180">
        <f>'רשימת מכשור 2015'!B932</f>
        <v>0</v>
      </c>
      <c r="C933" s="180">
        <f>'רשימת מכשור 2015'!C932</f>
        <v>0</v>
      </c>
      <c r="D933" s="233">
        <f>'רשימת מכשור 2015'!D932</f>
        <v>0</v>
      </c>
      <c r="E933" s="180">
        <f>'רשימת מכשור 2015'!E932</f>
        <v>0</v>
      </c>
      <c r="F933" s="180">
        <f>'רשימת מכשור 2015'!F932</f>
        <v>0</v>
      </c>
      <c r="G933" s="181"/>
      <c r="H933" s="181">
        <f t="shared" si="37"/>
        <v>0</v>
      </c>
      <c r="I933" s="182"/>
      <c r="J933" s="181"/>
      <c r="K933" s="181"/>
      <c r="L933" s="181"/>
      <c r="M933" s="181" t="e">
        <f t="shared" si="38"/>
        <v>#DIV/0!</v>
      </c>
      <c r="N933" s="181"/>
      <c r="O933" s="183"/>
      <c r="P933" s="183"/>
      <c r="Q933" s="193"/>
    </row>
    <row r="934" spans="1:17" ht="14.25" customHeight="1">
      <c r="A934" s="180">
        <f>'רשימת מכשור 2015'!A933</f>
        <v>0</v>
      </c>
      <c r="B934" s="180">
        <f>'רשימת מכשור 2015'!B933</f>
        <v>0</v>
      </c>
      <c r="C934" s="180">
        <f>'רשימת מכשור 2015'!C933</f>
        <v>0</v>
      </c>
      <c r="D934" s="233">
        <f>'רשימת מכשור 2015'!D933</f>
        <v>0</v>
      </c>
      <c r="E934" s="180">
        <f>'רשימת מכשור 2015'!E933</f>
        <v>0</v>
      </c>
      <c r="F934" s="180">
        <f>'רשימת מכשור 2015'!F933</f>
        <v>0</v>
      </c>
      <c r="G934" s="181"/>
      <c r="H934" s="181">
        <f t="shared" si="37"/>
        <v>0</v>
      </c>
      <c r="I934" s="182"/>
      <c r="J934" s="181"/>
      <c r="K934" s="181"/>
      <c r="L934" s="181"/>
      <c r="M934" s="181" t="e">
        <f t="shared" si="38"/>
        <v>#DIV/0!</v>
      </c>
      <c r="N934" s="181"/>
      <c r="O934" s="183"/>
      <c r="P934" s="183"/>
      <c r="Q934" s="193"/>
    </row>
    <row r="935" spans="1:17" ht="14.25" customHeight="1">
      <c r="A935" s="180">
        <f>'רשימת מכשור 2015'!A934</f>
        <v>0</v>
      </c>
      <c r="B935" s="180">
        <f>'רשימת מכשור 2015'!B934</f>
        <v>0</v>
      </c>
      <c r="C935" s="180">
        <f>'רשימת מכשור 2015'!C934</f>
        <v>0</v>
      </c>
      <c r="D935" s="233">
        <f>'רשימת מכשור 2015'!D934</f>
        <v>0</v>
      </c>
      <c r="E935" s="180">
        <f>'רשימת מכשור 2015'!E934</f>
        <v>0</v>
      </c>
      <c r="F935" s="180">
        <f>'רשימת מכשור 2015'!F934</f>
        <v>0</v>
      </c>
      <c r="G935" s="181"/>
      <c r="H935" s="181">
        <f t="shared" si="37"/>
        <v>0</v>
      </c>
      <c r="I935" s="182"/>
      <c r="J935" s="181"/>
      <c r="K935" s="181"/>
      <c r="L935" s="181"/>
      <c r="M935" s="181" t="e">
        <f t="shared" si="38"/>
        <v>#DIV/0!</v>
      </c>
      <c r="N935" s="181"/>
      <c r="O935" s="183"/>
      <c r="P935" s="183"/>
      <c r="Q935" s="193"/>
    </row>
    <row r="936" spans="1:17" ht="14.25" customHeight="1">
      <c r="A936" s="180">
        <f>'רשימת מכשור 2015'!A935</f>
        <v>0</v>
      </c>
      <c r="B936" s="180">
        <f>'רשימת מכשור 2015'!B935</f>
        <v>0</v>
      </c>
      <c r="C936" s="180">
        <f>'רשימת מכשור 2015'!C935</f>
        <v>0</v>
      </c>
      <c r="D936" s="233">
        <f>'רשימת מכשור 2015'!D935</f>
        <v>0</v>
      </c>
      <c r="E936" s="180">
        <f>'רשימת מכשור 2015'!E935</f>
        <v>0</v>
      </c>
      <c r="F936" s="180">
        <f>'רשימת מכשור 2015'!F935</f>
        <v>0</v>
      </c>
      <c r="G936" s="181"/>
      <c r="H936" s="181">
        <f t="shared" si="37"/>
        <v>0</v>
      </c>
      <c r="I936" s="182"/>
      <c r="J936" s="181"/>
      <c r="K936" s="181"/>
      <c r="L936" s="181"/>
      <c r="M936" s="181" t="e">
        <f t="shared" si="38"/>
        <v>#DIV/0!</v>
      </c>
      <c r="N936" s="181"/>
      <c r="O936" s="183"/>
      <c r="P936" s="183"/>
      <c r="Q936" s="193"/>
    </row>
    <row r="937" spans="1:17" ht="14.25" customHeight="1">
      <c r="A937" s="180">
        <f>'רשימת מכשור 2015'!A936</f>
        <v>0</v>
      </c>
      <c r="B937" s="180">
        <f>'רשימת מכשור 2015'!B936</f>
        <v>0</v>
      </c>
      <c r="C937" s="180">
        <f>'רשימת מכשור 2015'!C936</f>
        <v>0</v>
      </c>
      <c r="D937" s="233">
        <f>'רשימת מכשור 2015'!D936</f>
        <v>0</v>
      </c>
      <c r="E937" s="180">
        <f>'רשימת מכשור 2015'!E936</f>
        <v>0</v>
      </c>
      <c r="F937" s="180">
        <f>'רשימת מכשור 2015'!F936</f>
        <v>0</v>
      </c>
      <c r="G937" s="181"/>
      <c r="H937" s="181">
        <f t="shared" si="37"/>
        <v>0</v>
      </c>
      <c r="I937" s="182"/>
      <c r="J937" s="181"/>
      <c r="K937" s="181"/>
      <c r="L937" s="181"/>
      <c r="M937" s="181" t="e">
        <f t="shared" si="38"/>
        <v>#DIV/0!</v>
      </c>
      <c r="N937" s="181"/>
      <c r="O937" s="183"/>
      <c r="P937" s="183"/>
      <c r="Q937" s="193"/>
    </row>
    <row r="938" spans="1:17" ht="14.25" customHeight="1">
      <c r="A938" s="180">
        <f>'רשימת מכשור 2015'!A937</f>
        <v>0</v>
      </c>
      <c r="B938" s="180">
        <f>'רשימת מכשור 2015'!B937</f>
        <v>0</v>
      </c>
      <c r="C938" s="180">
        <f>'רשימת מכשור 2015'!C937</f>
        <v>0</v>
      </c>
      <c r="D938" s="233">
        <f>'רשימת מכשור 2015'!D937</f>
        <v>0</v>
      </c>
      <c r="E938" s="180">
        <f>'רשימת מכשור 2015'!E937</f>
        <v>0</v>
      </c>
      <c r="F938" s="180">
        <f>'רשימת מכשור 2015'!F937</f>
        <v>0</v>
      </c>
      <c r="G938" s="181"/>
      <c r="H938" s="181">
        <f t="shared" si="37"/>
        <v>0</v>
      </c>
      <c r="I938" s="182"/>
      <c r="J938" s="181"/>
      <c r="K938" s="181"/>
      <c r="L938" s="181"/>
      <c r="M938" s="181" t="e">
        <f t="shared" si="38"/>
        <v>#DIV/0!</v>
      </c>
      <c r="N938" s="181"/>
      <c r="O938" s="183"/>
      <c r="P938" s="183"/>
      <c r="Q938" s="193"/>
    </row>
    <row r="939" spans="1:17" ht="14.25" customHeight="1">
      <c r="A939" s="180">
        <f>'רשימת מכשור 2015'!A938</f>
        <v>0</v>
      </c>
      <c r="B939" s="180">
        <f>'רשימת מכשור 2015'!B938</f>
        <v>0</v>
      </c>
      <c r="C939" s="180">
        <f>'רשימת מכשור 2015'!C938</f>
        <v>0</v>
      </c>
      <c r="D939" s="233">
        <f>'רשימת מכשור 2015'!D938</f>
        <v>0</v>
      </c>
      <c r="E939" s="180">
        <f>'רשימת מכשור 2015'!E938</f>
        <v>0</v>
      </c>
      <c r="F939" s="180">
        <f>'רשימת מכשור 2015'!F938</f>
        <v>0</v>
      </c>
      <c r="G939" s="181"/>
      <c r="H939" s="181">
        <f t="shared" si="37"/>
        <v>0</v>
      </c>
      <c r="I939" s="182"/>
      <c r="J939" s="181"/>
      <c r="K939" s="181"/>
      <c r="L939" s="181"/>
      <c r="M939" s="181" t="e">
        <f t="shared" si="38"/>
        <v>#DIV/0!</v>
      </c>
      <c r="N939" s="181"/>
      <c r="O939" s="183"/>
      <c r="P939" s="183"/>
      <c r="Q939" s="193"/>
    </row>
    <row r="940" spans="1:17" ht="14.25" customHeight="1">
      <c r="A940" s="180">
        <f>'רשימת מכשור 2015'!A939</f>
        <v>0</v>
      </c>
      <c r="B940" s="180">
        <f>'רשימת מכשור 2015'!B939</f>
        <v>0</v>
      </c>
      <c r="C940" s="180">
        <f>'רשימת מכשור 2015'!C939</f>
        <v>0</v>
      </c>
      <c r="D940" s="233">
        <f>'רשימת מכשור 2015'!D939</f>
        <v>0</v>
      </c>
      <c r="E940" s="180">
        <f>'רשימת מכשור 2015'!E939</f>
        <v>0</v>
      </c>
      <c r="F940" s="180">
        <f>'רשימת מכשור 2015'!F939</f>
        <v>0</v>
      </c>
      <c r="G940" s="181"/>
      <c r="H940" s="181">
        <f t="shared" si="37"/>
        <v>0</v>
      </c>
      <c r="I940" s="182"/>
      <c r="J940" s="181"/>
      <c r="K940" s="181"/>
      <c r="L940" s="181"/>
      <c r="M940" s="181" t="e">
        <f t="shared" si="38"/>
        <v>#DIV/0!</v>
      </c>
      <c r="N940" s="181"/>
      <c r="O940" s="183"/>
      <c r="P940" s="183"/>
      <c r="Q940" s="193"/>
    </row>
    <row r="941" spans="1:17" ht="14.25" customHeight="1">
      <c r="A941" s="180">
        <f>'רשימת מכשור 2015'!A940</f>
        <v>0</v>
      </c>
      <c r="B941" s="180">
        <f>'רשימת מכשור 2015'!B940</f>
        <v>0</v>
      </c>
      <c r="C941" s="180">
        <f>'רשימת מכשור 2015'!C940</f>
        <v>0</v>
      </c>
      <c r="D941" s="233">
        <f>'רשימת מכשור 2015'!D940</f>
        <v>0</v>
      </c>
      <c r="E941" s="180">
        <f>'רשימת מכשור 2015'!E940</f>
        <v>0</v>
      </c>
      <c r="F941" s="180">
        <f>'רשימת מכשור 2015'!F940</f>
        <v>0</v>
      </c>
      <c r="G941" s="181"/>
      <c r="H941" s="181">
        <f t="shared" si="37"/>
        <v>0</v>
      </c>
      <c r="I941" s="182"/>
      <c r="J941" s="181"/>
      <c r="K941" s="181"/>
      <c r="L941" s="181"/>
      <c r="M941" s="181" t="e">
        <f t="shared" si="38"/>
        <v>#DIV/0!</v>
      </c>
      <c r="N941" s="181"/>
      <c r="O941" s="183"/>
      <c r="P941" s="183"/>
      <c r="Q941" s="193"/>
    </row>
    <row r="942" spans="1:17" ht="14.25" customHeight="1">
      <c r="A942" s="180">
        <f>'רשימת מכשור 2015'!A941</f>
        <v>0</v>
      </c>
      <c r="B942" s="180">
        <f>'רשימת מכשור 2015'!B941</f>
        <v>0</v>
      </c>
      <c r="C942" s="180">
        <f>'רשימת מכשור 2015'!C941</f>
        <v>0</v>
      </c>
      <c r="D942" s="233">
        <f>'רשימת מכשור 2015'!D941</f>
        <v>0</v>
      </c>
      <c r="E942" s="180">
        <f>'רשימת מכשור 2015'!E941</f>
        <v>0</v>
      </c>
      <c r="F942" s="180">
        <f>'רשימת מכשור 2015'!F941</f>
        <v>0</v>
      </c>
      <c r="G942" s="181"/>
      <c r="H942" s="181">
        <f t="shared" si="37"/>
        <v>0</v>
      </c>
      <c r="I942" s="182"/>
      <c r="J942" s="181"/>
      <c r="K942" s="181"/>
      <c r="L942" s="181"/>
      <c r="M942" s="181" t="e">
        <f t="shared" si="38"/>
        <v>#DIV/0!</v>
      </c>
      <c r="N942" s="181"/>
      <c r="O942" s="183"/>
      <c r="P942" s="183"/>
      <c r="Q942" s="193"/>
    </row>
    <row r="943" spans="1:17" ht="14.25" customHeight="1">
      <c r="A943" s="180">
        <f>'רשימת מכשור 2015'!A942</f>
        <v>0</v>
      </c>
      <c r="B943" s="180">
        <f>'רשימת מכשור 2015'!B942</f>
        <v>0</v>
      </c>
      <c r="C943" s="180">
        <f>'רשימת מכשור 2015'!C942</f>
        <v>0</v>
      </c>
      <c r="D943" s="233">
        <f>'רשימת מכשור 2015'!D942</f>
        <v>0</v>
      </c>
      <c r="E943" s="180">
        <f>'רשימת מכשור 2015'!E942</f>
        <v>0</v>
      </c>
      <c r="F943" s="180">
        <f>'רשימת מכשור 2015'!F942</f>
        <v>0</v>
      </c>
      <c r="G943" s="181"/>
      <c r="H943" s="181">
        <f t="shared" si="37"/>
        <v>0</v>
      </c>
      <c r="I943" s="182"/>
      <c r="J943" s="181"/>
      <c r="K943" s="181"/>
      <c r="L943" s="181"/>
      <c r="M943" s="181" t="e">
        <f t="shared" si="38"/>
        <v>#DIV/0!</v>
      </c>
      <c r="N943" s="181"/>
      <c r="O943" s="183"/>
      <c r="P943" s="183"/>
      <c r="Q943" s="193"/>
    </row>
    <row r="944" spans="1:17" ht="14.25" customHeight="1">
      <c r="A944" s="180">
        <f>'רשימת מכשור 2015'!A943</f>
        <v>0</v>
      </c>
      <c r="B944" s="180">
        <f>'רשימת מכשור 2015'!B943</f>
        <v>0</v>
      </c>
      <c r="C944" s="180">
        <f>'רשימת מכשור 2015'!C943</f>
        <v>0</v>
      </c>
      <c r="D944" s="233">
        <f>'רשימת מכשור 2015'!D943</f>
        <v>0</v>
      </c>
      <c r="E944" s="180">
        <f>'רשימת מכשור 2015'!E943</f>
        <v>0</v>
      </c>
      <c r="F944" s="180">
        <f>'רשימת מכשור 2015'!F943</f>
        <v>0</v>
      </c>
      <c r="G944" s="181"/>
      <c r="H944" s="181">
        <f t="shared" si="37"/>
        <v>0</v>
      </c>
      <c r="I944" s="182"/>
      <c r="J944" s="181"/>
      <c r="K944" s="181"/>
      <c r="L944" s="181"/>
      <c r="M944" s="181" t="e">
        <f t="shared" si="38"/>
        <v>#DIV/0!</v>
      </c>
      <c r="N944" s="181"/>
      <c r="O944" s="183"/>
      <c r="P944" s="183"/>
      <c r="Q944" s="193"/>
    </row>
    <row r="945" spans="1:17" ht="14.25" customHeight="1">
      <c r="A945" s="180">
        <f>'רשימת מכשור 2015'!A944</f>
        <v>0</v>
      </c>
      <c r="B945" s="180">
        <f>'רשימת מכשור 2015'!B944</f>
        <v>0</v>
      </c>
      <c r="C945" s="180">
        <f>'רשימת מכשור 2015'!C944</f>
        <v>0</v>
      </c>
      <c r="D945" s="233">
        <f>'רשימת מכשור 2015'!D944</f>
        <v>0</v>
      </c>
      <c r="E945" s="180">
        <f>'רשימת מכשור 2015'!E944</f>
        <v>0</v>
      </c>
      <c r="F945" s="180">
        <f>'רשימת מכשור 2015'!F944</f>
        <v>0</v>
      </c>
      <c r="G945" s="181"/>
      <c r="H945" s="181">
        <f t="shared" si="37"/>
        <v>0</v>
      </c>
      <c r="I945" s="182"/>
      <c r="J945" s="181"/>
      <c r="K945" s="181"/>
      <c r="L945" s="181"/>
      <c r="M945" s="181" t="e">
        <f t="shared" si="38"/>
        <v>#DIV/0!</v>
      </c>
      <c r="N945" s="181"/>
      <c r="O945" s="183"/>
      <c r="P945" s="183"/>
      <c r="Q945" s="193"/>
    </row>
    <row r="946" spans="1:17" ht="14.25" customHeight="1">
      <c r="A946" s="180">
        <f>'רשימת מכשור 2015'!A945</f>
        <v>0</v>
      </c>
      <c r="B946" s="180">
        <f>'רשימת מכשור 2015'!B945</f>
        <v>0</v>
      </c>
      <c r="C946" s="180">
        <f>'רשימת מכשור 2015'!C945</f>
        <v>0</v>
      </c>
      <c r="D946" s="233">
        <f>'רשימת מכשור 2015'!D945</f>
        <v>0</v>
      </c>
      <c r="E946" s="180">
        <f>'רשימת מכשור 2015'!E945</f>
        <v>0</v>
      </c>
      <c r="F946" s="180">
        <f>'רשימת מכשור 2015'!F945</f>
        <v>0</v>
      </c>
      <c r="G946" s="181"/>
      <c r="H946" s="181">
        <f t="shared" si="37"/>
        <v>0</v>
      </c>
      <c r="I946" s="182"/>
      <c r="J946" s="181"/>
      <c r="K946" s="181"/>
      <c r="L946" s="181"/>
      <c r="M946" s="181" t="e">
        <f t="shared" si="38"/>
        <v>#DIV/0!</v>
      </c>
      <c r="N946" s="181"/>
      <c r="O946" s="183"/>
      <c r="P946" s="183"/>
      <c r="Q946" s="193"/>
    </row>
    <row r="947" spans="1:17" ht="14.25" customHeight="1">
      <c r="A947" s="180">
        <f>'רשימת מכשור 2015'!A946</f>
        <v>0</v>
      </c>
      <c r="B947" s="180">
        <f>'רשימת מכשור 2015'!B946</f>
        <v>0</v>
      </c>
      <c r="C947" s="180">
        <f>'רשימת מכשור 2015'!C946</f>
        <v>0</v>
      </c>
      <c r="D947" s="233">
        <f>'רשימת מכשור 2015'!D946</f>
        <v>0</v>
      </c>
      <c r="E947" s="180">
        <f>'רשימת מכשור 2015'!E946</f>
        <v>0</v>
      </c>
      <c r="F947" s="180">
        <f>'רשימת מכשור 2015'!F946</f>
        <v>0</v>
      </c>
      <c r="G947" s="181"/>
      <c r="H947" s="181">
        <f t="shared" si="37"/>
        <v>0</v>
      </c>
      <c r="I947" s="182"/>
      <c r="J947" s="181"/>
      <c r="K947" s="181"/>
      <c r="L947" s="181"/>
      <c r="M947" s="181" t="e">
        <f t="shared" si="38"/>
        <v>#DIV/0!</v>
      </c>
      <c r="N947" s="181"/>
      <c r="O947" s="183"/>
      <c r="P947" s="183"/>
      <c r="Q947" s="193"/>
    </row>
    <row r="948" spans="1:17" ht="14.25" customHeight="1">
      <c r="A948" s="180">
        <f>'רשימת מכשור 2015'!A947</f>
        <v>0</v>
      </c>
      <c r="B948" s="180">
        <f>'רשימת מכשור 2015'!B947</f>
        <v>0</v>
      </c>
      <c r="C948" s="180">
        <f>'רשימת מכשור 2015'!C947</f>
        <v>0</v>
      </c>
      <c r="D948" s="233">
        <f>'רשימת מכשור 2015'!D947</f>
        <v>0</v>
      </c>
      <c r="E948" s="180">
        <f>'רשימת מכשור 2015'!E947</f>
        <v>0</v>
      </c>
      <c r="F948" s="180">
        <f>'רשימת מכשור 2015'!F947</f>
        <v>0</v>
      </c>
      <c r="G948" s="181"/>
      <c r="H948" s="181">
        <f t="shared" si="37"/>
        <v>0</v>
      </c>
      <c r="I948" s="182"/>
      <c r="J948" s="181"/>
      <c r="K948" s="181"/>
      <c r="L948" s="181"/>
      <c r="M948" s="181" t="e">
        <f t="shared" si="38"/>
        <v>#DIV/0!</v>
      </c>
      <c r="N948" s="181"/>
      <c r="O948" s="183"/>
      <c r="P948" s="183"/>
      <c r="Q948" s="193"/>
    </row>
    <row r="949" spans="1:17" ht="14.25" customHeight="1">
      <c r="A949" s="180">
        <f>'רשימת מכשור 2015'!A948</f>
        <v>0</v>
      </c>
      <c r="B949" s="180">
        <f>'רשימת מכשור 2015'!B948</f>
        <v>0</v>
      </c>
      <c r="C949" s="180">
        <f>'רשימת מכשור 2015'!C948</f>
        <v>0</v>
      </c>
      <c r="D949" s="233">
        <f>'רשימת מכשור 2015'!D948</f>
        <v>0</v>
      </c>
      <c r="E949" s="180">
        <f>'רשימת מכשור 2015'!E948</f>
        <v>0</v>
      </c>
      <c r="F949" s="180">
        <f>'רשימת מכשור 2015'!F948</f>
        <v>0</v>
      </c>
      <c r="G949" s="181"/>
      <c r="H949" s="181">
        <f t="shared" si="37"/>
        <v>0</v>
      </c>
      <c r="I949" s="182"/>
      <c r="J949" s="181"/>
      <c r="K949" s="181"/>
      <c r="L949" s="181"/>
      <c r="M949" s="181" t="e">
        <f t="shared" si="38"/>
        <v>#DIV/0!</v>
      </c>
      <c r="N949" s="181"/>
      <c r="O949" s="183"/>
      <c r="P949" s="183"/>
      <c r="Q949" s="193"/>
    </row>
    <row r="950" spans="1:17" ht="14.25" customHeight="1">
      <c r="A950" s="180">
        <f>'רשימת מכשור 2015'!A949</f>
        <v>0</v>
      </c>
      <c r="B950" s="180">
        <f>'רשימת מכשור 2015'!B949</f>
        <v>0</v>
      </c>
      <c r="C950" s="180">
        <f>'רשימת מכשור 2015'!C949</f>
        <v>0</v>
      </c>
      <c r="D950" s="233">
        <f>'רשימת מכשור 2015'!D949</f>
        <v>0</v>
      </c>
      <c r="E950" s="180">
        <f>'רשימת מכשור 2015'!E949</f>
        <v>0</v>
      </c>
      <c r="F950" s="180">
        <f>'רשימת מכשור 2015'!F949</f>
        <v>0</v>
      </c>
      <c r="G950" s="181"/>
      <c r="H950" s="181">
        <f t="shared" si="37"/>
        <v>0</v>
      </c>
      <c r="I950" s="182"/>
      <c r="J950" s="181"/>
      <c r="K950" s="181"/>
      <c r="L950" s="181"/>
      <c r="M950" s="181" t="e">
        <f t="shared" si="38"/>
        <v>#DIV/0!</v>
      </c>
      <c r="N950" s="181"/>
      <c r="O950" s="183"/>
      <c r="P950" s="183"/>
      <c r="Q950" s="193"/>
    </row>
    <row r="951" spans="1:17" ht="14.25" customHeight="1">
      <c r="A951" s="180">
        <f>'רשימת מכשור 2015'!A950</f>
        <v>0</v>
      </c>
      <c r="B951" s="180">
        <f>'רשימת מכשור 2015'!B950</f>
        <v>0</v>
      </c>
      <c r="C951" s="180">
        <f>'רשימת מכשור 2015'!C950</f>
        <v>0</v>
      </c>
      <c r="D951" s="233">
        <f>'רשימת מכשור 2015'!D950</f>
        <v>0</v>
      </c>
      <c r="E951" s="180">
        <f>'רשימת מכשור 2015'!E950</f>
        <v>0</v>
      </c>
      <c r="F951" s="180">
        <f>'רשימת מכשור 2015'!F950</f>
        <v>0</v>
      </c>
      <c r="G951" s="181"/>
      <c r="H951" s="181">
        <f t="shared" si="37"/>
        <v>0</v>
      </c>
      <c r="I951" s="182"/>
      <c r="J951" s="181"/>
      <c r="K951" s="181"/>
      <c r="L951" s="181"/>
      <c r="M951" s="181" t="e">
        <f t="shared" si="38"/>
        <v>#DIV/0!</v>
      </c>
      <c r="N951" s="181"/>
      <c r="O951" s="183"/>
      <c r="P951" s="183"/>
      <c r="Q951" s="193"/>
    </row>
    <row r="952" spans="1:17" ht="14.25" customHeight="1">
      <c r="A952" s="180">
        <f>'רשימת מכשור 2015'!A951</f>
        <v>0</v>
      </c>
      <c r="B952" s="180">
        <f>'רשימת מכשור 2015'!B951</f>
        <v>0</v>
      </c>
      <c r="C952" s="180">
        <f>'רשימת מכשור 2015'!C951</f>
        <v>0</v>
      </c>
      <c r="D952" s="233">
        <f>'רשימת מכשור 2015'!D951</f>
        <v>0</v>
      </c>
      <c r="E952" s="180">
        <f>'רשימת מכשור 2015'!E951</f>
        <v>0</v>
      </c>
      <c r="F952" s="180">
        <f>'רשימת מכשור 2015'!F951</f>
        <v>0</v>
      </c>
      <c r="G952" s="181"/>
      <c r="H952" s="181">
        <f t="shared" si="37"/>
        <v>0</v>
      </c>
      <c r="I952" s="182"/>
      <c r="J952" s="181"/>
      <c r="K952" s="181"/>
      <c r="L952" s="181"/>
      <c r="M952" s="181" t="e">
        <f t="shared" si="38"/>
        <v>#DIV/0!</v>
      </c>
      <c r="N952" s="181"/>
      <c r="O952" s="183"/>
      <c r="P952" s="183"/>
      <c r="Q952" s="193"/>
    </row>
    <row r="953" spans="1:17" ht="14.25" customHeight="1">
      <c r="A953" s="180">
        <f>'רשימת מכשור 2015'!A952</f>
        <v>0</v>
      </c>
      <c r="B953" s="180">
        <f>'רשימת מכשור 2015'!B952</f>
        <v>0</v>
      </c>
      <c r="C953" s="180">
        <f>'רשימת מכשור 2015'!C952</f>
        <v>0</v>
      </c>
      <c r="D953" s="233">
        <f>'רשימת מכשור 2015'!D952</f>
        <v>0</v>
      </c>
      <c r="E953" s="180">
        <f>'רשימת מכשור 2015'!E952</f>
        <v>0</v>
      </c>
      <c r="F953" s="180">
        <f>'רשימת מכשור 2015'!F952</f>
        <v>0</v>
      </c>
      <c r="G953" s="181"/>
      <c r="H953" s="181">
        <f t="shared" si="37"/>
        <v>0</v>
      </c>
      <c r="I953" s="182"/>
      <c r="J953" s="181"/>
      <c r="K953" s="181"/>
      <c r="L953" s="181"/>
      <c r="M953" s="181" t="e">
        <f t="shared" si="38"/>
        <v>#DIV/0!</v>
      </c>
      <c r="N953" s="181"/>
      <c r="O953" s="183"/>
      <c r="P953" s="183"/>
      <c r="Q953" s="193"/>
    </row>
    <row r="954" spans="1:17" ht="14.25" customHeight="1">
      <c r="A954" s="180">
        <f>'רשימת מכשור 2015'!A953</f>
        <v>0</v>
      </c>
      <c r="B954" s="180">
        <f>'רשימת מכשור 2015'!B953</f>
        <v>0</v>
      </c>
      <c r="C954" s="180">
        <f>'רשימת מכשור 2015'!C953</f>
        <v>0</v>
      </c>
      <c r="D954" s="233">
        <f>'רשימת מכשור 2015'!D953</f>
        <v>0</v>
      </c>
      <c r="E954" s="180">
        <f>'רשימת מכשור 2015'!E953</f>
        <v>0</v>
      </c>
      <c r="F954" s="180">
        <f>'רשימת מכשור 2015'!F953</f>
        <v>0</v>
      </c>
      <c r="G954" s="181"/>
      <c r="H954" s="181">
        <f t="shared" si="37"/>
        <v>0</v>
      </c>
      <c r="I954" s="182"/>
      <c r="J954" s="181"/>
      <c r="K954" s="181"/>
      <c r="L954" s="181"/>
      <c r="M954" s="181" t="e">
        <f t="shared" si="38"/>
        <v>#DIV/0!</v>
      </c>
      <c r="N954" s="181"/>
      <c r="O954" s="183"/>
      <c r="P954" s="183"/>
      <c r="Q954" s="193"/>
    </row>
    <row r="955" spans="1:17" ht="14.25" customHeight="1">
      <c r="A955" s="180">
        <f>'רשימת מכשור 2015'!A954</f>
        <v>0</v>
      </c>
      <c r="B955" s="180">
        <f>'רשימת מכשור 2015'!B954</f>
        <v>0</v>
      </c>
      <c r="C955" s="180">
        <f>'רשימת מכשור 2015'!C954</f>
        <v>0</v>
      </c>
      <c r="D955" s="233">
        <f>'רשימת מכשור 2015'!D954</f>
        <v>0</v>
      </c>
      <c r="E955" s="180">
        <f>'רשימת מכשור 2015'!E954</f>
        <v>0</v>
      </c>
      <c r="F955" s="180">
        <f>'רשימת מכשור 2015'!F954</f>
        <v>0</v>
      </c>
      <c r="G955" s="181"/>
      <c r="H955" s="181">
        <f t="shared" si="37"/>
        <v>0</v>
      </c>
      <c r="I955" s="182"/>
      <c r="J955" s="181"/>
      <c r="K955" s="181"/>
      <c r="L955" s="181"/>
      <c r="M955" s="181" t="e">
        <f t="shared" si="38"/>
        <v>#DIV/0!</v>
      </c>
      <c r="N955" s="181"/>
      <c r="O955" s="183"/>
      <c r="P955" s="183"/>
      <c r="Q955" s="193"/>
    </row>
    <row r="956" spans="1:17" ht="14.25" customHeight="1">
      <c r="A956" s="180">
        <f>'רשימת מכשור 2015'!A955</f>
        <v>0</v>
      </c>
      <c r="B956" s="180">
        <f>'רשימת מכשור 2015'!B955</f>
        <v>0</v>
      </c>
      <c r="C956" s="180">
        <f>'רשימת מכשור 2015'!C955</f>
        <v>0</v>
      </c>
      <c r="D956" s="233">
        <f>'רשימת מכשור 2015'!D955</f>
        <v>0</v>
      </c>
      <c r="E956" s="180">
        <f>'רשימת מכשור 2015'!E955</f>
        <v>0</v>
      </c>
      <c r="F956" s="180">
        <f>'רשימת מכשור 2015'!F955</f>
        <v>0</v>
      </c>
      <c r="G956" s="181"/>
      <c r="H956" s="181">
        <f t="shared" si="37"/>
        <v>0</v>
      </c>
      <c r="I956" s="182"/>
      <c r="J956" s="181"/>
      <c r="K956" s="181"/>
      <c r="L956" s="181"/>
      <c r="M956" s="181" t="e">
        <f t="shared" si="38"/>
        <v>#DIV/0!</v>
      </c>
      <c r="N956" s="181"/>
      <c r="O956" s="183"/>
      <c r="P956" s="183"/>
      <c r="Q956" s="193"/>
    </row>
    <row r="957" spans="1:17" ht="14.25" customHeight="1">
      <c r="A957" s="180">
        <f>'רשימת מכשור 2015'!A956</f>
        <v>0</v>
      </c>
      <c r="B957" s="180">
        <f>'רשימת מכשור 2015'!B956</f>
        <v>0</v>
      </c>
      <c r="C957" s="180">
        <f>'רשימת מכשור 2015'!C956</f>
        <v>0</v>
      </c>
      <c r="D957" s="233">
        <f>'רשימת מכשור 2015'!D956</f>
        <v>0</v>
      </c>
      <c r="E957" s="180">
        <f>'רשימת מכשור 2015'!E956</f>
        <v>0</v>
      </c>
      <c r="F957" s="180">
        <f>'רשימת מכשור 2015'!F956</f>
        <v>0</v>
      </c>
      <c r="G957" s="181"/>
      <c r="H957" s="181">
        <f t="shared" si="37"/>
        <v>0</v>
      </c>
      <c r="I957" s="182"/>
      <c r="J957" s="181"/>
      <c r="K957" s="181"/>
      <c r="L957" s="181"/>
      <c r="M957" s="181" t="e">
        <f t="shared" si="38"/>
        <v>#DIV/0!</v>
      </c>
      <c r="N957" s="181"/>
      <c r="O957" s="183"/>
      <c r="P957" s="183"/>
      <c r="Q957" s="193"/>
    </row>
    <row r="958" spans="1:17" ht="14.25" customHeight="1">
      <c r="A958" s="180">
        <f>'רשימת מכשור 2015'!A957</f>
        <v>0</v>
      </c>
      <c r="B958" s="180">
        <f>'רשימת מכשור 2015'!B957</f>
        <v>0</v>
      </c>
      <c r="C958" s="180">
        <f>'רשימת מכשור 2015'!C957</f>
        <v>0</v>
      </c>
      <c r="D958" s="233">
        <f>'רשימת מכשור 2015'!D957</f>
        <v>0</v>
      </c>
      <c r="E958" s="180">
        <f>'רשימת מכשור 2015'!E957</f>
        <v>0</v>
      </c>
      <c r="F958" s="180">
        <f>'רשימת מכשור 2015'!F957</f>
        <v>0</v>
      </c>
      <c r="G958" s="181"/>
      <c r="H958" s="181">
        <f t="shared" si="37"/>
        <v>0</v>
      </c>
      <c r="I958" s="182"/>
      <c r="J958" s="181"/>
      <c r="K958" s="181"/>
      <c r="L958" s="181"/>
      <c r="M958" s="181" t="e">
        <f t="shared" si="38"/>
        <v>#DIV/0!</v>
      </c>
      <c r="N958" s="181"/>
      <c r="O958" s="183"/>
      <c r="P958" s="183"/>
      <c r="Q958" s="193"/>
    </row>
    <row r="959" spans="1:17" ht="14.25" customHeight="1">
      <c r="A959" s="180">
        <f>'רשימת מכשור 2015'!A958</f>
        <v>0</v>
      </c>
      <c r="B959" s="180">
        <f>'רשימת מכשור 2015'!B958</f>
        <v>0</v>
      </c>
      <c r="C959" s="180">
        <f>'רשימת מכשור 2015'!C958</f>
        <v>0</v>
      </c>
      <c r="D959" s="233">
        <f>'רשימת מכשור 2015'!D958</f>
        <v>0</v>
      </c>
      <c r="E959" s="180">
        <f>'רשימת מכשור 2015'!E958</f>
        <v>0</v>
      </c>
      <c r="F959" s="180">
        <f>'רשימת מכשור 2015'!F958</f>
        <v>0</v>
      </c>
      <c r="G959" s="181"/>
      <c r="H959" s="181">
        <f t="shared" si="37"/>
        <v>0</v>
      </c>
      <c r="I959" s="182"/>
      <c r="J959" s="181"/>
      <c r="K959" s="181"/>
      <c r="L959" s="181"/>
      <c r="M959" s="181" t="e">
        <f t="shared" si="38"/>
        <v>#DIV/0!</v>
      </c>
      <c r="N959" s="181"/>
      <c r="O959" s="183"/>
      <c r="P959" s="183"/>
      <c r="Q959" s="193"/>
    </row>
    <row r="960" spans="1:17" ht="14.25" customHeight="1">
      <c r="A960" s="180">
        <f>'רשימת מכשור 2015'!A959</f>
        <v>0</v>
      </c>
      <c r="B960" s="180">
        <f>'רשימת מכשור 2015'!B959</f>
        <v>0</v>
      </c>
      <c r="C960" s="180">
        <f>'רשימת מכשור 2015'!C959</f>
        <v>0</v>
      </c>
      <c r="D960" s="233">
        <f>'רשימת מכשור 2015'!D959</f>
        <v>0</v>
      </c>
      <c r="E960" s="180">
        <f>'רשימת מכשור 2015'!E959</f>
        <v>0</v>
      </c>
      <c r="F960" s="180">
        <f>'רשימת מכשור 2015'!F959</f>
        <v>0</v>
      </c>
      <c r="G960" s="181"/>
      <c r="H960" s="181">
        <f t="shared" si="37"/>
        <v>0</v>
      </c>
      <c r="I960" s="182"/>
      <c r="J960" s="181"/>
      <c r="K960" s="181"/>
      <c r="L960" s="181"/>
      <c r="M960" s="181" t="e">
        <f t="shared" si="38"/>
        <v>#DIV/0!</v>
      </c>
      <c r="N960" s="181"/>
      <c r="O960" s="183"/>
      <c r="P960" s="183"/>
      <c r="Q960" s="193"/>
    </row>
    <row r="961" spans="1:17" ht="14.25" customHeight="1">
      <c r="A961" s="180">
        <f>'רשימת מכשור 2015'!A960</f>
        <v>0</v>
      </c>
      <c r="B961" s="180">
        <f>'רשימת מכשור 2015'!B960</f>
        <v>0</v>
      </c>
      <c r="C961" s="180">
        <f>'רשימת מכשור 2015'!C960</f>
        <v>0</v>
      </c>
      <c r="D961" s="233">
        <f>'רשימת מכשור 2015'!D960</f>
        <v>0</v>
      </c>
      <c r="E961" s="180">
        <f>'רשימת מכשור 2015'!E960</f>
        <v>0</v>
      </c>
      <c r="F961" s="180">
        <f>'רשימת מכשור 2015'!F960</f>
        <v>0</v>
      </c>
      <c r="G961" s="181"/>
      <c r="H961" s="181">
        <f t="shared" si="37"/>
        <v>0</v>
      </c>
      <c r="I961" s="182"/>
      <c r="J961" s="181"/>
      <c r="K961" s="181"/>
      <c r="L961" s="181"/>
      <c r="M961" s="181" t="e">
        <f t="shared" si="38"/>
        <v>#DIV/0!</v>
      </c>
      <c r="N961" s="181"/>
      <c r="O961" s="183"/>
      <c r="P961" s="183"/>
      <c r="Q961" s="193"/>
    </row>
    <row r="962" spans="1:17" ht="14.25" customHeight="1">
      <c r="A962" s="180">
        <f>'רשימת מכשור 2015'!A961</f>
        <v>0</v>
      </c>
      <c r="B962" s="180">
        <f>'רשימת מכשור 2015'!B961</f>
        <v>0</v>
      </c>
      <c r="C962" s="180">
        <f>'רשימת מכשור 2015'!C961</f>
        <v>0</v>
      </c>
      <c r="D962" s="233">
        <f>'רשימת מכשור 2015'!D961</f>
        <v>0</v>
      </c>
      <c r="E962" s="180">
        <f>'רשימת מכשור 2015'!E961</f>
        <v>0</v>
      </c>
      <c r="F962" s="180">
        <f>'רשימת מכשור 2015'!F961</f>
        <v>0</v>
      </c>
      <c r="G962" s="181"/>
      <c r="H962" s="181">
        <f t="shared" si="37"/>
        <v>0</v>
      </c>
      <c r="I962" s="182"/>
      <c r="J962" s="181"/>
      <c r="K962" s="181"/>
      <c r="L962" s="181"/>
      <c r="M962" s="181" t="e">
        <f t="shared" si="38"/>
        <v>#DIV/0!</v>
      </c>
      <c r="N962" s="181"/>
      <c r="O962" s="183"/>
      <c r="P962" s="183"/>
      <c r="Q962" s="193"/>
    </row>
    <row r="963" spans="1:17" ht="14.25" customHeight="1">
      <c r="A963" s="180">
        <f>'רשימת מכשור 2015'!A962</f>
        <v>0</v>
      </c>
      <c r="B963" s="180">
        <f>'רשימת מכשור 2015'!B962</f>
        <v>0</v>
      </c>
      <c r="C963" s="180">
        <f>'רשימת מכשור 2015'!C962</f>
        <v>0</v>
      </c>
      <c r="D963" s="233">
        <f>'רשימת מכשור 2015'!D962</f>
        <v>0</v>
      </c>
      <c r="E963" s="180">
        <f>'רשימת מכשור 2015'!E962</f>
        <v>0</v>
      </c>
      <c r="F963" s="180">
        <f>'רשימת מכשור 2015'!F962</f>
        <v>0</v>
      </c>
      <c r="G963" s="181"/>
      <c r="H963" s="181">
        <f t="shared" si="37"/>
        <v>0</v>
      </c>
      <c r="I963" s="182"/>
      <c r="J963" s="181"/>
      <c r="K963" s="181"/>
      <c r="L963" s="181"/>
      <c r="M963" s="181" t="e">
        <f t="shared" si="38"/>
        <v>#DIV/0!</v>
      </c>
      <c r="N963" s="181"/>
      <c r="O963" s="183"/>
      <c r="P963" s="183"/>
      <c r="Q963" s="193"/>
    </row>
    <row r="964" spans="1:17" ht="14.25" customHeight="1">
      <c r="A964" s="180">
        <f>'רשימת מכשור 2015'!A963</f>
        <v>0</v>
      </c>
      <c r="B964" s="180">
        <f>'רשימת מכשור 2015'!B963</f>
        <v>0</v>
      </c>
      <c r="C964" s="180">
        <f>'רשימת מכשור 2015'!C963</f>
        <v>0</v>
      </c>
      <c r="D964" s="233">
        <f>'רשימת מכשור 2015'!D963</f>
        <v>0</v>
      </c>
      <c r="E964" s="180">
        <f>'רשימת מכשור 2015'!E963</f>
        <v>0</v>
      </c>
      <c r="F964" s="180">
        <f>'רשימת מכשור 2015'!F963</f>
        <v>0</v>
      </c>
      <c r="G964" s="181"/>
      <c r="H964" s="181">
        <f t="shared" si="37"/>
        <v>0</v>
      </c>
      <c r="I964" s="182"/>
      <c r="J964" s="181"/>
      <c r="K964" s="181"/>
      <c r="L964" s="181"/>
      <c r="M964" s="181" t="e">
        <f t="shared" si="38"/>
        <v>#DIV/0!</v>
      </c>
      <c r="N964" s="181"/>
      <c r="O964" s="183"/>
      <c r="P964" s="183"/>
      <c r="Q964" s="193"/>
    </row>
    <row r="965" spans="1:17" ht="14.25" customHeight="1">
      <c r="A965" s="180">
        <f>'רשימת מכשור 2015'!A964</f>
        <v>0</v>
      </c>
      <c r="B965" s="180">
        <f>'רשימת מכשור 2015'!B964</f>
        <v>0</v>
      </c>
      <c r="C965" s="180">
        <f>'רשימת מכשור 2015'!C964</f>
        <v>0</v>
      </c>
      <c r="D965" s="233">
        <f>'רשימת מכשור 2015'!D964</f>
        <v>0</v>
      </c>
      <c r="E965" s="180">
        <f>'רשימת מכשור 2015'!E964</f>
        <v>0</v>
      </c>
      <c r="F965" s="180">
        <f>'רשימת מכשור 2015'!F964</f>
        <v>0</v>
      </c>
      <c r="G965" s="181"/>
      <c r="H965" s="181">
        <f t="shared" si="37"/>
        <v>0</v>
      </c>
      <c r="I965" s="182"/>
      <c r="J965" s="181"/>
      <c r="K965" s="181"/>
      <c r="L965" s="181"/>
      <c r="M965" s="181" t="e">
        <f t="shared" si="38"/>
        <v>#DIV/0!</v>
      </c>
      <c r="N965" s="181"/>
      <c r="O965" s="183"/>
      <c r="P965" s="183"/>
      <c r="Q965" s="193"/>
    </row>
    <row r="966" spans="1:17" ht="14.25" customHeight="1">
      <c r="A966" s="180">
        <f>'רשימת מכשור 2015'!A965</f>
        <v>0</v>
      </c>
      <c r="B966" s="180">
        <f>'רשימת מכשור 2015'!B965</f>
        <v>0</v>
      </c>
      <c r="C966" s="180">
        <f>'רשימת מכשור 2015'!C965</f>
        <v>0</v>
      </c>
      <c r="D966" s="233">
        <f>'רשימת מכשור 2015'!D965</f>
        <v>0</v>
      </c>
      <c r="E966" s="180">
        <f>'רשימת מכשור 2015'!E965</f>
        <v>0</v>
      </c>
      <c r="F966" s="180">
        <f>'רשימת מכשור 2015'!F965</f>
        <v>0</v>
      </c>
      <c r="G966" s="181"/>
      <c r="H966" s="181">
        <f t="shared" si="37"/>
        <v>0</v>
      </c>
      <c r="I966" s="182"/>
      <c r="J966" s="181"/>
      <c r="K966" s="181"/>
      <c r="L966" s="181"/>
      <c r="M966" s="181" t="e">
        <f t="shared" si="38"/>
        <v>#DIV/0!</v>
      </c>
      <c r="N966" s="181"/>
      <c r="O966" s="183"/>
      <c r="P966" s="183"/>
      <c r="Q966" s="193"/>
    </row>
    <row r="967" spans="1:17" ht="14.25" customHeight="1">
      <c r="A967" s="180">
        <f>'רשימת מכשור 2015'!A966</f>
        <v>0</v>
      </c>
      <c r="B967" s="180">
        <f>'רשימת מכשור 2015'!B966</f>
        <v>0</v>
      </c>
      <c r="C967" s="180">
        <f>'רשימת מכשור 2015'!C966</f>
        <v>0</v>
      </c>
      <c r="D967" s="233">
        <f>'רשימת מכשור 2015'!D966</f>
        <v>0</v>
      </c>
      <c r="E967" s="180">
        <f>'רשימת מכשור 2015'!E966</f>
        <v>0</v>
      </c>
      <c r="F967" s="180">
        <f>'רשימת מכשור 2015'!F966</f>
        <v>0</v>
      </c>
      <c r="G967" s="181"/>
      <c r="H967" s="181">
        <f t="shared" si="37"/>
        <v>0</v>
      </c>
      <c r="I967" s="182"/>
      <c r="J967" s="181"/>
      <c r="K967" s="181"/>
      <c r="L967" s="181"/>
      <c r="M967" s="181" t="e">
        <f t="shared" si="38"/>
        <v>#DIV/0!</v>
      </c>
      <c r="N967" s="181"/>
      <c r="O967" s="183"/>
      <c r="P967" s="183"/>
      <c r="Q967" s="193"/>
    </row>
    <row r="968" spans="1:17" ht="14.25" customHeight="1">
      <c r="A968" s="180">
        <f>'רשימת מכשור 2015'!A967</f>
        <v>0</v>
      </c>
      <c r="B968" s="180">
        <f>'רשימת מכשור 2015'!B967</f>
        <v>0</v>
      </c>
      <c r="C968" s="180">
        <f>'רשימת מכשור 2015'!C967</f>
        <v>0</v>
      </c>
      <c r="D968" s="233">
        <f>'רשימת מכשור 2015'!D967</f>
        <v>0</v>
      </c>
      <c r="E968" s="180">
        <f>'רשימת מכשור 2015'!E967</f>
        <v>0</v>
      </c>
      <c r="F968" s="180">
        <f>'רשימת מכשור 2015'!F967</f>
        <v>0</v>
      </c>
      <c r="G968" s="181"/>
      <c r="H968" s="181">
        <f t="shared" si="37"/>
        <v>0</v>
      </c>
      <c r="I968" s="182"/>
      <c r="J968" s="181"/>
      <c r="K968" s="181"/>
      <c r="L968" s="181"/>
      <c r="M968" s="181" t="e">
        <f t="shared" si="38"/>
        <v>#DIV/0!</v>
      </c>
      <c r="N968" s="181"/>
      <c r="O968" s="183"/>
      <c r="P968" s="183"/>
      <c r="Q968" s="193"/>
    </row>
    <row r="969" spans="1:17" ht="14.25" customHeight="1">
      <c r="A969" s="180">
        <f>'רשימת מכשור 2015'!A968</f>
        <v>0</v>
      </c>
      <c r="B969" s="180">
        <f>'רשימת מכשור 2015'!B968</f>
        <v>0</v>
      </c>
      <c r="C969" s="180">
        <f>'רשימת מכשור 2015'!C968</f>
        <v>0</v>
      </c>
      <c r="D969" s="233">
        <f>'רשימת מכשור 2015'!D968</f>
        <v>0</v>
      </c>
      <c r="E969" s="180">
        <f>'רשימת מכשור 2015'!E968</f>
        <v>0</v>
      </c>
      <c r="F969" s="180">
        <f>'רשימת מכשור 2015'!F968</f>
        <v>0</v>
      </c>
      <c r="G969" s="181"/>
      <c r="H969" s="181">
        <f t="shared" si="37"/>
        <v>0</v>
      </c>
      <c r="I969" s="182"/>
      <c r="J969" s="181"/>
      <c r="K969" s="181"/>
      <c r="L969" s="181"/>
      <c r="M969" s="181" t="e">
        <f t="shared" si="38"/>
        <v>#DIV/0!</v>
      </c>
      <c r="N969" s="181"/>
      <c r="O969" s="183"/>
      <c r="P969" s="183"/>
      <c r="Q969" s="193"/>
    </row>
    <row r="970" spans="1:17" ht="14.25" customHeight="1">
      <c r="A970" s="180">
        <f>'רשימת מכשור 2015'!A969</f>
        <v>0</v>
      </c>
      <c r="B970" s="180">
        <f>'רשימת מכשור 2015'!B969</f>
        <v>0</v>
      </c>
      <c r="C970" s="180">
        <f>'רשימת מכשור 2015'!C969</f>
        <v>0</v>
      </c>
      <c r="D970" s="233">
        <f>'רשימת מכשור 2015'!D969</f>
        <v>0</v>
      </c>
      <c r="E970" s="180">
        <f>'רשימת מכשור 2015'!E969</f>
        <v>0</v>
      </c>
      <c r="F970" s="180">
        <f>'רשימת מכשור 2015'!F969</f>
        <v>0</v>
      </c>
      <c r="G970" s="181"/>
      <c r="H970" s="181">
        <f t="shared" si="37"/>
        <v>0</v>
      </c>
      <c r="I970" s="182"/>
      <c r="J970" s="181"/>
      <c r="K970" s="181"/>
      <c r="L970" s="181"/>
      <c r="M970" s="181" t="e">
        <f t="shared" si="38"/>
        <v>#DIV/0!</v>
      </c>
      <c r="N970" s="181"/>
      <c r="O970" s="183"/>
      <c r="P970" s="183"/>
      <c r="Q970" s="193"/>
    </row>
    <row r="971" spans="1:17" ht="14.25" customHeight="1">
      <c r="A971" s="180">
        <f>'רשימת מכשור 2015'!A970</f>
        <v>0</v>
      </c>
      <c r="B971" s="180">
        <f>'רשימת מכשור 2015'!B970</f>
        <v>0</v>
      </c>
      <c r="C971" s="180">
        <f>'רשימת מכשור 2015'!C970</f>
        <v>0</v>
      </c>
      <c r="D971" s="233">
        <f>'רשימת מכשור 2015'!D970</f>
        <v>0</v>
      </c>
      <c r="E971" s="180">
        <f>'רשימת מכשור 2015'!E970</f>
        <v>0</v>
      </c>
      <c r="F971" s="180">
        <f>'רשימת מכשור 2015'!F970</f>
        <v>0</v>
      </c>
      <c r="G971" s="181"/>
      <c r="H971" s="181">
        <f t="shared" si="37"/>
        <v>0</v>
      </c>
      <c r="I971" s="182"/>
      <c r="J971" s="181"/>
      <c r="K971" s="181"/>
      <c r="L971" s="181"/>
      <c r="M971" s="181" t="e">
        <f t="shared" si="38"/>
        <v>#DIV/0!</v>
      </c>
      <c r="N971" s="181"/>
      <c r="O971" s="183"/>
      <c r="P971" s="183"/>
      <c r="Q971" s="193"/>
    </row>
    <row r="972" spans="1:17" ht="14.25" customHeight="1">
      <c r="A972" s="180">
        <f>'רשימת מכשור 2015'!A971</f>
        <v>0</v>
      </c>
      <c r="B972" s="180">
        <f>'רשימת מכשור 2015'!B971</f>
        <v>0</v>
      </c>
      <c r="C972" s="180">
        <f>'רשימת מכשור 2015'!C971</f>
        <v>0</v>
      </c>
      <c r="D972" s="233">
        <f>'רשימת מכשור 2015'!D971</f>
        <v>0</v>
      </c>
      <c r="E972" s="180">
        <f>'רשימת מכשור 2015'!E971</f>
        <v>0</v>
      </c>
      <c r="F972" s="180">
        <f>'רשימת מכשור 2015'!F971</f>
        <v>0</v>
      </c>
      <c r="G972" s="181"/>
      <c r="H972" s="181">
        <f t="shared" si="37"/>
        <v>0</v>
      </c>
      <c r="I972" s="182"/>
      <c r="J972" s="181"/>
      <c r="K972" s="181"/>
      <c r="L972" s="181"/>
      <c r="M972" s="181" t="e">
        <f t="shared" si="38"/>
        <v>#DIV/0!</v>
      </c>
      <c r="N972" s="181"/>
      <c r="O972" s="183"/>
      <c r="P972" s="183"/>
      <c r="Q972" s="193"/>
    </row>
    <row r="973" spans="1:17" ht="14.25" customHeight="1">
      <c r="A973" s="180">
        <f>'רשימת מכשור 2015'!A972</f>
        <v>0</v>
      </c>
      <c r="B973" s="180">
        <f>'רשימת מכשור 2015'!B972</f>
        <v>0</v>
      </c>
      <c r="C973" s="180">
        <f>'רשימת מכשור 2015'!C972</f>
        <v>0</v>
      </c>
      <c r="D973" s="233">
        <f>'רשימת מכשור 2015'!D972</f>
        <v>0</v>
      </c>
      <c r="E973" s="180">
        <f>'רשימת מכשור 2015'!E972</f>
        <v>0</v>
      </c>
      <c r="F973" s="180">
        <f>'רשימת מכשור 2015'!F972</f>
        <v>0</v>
      </c>
      <c r="G973" s="181"/>
      <c r="H973" s="181">
        <f t="shared" si="37"/>
        <v>0</v>
      </c>
      <c r="I973" s="182"/>
      <c r="J973" s="181"/>
      <c r="K973" s="181"/>
      <c r="L973" s="181"/>
      <c r="M973" s="181" t="e">
        <f t="shared" si="38"/>
        <v>#DIV/0!</v>
      </c>
      <c r="N973" s="181"/>
      <c r="O973" s="183"/>
      <c r="P973" s="183"/>
      <c r="Q973" s="193"/>
    </row>
    <row r="974" spans="1:17" ht="14.25" customHeight="1">
      <c r="A974" s="180">
        <f>'רשימת מכשור 2015'!A973</f>
        <v>0</v>
      </c>
      <c r="B974" s="180">
        <f>'רשימת מכשור 2015'!B973</f>
        <v>0</v>
      </c>
      <c r="C974" s="180">
        <f>'רשימת מכשור 2015'!C973</f>
        <v>0</v>
      </c>
      <c r="D974" s="233">
        <f>'רשימת מכשור 2015'!D973</f>
        <v>0</v>
      </c>
      <c r="E974" s="180">
        <f>'רשימת מכשור 2015'!E973</f>
        <v>0</v>
      </c>
      <c r="F974" s="180">
        <f>'רשימת מכשור 2015'!F973</f>
        <v>0</v>
      </c>
      <c r="G974" s="181"/>
      <c r="H974" s="181">
        <f t="shared" si="37"/>
        <v>0</v>
      </c>
      <c r="I974" s="182"/>
      <c r="J974" s="181"/>
      <c r="K974" s="181"/>
      <c r="L974" s="181"/>
      <c r="M974" s="181" t="e">
        <f t="shared" si="38"/>
        <v>#DIV/0!</v>
      </c>
      <c r="N974" s="181"/>
      <c r="O974" s="183"/>
      <c r="P974" s="183"/>
      <c r="Q974" s="193"/>
    </row>
    <row r="975" spans="1:17" ht="14.25" customHeight="1">
      <c r="A975" s="180">
        <f>'רשימת מכשור 2015'!A974</f>
        <v>0</v>
      </c>
      <c r="B975" s="180">
        <f>'רשימת מכשור 2015'!B974</f>
        <v>0</v>
      </c>
      <c r="C975" s="180">
        <f>'רשימת מכשור 2015'!C974</f>
        <v>0</v>
      </c>
      <c r="D975" s="233">
        <f>'רשימת מכשור 2015'!D974</f>
        <v>0</v>
      </c>
      <c r="E975" s="180">
        <f>'רשימת מכשור 2015'!E974</f>
        <v>0</v>
      </c>
      <c r="F975" s="180">
        <f>'רשימת מכשור 2015'!F974</f>
        <v>0</v>
      </c>
      <c r="G975" s="181"/>
      <c r="H975" s="181">
        <f t="shared" si="37"/>
        <v>0</v>
      </c>
      <c r="I975" s="182"/>
      <c r="J975" s="181"/>
      <c r="K975" s="181"/>
      <c r="L975" s="181"/>
      <c r="M975" s="181" t="e">
        <f t="shared" si="38"/>
        <v>#DIV/0!</v>
      </c>
      <c r="N975" s="181"/>
      <c r="O975" s="183"/>
      <c r="P975" s="183"/>
      <c r="Q975" s="193"/>
    </row>
    <row r="976" spans="1:17" ht="14.25" customHeight="1">
      <c r="A976" s="180">
        <f>'רשימת מכשור 2015'!A975</f>
        <v>0</v>
      </c>
      <c r="B976" s="180">
        <f>'רשימת מכשור 2015'!B975</f>
        <v>0</v>
      </c>
      <c r="C976" s="180">
        <f>'רשימת מכשור 2015'!C975</f>
        <v>0</v>
      </c>
      <c r="D976" s="233">
        <f>'רשימת מכשור 2015'!D975</f>
        <v>0</v>
      </c>
      <c r="E976" s="180">
        <f>'רשימת מכשור 2015'!E975</f>
        <v>0</v>
      </c>
      <c r="F976" s="180">
        <f>'רשימת מכשור 2015'!F975</f>
        <v>0</v>
      </c>
      <c r="G976" s="181"/>
      <c r="H976" s="181">
        <f t="shared" si="37"/>
        <v>0</v>
      </c>
      <c r="I976" s="182"/>
      <c r="J976" s="181"/>
      <c r="K976" s="181"/>
      <c r="L976" s="181"/>
      <c r="M976" s="181" t="e">
        <f t="shared" si="38"/>
        <v>#DIV/0!</v>
      </c>
      <c r="N976" s="181"/>
      <c r="O976" s="183"/>
      <c r="P976" s="183"/>
      <c r="Q976" s="193"/>
    </row>
    <row r="977" spans="1:17" ht="14.25" customHeight="1">
      <c r="A977" s="180">
        <f>'רשימת מכשור 2015'!A976</f>
        <v>0</v>
      </c>
      <c r="B977" s="180">
        <f>'רשימת מכשור 2015'!B976</f>
        <v>0</v>
      </c>
      <c r="C977" s="180">
        <f>'רשימת מכשור 2015'!C976</f>
        <v>0</v>
      </c>
      <c r="D977" s="233">
        <f>'רשימת מכשור 2015'!D976</f>
        <v>0</v>
      </c>
      <c r="E977" s="180">
        <f>'רשימת מכשור 2015'!E976</f>
        <v>0</v>
      </c>
      <c r="F977" s="180">
        <f>'רשימת מכשור 2015'!F976</f>
        <v>0</v>
      </c>
      <c r="G977" s="181"/>
      <c r="H977" s="181">
        <f t="shared" si="37"/>
        <v>0</v>
      </c>
      <c r="I977" s="182"/>
      <c r="J977" s="181"/>
      <c r="K977" s="181"/>
      <c r="L977" s="181"/>
      <c r="M977" s="181" t="e">
        <f t="shared" si="38"/>
        <v>#DIV/0!</v>
      </c>
      <c r="N977" s="181"/>
      <c r="O977" s="183"/>
      <c r="P977" s="183"/>
      <c r="Q977" s="193"/>
    </row>
    <row r="978" spans="1:17" ht="14.25" customHeight="1">
      <c r="A978" s="180">
        <f>'רשימת מכשור 2015'!A977</f>
        <v>0</v>
      </c>
      <c r="B978" s="180">
        <f>'רשימת מכשור 2015'!B977</f>
        <v>0</v>
      </c>
      <c r="C978" s="180">
        <f>'רשימת מכשור 2015'!C977</f>
        <v>0</v>
      </c>
      <c r="D978" s="233">
        <f>'רשימת מכשור 2015'!D977</f>
        <v>0</v>
      </c>
      <c r="E978" s="180">
        <f>'רשימת מכשור 2015'!E977</f>
        <v>0</v>
      </c>
      <c r="F978" s="180">
        <f>'רשימת מכשור 2015'!F977</f>
        <v>0</v>
      </c>
      <c r="G978" s="181"/>
      <c r="H978" s="181">
        <f t="shared" si="37"/>
        <v>0</v>
      </c>
      <c r="I978" s="182"/>
      <c r="J978" s="181"/>
      <c r="K978" s="181"/>
      <c r="L978" s="181"/>
      <c r="M978" s="181" t="e">
        <f t="shared" si="38"/>
        <v>#DIV/0!</v>
      </c>
      <c r="N978" s="181"/>
      <c r="O978" s="183"/>
      <c r="P978" s="183"/>
      <c r="Q978" s="193"/>
    </row>
    <row r="979" spans="1:17" ht="14.25" customHeight="1">
      <c r="A979" s="180">
        <f>'רשימת מכשור 2015'!A978</f>
        <v>0</v>
      </c>
      <c r="B979" s="180">
        <f>'רשימת מכשור 2015'!B978</f>
        <v>0</v>
      </c>
      <c r="C979" s="180">
        <f>'רשימת מכשור 2015'!C978</f>
        <v>0</v>
      </c>
      <c r="D979" s="233">
        <f>'רשימת מכשור 2015'!D978</f>
        <v>0</v>
      </c>
      <c r="E979" s="180">
        <f>'רשימת מכשור 2015'!E978</f>
        <v>0</v>
      </c>
      <c r="F979" s="180">
        <f>'רשימת מכשור 2015'!F978</f>
        <v>0</v>
      </c>
      <c r="G979" s="181"/>
      <c r="H979" s="181">
        <f t="shared" si="37"/>
        <v>0</v>
      </c>
      <c r="I979" s="182"/>
      <c r="J979" s="181"/>
      <c r="K979" s="181"/>
      <c r="L979" s="181"/>
      <c r="M979" s="181" t="e">
        <f t="shared" si="38"/>
        <v>#DIV/0!</v>
      </c>
      <c r="N979" s="181"/>
      <c r="O979" s="183"/>
      <c r="P979" s="183"/>
      <c r="Q979" s="193"/>
    </row>
    <row r="980" spans="1:17" ht="14.25" customHeight="1">
      <c r="A980" s="180">
        <f>'רשימת מכשור 2015'!A979</f>
        <v>0</v>
      </c>
      <c r="B980" s="180">
        <f>'רשימת מכשור 2015'!B979</f>
        <v>0</v>
      </c>
      <c r="C980" s="180">
        <f>'רשימת מכשור 2015'!C979</f>
        <v>0</v>
      </c>
      <c r="D980" s="233">
        <f>'רשימת מכשור 2015'!D979</f>
        <v>0</v>
      </c>
      <c r="E980" s="180">
        <f>'רשימת מכשור 2015'!E979</f>
        <v>0</v>
      </c>
      <c r="F980" s="180">
        <f>'רשימת מכשור 2015'!F979</f>
        <v>0</v>
      </c>
      <c r="G980" s="181"/>
      <c r="H980" s="181">
        <f t="shared" si="37"/>
        <v>0</v>
      </c>
      <c r="I980" s="182"/>
      <c r="J980" s="181"/>
      <c r="K980" s="181"/>
      <c r="L980" s="181"/>
      <c r="M980" s="181" t="e">
        <f t="shared" si="38"/>
        <v>#DIV/0!</v>
      </c>
      <c r="N980" s="181"/>
      <c r="O980" s="183"/>
      <c r="P980" s="183"/>
      <c r="Q980" s="193"/>
    </row>
    <row r="981" spans="1:17" ht="14.25" customHeight="1">
      <c r="A981" s="180">
        <f>'רשימת מכשור 2015'!A980</f>
        <v>0</v>
      </c>
      <c r="B981" s="180">
        <f>'רשימת מכשור 2015'!B980</f>
        <v>0</v>
      </c>
      <c r="C981" s="180">
        <f>'רשימת מכשור 2015'!C980</f>
        <v>0</v>
      </c>
      <c r="D981" s="233">
        <f>'רשימת מכשור 2015'!D980</f>
        <v>0</v>
      </c>
      <c r="E981" s="180">
        <f>'רשימת מכשור 2015'!E980</f>
        <v>0</v>
      </c>
      <c r="F981" s="180">
        <f>'רשימת מכשור 2015'!F980</f>
        <v>0</v>
      </c>
      <c r="G981" s="181"/>
      <c r="H981" s="181">
        <f t="shared" si="37"/>
        <v>0</v>
      </c>
      <c r="I981" s="182"/>
      <c r="J981" s="181"/>
      <c r="K981" s="181"/>
      <c r="L981" s="181"/>
      <c r="M981" s="181" t="e">
        <f t="shared" si="38"/>
        <v>#DIV/0!</v>
      </c>
      <c r="N981" s="181"/>
      <c r="O981" s="183"/>
      <c r="P981" s="183"/>
      <c r="Q981" s="193"/>
    </row>
    <row r="982" spans="1:17" ht="24.75" customHeight="1">
      <c r="A982" s="180">
        <f>'רשימת מכשור 2015'!A981</f>
        <v>0</v>
      </c>
      <c r="B982" s="180">
        <f>'רשימת מכשור 2015'!B981</f>
        <v>0</v>
      </c>
      <c r="C982" s="180">
        <f>'רשימת מכשור 2015'!C981</f>
        <v>0</v>
      </c>
      <c r="D982" s="233">
        <f>'רשימת מכשור 2015'!D981</f>
        <v>0</v>
      </c>
      <c r="E982" s="180">
        <f>'רשימת מכשור 2015'!E981</f>
        <v>0</v>
      </c>
      <c r="F982" s="180">
        <f>'רשימת מכשור 2015'!F981</f>
        <v>0</v>
      </c>
      <c r="G982" s="181"/>
      <c r="H982" s="181">
        <f t="shared" si="37"/>
        <v>0</v>
      </c>
      <c r="I982" s="182"/>
      <c r="J982" s="181"/>
      <c r="K982" s="181"/>
      <c r="L982" s="181"/>
      <c r="M982" s="181" t="e">
        <f t="shared" si="38"/>
        <v>#DIV/0!</v>
      </c>
      <c r="N982" s="181"/>
      <c r="O982" s="183"/>
      <c r="P982" s="183"/>
      <c r="Q982" s="193"/>
    </row>
    <row r="983" spans="1:17" s="32" customFormat="1" ht="14.25" customHeight="1">
      <c r="A983" s="180">
        <f>'רשימת מכשור 2015'!A982</f>
        <v>0</v>
      </c>
      <c r="B983" s="180">
        <f>'רשימת מכשור 2015'!B982</f>
        <v>0</v>
      </c>
      <c r="C983" s="180">
        <f>'רשימת מכשור 2015'!C982</f>
        <v>0</v>
      </c>
      <c r="D983" s="233">
        <f>'רשימת מכשור 2015'!D982</f>
        <v>0</v>
      </c>
      <c r="E983" s="180">
        <f>'רשימת מכשור 2015'!E982</f>
        <v>0</v>
      </c>
      <c r="F983" s="180">
        <f>'רשימת מכשור 2015'!F982</f>
        <v>0</v>
      </c>
      <c r="G983" s="194"/>
      <c r="H983" s="194"/>
      <c r="I983" s="194"/>
      <c r="J983" s="194"/>
      <c r="K983" s="194"/>
      <c r="L983" s="194"/>
      <c r="M983" s="194"/>
      <c r="N983" s="181">
        <v>1000</v>
      </c>
      <c r="O983" s="183"/>
      <c r="P983" s="193">
        <v>200</v>
      </c>
      <c r="Q983" s="194"/>
    </row>
    <row r="984" spans="1:17" ht="14.25" customHeight="1">
      <c r="A984" s="180">
        <f>'רשימת מכשור 2015'!A983</f>
        <v>0</v>
      </c>
      <c r="B984" s="180">
        <f>'רשימת מכשור 2015'!B983</f>
        <v>0</v>
      </c>
      <c r="C984" s="180">
        <f>'רשימת מכשור 2015'!C983</f>
        <v>0</v>
      </c>
      <c r="D984" s="233">
        <f>'רשימת מכשור 2015'!D983</f>
        <v>0</v>
      </c>
      <c r="E984" s="180">
        <f>'רשימת מכשור 2015'!E983</f>
        <v>0</v>
      </c>
      <c r="F984" s="180">
        <f>'רשימת מכשור 2015'!F983</f>
        <v>0</v>
      </c>
      <c r="G984" s="195"/>
      <c r="H984" s="195"/>
      <c r="I984" s="196"/>
      <c r="J984" s="195"/>
      <c r="K984" s="195"/>
      <c r="L984" s="195"/>
      <c r="M984" s="195"/>
      <c r="N984" s="181">
        <v>1000</v>
      </c>
      <c r="O984" s="183"/>
      <c r="P984" s="193">
        <v>200</v>
      </c>
      <c r="Q984" s="195"/>
    </row>
    <row r="985" spans="1:17" ht="14.25" customHeight="1">
      <c r="A985" s="180">
        <f>'רשימת מכשור 2015'!A984</f>
        <v>0</v>
      </c>
      <c r="B985" s="180">
        <f>'רשימת מכשור 2015'!B984</f>
        <v>0</v>
      </c>
      <c r="C985" s="180">
        <f>'רשימת מכשור 2015'!C984</f>
        <v>0</v>
      </c>
      <c r="D985" s="233">
        <f>'רשימת מכשור 2015'!D984</f>
        <v>0</v>
      </c>
      <c r="E985" s="180">
        <f>'רשימת מכשור 2015'!E984</f>
        <v>0</v>
      </c>
      <c r="F985" s="180">
        <f>'רשימת מכשור 2015'!F984</f>
        <v>0</v>
      </c>
      <c r="G985" s="195"/>
      <c r="H985" s="195"/>
      <c r="I985" s="196"/>
      <c r="J985" s="195"/>
      <c r="K985" s="195"/>
      <c r="L985" s="195"/>
      <c r="M985" s="195"/>
      <c r="N985" s="181">
        <v>1000</v>
      </c>
      <c r="O985" s="183"/>
      <c r="P985" s="193">
        <v>200</v>
      </c>
      <c r="Q985" s="195"/>
    </row>
    <row r="986" spans="1:17" ht="14.25" customHeight="1">
      <c r="A986" s="180">
        <f>'רשימת מכשור 2015'!A985</f>
        <v>0</v>
      </c>
      <c r="B986" s="180">
        <f>'רשימת מכשור 2015'!B985</f>
        <v>0</v>
      </c>
      <c r="C986" s="180">
        <f>'רשימת מכשור 2015'!C985</f>
        <v>0</v>
      </c>
      <c r="D986" s="233">
        <f>'רשימת מכשור 2015'!D985</f>
        <v>0</v>
      </c>
      <c r="E986" s="180">
        <f>'רשימת מכשור 2015'!E985</f>
        <v>0</v>
      </c>
      <c r="F986" s="180">
        <f>'רשימת מכשור 2015'!F985</f>
        <v>0</v>
      </c>
      <c r="G986" s="195"/>
      <c r="H986" s="195"/>
      <c r="I986" s="196"/>
      <c r="J986" s="195"/>
      <c r="K986" s="195"/>
      <c r="L986" s="195"/>
      <c r="M986" s="195"/>
      <c r="N986" s="197"/>
      <c r="O986" s="195"/>
      <c r="P986" s="195"/>
      <c r="Q986" s="195"/>
    </row>
    <row r="987" spans="1:17" ht="14.25" customHeight="1">
      <c r="A987" s="180">
        <f>'רשימת מכשור 2015'!A986</f>
        <v>0</v>
      </c>
      <c r="B987" s="180">
        <f>'רשימת מכשור 2015'!B986</f>
        <v>0</v>
      </c>
      <c r="C987" s="180">
        <f>'רשימת מכשור 2015'!C986</f>
        <v>0</v>
      </c>
      <c r="D987" s="233">
        <f>'רשימת מכשור 2015'!D986</f>
        <v>0</v>
      </c>
      <c r="E987" s="180">
        <f>'רשימת מכשור 2015'!E986</f>
        <v>0</v>
      </c>
      <c r="F987" s="180">
        <f>'רשימת מכשור 2015'!F986</f>
        <v>0</v>
      </c>
      <c r="G987" s="195"/>
      <c r="H987" s="195"/>
      <c r="I987" s="196"/>
      <c r="J987" s="195"/>
      <c r="K987" s="195"/>
      <c r="L987" s="195"/>
      <c r="M987" s="195"/>
      <c r="N987" s="197"/>
      <c r="O987" s="195"/>
      <c r="P987" s="195"/>
      <c r="Q987" s="195"/>
    </row>
    <row r="988" spans="1:17">
      <c r="A988" s="180">
        <f>'רשימת מכשור 2015'!A987</f>
        <v>0</v>
      </c>
      <c r="B988" s="180">
        <f>'רשימת מכשור 2015'!B987</f>
        <v>0</v>
      </c>
      <c r="C988" s="180">
        <f>'רשימת מכשור 2015'!C987</f>
        <v>0</v>
      </c>
      <c r="D988" s="233">
        <f>'רשימת מכשור 2015'!D987</f>
        <v>0</v>
      </c>
      <c r="E988" s="180">
        <f>'רשימת מכשור 2015'!E987</f>
        <v>0</v>
      </c>
      <c r="F988" s="180">
        <f>'רשימת מכשור 2015'!F987</f>
        <v>0</v>
      </c>
      <c r="G988" s="195"/>
      <c r="H988" s="198">
        <f>SUBTOTAL(9,H10:H987)</f>
        <v>3827572</v>
      </c>
      <c r="I988" s="196"/>
      <c r="J988" s="195"/>
      <c r="K988" s="195"/>
      <c r="L988" s="195"/>
      <c r="M988" s="195"/>
      <c r="N988" s="197"/>
      <c r="O988" s="195"/>
      <c r="P988" s="195"/>
      <c r="Q988" s="195"/>
    </row>
    <row r="989" spans="1:17">
      <c r="A989" s="180">
        <f>'רשימת מכשור 2015'!A988</f>
        <v>0</v>
      </c>
      <c r="B989" s="180">
        <f>'רשימת מכשור 2015'!B988</f>
        <v>0</v>
      </c>
      <c r="C989" s="180">
        <f>'רשימת מכשור 2015'!C988</f>
        <v>0</v>
      </c>
      <c r="D989" s="233">
        <f>'רשימת מכשור 2015'!D988</f>
        <v>0</v>
      </c>
      <c r="E989" s="180">
        <f>'רשימת מכשור 2015'!E988</f>
        <v>0</v>
      </c>
      <c r="F989" s="180">
        <f>'רשימת מכשור 2015'!F988</f>
        <v>0</v>
      </c>
      <c r="G989" s="195"/>
      <c r="H989" s="195"/>
      <c r="I989" s="196"/>
      <c r="J989" s="195"/>
      <c r="K989" s="195"/>
      <c r="L989" s="195"/>
      <c r="M989" s="195"/>
      <c r="N989" s="197"/>
      <c r="O989" s="195"/>
      <c r="P989" s="195"/>
      <c r="Q989" s="195"/>
    </row>
    <row r="990" spans="1:17">
      <c r="A990" s="180">
        <f>'רשימת מכשור 2015'!A989</f>
        <v>0</v>
      </c>
      <c r="B990" s="180">
        <f>'רשימת מכשור 2015'!B989</f>
        <v>0</v>
      </c>
      <c r="C990" s="180">
        <f>'רשימת מכשור 2015'!C989</f>
        <v>0</v>
      </c>
      <c r="D990" s="233">
        <f>'רשימת מכשור 2015'!D989</f>
        <v>0</v>
      </c>
      <c r="E990" s="180">
        <f>'רשימת מכשור 2015'!E989</f>
        <v>0</v>
      </c>
      <c r="F990" s="180">
        <f>'רשימת מכשור 2015'!F989</f>
        <v>0</v>
      </c>
      <c r="G990" s="195"/>
      <c r="H990" s="195">
        <f>SUBTOTAL(9,H5:H989)</f>
        <v>4007572</v>
      </c>
      <c r="I990" s="196"/>
      <c r="J990" s="195"/>
      <c r="K990" s="195"/>
      <c r="L990" s="195"/>
      <c r="M990" s="195"/>
      <c r="N990" s="197"/>
      <c r="O990" s="195"/>
      <c r="P990" s="195"/>
      <c r="Q990" s="195"/>
    </row>
    <row r="991" spans="1:17">
      <c r="A991" s="180">
        <f>'רשימת מכשור 2015'!A990</f>
        <v>0</v>
      </c>
      <c r="B991" s="180">
        <f>'רשימת מכשור 2015'!B990</f>
        <v>0</v>
      </c>
      <c r="C991" s="180">
        <f>'רשימת מכשור 2015'!C990</f>
        <v>0</v>
      </c>
      <c r="D991" s="233">
        <f>'רשימת מכשור 2015'!D990</f>
        <v>0</v>
      </c>
      <c r="E991" s="180">
        <f>'רשימת מכשור 2015'!E990</f>
        <v>0</v>
      </c>
      <c r="F991" s="180">
        <f>'רשימת מכשור 2015'!F990</f>
        <v>0</v>
      </c>
      <c r="G991" s="195"/>
      <c r="H991" s="195"/>
      <c r="I991" s="196"/>
      <c r="J991" s="195"/>
      <c r="K991" s="195"/>
      <c r="L991" s="195"/>
      <c r="M991" s="195"/>
      <c r="N991" s="197"/>
      <c r="O991" s="195"/>
      <c r="P991" s="195"/>
      <c r="Q991" s="195"/>
    </row>
    <row r="992" spans="1:17">
      <c r="A992" s="180">
        <f>'רשימת מכשור 2015'!A991</f>
        <v>0</v>
      </c>
      <c r="B992" s="180">
        <f>'רשימת מכשור 2015'!B991</f>
        <v>0</v>
      </c>
      <c r="C992" s="180">
        <f>'רשימת מכשור 2015'!C991</f>
        <v>0</v>
      </c>
      <c r="D992" s="233">
        <f>'רשימת מכשור 2015'!D991</f>
        <v>0</v>
      </c>
      <c r="E992" s="180">
        <f>'רשימת מכשור 2015'!E991</f>
        <v>0</v>
      </c>
      <c r="F992" s="180">
        <f>'רשימת מכשור 2015'!F991</f>
        <v>0</v>
      </c>
      <c r="G992" s="195"/>
      <c r="H992" s="195"/>
      <c r="I992" s="195"/>
      <c r="J992" s="195"/>
      <c r="K992" s="195"/>
      <c r="L992" s="195"/>
      <c r="M992" s="195"/>
      <c r="N992" s="195"/>
      <c r="O992" s="195"/>
      <c r="P992" s="195"/>
      <c r="Q992" s="195"/>
    </row>
    <row r="993" spans="1:17">
      <c r="A993" s="180">
        <f>'רשימת מכשור 2015'!A992</f>
        <v>0</v>
      </c>
      <c r="B993" s="180">
        <f>'רשימת מכשור 2015'!B992</f>
        <v>0</v>
      </c>
      <c r="C993" s="180">
        <f>'רשימת מכשור 2015'!C992</f>
        <v>0</v>
      </c>
      <c r="D993" s="233">
        <f>'רשימת מכשור 2015'!D992</f>
        <v>0</v>
      </c>
      <c r="E993" s="180">
        <f>'רשימת מכשור 2015'!E992</f>
        <v>0</v>
      </c>
      <c r="F993" s="180">
        <f>'רשימת מכשור 2015'!F992</f>
        <v>0</v>
      </c>
      <c r="G993" s="195"/>
      <c r="H993" s="195"/>
      <c r="I993" s="195"/>
      <c r="J993" s="195"/>
      <c r="K993" s="195"/>
      <c r="L993" s="195"/>
      <c r="M993" s="195"/>
      <c r="N993" s="195"/>
      <c r="O993" s="195"/>
      <c r="P993" s="195"/>
      <c r="Q993" s="195"/>
    </row>
    <row r="994" spans="1:17">
      <c r="A994" s="180">
        <f>'רשימת מכשור 2015'!A993</f>
        <v>0</v>
      </c>
      <c r="B994" s="180">
        <f>'רשימת מכשור 2015'!B993</f>
        <v>0</v>
      </c>
      <c r="C994" s="180">
        <f>'רשימת מכשור 2015'!C993</f>
        <v>0</v>
      </c>
      <c r="D994" s="233">
        <f>'רשימת מכשור 2015'!D993</f>
        <v>0</v>
      </c>
      <c r="E994" s="180">
        <f>'רשימת מכשור 2015'!E993</f>
        <v>0</v>
      </c>
      <c r="F994" s="180">
        <f>'רשימת מכשור 2015'!F993</f>
        <v>0</v>
      </c>
      <c r="G994" s="195"/>
      <c r="H994" s="195"/>
      <c r="I994" s="195"/>
      <c r="J994" s="195"/>
      <c r="K994" s="195"/>
      <c r="L994" s="195"/>
      <c r="M994" s="195"/>
      <c r="N994" s="195"/>
      <c r="O994" s="195"/>
      <c r="P994" s="195"/>
      <c r="Q994" s="195"/>
    </row>
    <row r="995" spans="1:17">
      <c r="A995" s="180">
        <f>'רשימת מכשור 2015'!A994</f>
        <v>0</v>
      </c>
      <c r="B995" s="180" t="str">
        <f>'רשימת מכשור 2015'!B994</f>
        <v xml:space="preserve"> </v>
      </c>
      <c r="C995" s="180">
        <f>'רשימת מכשור 2015'!C994</f>
        <v>0</v>
      </c>
      <c r="D995" s="233">
        <f>'רשימת מכשור 2015'!D994</f>
        <v>0</v>
      </c>
      <c r="E995" s="180">
        <f>'רשימת מכשור 2015'!E994</f>
        <v>0</v>
      </c>
      <c r="F995" s="180">
        <f>'רשימת מכשור 2015'!F994</f>
        <v>0</v>
      </c>
      <c r="G995" s="195"/>
      <c r="H995" s="195"/>
      <c r="I995" s="195"/>
      <c r="J995" s="195"/>
      <c r="K995" s="195"/>
      <c r="L995" s="195"/>
      <c r="M995" s="195"/>
      <c r="N995" s="195"/>
      <c r="O995" s="195"/>
      <c r="P995" s="195"/>
      <c r="Q995" s="195"/>
    </row>
    <row r="996" spans="1:17">
      <c r="A996" s="180">
        <f>'רשימת מכשור 2015'!A995</f>
        <v>0</v>
      </c>
      <c r="B996" s="180">
        <f>'רשימת מכשור 2015'!B995</f>
        <v>0</v>
      </c>
      <c r="C996" s="180">
        <f>'רשימת מכשור 2015'!C995</f>
        <v>0</v>
      </c>
      <c r="D996" s="233">
        <f>'רשימת מכשור 2015'!D995</f>
        <v>0</v>
      </c>
      <c r="E996" s="180">
        <f>'רשימת מכשור 2015'!E995</f>
        <v>0</v>
      </c>
      <c r="F996" s="180">
        <f>'רשימת מכשור 2015'!F995</f>
        <v>0</v>
      </c>
      <c r="G996" s="195"/>
      <c r="H996" s="195"/>
      <c r="I996" s="195"/>
      <c r="J996" s="195"/>
      <c r="K996" s="195"/>
      <c r="L996" s="195"/>
      <c r="M996" s="195"/>
      <c r="N996" s="195"/>
      <c r="O996" s="195"/>
      <c r="P996" s="195"/>
      <c r="Q996" s="195"/>
    </row>
    <row r="997" spans="1:17">
      <c r="A997" s="180">
        <f>'רשימת מכשור 2015'!A996</f>
        <v>0</v>
      </c>
      <c r="B997" s="180">
        <f>'רשימת מכשור 2015'!B996</f>
        <v>0</v>
      </c>
      <c r="C997" s="180">
        <f>'רשימת מכשור 2015'!C996</f>
        <v>0</v>
      </c>
      <c r="D997" s="233">
        <f>'רשימת מכשור 2015'!D996</f>
        <v>0</v>
      </c>
      <c r="E997" s="180">
        <f>'רשימת מכשור 2015'!E996</f>
        <v>0</v>
      </c>
      <c r="F997" s="180">
        <f>'רשימת מכשור 2015'!F996</f>
        <v>0</v>
      </c>
      <c r="G997" s="195"/>
      <c r="H997" s="195"/>
      <c r="I997" s="195"/>
      <c r="J997" s="195"/>
      <c r="K997" s="195"/>
      <c r="L997" s="195"/>
      <c r="M997" s="195"/>
      <c r="N997" s="195"/>
      <c r="O997" s="195"/>
      <c r="P997" s="195"/>
      <c r="Q997" s="195"/>
    </row>
    <row r="998" spans="1:17">
      <c r="A998" s="180">
        <f>'רשימת מכשור 2015'!A997</f>
        <v>0</v>
      </c>
      <c r="B998" s="180">
        <f>'רשימת מכשור 2015'!B997</f>
        <v>0</v>
      </c>
      <c r="C998" s="180">
        <f>'רשימת מכשור 2015'!C997</f>
        <v>0</v>
      </c>
      <c r="D998" s="233">
        <f>'רשימת מכשור 2015'!D997</f>
        <v>0</v>
      </c>
      <c r="E998" s="180">
        <f>'רשימת מכשור 2015'!E997</f>
        <v>0</v>
      </c>
      <c r="F998" s="180">
        <f>'רשימת מכשור 2015'!F997</f>
        <v>0</v>
      </c>
      <c r="G998" s="195"/>
      <c r="H998" s="195"/>
      <c r="I998" s="195"/>
      <c r="J998" s="195"/>
      <c r="K998" s="195"/>
      <c r="L998" s="195"/>
      <c r="M998" s="195"/>
      <c r="N998" s="195"/>
      <c r="O998" s="195"/>
      <c r="P998" s="195"/>
      <c r="Q998" s="195"/>
    </row>
    <row r="999" spans="1:17">
      <c r="A999" s="180">
        <f>'רשימת מכשור 2015'!A998</f>
        <v>0</v>
      </c>
      <c r="B999" s="180">
        <f>'רשימת מכשור 2015'!B998</f>
        <v>0</v>
      </c>
      <c r="C999" s="180">
        <f>'רשימת מכשור 2015'!C998</f>
        <v>0</v>
      </c>
      <c r="D999" s="233">
        <f>'רשימת מכשור 2015'!D998</f>
        <v>0</v>
      </c>
      <c r="E999" s="180">
        <f>'רשימת מכשור 2015'!E998</f>
        <v>0</v>
      </c>
      <c r="F999" s="180">
        <f>'רשימת מכשור 2015'!F998</f>
        <v>0</v>
      </c>
      <c r="G999" s="195"/>
      <c r="H999" s="195"/>
      <c r="I999" s="195"/>
      <c r="J999" s="195"/>
      <c r="K999" s="195"/>
      <c r="L999" s="195"/>
      <c r="M999" s="195"/>
      <c r="N999" s="195"/>
      <c r="O999" s="195"/>
      <c r="P999" s="195"/>
      <c r="Q999" s="195"/>
    </row>
    <row r="1000" spans="1:17">
      <c r="A1000" s="180">
        <f>'רשימת מכשור 2015'!A999</f>
        <v>0</v>
      </c>
      <c r="B1000" s="180">
        <f>'רשימת מכשור 2015'!B999</f>
        <v>0</v>
      </c>
      <c r="C1000" s="180">
        <f>'רשימת מכשור 2015'!C999</f>
        <v>0</v>
      </c>
      <c r="D1000" s="233">
        <f>'רשימת מכשור 2015'!D999</f>
        <v>0</v>
      </c>
      <c r="E1000" s="180">
        <f>'רשימת מכשור 2015'!E999</f>
        <v>0</v>
      </c>
      <c r="F1000" s="180">
        <f>'רשימת מכשור 2015'!F999</f>
        <v>0</v>
      </c>
      <c r="G1000" s="195"/>
      <c r="H1000" s="195"/>
      <c r="I1000" s="195"/>
      <c r="J1000" s="195"/>
      <c r="K1000" s="195"/>
      <c r="L1000" s="195"/>
      <c r="M1000" s="195"/>
      <c r="N1000" s="195"/>
      <c r="O1000" s="195"/>
      <c r="P1000" s="195"/>
      <c r="Q1000" s="195"/>
    </row>
    <row r="1001" spans="1:17">
      <c r="A1001" s="180">
        <f>'רשימת מכשור 2015'!A1000</f>
        <v>0</v>
      </c>
      <c r="B1001" s="180">
        <f>'רשימת מכשור 2015'!B1000</f>
        <v>0</v>
      </c>
      <c r="C1001" s="180">
        <f>'רשימת מכשור 2015'!C1000</f>
        <v>0</v>
      </c>
      <c r="D1001" s="233">
        <f>'רשימת מכשור 2015'!D1000</f>
        <v>0</v>
      </c>
      <c r="E1001" s="180">
        <f>'רשימת מכשור 2015'!E1000</f>
        <v>0</v>
      </c>
      <c r="F1001" s="180">
        <f>'רשימת מכשור 2015'!F1000</f>
        <v>0</v>
      </c>
      <c r="G1001" s="195"/>
      <c r="H1001" s="195"/>
      <c r="I1001" s="195"/>
      <c r="J1001" s="195"/>
      <c r="K1001" s="195"/>
      <c r="L1001" s="195"/>
      <c r="M1001" s="195"/>
      <c r="N1001" s="195"/>
      <c r="O1001" s="195"/>
      <c r="P1001" s="195"/>
      <c r="Q1001" s="195"/>
    </row>
    <row r="1002" spans="1:17">
      <c r="A1002" s="180">
        <f>'רשימת מכשור 2015'!A1001</f>
        <v>0</v>
      </c>
      <c r="B1002" s="180">
        <f>'רשימת מכשור 2015'!B1001</f>
        <v>0</v>
      </c>
      <c r="C1002" s="180">
        <f>'רשימת מכשור 2015'!C1001</f>
        <v>0</v>
      </c>
      <c r="D1002" s="233">
        <f>'רשימת מכשור 2015'!D1001</f>
        <v>0</v>
      </c>
      <c r="E1002" s="180">
        <f>'רשימת מכשור 2015'!E1001</f>
        <v>0</v>
      </c>
      <c r="F1002" s="180">
        <f>'רשימת מכשור 2015'!F1001</f>
        <v>0</v>
      </c>
      <c r="G1002" s="195"/>
      <c r="H1002" s="195"/>
      <c r="I1002" s="195"/>
      <c r="J1002" s="195"/>
      <c r="K1002" s="195"/>
      <c r="L1002" s="195"/>
      <c r="M1002" s="195"/>
      <c r="N1002" s="195"/>
      <c r="O1002" s="195"/>
      <c r="P1002" s="195"/>
      <c r="Q1002" s="195"/>
    </row>
    <row r="1003" spans="1:17">
      <c r="A1003" s="180">
        <f>'רשימת מכשור 2015'!A1002</f>
        <v>0</v>
      </c>
      <c r="B1003" s="180">
        <f>'רשימת מכשור 2015'!B1002</f>
        <v>0</v>
      </c>
      <c r="C1003" s="180">
        <f>'רשימת מכשור 2015'!C1002</f>
        <v>0</v>
      </c>
      <c r="D1003" s="233">
        <f>'רשימת מכשור 2015'!D1002</f>
        <v>0</v>
      </c>
      <c r="E1003" s="180">
        <f>'רשימת מכשור 2015'!E1002</f>
        <v>0</v>
      </c>
      <c r="F1003" s="180">
        <f>'רשימת מכשור 2015'!F1002</f>
        <v>0</v>
      </c>
      <c r="G1003" s="195"/>
      <c r="H1003" s="195"/>
      <c r="I1003" s="195"/>
      <c r="J1003" s="195"/>
      <c r="K1003" s="195"/>
      <c r="L1003" s="195"/>
      <c r="M1003" s="195"/>
      <c r="N1003" s="195"/>
      <c r="O1003" s="195"/>
      <c r="P1003" s="195"/>
      <c r="Q1003" s="195"/>
    </row>
    <row r="1004" spans="1:17">
      <c r="A1004" s="180">
        <f>'רשימת מכשור 2015'!A1003</f>
        <v>0</v>
      </c>
      <c r="B1004" s="180">
        <f>'רשימת מכשור 2015'!B1003</f>
        <v>0</v>
      </c>
      <c r="C1004" s="180">
        <f>'רשימת מכשור 2015'!C1003</f>
        <v>0</v>
      </c>
      <c r="D1004" s="233">
        <f>'רשימת מכשור 2015'!D1003</f>
        <v>0</v>
      </c>
      <c r="E1004" s="180">
        <f>'רשימת מכשור 2015'!E1003</f>
        <v>0</v>
      </c>
      <c r="F1004" s="180">
        <f>'רשימת מכשור 2015'!F1003</f>
        <v>0</v>
      </c>
      <c r="G1004" s="195"/>
      <c r="H1004" s="195"/>
      <c r="I1004" s="195"/>
      <c r="J1004" s="195"/>
      <c r="K1004" s="195"/>
      <c r="L1004" s="195"/>
      <c r="M1004" s="195"/>
      <c r="N1004" s="195"/>
      <c r="O1004" s="195"/>
      <c r="P1004" s="195"/>
      <c r="Q1004" s="195"/>
    </row>
    <row r="1005" spans="1:17">
      <c r="A1005" s="180">
        <f>'רשימת מכשור 2015'!A1004</f>
        <v>0</v>
      </c>
      <c r="B1005" s="180">
        <f>'רשימת מכשור 2015'!B1004</f>
        <v>0</v>
      </c>
      <c r="C1005" s="180">
        <f>'רשימת מכשור 2015'!C1004</f>
        <v>0</v>
      </c>
      <c r="D1005" s="233">
        <f>'רשימת מכשור 2015'!D1004</f>
        <v>0</v>
      </c>
      <c r="E1005" s="180">
        <f>'רשימת מכשור 2015'!E1004</f>
        <v>0</v>
      </c>
      <c r="F1005" s="180">
        <f>'רשימת מכשור 2015'!F1004</f>
        <v>0</v>
      </c>
      <c r="G1005" s="195"/>
      <c r="H1005" s="195"/>
      <c r="I1005" s="195"/>
      <c r="J1005" s="195"/>
      <c r="K1005" s="195"/>
      <c r="L1005" s="195"/>
      <c r="M1005" s="195"/>
      <c r="N1005" s="195"/>
      <c r="O1005" s="195"/>
      <c r="P1005" s="195"/>
      <c r="Q1005" s="195"/>
    </row>
    <row r="1006" spans="1:17">
      <c r="A1006" s="180">
        <f>'רשימת מכשור 2015'!A1005</f>
        <v>0</v>
      </c>
      <c r="B1006" s="180">
        <f>'רשימת מכשור 2015'!B1005</f>
        <v>0</v>
      </c>
      <c r="C1006" s="180">
        <f>'רשימת מכשור 2015'!C1005</f>
        <v>0</v>
      </c>
      <c r="D1006" s="233">
        <f>'רשימת מכשור 2015'!D1005</f>
        <v>0</v>
      </c>
      <c r="E1006" s="180">
        <f>'רשימת מכשור 2015'!E1005</f>
        <v>0</v>
      </c>
      <c r="F1006" s="180">
        <f>'רשימת מכשור 2015'!F1005</f>
        <v>0</v>
      </c>
      <c r="G1006" s="195"/>
      <c r="H1006" s="195"/>
      <c r="I1006" s="195"/>
      <c r="J1006" s="195"/>
      <c r="K1006" s="195"/>
      <c r="L1006" s="195"/>
      <c r="M1006" s="195"/>
      <c r="N1006" s="195"/>
      <c r="O1006" s="195"/>
      <c r="P1006" s="195"/>
      <c r="Q1006" s="195"/>
    </row>
    <row r="1007" spans="1:17">
      <c r="A1007" s="180">
        <f>'רשימת מכשור 2015'!A1006</f>
        <v>0</v>
      </c>
      <c r="B1007" s="180">
        <f>'רשימת מכשור 2015'!B1006</f>
        <v>0</v>
      </c>
      <c r="C1007" s="180">
        <f>'רשימת מכשור 2015'!C1006</f>
        <v>0</v>
      </c>
      <c r="D1007" s="233">
        <f>'רשימת מכשור 2015'!D1006</f>
        <v>0</v>
      </c>
      <c r="E1007" s="180">
        <f>'רשימת מכשור 2015'!E1006</f>
        <v>0</v>
      </c>
      <c r="F1007" s="180">
        <f>'רשימת מכשור 2015'!F1006</f>
        <v>0</v>
      </c>
      <c r="G1007" s="195"/>
      <c r="H1007" s="195"/>
      <c r="I1007" s="195"/>
      <c r="J1007" s="195"/>
      <c r="K1007" s="195"/>
      <c r="L1007" s="195"/>
      <c r="M1007" s="195"/>
      <c r="N1007" s="195"/>
      <c r="O1007" s="195"/>
      <c r="P1007" s="195"/>
      <c r="Q1007" s="195"/>
    </row>
    <row r="1008" spans="1:17">
      <c r="A1008" s="180">
        <f>'רשימת מכשור 2015'!A1007</f>
        <v>0</v>
      </c>
      <c r="B1008" s="180">
        <f>'רשימת מכשור 2015'!B1007</f>
        <v>0</v>
      </c>
      <c r="C1008" s="180">
        <f>'רשימת מכשור 2015'!C1007</f>
        <v>0</v>
      </c>
      <c r="D1008" s="233">
        <f>'רשימת מכשור 2015'!D1007</f>
        <v>0</v>
      </c>
      <c r="E1008" s="180">
        <f>'רשימת מכשור 2015'!E1007</f>
        <v>0</v>
      </c>
      <c r="F1008" s="180">
        <f>'רשימת מכשור 2015'!F1007</f>
        <v>0</v>
      </c>
      <c r="G1008" s="195"/>
      <c r="H1008" s="195"/>
      <c r="I1008" s="195"/>
      <c r="J1008" s="195"/>
      <c r="K1008" s="195"/>
      <c r="L1008" s="195"/>
      <c r="M1008" s="195"/>
      <c r="N1008" s="195"/>
      <c r="O1008" s="195"/>
      <c r="P1008" s="195"/>
      <c r="Q1008" s="195"/>
    </row>
    <row r="1009" spans="1:17">
      <c r="A1009" s="180">
        <f>'רשימת מכשור 2015'!A1008</f>
        <v>0</v>
      </c>
      <c r="B1009" s="180">
        <f>'רשימת מכשור 2015'!B1008</f>
        <v>0</v>
      </c>
      <c r="C1009" s="180">
        <f>'רשימת מכשור 2015'!C1008</f>
        <v>0</v>
      </c>
      <c r="D1009" s="233">
        <f>'רשימת מכשור 2015'!D1008</f>
        <v>0</v>
      </c>
      <c r="E1009" s="180">
        <f>'רשימת מכשור 2015'!E1008</f>
        <v>0</v>
      </c>
      <c r="F1009" s="180">
        <f>'רשימת מכשור 2015'!F1008</f>
        <v>0</v>
      </c>
      <c r="G1009" s="195"/>
      <c r="H1009" s="195"/>
      <c r="I1009" s="195"/>
      <c r="J1009" s="195"/>
      <c r="K1009" s="195"/>
      <c r="L1009" s="195"/>
      <c r="M1009" s="195"/>
      <c r="N1009" s="195"/>
      <c r="O1009" s="195"/>
      <c r="P1009" s="195"/>
      <c r="Q1009" s="195"/>
    </row>
    <row r="1010" spans="1:17">
      <c r="A1010" s="180">
        <f>'רשימת מכשור 2015'!A1009</f>
        <v>0</v>
      </c>
      <c r="B1010" s="180">
        <f>'רשימת מכשור 2015'!B1009</f>
        <v>0</v>
      </c>
      <c r="C1010" s="180">
        <f>'רשימת מכשור 2015'!C1009</f>
        <v>0</v>
      </c>
      <c r="D1010" s="233">
        <f>'רשימת מכשור 2015'!D1009</f>
        <v>0</v>
      </c>
      <c r="E1010" s="180">
        <f>'רשימת מכשור 2015'!E1009</f>
        <v>0</v>
      </c>
      <c r="F1010" s="180">
        <f>'רשימת מכשור 2015'!F1009</f>
        <v>0</v>
      </c>
      <c r="G1010" s="195"/>
      <c r="H1010" s="195"/>
      <c r="I1010" s="196"/>
      <c r="J1010" s="195"/>
      <c r="K1010" s="195"/>
      <c r="L1010" s="195"/>
      <c r="M1010" s="195"/>
      <c r="N1010" s="197"/>
      <c r="O1010" s="195"/>
      <c r="P1010" s="195"/>
      <c r="Q1010" s="195"/>
    </row>
    <row r="1011" spans="1:17">
      <c r="A1011" s="180">
        <f>'רשימת מכשור 2015'!A1010</f>
        <v>0</v>
      </c>
      <c r="B1011" s="180">
        <f>'רשימת מכשור 2015'!B1010</f>
        <v>0</v>
      </c>
      <c r="C1011" s="180">
        <f>'רשימת מכשור 2015'!C1010</f>
        <v>0</v>
      </c>
      <c r="D1011" s="233">
        <f>'רשימת מכשור 2015'!D1010</f>
        <v>0</v>
      </c>
      <c r="E1011" s="180">
        <f>'רשימת מכשור 2015'!E1010</f>
        <v>0</v>
      </c>
      <c r="F1011" s="180">
        <f>'רשימת מכשור 2015'!F1010</f>
        <v>0</v>
      </c>
      <c r="G1011" s="195"/>
      <c r="H1011" s="195"/>
      <c r="I1011" s="196"/>
      <c r="J1011" s="195"/>
      <c r="K1011" s="195"/>
      <c r="L1011" s="195"/>
      <c r="M1011" s="195"/>
      <c r="N1011" s="197"/>
      <c r="O1011" s="195"/>
      <c r="P1011" s="195"/>
      <c r="Q1011" s="195"/>
    </row>
    <row r="1012" spans="1:17">
      <c r="A1012" s="180">
        <f>'רשימת מכשור 2015'!A1011</f>
        <v>0</v>
      </c>
      <c r="B1012" s="180">
        <f>'רשימת מכשור 2015'!B1011</f>
        <v>0</v>
      </c>
      <c r="C1012" s="180">
        <f>'רשימת מכשור 2015'!C1011</f>
        <v>0</v>
      </c>
      <c r="D1012" s="233">
        <f>'רשימת מכשור 2015'!D1011</f>
        <v>0</v>
      </c>
      <c r="E1012" s="180">
        <f>'רשימת מכשור 2015'!E1011</f>
        <v>0</v>
      </c>
      <c r="F1012" s="180">
        <f>'רשימת מכשור 2015'!F1011</f>
        <v>0</v>
      </c>
      <c r="G1012" s="195"/>
      <c r="H1012" s="195"/>
      <c r="I1012" s="196"/>
      <c r="J1012" s="195"/>
      <c r="K1012" s="195"/>
      <c r="L1012" s="195"/>
      <c r="M1012" s="195"/>
      <c r="N1012" s="197"/>
      <c r="O1012" s="195"/>
      <c r="P1012" s="195"/>
      <c r="Q1012" s="195"/>
    </row>
    <row r="1013" spans="1:17">
      <c r="A1013" s="180">
        <f>'רשימת מכשור 2015'!A1012</f>
        <v>0</v>
      </c>
      <c r="B1013" s="180">
        <f>'רשימת מכשור 2015'!B1012</f>
        <v>0</v>
      </c>
      <c r="C1013" s="180">
        <f>'רשימת מכשור 2015'!C1012</f>
        <v>0</v>
      </c>
      <c r="D1013" s="233">
        <f>'רשימת מכשור 2015'!D1012</f>
        <v>0</v>
      </c>
      <c r="E1013" s="180">
        <f>'רשימת מכשור 2015'!E1012</f>
        <v>0</v>
      </c>
      <c r="F1013" s="180">
        <f>'רשימת מכשור 2015'!F1012</f>
        <v>0</v>
      </c>
      <c r="G1013" s="195"/>
      <c r="H1013" s="195"/>
      <c r="I1013" s="196"/>
      <c r="J1013" s="195"/>
      <c r="K1013" s="195"/>
      <c r="L1013" s="195"/>
      <c r="M1013" s="195"/>
      <c r="N1013" s="197"/>
      <c r="O1013" s="195"/>
      <c r="P1013" s="195"/>
      <c r="Q1013" s="195"/>
    </row>
    <row r="1014" spans="1:17">
      <c r="A1014" s="180">
        <f>'רשימת מכשור 2015'!A1013</f>
        <v>0</v>
      </c>
      <c r="B1014" s="180">
        <f>'רשימת מכשור 2015'!B1013</f>
        <v>0</v>
      </c>
      <c r="C1014" s="180">
        <f>'רשימת מכשור 2015'!C1013</f>
        <v>0</v>
      </c>
      <c r="D1014" s="233">
        <f>'רשימת מכשור 2015'!D1013</f>
        <v>0</v>
      </c>
      <c r="E1014" s="180">
        <f>'רשימת מכשור 2015'!E1013</f>
        <v>0</v>
      </c>
      <c r="F1014" s="180">
        <f>'רשימת מכשור 2015'!F1013</f>
        <v>0</v>
      </c>
      <c r="G1014" s="195"/>
      <c r="H1014" s="195"/>
      <c r="I1014" s="196"/>
      <c r="J1014" s="195"/>
      <c r="K1014" s="195"/>
      <c r="L1014" s="195"/>
      <c r="M1014" s="195"/>
      <c r="N1014" s="197"/>
      <c r="O1014" s="195"/>
      <c r="P1014" s="195"/>
      <c r="Q1014" s="195"/>
    </row>
    <row r="1015" spans="1:17">
      <c r="A1015" s="180">
        <f>'רשימת מכשור 2015'!A1014</f>
        <v>0</v>
      </c>
      <c r="B1015" s="180">
        <f>'רשימת מכשור 2015'!B1014</f>
        <v>0</v>
      </c>
      <c r="C1015" s="180">
        <f>'רשימת מכשור 2015'!C1014</f>
        <v>0</v>
      </c>
      <c r="D1015" s="233">
        <f>'רשימת מכשור 2015'!D1014</f>
        <v>0</v>
      </c>
      <c r="E1015" s="180">
        <f>'רשימת מכשור 2015'!E1014</f>
        <v>0</v>
      </c>
      <c r="F1015" s="180">
        <f>'רשימת מכשור 2015'!F1014</f>
        <v>0</v>
      </c>
      <c r="G1015" s="195"/>
      <c r="H1015" s="195"/>
      <c r="I1015" s="196"/>
      <c r="J1015" s="195"/>
      <c r="K1015" s="195"/>
      <c r="L1015" s="195"/>
      <c r="M1015" s="195"/>
      <c r="N1015" s="197"/>
      <c r="O1015" s="195"/>
      <c r="P1015" s="195"/>
      <c r="Q1015" s="195"/>
    </row>
    <row r="1016" spans="1:17">
      <c r="A1016" s="180">
        <f>'רשימת מכשור 2015'!A1015</f>
        <v>0</v>
      </c>
      <c r="B1016" s="180">
        <f>'רשימת מכשור 2015'!B1015</f>
        <v>0</v>
      </c>
      <c r="C1016" s="180">
        <f>'רשימת מכשור 2015'!C1015</f>
        <v>0</v>
      </c>
      <c r="D1016" s="233">
        <f>'רשימת מכשור 2015'!D1015</f>
        <v>0</v>
      </c>
      <c r="E1016" s="180">
        <f>'רשימת מכשור 2015'!E1015</f>
        <v>0</v>
      </c>
      <c r="F1016" s="180">
        <f>'רשימת מכשור 2015'!F1015</f>
        <v>0</v>
      </c>
      <c r="G1016" s="195"/>
      <c r="H1016" s="195"/>
      <c r="I1016" s="196"/>
      <c r="J1016" s="195"/>
      <c r="K1016" s="195"/>
      <c r="L1016" s="195"/>
      <c r="M1016" s="195"/>
      <c r="N1016" s="197"/>
      <c r="O1016" s="195"/>
      <c r="P1016" s="195"/>
      <c r="Q1016" s="195"/>
    </row>
    <row r="1017" spans="1:17">
      <c r="A1017" s="180">
        <f>'רשימת מכשור 2015'!A1016</f>
        <v>0</v>
      </c>
      <c r="B1017" s="180">
        <f>'רשימת מכשור 2015'!B1016</f>
        <v>0</v>
      </c>
      <c r="C1017" s="180">
        <f>'רשימת מכשור 2015'!C1016</f>
        <v>0</v>
      </c>
      <c r="D1017" s="233">
        <f>'רשימת מכשור 2015'!D1016</f>
        <v>0</v>
      </c>
      <c r="E1017" s="180">
        <f>'רשימת מכשור 2015'!E1016</f>
        <v>0</v>
      </c>
      <c r="F1017" s="180">
        <f>'רשימת מכשור 2015'!F1016</f>
        <v>0</v>
      </c>
      <c r="G1017" s="195"/>
      <c r="H1017" s="195"/>
      <c r="I1017" s="196"/>
      <c r="J1017" s="195"/>
      <c r="K1017" s="195"/>
      <c r="L1017" s="195"/>
      <c r="M1017" s="195"/>
      <c r="N1017" s="197"/>
      <c r="O1017" s="195"/>
      <c r="P1017" s="195"/>
      <c r="Q1017" s="195"/>
    </row>
    <row r="1018" spans="1:17">
      <c r="A1018" s="180">
        <f>'רשימת מכשור 2015'!A1017</f>
        <v>0</v>
      </c>
      <c r="B1018" s="180">
        <f>'רשימת מכשור 2015'!B1017</f>
        <v>0</v>
      </c>
      <c r="C1018" s="180">
        <f>'רשימת מכשור 2015'!C1017</f>
        <v>0</v>
      </c>
      <c r="D1018" s="233">
        <f>'רשימת מכשור 2015'!D1017</f>
        <v>0</v>
      </c>
      <c r="E1018" s="180">
        <f>'רשימת מכשור 2015'!E1017</f>
        <v>0</v>
      </c>
      <c r="F1018" s="180">
        <f>'רשימת מכשור 2015'!F1017</f>
        <v>0</v>
      </c>
      <c r="G1018" s="195"/>
      <c r="H1018" s="195"/>
      <c r="I1018" s="196"/>
      <c r="J1018" s="195"/>
      <c r="K1018" s="195"/>
      <c r="L1018" s="195"/>
      <c r="M1018" s="195"/>
      <c r="N1018" s="197"/>
      <c r="O1018" s="195"/>
      <c r="P1018" s="195"/>
      <c r="Q1018" s="195"/>
    </row>
    <row r="1019" spans="1:17">
      <c r="A1019" s="180">
        <f>'רשימת מכשור 2015'!A1018</f>
        <v>0</v>
      </c>
      <c r="B1019" s="180">
        <f>'רשימת מכשור 2015'!B1018</f>
        <v>0</v>
      </c>
      <c r="C1019" s="180">
        <f>'רשימת מכשור 2015'!C1018</f>
        <v>0</v>
      </c>
      <c r="D1019" s="233">
        <f>'רשימת מכשור 2015'!D1018</f>
        <v>0</v>
      </c>
      <c r="E1019" s="180">
        <f>'רשימת מכשור 2015'!E1018</f>
        <v>0</v>
      </c>
      <c r="F1019" s="180">
        <f>'רשימת מכשור 2015'!F1018</f>
        <v>0</v>
      </c>
      <c r="G1019" s="195"/>
      <c r="H1019" s="195"/>
      <c r="I1019" s="196"/>
      <c r="J1019" s="195"/>
      <c r="K1019" s="195"/>
      <c r="L1019" s="195"/>
      <c r="M1019" s="195"/>
      <c r="N1019" s="197"/>
      <c r="O1019" s="195"/>
      <c r="P1019" s="195"/>
      <c r="Q1019" s="195"/>
    </row>
    <row r="1020" spans="1:17">
      <c r="A1020" s="180">
        <f>'רשימת מכשור 2015'!A1019</f>
        <v>0</v>
      </c>
      <c r="B1020" s="180">
        <f>'רשימת מכשור 2015'!B1019</f>
        <v>0</v>
      </c>
      <c r="C1020" s="180">
        <f>'רשימת מכשור 2015'!C1019</f>
        <v>0</v>
      </c>
      <c r="D1020" s="233">
        <f>'רשימת מכשור 2015'!D1019</f>
        <v>0</v>
      </c>
      <c r="E1020" s="180">
        <f>'רשימת מכשור 2015'!E1019</f>
        <v>0</v>
      </c>
      <c r="F1020" s="180">
        <f>'רשימת מכשור 2015'!F1019</f>
        <v>0</v>
      </c>
      <c r="G1020" s="195"/>
      <c r="H1020" s="195"/>
      <c r="I1020" s="196"/>
      <c r="J1020" s="195"/>
      <c r="K1020" s="195"/>
      <c r="L1020" s="195"/>
      <c r="M1020" s="195"/>
      <c r="N1020" s="197"/>
      <c r="O1020" s="195"/>
      <c r="P1020" s="195"/>
      <c r="Q1020" s="195"/>
    </row>
    <row r="1021" spans="1:17">
      <c r="A1021" s="180">
        <f>'רשימת מכשור 2015'!A1020</f>
        <v>0</v>
      </c>
      <c r="B1021" s="180">
        <f>'רשימת מכשור 2015'!B1020</f>
        <v>0</v>
      </c>
      <c r="C1021" s="180">
        <f>'רשימת מכשור 2015'!C1020</f>
        <v>0</v>
      </c>
      <c r="D1021" s="233">
        <f>'רשימת מכשור 2015'!D1020</f>
        <v>0</v>
      </c>
      <c r="E1021" s="180">
        <f>'רשימת מכשור 2015'!E1020</f>
        <v>0</v>
      </c>
      <c r="F1021" s="180">
        <f>'רשימת מכשור 2015'!F1020</f>
        <v>0</v>
      </c>
      <c r="G1021" s="195"/>
      <c r="H1021" s="195"/>
      <c r="I1021" s="196"/>
      <c r="J1021" s="195"/>
      <c r="K1021" s="195"/>
      <c r="L1021" s="195"/>
      <c r="M1021" s="195"/>
      <c r="N1021" s="197"/>
      <c r="O1021" s="195"/>
      <c r="P1021" s="195"/>
      <c r="Q1021" s="195"/>
    </row>
    <row r="1022" spans="1:17">
      <c r="A1022" s="180">
        <f>'רשימת מכשור 2015'!A1021</f>
        <v>0</v>
      </c>
      <c r="B1022" s="180">
        <f>'רשימת מכשור 2015'!B1021</f>
        <v>0</v>
      </c>
      <c r="C1022" s="180">
        <f>'רשימת מכשור 2015'!C1021</f>
        <v>0</v>
      </c>
      <c r="D1022" s="233">
        <f>'רשימת מכשור 2015'!D1021</f>
        <v>0</v>
      </c>
      <c r="E1022" s="180">
        <f>'רשימת מכשור 2015'!E1021</f>
        <v>0</v>
      </c>
      <c r="F1022" s="180">
        <f>'רשימת מכשור 2015'!F1021</f>
        <v>0</v>
      </c>
      <c r="G1022" s="195"/>
      <c r="H1022" s="195"/>
      <c r="I1022" s="196"/>
      <c r="J1022" s="195"/>
      <c r="K1022" s="195"/>
      <c r="L1022" s="195"/>
      <c r="M1022" s="195"/>
      <c r="N1022" s="197"/>
      <c r="O1022" s="195"/>
      <c r="P1022" s="195"/>
      <c r="Q1022" s="195"/>
    </row>
    <row r="1023" spans="1:17">
      <c r="A1023" s="180">
        <f>'רשימת מכשור 2015'!A1022</f>
        <v>0</v>
      </c>
      <c r="B1023" s="180">
        <f>'רשימת מכשור 2015'!B1022</f>
        <v>0</v>
      </c>
      <c r="C1023" s="180">
        <f>'רשימת מכשור 2015'!C1022</f>
        <v>0</v>
      </c>
      <c r="D1023" s="233">
        <f>'רשימת מכשור 2015'!D1022</f>
        <v>0</v>
      </c>
      <c r="E1023" s="180">
        <f>'רשימת מכשור 2015'!E1022</f>
        <v>0</v>
      </c>
      <c r="F1023" s="180">
        <f>'רשימת מכשור 2015'!F1022</f>
        <v>0</v>
      </c>
      <c r="G1023" s="195"/>
      <c r="H1023" s="195"/>
      <c r="I1023" s="196"/>
      <c r="J1023" s="195"/>
      <c r="K1023" s="195"/>
      <c r="L1023" s="195"/>
      <c r="M1023" s="195"/>
      <c r="N1023" s="197"/>
      <c r="O1023" s="195"/>
      <c r="P1023" s="195"/>
      <c r="Q1023" s="195"/>
    </row>
    <row r="1024" spans="1:17">
      <c r="A1024" s="180">
        <f>'רשימת מכשור 2015'!A1023</f>
        <v>0</v>
      </c>
      <c r="B1024" s="180">
        <f>'רשימת מכשור 2015'!B1023</f>
        <v>0</v>
      </c>
      <c r="C1024" s="180">
        <f>'רשימת מכשור 2015'!C1023</f>
        <v>0</v>
      </c>
      <c r="D1024" s="233">
        <f>'רשימת מכשור 2015'!D1023</f>
        <v>0</v>
      </c>
      <c r="E1024" s="180">
        <f>'רשימת מכשור 2015'!E1023</f>
        <v>0</v>
      </c>
      <c r="F1024" s="180">
        <f>'רשימת מכשור 2015'!F1023</f>
        <v>0</v>
      </c>
      <c r="G1024" s="195"/>
      <c r="H1024" s="195"/>
      <c r="I1024" s="196"/>
      <c r="J1024" s="195"/>
      <c r="K1024" s="195"/>
      <c r="L1024" s="195"/>
      <c r="M1024" s="195"/>
      <c r="N1024" s="197"/>
      <c r="O1024" s="195"/>
      <c r="P1024" s="195"/>
      <c r="Q1024" s="195"/>
    </row>
    <row r="1025" spans="1:17">
      <c r="A1025" s="180">
        <f>'רשימת מכשור 2015'!A1024</f>
        <v>0</v>
      </c>
      <c r="B1025" s="180">
        <f>'רשימת מכשור 2015'!B1024</f>
        <v>0</v>
      </c>
      <c r="C1025" s="180">
        <f>'רשימת מכשור 2015'!C1024</f>
        <v>0</v>
      </c>
      <c r="D1025" s="233">
        <f>'רשימת מכשור 2015'!D1024</f>
        <v>0</v>
      </c>
      <c r="E1025" s="180">
        <f>'רשימת מכשור 2015'!E1024</f>
        <v>0</v>
      </c>
      <c r="F1025" s="180">
        <f>'רשימת מכשור 2015'!F1024</f>
        <v>0</v>
      </c>
      <c r="G1025" s="195"/>
      <c r="H1025" s="195"/>
      <c r="I1025" s="196"/>
      <c r="J1025" s="195"/>
      <c r="K1025" s="195"/>
      <c r="L1025" s="195"/>
      <c r="M1025" s="195"/>
      <c r="N1025" s="197"/>
      <c r="O1025" s="195"/>
      <c r="P1025" s="195"/>
      <c r="Q1025" s="195"/>
    </row>
    <row r="1026" spans="1:17">
      <c r="A1026" s="180">
        <f>'רשימת מכשור 2015'!A1025</f>
        <v>0</v>
      </c>
      <c r="B1026" s="180">
        <f>'רשימת מכשור 2015'!B1025</f>
        <v>0</v>
      </c>
      <c r="C1026" s="180">
        <f>'רשימת מכשור 2015'!C1025</f>
        <v>0</v>
      </c>
      <c r="D1026" s="233">
        <f>'רשימת מכשור 2015'!D1025</f>
        <v>0</v>
      </c>
      <c r="E1026" s="180">
        <f>'רשימת מכשור 2015'!E1025</f>
        <v>0</v>
      </c>
      <c r="F1026" s="180">
        <f>'רשימת מכשור 2015'!F1025</f>
        <v>0</v>
      </c>
      <c r="G1026" s="195"/>
      <c r="H1026" s="195"/>
      <c r="I1026" s="196"/>
      <c r="J1026" s="195"/>
      <c r="K1026" s="195"/>
      <c r="L1026" s="195"/>
      <c r="M1026" s="195"/>
      <c r="N1026" s="197"/>
      <c r="O1026" s="195"/>
      <c r="P1026" s="195"/>
      <c r="Q1026" s="195"/>
    </row>
    <row r="1027" spans="1:17">
      <c r="A1027" s="180">
        <f>'רשימת מכשור 2015'!A1026</f>
        <v>0</v>
      </c>
      <c r="B1027" s="180">
        <f>'רשימת מכשור 2015'!B1026</f>
        <v>0</v>
      </c>
      <c r="C1027" s="180">
        <f>'רשימת מכשור 2015'!C1026</f>
        <v>0</v>
      </c>
      <c r="D1027" s="233">
        <f>'רשימת מכשור 2015'!D1026</f>
        <v>0</v>
      </c>
      <c r="E1027" s="180">
        <f>'רשימת מכשור 2015'!E1026</f>
        <v>0</v>
      </c>
      <c r="F1027" s="180">
        <f>'רשימת מכשור 2015'!F1026</f>
        <v>0</v>
      </c>
      <c r="G1027" s="195"/>
      <c r="H1027" s="195"/>
      <c r="I1027" s="196"/>
      <c r="J1027" s="195"/>
      <c r="K1027" s="195"/>
      <c r="L1027" s="195"/>
      <c r="M1027" s="195"/>
      <c r="N1027" s="197"/>
      <c r="O1027" s="195"/>
      <c r="P1027" s="195"/>
      <c r="Q1027" s="195"/>
    </row>
    <row r="1028" spans="1:17">
      <c r="A1028" s="180">
        <f>'רשימת מכשור 2015'!A1027</f>
        <v>0</v>
      </c>
      <c r="B1028" s="180">
        <f>'רשימת מכשור 2015'!B1027</f>
        <v>0</v>
      </c>
      <c r="C1028" s="180">
        <f>'רשימת מכשור 2015'!C1027</f>
        <v>0</v>
      </c>
      <c r="D1028" s="233">
        <f>'רשימת מכשור 2015'!D1027</f>
        <v>0</v>
      </c>
      <c r="E1028" s="180">
        <f>'רשימת מכשור 2015'!E1027</f>
        <v>0</v>
      </c>
      <c r="F1028" s="180">
        <f>'רשימת מכשור 2015'!F1027</f>
        <v>0</v>
      </c>
      <c r="G1028" s="195"/>
      <c r="H1028" s="195"/>
      <c r="I1028" s="196"/>
      <c r="J1028" s="195"/>
      <c r="K1028" s="195"/>
      <c r="L1028" s="195"/>
      <c r="M1028" s="195"/>
      <c r="N1028" s="197"/>
      <c r="O1028" s="195"/>
      <c r="P1028" s="195"/>
      <c r="Q1028" s="195"/>
    </row>
    <row r="1029" spans="1:17">
      <c r="A1029" s="180">
        <f>'רשימת מכשור 2015'!A1028</f>
        <v>0</v>
      </c>
      <c r="B1029" s="180">
        <f>'רשימת מכשור 2015'!B1028</f>
        <v>0</v>
      </c>
      <c r="C1029" s="180">
        <f>'רשימת מכשור 2015'!C1028</f>
        <v>0</v>
      </c>
      <c r="D1029" s="233">
        <f>'רשימת מכשור 2015'!D1028</f>
        <v>0</v>
      </c>
      <c r="E1029" s="180">
        <f>'רשימת מכשור 2015'!E1028</f>
        <v>0</v>
      </c>
      <c r="F1029" s="180">
        <f>'רשימת מכשור 2015'!F1028</f>
        <v>0</v>
      </c>
      <c r="G1029" s="195"/>
      <c r="H1029" s="195"/>
      <c r="I1029" s="196"/>
      <c r="J1029" s="195"/>
      <c r="K1029" s="195"/>
      <c r="L1029" s="195"/>
      <c r="M1029" s="195"/>
      <c r="N1029" s="197"/>
      <c r="O1029" s="195"/>
      <c r="P1029" s="195"/>
      <c r="Q1029" s="195"/>
    </row>
    <row r="1030" spans="1:17">
      <c r="A1030" s="180">
        <f>'רשימת מכשור 2015'!A1029</f>
        <v>0</v>
      </c>
      <c r="B1030" s="180">
        <f>'רשימת מכשור 2015'!B1029</f>
        <v>0</v>
      </c>
      <c r="C1030" s="180">
        <f>'רשימת מכשור 2015'!C1029</f>
        <v>0</v>
      </c>
      <c r="D1030" s="233">
        <f>'רשימת מכשור 2015'!D1029</f>
        <v>0</v>
      </c>
      <c r="E1030" s="180">
        <f>'רשימת מכשור 2015'!E1029</f>
        <v>0</v>
      </c>
      <c r="F1030" s="180">
        <f>'רשימת מכשור 2015'!F1029</f>
        <v>0</v>
      </c>
      <c r="G1030" s="195"/>
      <c r="H1030" s="195"/>
      <c r="I1030" s="196"/>
      <c r="J1030" s="195"/>
      <c r="K1030" s="195"/>
      <c r="L1030" s="195"/>
      <c r="M1030" s="195"/>
      <c r="N1030" s="197"/>
      <c r="O1030" s="195"/>
      <c r="P1030" s="195"/>
      <c r="Q1030" s="195"/>
    </row>
    <row r="1031" spans="1:17">
      <c r="A1031" s="180">
        <f>'רשימת מכשור 2015'!A1030</f>
        <v>0</v>
      </c>
      <c r="B1031" s="180">
        <f>'רשימת מכשור 2015'!B1030</f>
        <v>0</v>
      </c>
      <c r="C1031" s="180">
        <f>'רשימת מכשור 2015'!C1030</f>
        <v>0</v>
      </c>
      <c r="D1031" s="233">
        <f>'רשימת מכשור 2015'!D1030</f>
        <v>0</v>
      </c>
      <c r="E1031" s="180">
        <f>'רשימת מכשור 2015'!E1030</f>
        <v>0</v>
      </c>
      <c r="F1031" s="180">
        <f>'רשימת מכשור 2015'!F1030</f>
        <v>0</v>
      </c>
      <c r="G1031" s="195"/>
      <c r="H1031" s="195"/>
      <c r="I1031" s="196"/>
      <c r="J1031" s="195"/>
      <c r="K1031" s="195"/>
      <c r="L1031" s="195"/>
      <c r="M1031" s="195"/>
      <c r="N1031" s="197"/>
      <c r="O1031" s="195"/>
      <c r="P1031" s="195"/>
      <c r="Q1031" s="195"/>
    </row>
    <row r="1032" spans="1:17">
      <c r="A1032" s="180">
        <f>'רשימת מכשור 2015'!A1031</f>
        <v>0</v>
      </c>
      <c r="B1032" s="180">
        <f>'רשימת מכשור 2015'!B1031</f>
        <v>0</v>
      </c>
      <c r="C1032" s="180">
        <f>'רשימת מכשור 2015'!C1031</f>
        <v>0</v>
      </c>
      <c r="D1032" s="233">
        <f>'רשימת מכשור 2015'!D1031</f>
        <v>0</v>
      </c>
      <c r="E1032" s="180">
        <f>'רשימת מכשור 2015'!E1031</f>
        <v>0</v>
      </c>
      <c r="F1032" s="180">
        <f>'רשימת מכשור 2015'!F1031</f>
        <v>0</v>
      </c>
      <c r="G1032" s="195"/>
      <c r="H1032" s="195"/>
      <c r="I1032" s="196"/>
      <c r="J1032" s="195"/>
      <c r="K1032" s="195"/>
      <c r="L1032" s="195"/>
      <c r="M1032" s="195"/>
      <c r="N1032" s="197"/>
      <c r="O1032" s="195"/>
      <c r="P1032" s="195"/>
      <c r="Q1032" s="195"/>
    </row>
    <row r="1033" spans="1:17">
      <c r="A1033" s="180">
        <f>'רשימת מכשור 2015'!A1032</f>
        <v>0</v>
      </c>
      <c r="B1033" s="180">
        <f>'רשימת מכשור 2015'!B1032</f>
        <v>0</v>
      </c>
      <c r="C1033" s="180">
        <f>'רשימת מכשור 2015'!C1032</f>
        <v>0</v>
      </c>
      <c r="D1033" s="233">
        <f>'רשימת מכשור 2015'!D1032</f>
        <v>0</v>
      </c>
      <c r="E1033" s="180">
        <f>'רשימת מכשור 2015'!E1032</f>
        <v>0</v>
      </c>
      <c r="F1033" s="180">
        <f>'רשימת מכשור 2015'!F1032</f>
        <v>0</v>
      </c>
      <c r="G1033" s="195"/>
      <c r="H1033" s="195"/>
      <c r="I1033" s="196"/>
      <c r="J1033" s="195"/>
      <c r="K1033" s="195"/>
      <c r="L1033" s="195"/>
      <c r="M1033" s="195"/>
      <c r="N1033" s="197"/>
      <c r="O1033" s="195"/>
      <c r="P1033" s="195"/>
      <c r="Q1033" s="195"/>
    </row>
    <row r="1034" spans="1:17">
      <c r="A1034" s="180">
        <f>'רשימת מכשור 2015'!A1033</f>
        <v>0</v>
      </c>
      <c r="B1034" s="180">
        <f>'רשימת מכשור 2015'!B1033</f>
        <v>0</v>
      </c>
      <c r="C1034" s="180">
        <f>'רשימת מכשור 2015'!C1033</f>
        <v>0</v>
      </c>
      <c r="D1034" s="233">
        <f>'רשימת מכשור 2015'!D1033</f>
        <v>0</v>
      </c>
      <c r="E1034" s="180">
        <f>'רשימת מכשור 2015'!E1033</f>
        <v>0</v>
      </c>
      <c r="F1034" s="180">
        <f>'רשימת מכשור 2015'!F1033</f>
        <v>0</v>
      </c>
      <c r="G1034" s="195"/>
      <c r="H1034" s="195"/>
      <c r="I1034" s="196"/>
      <c r="J1034" s="195"/>
      <c r="K1034" s="195"/>
      <c r="L1034" s="195"/>
      <c r="M1034" s="195"/>
      <c r="N1034" s="197"/>
      <c r="O1034" s="195"/>
      <c r="P1034" s="195"/>
      <c r="Q1034" s="195"/>
    </row>
    <row r="1035" spans="1:17">
      <c r="A1035" s="180">
        <f>'רשימת מכשור 2015'!A1034</f>
        <v>0</v>
      </c>
      <c r="B1035" s="180">
        <f>'רשימת מכשור 2015'!B1034</f>
        <v>0</v>
      </c>
      <c r="C1035" s="180">
        <f>'רשימת מכשור 2015'!C1034</f>
        <v>0</v>
      </c>
      <c r="D1035" s="233">
        <f>'רשימת מכשור 2015'!D1034</f>
        <v>0</v>
      </c>
      <c r="E1035" s="180">
        <f>'רשימת מכשור 2015'!E1034</f>
        <v>0</v>
      </c>
      <c r="F1035" s="180">
        <f>'רשימת מכשור 2015'!F1034</f>
        <v>0</v>
      </c>
      <c r="G1035" s="195"/>
      <c r="H1035" s="195"/>
      <c r="I1035" s="196"/>
      <c r="J1035" s="195"/>
      <c r="K1035" s="195"/>
      <c r="L1035" s="195"/>
      <c r="M1035" s="195"/>
      <c r="N1035" s="197"/>
      <c r="O1035" s="195"/>
      <c r="P1035" s="195"/>
      <c r="Q1035" s="195"/>
    </row>
    <row r="1036" spans="1:17">
      <c r="A1036" s="180">
        <f>'רשימת מכשור 2015'!A1035</f>
        <v>0</v>
      </c>
      <c r="B1036" s="180">
        <f>'רשימת מכשור 2015'!B1035</f>
        <v>0</v>
      </c>
      <c r="C1036" s="180">
        <f>'רשימת מכשור 2015'!C1035</f>
        <v>0</v>
      </c>
      <c r="D1036" s="233">
        <f>'רשימת מכשור 2015'!D1035</f>
        <v>0</v>
      </c>
      <c r="E1036" s="180">
        <f>'רשימת מכשור 2015'!E1035</f>
        <v>0</v>
      </c>
      <c r="F1036" s="180">
        <f>'רשימת מכשור 2015'!F1035</f>
        <v>0</v>
      </c>
      <c r="G1036" s="195"/>
      <c r="H1036" s="195"/>
      <c r="I1036" s="196"/>
      <c r="J1036" s="195"/>
      <c r="K1036" s="195"/>
      <c r="L1036" s="195"/>
      <c r="M1036" s="195"/>
      <c r="N1036" s="197"/>
      <c r="O1036" s="195"/>
      <c r="P1036" s="195"/>
      <c r="Q1036" s="195"/>
    </row>
    <row r="1037" spans="1:17">
      <c r="A1037" s="180">
        <f>'רשימת מכשור 2015'!A1036</f>
        <v>0</v>
      </c>
      <c r="B1037" s="180">
        <f>'רשימת מכשור 2015'!B1036</f>
        <v>0</v>
      </c>
      <c r="C1037" s="180">
        <f>'רשימת מכשור 2015'!C1036</f>
        <v>0</v>
      </c>
      <c r="D1037" s="233">
        <f>'רשימת מכשור 2015'!D1036</f>
        <v>0</v>
      </c>
      <c r="E1037" s="180">
        <f>'רשימת מכשור 2015'!E1036</f>
        <v>0</v>
      </c>
      <c r="F1037" s="180">
        <f>'רשימת מכשור 2015'!F1036</f>
        <v>0</v>
      </c>
      <c r="G1037" s="195"/>
      <c r="H1037" s="195"/>
      <c r="I1037" s="196"/>
      <c r="J1037" s="195"/>
      <c r="K1037" s="195"/>
      <c r="L1037" s="195"/>
      <c r="M1037" s="195"/>
      <c r="N1037" s="197"/>
      <c r="O1037" s="195"/>
      <c r="P1037" s="195"/>
      <c r="Q1037" s="195"/>
    </row>
    <row r="1038" spans="1:17">
      <c r="A1038" s="180">
        <f>'רשימת מכשור 2015'!A1037</f>
        <v>0</v>
      </c>
      <c r="B1038" s="180">
        <f>'רשימת מכשור 2015'!B1037</f>
        <v>0</v>
      </c>
      <c r="C1038" s="180">
        <f>'רשימת מכשור 2015'!C1037</f>
        <v>0</v>
      </c>
      <c r="D1038" s="233">
        <f>'רשימת מכשור 2015'!D1037</f>
        <v>0</v>
      </c>
      <c r="E1038" s="180">
        <f>'רשימת מכשור 2015'!E1037</f>
        <v>0</v>
      </c>
      <c r="F1038" s="180">
        <f>'רשימת מכשור 2015'!F1037</f>
        <v>0</v>
      </c>
      <c r="G1038" s="195"/>
      <c r="H1038" s="195"/>
      <c r="I1038" s="196"/>
      <c r="J1038" s="195"/>
      <c r="K1038" s="195"/>
      <c r="L1038" s="195"/>
      <c r="M1038" s="195"/>
      <c r="N1038" s="197"/>
      <c r="O1038" s="195"/>
      <c r="P1038" s="195"/>
      <c r="Q1038" s="195"/>
    </row>
    <row r="1039" spans="1:17">
      <c r="A1039" s="180">
        <f>'רשימת מכשור 2015'!A1038</f>
        <v>0</v>
      </c>
      <c r="B1039" s="180">
        <f>'רשימת מכשור 2015'!B1038</f>
        <v>0</v>
      </c>
      <c r="C1039" s="180">
        <f>'רשימת מכשור 2015'!C1038</f>
        <v>0</v>
      </c>
      <c r="D1039" s="233">
        <f>'רשימת מכשור 2015'!D1038</f>
        <v>0</v>
      </c>
      <c r="E1039" s="180">
        <f>'רשימת מכשור 2015'!E1038</f>
        <v>0</v>
      </c>
      <c r="F1039" s="180">
        <f>'רשימת מכשור 2015'!F1038</f>
        <v>0</v>
      </c>
      <c r="G1039" s="195"/>
      <c r="H1039" s="195"/>
      <c r="I1039" s="196"/>
      <c r="J1039" s="195"/>
      <c r="K1039" s="195"/>
      <c r="L1039" s="195"/>
      <c r="M1039" s="195"/>
      <c r="N1039" s="197"/>
      <c r="O1039" s="195"/>
      <c r="P1039" s="195"/>
      <c r="Q1039" s="195"/>
    </row>
    <row r="1040" spans="1:17">
      <c r="A1040" s="180">
        <f>'רשימת מכשור 2015'!A1039</f>
        <v>0</v>
      </c>
      <c r="B1040" s="180">
        <f>'רשימת מכשור 2015'!B1039</f>
        <v>0</v>
      </c>
      <c r="C1040" s="180">
        <f>'רשימת מכשור 2015'!C1039</f>
        <v>0</v>
      </c>
      <c r="D1040" s="233">
        <f>'רשימת מכשור 2015'!D1039</f>
        <v>0</v>
      </c>
      <c r="E1040" s="180">
        <f>'רשימת מכשור 2015'!E1039</f>
        <v>0</v>
      </c>
      <c r="F1040" s="180">
        <f>'רשימת מכשור 2015'!F1039</f>
        <v>0</v>
      </c>
      <c r="G1040" s="195"/>
      <c r="H1040" s="195"/>
      <c r="I1040" s="196"/>
      <c r="J1040" s="195"/>
      <c r="K1040" s="195"/>
      <c r="L1040" s="195"/>
      <c r="M1040" s="195"/>
      <c r="N1040" s="197"/>
      <c r="O1040" s="195"/>
      <c r="P1040" s="195"/>
      <c r="Q1040" s="195"/>
    </row>
    <row r="1041" spans="1:17">
      <c r="A1041" s="180">
        <f>'רשימת מכשור 2015'!A1040</f>
        <v>0</v>
      </c>
      <c r="B1041" s="180">
        <f>'רשימת מכשור 2015'!B1040</f>
        <v>0</v>
      </c>
      <c r="C1041" s="180">
        <f>'רשימת מכשור 2015'!C1040</f>
        <v>0</v>
      </c>
      <c r="D1041" s="233">
        <f>'רשימת מכשור 2015'!D1040</f>
        <v>0</v>
      </c>
      <c r="E1041" s="180">
        <f>'רשימת מכשור 2015'!E1040</f>
        <v>0</v>
      </c>
      <c r="F1041" s="180">
        <f>'רשימת מכשור 2015'!F1040</f>
        <v>0</v>
      </c>
      <c r="G1041" s="195"/>
      <c r="H1041" s="195"/>
      <c r="I1041" s="196"/>
      <c r="J1041" s="195"/>
      <c r="K1041" s="195"/>
      <c r="L1041" s="195"/>
      <c r="M1041" s="195"/>
      <c r="N1041" s="197"/>
      <c r="O1041" s="195"/>
      <c r="P1041" s="195"/>
      <c r="Q1041" s="195"/>
    </row>
    <row r="1042" spans="1:17">
      <c r="A1042" s="180">
        <f>'רשימת מכשור 2015'!A1041</f>
        <v>0</v>
      </c>
      <c r="B1042" s="180">
        <f>'רשימת מכשור 2015'!B1041</f>
        <v>0</v>
      </c>
      <c r="C1042" s="180">
        <f>'רשימת מכשור 2015'!C1041</f>
        <v>0</v>
      </c>
      <c r="D1042" s="233">
        <f>'רשימת מכשור 2015'!D1041</f>
        <v>0</v>
      </c>
      <c r="E1042" s="180">
        <f>'רשימת מכשור 2015'!E1041</f>
        <v>0</v>
      </c>
      <c r="F1042" s="180">
        <f>'רשימת מכשור 2015'!F1041</f>
        <v>0</v>
      </c>
      <c r="G1042" s="195"/>
      <c r="H1042" s="195"/>
      <c r="I1042" s="196"/>
      <c r="J1042" s="195"/>
      <c r="K1042" s="195"/>
      <c r="L1042" s="195"/>
      <c r="M1042" s="195"/>
      <c r="N1042" s="197"/>
      <c r="O1042" s="195"/>
      <c r="P1042" s="195"/>
      <c r="Q1042" s="195"/>
    </row>
    <row r="1043" spans="1:17">
      <c r="A1043" s="180">
        <f>'רשימת מכשור 2015'!A1042</f>
        <v>0</v>
      </c>
      <c r="B1043" s="180">
        <f>'רשימת מכשור 2015'!B1042</f>
        <v>0</v>
      </c>
      <c r="C1043" s="180">
        <f>'רשימת מכשור 2015'!C1042</f>
        <v>0</v>
      </c>
      <c r="D1043" s="233">
        <f>'רשימת מכשור 2015'!D1042</f>
        <v>0</v>
      </c>
      <c r="E1043" s="180">
        <f>'רשימת מכשור 2015'!E1042</f>
        <v>0</v>
      </c>
      <c r="F1043" s="180">
        <f>'רשימת מכשור 2015'!F1042</f>
        <v>0</v>
      </c>
      <c r="G1043" s="195"/>
      <c r="H1043" s="195"/>
      <c r="I1043" s="196"/>
      <c r="J1043" s="195"/>
      <c r="K1043" s="195"/>
      <c r="L1043" s="195"/>
      <c r="M1043" s="195"/>
      <c r="N1043" s="197"/>
      <c r="O1043" s="195"/>
      <c r="P1043" s="195"/>
      <c r="Q1043" s="195"/>
    </row>
    <row r="1044" spans="1:17">
      <c r="A1044" s="180">
        <f>'רשימת מכשור 2015'!A1043</f>
        <v>0</v>
      </c>
      <c r="B1044" s="180">
        <f>'רשימת מכשור 2015'!B1043</f>
        <v>0</v>
      </c>
      <c r="C1044" s="180">
        <f>'רשימת מכשור 2015'!C1043</f>
        <v>0</v>
      </c>
      <c r="D1044" s="233">
        <f>'רשימת מכשור 2015'!D1043</f>
        <v>0</v>
      </c>
      <c r="E1044" s="180">
        <f>'רשימת מכשור 2015'!E1043</f>
        <v>0</v>
      </c>
      <c r="F1044" s="180">
        <f>'רשימת מכשור 2015'!F1043</f>
        <v>0</v>
      </c>
      <c r="G1044" s="195"/>
      <c r="H1044" s="195"/>
      <c r="I1044" s="196"/>
      <c r="J1044" s="195"/>
      <c r="K1044" s="195"/>
      <c r="L1044" s="195"/>
      <c r="M1044" s="195"/>
      <c r="N1044" s="197"/>
      <c r="O1044" s="195"/>
      <c r="P1044" s="195"/>
      <c r="Q1044" s="195"/>
    </row>
    <row r="1045" spans="1:17">
      <c r="A1045" s="180">
        <f>'רשימת מכשור 2015'!A1044</f>
        <v>0</v>
      </c>
      <c r="B1045" s="180">
        <f>'רשימת מכשור 2015'!B1044</f>
        <v>0</v>
      </c>
      <c r="C1045" s="180">
        <f>'רשימת מכשור 2015'!C1044</f>
        <v>0</v>
      </c>
      <c r="D1045" s="233">
        <f>'רשימת מכשור 2015'!D1044</f>
        <v>0</v>
      </c>
      <c r="E1045" s="180">
        <f>'רשימת מכשור 2015'!E1044</f>
        <v>0</v>
      </c>
      <c r="F1045" s="180">
        <f>'רשימת מכשור 2015'!F1044</f>
        <v>0</v>
      </c>
      <c r="G1045" s="195"/>
      <c r="H1045" s="195"/>
      <c r="I1045" s="196"/>
      <c r="J1045" s="195"/>
      <c r="K1045" s="195"/>
      <c r="L1045" s="195"/>
      <c r="M1045" s="195"/>
      <c r="N1045" s="197"/>
      <c r="O1045" s="195"/>
      <c r="P1045" s="195"/>
      <c r="Q1045" s="195"/>
    </row>
    <row r="1046" spans="1:17">
      <c r="A1046" s="180">
        <f>'רשימת מכשור 2015'!A1045</f>
        <v>0</v>
      </c>
      <c r="B1046" s="180">
        <f>'רשימת מכשור 2015'!B1045</f>
        <v>0</v>
      </c>
      <c r="C1046" s="180">
        <f>'רשימת מכשור 2015'!C1045</f>
        <v>0</v>
      </c>
      <c r="D1046" s="233">
        <f>'רשימת מכשור 2015'!D1045</f>
        <v>0</v>
      </c>
      <c r="E1046" s="180">
        <f>'רשימת מכשור 2015'!E1045</f>
        <v>0</v>
      </c>
      <c r="F1046" s="180">
        <f>'רשימת מכשור 2015'!F1045</f>
        <v>0</v>
      </c>
      <c r="G1046" s="195"/>
      <c r="H1046" s="195"/>
      <c r="I1046" s="196"/>
      <c r="J1046" s="195"/>
      <c r="K1046" s="195"/>
      <c r="L1046" s="195"/>
      <c r="M1046" s="195"/>
      <c r="N1046" s="197"/>
      <c r="O1046" s="195"/>
      <c r="P1046" s="195"/>
      <c r="Q1046" s="195"/>
    </row>
    <row r="1047" spans="1:17">
      <c r="A1047" s="180">
        <f>'רשימת מכשור 2015'!A1046</f>
        <v>0</v>
      </c>
      <c r="B1047" s="180">
        <f>'רשימת מכשור 2015'!B1046</f>
        <v>0</v>
      </c>
      <c r="C1047" s="180">
        <f>'רשימת מכשור 2015'!C1046</f>
        <v>0</v>
      </c>
      <c r="D1047" s="233">
        <f>'רשימת מכשור 2015'!D1046</f>
        <v>0</v>
      </c>
      <c r="E1047" s="180">
        <f>'רשימת מכשור 2015'!E1046</f>
        <v>0</v>
      </c>
      <c r="F1047" s="180">
        <f>'רשימת מכשור 2015'!F1046</f>
        <v>0</v>
      </c>
      <c r="G1047" s="195"/>
      <c r="H1047" s="195"/>
      <c r="I1047" s="196"/>
      <c r="J1047" s="195"/>
      <c r="K1047" s="195"/>
      <c r="L1047" s="195"/>
      <c r="M1047" s="195"/>
      <c r="N1047" s="197"/>
      <c r="O1047" s="195"/>
      <c r="P1047" s="195"/>
      <c r="Q1047" s="195"/>
    </row>
    <row r="1048" spans="1:17">
      <c r="A1048" s="180">
        <f>'רשימת מכשור 2015'!A1047</f>
        <v>0</v>
      </c>
      <c r="B1048" s="180">
        <f>'רשימת מכשור 2015'!B1047</f>
        <v>0</v>
      </c>
      <c r="C1048" s="180">
        <f>'רשימת מכשור 2015'!C1047</f>
        <v>0</v>
      </c>
      <c r="D1048" s="233">
        <f>'רשימת מכשור 2015'!D1047</f>
        <v>0</v>
      </c>
      <c r="E1048" s="180">
        <f>'רשימת מכשור 2015'!E1047</f>
        <v>0</v>
      </c>
      <c r="F1048" s="180">
        <f>'רשימת מכשור 2015'!F1047</f>
        <v>0</v>
      </c>
      <c r="G1048" s="195"/>
      <c r="H1048" s="195"/>
      <c r="I1048" s="196"/>
      <c r="J1048" s="195"/>
      <c r="K1048" s="195"/>
      <c r="L1048" s="195"/>
      <c r="M1048" s="195"/>
      <c r="N1048" s="197"/>
      <c r="O1048" s="195"/>
      <c r="P1048" s="195"/>
      <c r="Q1048" s="195"/>
    </row>
    <row r="1049" spans="1:17">
      <c r="A1049" s="180">
        <f>'רשימת מכשור 2015'!A1048</f>
        <v>0</v>
      </c>
      <c r="B1049" s="180">
        <f>'רשימת מכשור 2015'!B1048</f>
        <v>0</v>
      </c>
      <c r="C1049" s="180">
        <f>'רשימת מכשור 2015'!C1048</f>
        <v>0</v>
      </c>
      <c r="D1049" s="233">
        <f>'רשימת מכשור 2015'!D1048</f>
        <v>0</v>
      </c>
      <c r="E1049" s="180">
        <f>'רשימת מכשור 2015'!E1048</f>
        <v>0</v>
      </c>
      <c r="F1049" s="180">
        <f>'רשימת מכשור 2015'!F1048</f>
        <v>0</v>
      </c>
      <c r="G1049" s="195"/>
      <c r="H1049" s="195"/>
      <c r="I1049" s="196"/>
      <c r="J1049" s="195"/>
      <c r="K1049" s="195"/>
      <c r="L1049" s="195"/>
      <c r="M1049" s="195"/>
      <c r="N1049" s="197"/>
      <c r="O1049" s="195"/>
      <c r="P1049" s="195"/>
      <c r="Q1049" s="195"/>
    </row>
    <row r="1050" spans="1:17">
      <c r="A1050" s="180">
        <f>'רשימת מכשור 2015'!A1049</f>
        <v>0</v>
      </c>
      <c r="B1050" s="180">
        <f>'רשימת מכשור 2015'!B1049</f>
        <v>0</v>
      </c>
      <c r="C1050" s="180">
        <f>'רשימת מכשור 2015'!C1049</f>
        <v>0</v>
      </c>
      <c r="D1050" s="233">
        <f>'רשימת מכשור 2015'!D1049</f>
        <v>0</v>
      </c>
      <c r="E1050" s="180">
        <f>'רשימת מכשור 2015'!E1049</f>
        <v>0</v>
      </c>
      <c r="F1050" s="180">
        <f>'רשימת מכשור 2015'!F1049</f>
        <v>0</v>
      </c>
      <c r="G1050" s="195"/>
      <c r="H1050" s="195"/>
      <c r="I1050" s="196"/>
      <c r="J1050" s="195"/>
      <c r="K1050" s="195"/>
      <c r="L1050" s="195"/>
      <c r="M1050" s="195"/>
      <c r="N1050" s="197"/>
      <c r="O1050" s="195"/>
      <c r="P1050" s="195"/>
      <c r="Q1050" s="195"/>
    </row>
    <row r="1051" spans="1:17">
      <c r="A1051" s="180">
        <f>'רשימת מכשור 2015'!A1050</f>
        <v>0</v>
      </c>
      <c r="B1051" s="180">
        <f>'רשימת מכשור 2015'!B1050</f>
        <v>0</v>
      </c>
      <c r="C1051" s="180">
        <f>'רשימת מכשור 2015'!C1050</f>
        <v>0</v>
      </c>
      <c r="D1051" s="233">
        <f>'רשימת מכשור 2015'!D1050</f>
        <v>0</v>
      </c>
      <c r="E1051" s="180">
        <f>'רשימת מכשור 2015'!E1050</f>
        <v>0</v>
      </c>
      <c r="F1051" s="180">
        <f>'רשימת מכשור 2015'!F1050</f>
        <v>0</v>
      </c>
      <c r="G1051" s="195"/>
      <c r="H1051" s="195"/>
      <c r="I1051" s="196"/>
      <c r="J1051" s="195"/>
      <c r="K1051" s="195"/>
      <c r="L1051" s="195"/>
      <c r="M1051" s="195"/>
      <c r="N1051" s="197"/>
      <c r="O1051" s="195"/>
      <c r="P1051" s="195"/>
      <c r="Q1051" s="195"/>
    </row>
    <row r="1052" spans="1:17">
      <c r="A1052" s="180">
        <f>'רשימת מכשור 2015'!A1051</f>
        <v>0</v>
      </c>
      <c r="B1052" s="180">
        <f>'רשימת מכשור 2015'!B1051</f>
        <v>0</v>
      </c>
      <c r="C1052" s="180">
        <f>'רשימת מכשור 2015'!C1051</f>
        <v>0</v>
      </c>
      <c r="D1052" s="233">
        <f>'רשימת מכשור 2015'!D1051</f>
        <v>0</v>
      </c>
      <c r="E1052" s="180">
        <f>'רשימת מכשור 2015'!E1051</f>
        <v>0</v>
      </c>
      <c r="F1052" s="180">
        <f>'רשימת מכשור 2015'!F1051</f>
        <v>0</v>
      </c>
      <c r="G1052" s="195"/>
      <c r="H1052" s="195"/>
      <c r="I1052" s="196"/>
      <c r="J1052" s="195"/>
      <c r="K1052" s="195"/>
      <c r="L1052" s="195"/>
      <c r="M1052" s="195"/>
      <c r="N1052" s="197"/>
      <c r="O1052" s="195"/>
      <c r="P1052" s="195"/>
      <c r="Q1052" s="195"/>
    </row>
    <row r="1053" spans="1:17">
      <c r="A1053" s="180">
        <f>'רשימת מכשור 2015'!A1052</f>
        <v>0</v>
      </c>
      <c r="B1053" s="180">
        <f>'רשימת מכשור 2015'!B1052</f>
        <v>0</v>
      </c>
      <c r="C1053" s="180">
        <f>'רשימת מכשור 2015'!C1052</f>
        <v>0</v>
      </c>
      <c r="D1053" s="233">
        <f>'רשימת מכשור 2015'!D1052</f>
        <v>0</v>
      </c>
      <c r="E1053" s="180">
        <f>'רשימת מכשור 2015'!E1052</f>
        <v>0</v>
      </c>
      <c r="F1053" s="180">
        <f>'רשימת מכשור 2015'!F1052</f>
        <v>0</v>
      </c>
      <c r="G1053" s="195"/>
      <c r="H1053" s="195"/>
      <c r="I1053" s="196"/>
      <c r="J1053" s="195"/>
      <c r="K1053" s="195"/>
      <c r="L1053" s="195"/>
      <c r="M1053" s="195"/>
      <c r="N1053" s="197"/>
      <c r="O1053" s="195"/>
      <c r="P1053" s="195"/>
      <c r="Q1053" s="195"/>
    </row>
    <row r="1054" spans="1:17">
      <c r="A1054" s="180">
        <f>'רשימת מכשור 2015'!A1053</f>
        <v>0</v>
      </c>
      <c r="B1054" s="180">
        <f>'רשימת מכשור 2015'!B1053</f>
        <v>0</v>
      </c>
      <c r="C1054" s="180">
        <f>'רשימת מכשור 2015'!C1053</f>
        <v>0</v>
      </c>
      <c r="D1054" s="233">
        <f>'רשימת מכשור 2015'!D1053</f>
        <v>0</v>
      </c>
      <c r="E1054" s="180">
        <f>'רשימת מכשור 2015'!E1053</f>
        <v>0</v>
      </c>
      <c r="F1054" s="180">
        <f>'רשימת מכשור 2015'!F1053</f>
        <v>0</v>
      </c>
      <c r="G1054" s="195"/>
      <c r="H1054" s="195"/>
      <c r="I1054" s="196"/>
      <c r="J1054" s="195"/>
      <c r="K1054" s="195"/>
      <c r="L1054" s="195"/>
      <c r="M1054" s="195"/>
      <c r="N1054" s="197"/>
      <c r="O1054" s="195"/>
      <c r="P1054" s="195"/>
      <c r="Q1054" s="195"/>
    </row>
    <row r="1055" spans="1:17">
      <c r="A1055" s="180">
        <f>'רשימת מכשור 2015'!A1054</f>
        <v>0</v>
      </c>
      <c r="B1055" s="180">
        <f>'רשימת מכשור 2015'!B1054</f>
        <v>0</v>
      </c>
      <c r="C1055" s="180">
        <f>'רשימת מכשור 2015'!C1054</f>
        <v>0</v>
      </c>
      <c r="D1055" s="233">
        <f>'רשימת מכשור 2015'!D1054</f>
        <v>0</v>
      </c>
      <c r="E1055" s="180">
        <f>'רשימת מכשור 2015'!E1054</f>
        <v>0</v>
      </c>
      <c r="F1055" s="180">
        <f>'רשימת מכשור 2015'!F1054</f>
        <v>0</v>
      </c>
      <c r="G1055" s="195"/>
      <c r="H1055" s="195"/>
      <c r="I1055" s="196"/>
      <c r="J1055" s="195"/>
      <c r="K1055" s="195"/>
      <c r="L1055" s="195"/>
      <c r="M1055" s="195"/>
      <c r="N1055" s="197"/>
      <c r="O1055" s="195"/>
      <c r="P1055" s="195"/>
      <c r="Q1055" s="195"/>
    </row>
    <row r="1056" spans="1:17">
      <c r="A1056" s="180">
        <f>'רשימת מכשור 2015'!A1055</f>
        <v>0</v>
      </c>
      <c r="B1056" s="180">
        <f>'רשימת מכשור 2015'!B1055</f>
        <v>0</v>
      </c>
      <c r="C1056" s="180">
        <f>'רשימת מכשור 2015'!C1055</f>
        <v>0</v>
      </c>
      <c r="D1056" s="233">
        <f>'רשימת מכשור 2015'!D1055</f>
        <v>0</v>
      </c>
      <c r="E1056" s="180">
        <f>'רשימת מכשור 2015'!E1055</f>
        <v>0</v>
      </c>
      <c r="F1056" s="180">
        <f>'רשימת מכשור 2015'!F1055</f>
        <v>0</v>
      </c>
      <c r="G1056" s="195"/>
      <c r="H1056" s="195"/>
      <c r="I1056" s="196"/>
      <c r="J1056" s="195"/>
      <c r="K1056" s="195"/>
      <c r="L1056" s="195"/>
      <c r="M1056" s="195"/>
      <c r="N1056" s="197"/>
      <c r="O1056" s="195"/>
      <c r="P1056" s="195"/>
      <c r="Q1056" s="195"/>
    </row>
    <row r="1057" spans="1:17">
      <c r="A1057" s="180">
        <f>'רשימת מכשור 2015'!A1056</f>
        <v>0</v>
      </c>
      <c r="B1057" s="180">
        <f>'רשימת מכשור 2015'!B1056</f>
        <v>0</v>
      </c>
      <c r="C1057" s="180">
        <f>'רשימת מכשור 2015'!C1056</f>
        <v>0</v>
      </c>
      <c r="D1057" s="233">
        <f>'רשימת מכשור 2015'!D1056</f>
        <v>0</v>
      </c>
      <c r="E1057" s="180">
        <f>'רשימת מכשור 2015'!E1056</f>
        <v>0</v>
      </c>
      <c r="F1057" s="180">
        <f>'רשימת מכשור 2015'!F1056</f>
        <v>0</v>
      </c>
      <c r="G1057" s="195"/>
      <c r="H1057" s="195"/>
      <c r="I1057" s="196"/>
      <c r="J1057" s="195"/>
      <c r="K1057" s="195"/>
      <c r="L1057" s="195"/>
      <c r="M1057" s="195"/>
      <c r="N1057" s="197"/>
      <c r="O1057" s="195"/>
      <c r="P1057" s="195"/>
      <c r="Q1057" s="195"/>
    </row>
    <row r="1058" spans="1:17">
      <c r="A1058" s="180">
        <f>'רשימת מכשור 2015'!A1057</f>
        <v>0</v>
      </c>
      <c r="B1058" s="180">
        <f>'רשימת מכשור 2015'!B1057</f>
        <v>0</v>
      </c>
      <c r="C1058" s="180">
        <f>'רשימת מכשור 2015'!C1057</f>
        <v>0</v>
      </c>
      <c r="D1058" s="233">
        <f>'רשימת מכשור 2015'!D1057</f>
        <v>0</v>
      </c>
      <c r="E1058" s="180">
        <f>'רשימת מכשור 2015'!E1057</f>
        <v>0</v>
      </c>
      <c r="F1058" s="180">
        <f>'רשימת מכשור 2015'!F1057</f>
        <v>0</v>
      </c>
      <c r="G1058" s="195"/>
      <c r="H1058" s="195"/>
      <c r="I1058" s="196"/>
      <c r="J1058" s="195"/>
      <c r="K1058" s="195"/>
      <c r="L1058" s="195"/>
      <c r="M1058" s="195"/>
      <c r="N1058" s="197"/>
      <c r="O1058" s="195"/>
      <c r="P1058" s="195"/>
      <c r="Q1058" s="195"/>
    </row>
    <row r="1059" spans="1:17">
      <c r="A1059" s="180">
        <f>'רשימת מכשור 2015'!A1058</f>
        <v>0</v>
      </c>
      <c r="B1059" s="180">
        <f>'רשימת מכשור 2015'!B1058</f>
        <v>0</v>
      </c>
      <c r="C1059" s="180">
        <f>'רשימת מכשור 2015'!C1058</f>
        <v>0</v>
      </c>
      <c r="D1059" s="233">
        <f>'רשימת מכשור 2015'!D1058</f>
        <v>0</v>
      </c>
      <c r="E1059" s="180">
        <f>'רשימת מכשור 2015'!E1058</f>
        <v>0</v>
      </c>
      <c r="F1059" s="180">
        <f>'רשימת מכשור 2015'!F1058</f>
        <v>0</v>
      </c>
      <c r="G1059" s="195"/>
      <c r="H1059" s="195"/>
      <c r="I1059" s="196"/>
      <c r="J1059" s="195"/>
      <c r="K1059" s="195"/>
      <c r="L1059" s="195"/>
      <c r="M1059" s="195"/>
      <c r="N1059" s="197"/>
      <c r="O1059" s="195"/>
      <c r="P1059" s="195"/>
      <c r="Q1059" s="195"/>
    </row>
    <row r="1060" spans="1:17">
      <c r="A1060" s="180">
        <f>'רשימת מכשור 2015'!A1059</f>
        <v>0</v>
      </c>
      <c r="B1060" s="180">
        <f>'רשימת מכשור 2015'!B1059</f>
        <v>0</v>
      </c>
      <c r="C1060" s="180">
        <f>'רשימת מכשור 2015'!C1059</f>
        <v>0</v>
      </c>
      <c r="D1060" s="233">
        <f>'רשימת מכשור 2015'!D1059</f>
        <v>0</v>
      </c>
      <c r="E1060" s="180">
        <f>'רשימת מכשור 2015'!E1059</f>
        <v>0</v>
      </c>
      <c r="F1060" s="180">
        <f>'רשימת מכשור 2015'!F1059</f>
        <v>0</v>
      </c>
      <c r="G1060" s="195"/>
      <c r="H1060" s="195"/>
      <c r="I1060" s="196"/>
      <c r="J1060" s="195"/>
      <c r="K1060" s="195"/>
      <c r="L1060" s="195"/>
      <c r="M1060" s="195"/>
      <c r="N1060" s="197"/>
      <c r="O1060" s="195"/>
      <c r="P1060" s="195"/>
      <c r="Q1060" s="195"/>
    </row>
    <row r="1061" spans="1:17">
      <c r="A1061" s="180">
        <f>'רשימת מכשור 2015'!A1060</f>
        <v>0</v>
      </c>
      <c r="B1061" s="180">
        <f>'רשימת מכשור 2015'!B1060</f>
        <v>0</v>
      </c>
      <c r="C1061" s="180">
        <f>'רשימת מכשור 2015'!C1060</f>
        <v>0</v>
      </c>
      <c r="D1061" s="233">
        <f>'רשימת מכשור 2015'!D1060</f>
        <v>0</v>
      </c>
      <c r="E1061" s="180">
        <f>'רשימת מכשור 2015'!E1060</f>
        <v>0</v>
      </c>
      <c r="F1061" s="180">
        <f>'רשימת מכשור 2015'!F1060</f>
        <v>0</v>
      </c>
      <c r="G1061" s="195"/>
      <c r="H1061" s="195"/>
      <c r="I1061" s="196"/>
      <c r="J1061" s="195"/>
      <c r="K1061" s="195"/>
      <c r="L1061" s="195"/>
      <c r="M1061" s="195"/>
      <c r="N1061" s="197"/>
      <c r="O1061" s="195"/>
      <c r="P1061" s="195"/>
      <c r="Q1061" s="195"/>
    </row>
    <row r="1062" spans="1:17">
      <c r="A1062" s="180">
        <f>'רשימת מכשור 2015'!A1061</f>
        <v>0</v>
      </c>
      <c r="B1062" s="180">
        <f>'רשימת מכשור 2015'!B1061</f>
        <v>0</v>
      </c>
      <c r="C1062" s="180">
        <f>'רשימת מכשור 2015'!C1061</f>
        <v>0</v>
      </c>
      <c r="D1062" s="233">
        <f>'רשימת מכשור 2015'!D1061</f>
        <v>0</v>
      </c>
      <c r="E1062" s="180">
        <f>'רשימת מכשור 2015'!E1061</f>
        <v>0</v>
      </c>
      <c r="F1062" s="180">
        <f>'רשימת מכשור 2015'!F1061</f>
        <v>0</v>
      </c>
      <c r="G1062" s="195"/>
      <c r="H1062" s="195"/>
      <c r="I1062" s="196"/>
      <c r="J1062" s="195"/>
      <c r="K1062" s="195"/>
      <c r="L1062" s="195"/>
      <c r="M1062" s="195"/>
      <c r="N1062" s="197"/>
      <c r="O1062" s="195"/>
      <c r="P1062" s="195"/>
      <c r="Q1062" s="195"/>
    </row>
    <row r="1063" spans="1:17">
      <c r="A1063" s="180">
        <f>'רשימת מכשור 2015'!A1062</f>
        <v>0</v>
      </c>
      <c r="B1063" s="180">
        <f>'רשימת מכשור 2015'!B1062</f>
        <v>0</v>
      </c>
      <c r="C1063" s="180">
        <f>'רשימת מכשור 2015'!C1062</f>
        <v>0</v>
      </c>
      <c r="D1063" s="233">
        <f>'רשימת מכשור 2015'!D1062</f>
        <v>0</v>
      </c>
      <c r="E1063" s="180">
        <f>'רשימת מכשור 2015'!E1062</f>
        <v>0</v>
      </c>
      <c r="F1063" s="180">
        <f>'רשימת מכשור 2015'!F1062</f>
        <v>0</v>
      </c>
      <c r="G1063" s="195"/>
      <c r="H1063" s="195"/>
      <c r="I1063" s="196"/>
      <c r="J1063" s="195"/>
      <c r="K1063" s="195"/>
      <c r="L1063" s="195"/>
      <c r="M1063" s="195"/>
      <c r="N1063" s="197"/>
      <c r="O1063" s="195"/>
      <c r="P1063" s="195"/>
      <c r="Q1063" s="195"/>
    </row>
    <row r="1064" spans="1:17">
      <c r="A1064" s="180">
        <f>'רשימת מכשור 2015'!A1063</f>
        <v>0</v>
      </c>
      <c r="B1064" s="180">
        <f>'רשימת מכשור 2015'!B1063</f>
        <v>0</v>
      </c>
      <c r="C1064" s="180">
        <f>'רשימת מכשור 2015'!C1063</f>
        <v>0</v>
      </c>
      <c r="D1064" s="233">
        <f>'רשימת מכשור 2015'!D1063</f>
        <v>0</v>
      </c>
      <c r="E1064" s="180">
        <f>'רשימת מכשור 2015'!E1063</f>
        <v>0</v>
      </c>
      <c r="F1064" s="180">
        <f>'רשימת מכשור 2015'!F1063</f>
        <v>0</v>
      </c>
      <c r="G1064" s="195"/>
      <c r="H1064" s="195"/>
      <c r="I1064" s="196"/>
      <c r="J1064" s="195"/>
      <c r="K1064" s="195"/>
      <c r="L1064" s="195"/>
      <c r="M1064" s="195"/>
      <c r="N1064" s="197"/>
      <c r="O1064" s="195"/>
      <c r="P1064" s="195"/>
      <c r="Q1064" s="195"/>
    </row>
    <row r="1065" spans="1:17">
      <c r="A1065" s="180">
        <f>'רשימת מכשור 2015'!A1064</f>
        <v>0</v>
      </c>
      <c r="B1065" s="180">
        <f>'רשימת מכשור 2015'!B1064</f>
        <v>0</v>
      </c>
      <c r="C1065" s="180">
        <f>'רשימת מכשור 2015'!C1064</f>
        <v>0</v>
      </c>
      <c r="D1065" s="233">
        <f>'רשימת מכשור 2015'!D1064</f>
        <v>0</v>
      </c>
      <c r="E1065" s="180">
        <f>'רשימת מכשור 2015'!E1064</f>
        <v>0</v>
      </c>
      <c r="F1065" s="180">
        <f>'רשימת מכשור 2015'!F1064</f>
        <v>0</v>
      </c>
      <c r="G1065" s="195"/>
      <c r="H1065" s="195"/>
      <c r="I1065" s="196"/>
      <c r="J1065" s="195"/>
      <c r="K1065" s="195"/>
      <c r="L1065" s="195"/>
      <c r="M1065" s="195"/>
      <c r="N1065" s="197"/>
      <c r="O1065" s="195"/>
      <c r="P1065" s="195"/>
      <c r="Q1065" s="195"/>
    </row>
    <row r="1066" spans="1:17">
      <c r="A1066" s="180">
        <f>'רשימת מכשור 2015'!A1065</f>
        <v>0</v>
      </c>
      <c r="B1066" s="180">
        <f>'רשימת מכשור 2015'!B1065</f>
        <v>0</v>
      </c>
      <c r="C1066" s="180">
        <f>'רשימת מכשור 2015'!C1065</f>
        <v>0</v>
      </c>
      <c r="D1066" s="233">
        <f>'רשימת מכשור 2015'!D1065</f>
        <v>0</v>
      </c>
      <c r="E1066" s="180">
        <f>'רשימת מכשור 2015'!E1065</f>
        <v>0</v>
      </c>
      <c r="F1066" s="180">
        <f>'רשימת מכשור 2015'!F1065</f>
        <v>0</v>
      </c>
      <c r="G1066" s="195"/>
      <c r="H1066" s="195"/>
      <c r="I1066" s="196"/>
      <c r="J1066" s="195"/>
      <c r="K1066" s="195"/>
      <c r="L1066" s="195"/>
      <c r="M1066" s="195"/>
      <c r="N1066" s="197"/>
      <c r="O1066" s="195"/>
      <c r="P1066" s="195"/>
      <c r="Q1066" s="195"/>
    </row>
    <row r="1067" spans="1:17">
      <c r="A1067" s="180">
        <f>'רשימת מכשור 2015'!A1066</f>
        <v>0</v>
      </c>
      <c r="B1067" s="180">
        <f>'רשימת מכשור 2015'!B1066</f>
        <v>0</v>
      </c>
      <c r="C1067" s="180">
        <f>'רשימת מכשור 2015'!C1066</f>
        <v>0</v>
      </c>
      <c r="D1067" s="233">
        <f>'רשימת מכשור 2015'!D1066</f>
        <v>0</v>
      </c>
      <c r="E1067" s="180">
        <f>'רשימת מכשור 2015'!E1066</f>
        <v>0</v>
      </c>
      <c r="F1067" s="180">
        <f>'רשימת מכשור 2015'!F1066</f>
        <v>0</v>
      </c>
      <c r="G1067" s="195"/>
      <c r="H1067" s="195"/>
      <c r="I1067" s="196"/>
      <c r="J1067" s="195"/>
      <c r="K1067" s="195"/>
      <c r="L1067" s="195"/>
      <c r="M1067" s="195"/>
      <c r="N1067" s="197"/>
      <c r="O1067" s="195"/>
      <c r="P1067" s="195"/>
      <c r="Q1067" s="195"/>
    </row>
    <row r="1068" spans="1:17">
      <c r="A1068" s="180">
        <f>'רשימת מכשור 2015'!A1067</f>
        <v>0</v>
      </c>
      <c r="B1068" s="180">
        <f>'רשימת מכשור 2015'!B1067</f>
        <v>0</v>
      </c>
      <c r="C1068" s="180">
        <f>'רשימת מכשור 2015'!C1067</f>
        <v>0</v>
      </c>
      <c r="D1068" s="233">
        <f>'רשימת מכשור 2015'!D1067</f>
        <v>0</v>
      </c>
      <c r="E1068" s="180">
        <f>'רשימת מכשור 2015'!E1067</f>
        <v>0</v>
      </c>
      <c r="F1068" s="180">
        <f>'רשימת מכשור 2015'!F1067</f>
        <v>0</v>
      </c>
      <c r="G1068" s="195"/>
      <c r="H1068" s="195"/>
      <c r="I1068" s="196"/>
      <c r="J1068" s="195"/>
      <c r="K1068" s="195"/>
      <c r="L1068" s="195"/>
      <c r="M1068" s="195"/>
      <c r="N1068" s="197"/>
      <c r="O1068" s="195"/>
      <c r="P1068" s="195"/>
      <c r="Q1068" s="195"/>
    </row>
    <row r="1069" spans="1:17">
      <c r="A1069" s="180">
        <f>'רשימת מכשור 2015'!A1068</f>
        <v>0</v>
      </c>
      <c r="B1069" s="180">
        <f>'רשימת מכשור 2015'!B1068</f>
        <v>0</v>
      </c>
      <c r="C1069" s="180">
        <f>'רשימת מכשור 2015'!C1068</f>
        <v>0</v>
      </c>
      <c r="D1069" s="233">
        <f>'רשימת מכשור 2015'!D1068</f>
        <v>0</v>
      </c>
      <c r="E1069" s="180">
        <f>'רשימת מכשור 2015'!E1068</f>
        <v>0</v>
      </c>
      <c r="F1069" s="180">
        <f>'רשימת מכשור 2015'!F1068</f>
        <v>0</v>
      </c>
      <c r="G1069" s="195"/>
      <c r="H1069" s="195"/>
      <c r="I1069" s="196"/>
      <c r="J1069" s="195"/>
      <c r="K1069" s="195"/>
      <c r="L1069" s="195"/>
      <c r="M1069" s="195"/>
      <c r="N1069" s="197"/>
      <c r="O1069" s="195"/>
      <c r="P1069" s="195"/>
      <c r="Q1069" s="195"/>
    </row>
    <row r="1070" spans="1:17">
      <c r="A1070" s="180">
        <f>'רשימת מכשור 2015'!A1069</f>
        <v>0</v>
      </c>
      <c r="B1070" s="180">
        <f>'רשימת מכשור 2015'!B1069</f>
        <v>0</v>
      </c>
      <c r="C1070" s="180">
        <f>'רשימת מכשור 2015'!C1069</f>
        <v>0</v>
      </c>
      <c r="D1070" s="233">
        <f>'רשימת מכשור 2015'!D1069</f>
        <v>0</v>
      </c>
      <c r="E1070" s="180">
        <f>'רשימת מכשור 2015'!E1069</f>
        <v>0</v>
      </c>
      <c r="F1070" s="180">
        <f>'רשימת מכשור 2015'!F1069</f>
        <v>0</v>
      </c>
      <c r="G1070" s="195"/>
      <c r="H1070" s="195"/>
      <c r="I1070" s="196"/>
      <c r="J1070" s="195"/>
      <c r="K1070" s="195"/>
      <c r="L1070" s="195"/>
      <c r="M1070" s="195"/>
      <c r="N1070" s="197"/>
      <c r="O1070" s="195"/>
      <c r="P1070" s="195"/>
      <c r="Q1070" s="195"/>
    </row>
    <row r="1071" spans="1:17">
      <c r="A1071" s="180">
        <f>'רשימת מכשור 2015'!A1070</f>
        <v>0</v>
      </c>
      <c r="B1071" s="180">
        <f>'רשימת מכשור 2015'!B1070</f>
        <v>0</v>
      </c>
      <c r="C1071" s="180">
        <f>'רשימת מכשור 2015'!C1070</f>
        <v>0</v>
      </c>
      <c r="D1071" s="233">
        <f>'רשימת מכשור 2015'!D1070</f>
        <v>0</v>
      </c>
      <c r="E1071" s="180">
        <f>'רשימת מכשור 2015'!E1070</f>
        <v>0</v>
      </c>
      <c r="F1071" s="180">
        <f>'רשימת מכשור 2015'!F1070</f>
        <v>0</v>
      </c>
      <c r="G1071" s="195"/>
      <c r="H1071" s="195"/>
      <c r="I1071" s="196"/>
      <c r="J1071" s="195"/>
      <c r="K1071" s="195"/>
      <c r="L1071" s="195"/>
      <c r="M1071" s="195"/>
      <c r="N1071" s="197"/>
      <c r="O1071" s="195"/>
      <c r="P1071" s="195"/>
      <c r="Q1071" s="195"/>
    </row>
    <row r="1072" spans="1:17">
      <c r="A1072" s="180">
        <f>'רשימת מכשור 2015'!A1071</f>
        <v>0</v>
      </c>
      <c r="B1072" s="180">
        <f>'רשימת מכשור 2015'!B1071</f>
        <v>0</v>
      </c>
      <c r="C1072" s="180">
        <f>'רשימת מכשור 2015'!C1071</f>
        <v>0</v>
      </c>
      <c r="D1072" s="233">
        <f>'רשימת מכשור 2015'!D1071</f>
        <v>0</v>
      </c>
      <c r="E1072" s="180">
        <f>'רשימת מכשור 2015'!E1071</f>
        <v>0</v>
      </c>
      <c r="F1072" s="180">
        <f>'רשימת מכשור 2015'!F1071</f>
        <v>0</v>
      </c>
      <c r="G1072" s="195"/>
      <c r="H1072" s="195"/>
      <c r="I1072" s="196"/>
      <c r="J1072" s="195"/>
      <c r="K1072" s="195"/>
      <c r="L1072" s="195"/>
      <c r="M1072" s="195"/>
      <c r="N1072" s="197"/>
      <c r="O1072" s="195"/>
      <c r="P1072" s="195"/>
      <c r="Q1072" s="195"/>
    </row>
    <row r="1073" spans="1:17">
      <c r="A1073" s="180">
        <f>'רשימת מכשור 2015'!A1072</f>
        <v>0</v>
      </c>
      <c r="B1073" s="180">
        <f>'רשימת מכשור 2015'!B1072</f>
        <v>0</v>
      </c>
      <c r="C1073" s="180">
        <f>'רשימת מכשור 2015'!C1072</f>
        <v>0</v>
      </c>
      <c r="D1073" s="233">
        <f>'רשימת מכשור 2015'!D1072</f>
        <v>0</v>
      </c>
      <c r="E1073" s="180">
        <f>'רשימת מכשור 2015'!E1072</f>
        <v>0</v>
      </c>
      <c r="F1073" s="180">
        <f>'רשימת מכשור 2015'!F1072</f>
        <v>0</v>
      </c>
      <c r="G1073" s="195"/>
      <c r="H1073" s="195"/>
      <c r="I1073" s="196"/>
      <c r="J1073" s="195"/>
      <c r="K1073" s="195"/>
      <c r="L1073" s="195"/>
      <c r="M1073" s="195"/>
      <c r="N1073" s="197"/>
      <c r="O1073" s="195"/>
      <c r="P1073" s="195"/>
      <c r="Q1073" s="195"/>
    </row>
    <row r="1074" spans="1:17">
      <c r="A1074" s="180">
        <f>'רשימת מכשור 2015'!A1073</f>
        <v>0</v>
      </c>
      <c r="B1074" s="180">
        <f>'רשימת מכשור 2015'!B1073</f>
        <v>0</v>
      </c>
      <c r="C1074" s="180">
        <f>'רשימת מכשור 2015'!C1073</f>
        <v>0</v>
      </c>
      <c r="D1074" s="233">
        <f>'רשימת מכשור 2015'!D1073</f>
        <v>0</v>
      </c>
      <c r="E1074" s="180">
        <f>'רשימת מכשור 2015'!E1073</f>
        <v>0</v>
      </c>
      <c r="F1074" s="180">
        <f>'רשימת מכשור 2015'!F1073</f>
        <v>0</v>
      </c>
      <c r="G1074" s="195"/>
      <c r="H1074" s="195"/>
      <c r="I1074" s="196"/>
      <c r="J1074" s="195"/>
      <c r="K1074" s="195"/>
      <c r="L1074" s="195"/>
      <c r="M1074" s="195"/>
      <c r="N1074" s="197"/>
      <c r="O1074" s="195"/>
      <c r="P1074" s="195"/>
      <c r="Q1074" s="195"/>
    </row>
    <row r="1075" spans="1:17">
      <c r="A1075" s="180">
        <f>'רשימת מכשור 2015'!A1074</f>
        <v>0</v>
      </c>
      <c r="B1075" s="180">
        <f>'רשימת מכשור 2015'!B1074</f>
        <v>0</v>
      </c>
      <c r="C1075" s="180">
        <f>'רשימת מכשור 2015'!C1074</f>
        <v>0</v>
      </c>
      <c r="D1075" s="233">
        <f>'רשימת מכשור 2015'!D1074</f>
        <v>0</v>
      </c>
      <c r="E1075" s="180">
        <f>'רשימת מכשור 2015'!E1074</f>
        <v>0</v>
      </c>
      <c r="F1075" s="180">
        <f>'רשימת מכשור 2015'!F1074</f>
        <v>0</v>
      </c>
      <c r="G1075" s="195"/>
      <c r="H1075" s="195"/>
      <c r="I1075" s="196"/>
      <c r="J1075" s="195"/>
      <c r="K1075" s="195"/>
      <c r="L1075" s="195"/>
      <c r="M1075" s="195"/>
      <c r="N1075" s="197"/>
      <c r="O1075" s="195"/>
      <c r="P1075" s="195"/>
      <c r="Q1075" s="195"/>
    </row>
    <row r="1076" spans="1:17">
      <c r="A1076" s="180">
        <f>'רשימת מכשור 2015'!A1075</f>
        <v>0</v>
      </c>
      <c r="B1076" s="180">
        <f>'רשימת מכשור 2015'!B1075</f>
        <v>0</v>
      </c>
      <c r="C1076" s="180">
        <f>'רשימת מכשור 2015'!C1075</f>
        <v>0</v>
      </c>
      <c r="D1076" s="233">
        <f>'רשימת מכשור 2015'!D1075</f>
        <v>0</v>
      </c>
      <c r="E1076" s="180">
        <f>'רשימת מכשור 2015'!E1075</f>
        <v>0</v>
      </c>
      <c r="F1076" s="180">
        <f>'רשימת מכשור 2015'!F1075</f>
        <v>0</v>
      </c>
      <c r="G1076" s="195"/>
      <c r="H1076" s="195"/>
      <c r="I1076" s="196"/>
      <c r="J1076" s="195"/>
      <c r="K1076" s="195"/>
      <c r="L1076" s="195"/>
      <c r="M1076" s="195"/>
      <c r="N1076" s="197"/>
      <c r="O1076" s="195"/>
      <c r="P1076" s="195"/>
      <c r="Q1076" s="195"/>
    </row>
    <row r="1077" spans="1:17">
      <c r="A1077" s="180">
        <f>'רשימת מכשור 2015'!A1076</f>
        <v>0</v>
      </c>
      <c r="B1077" s="180">
        <f>'רשימת מכשור 2015'!B1076</f>
        <v>0</v>
      </c>
      <c r="C1077" s="180">
        <f>'רשימת מכשור 2015'!C1076</f>
        <v>0</v>
      </c>
      <c r="D1077" s="233">
        <f>'רשימת מכשור 2015'!D1076</f>
        <v>0</v>
      </c>
      <c r="E1077" s="180">
        <f>'רשימת מכשור 2015'!E1076</f>
        <v>0</v>
      </c>
      <c r="F1077" s="180">
        <f>'רשימת מכשור 2015'!F1076</f>
        <v>0</v>
      </c>
      <c r="G1077" s="195"/>
      <c r="H1077" s="195"/>
      <c r="I1077" s="196"/>
      <c r="J1077" s="195"/>
      <c r="K1077" s="195"/>
      <c r="L1077" s="195"/>
      <c r="M1077" s="195"/>
      <c r="N1077" s="197"/>
      <c r="O1077" s="195"/>
      <c r="P1077" s="195"/>
      <c r="Q1077" s="195"/>
    </row>
    <row r="1078" spans="1:17">
      <c r="A1078" s="180">
        <f>'רשימת מכשור 2015'!A1077</f>
        <v>0</v>
      </c>
      <c r="B1078" s="180">
        <f>'רשימת מכשור 2015'!B1077</f>
        <v>0</v>
      </c>
      <c r="C1078" s="180">
        <f>'רשימת מכשור 2015'!C1077</f>
        <v>0</v>
      </c>
      <c r="D1078" s="233">
        <f>'רשימת מכשור 2015'!D1077</f>
        <v>0</v>
      </c>
      <c r="E1078" s="180">
        <f>'רשימת מכשור 2015'!E1077</f>
        <v>0</v>
      </c>
      <c r="F1078" s="180">
        <f>'רשימת מכשור 2015'!F1077</f>
        <v>0</v>
      </c>
      <c r="G1078" s="195"/>
      <c r="H1078" s="195"/>
      <c r="I1078" s="196"/>
      <c r="J1078" s="195"/>
      <c r="K1078" s="195"/>
      <c r="L1078" s="195"/>
      <c r="M1078" s="195"/>
      <c r="N1078" s="197"/>
      <c r="O1078" s="195"/>
      <c r="P1078" s="195"/>
      <c r="Q1078" s="195"/>
    </row>
    <row r="1079" spans="1:17">
      <c r="A1079" s="180">
        <f>'רשימת מכשור 2015'!A1078</f>
        <v>0</v>
      </c>
      <c r="B1079" s="180">
        <f>'רשימת מכשור 2015'!B1078</f>
        <v>0</v>
      </c>
      <c r="C1079" s="180">
        <f>'רשימת מכשור 2015'!C1078</f>
        <v>0</v>
      </c>
      <c r="D1079" s="233">
        <f>'רשימת מכשור 2015'!D1078</f>
        <v>0</v>
      </c>
      <c r="E1079" s="180">
        <f>'רשימת מכשור 2015'!E1078</f>
        <v>0</v>
      </c>
      <c r="F1079" s="180">
        <f>'רשימת מכשור 2015'!F1078</f>
        <v>0</v>
      </c>
      <c r="G1079" s="195"/>
      <c r="H1079" s="195"/>
      <c r="I1079" s="196"/>
      <c r="J1079" s="195"/>
      <c r="K1079" s="195"/>
      <c r="L1079" s="195"/>
      <c r="M1079" s="195"/>
      <c r="N1079" s="197"/>
      <c r="O1079" s="195"/>
      <c r="P1079" s="195"/>
      <c r="Q1079" s="195"/>
    </row>
    <row r="1080" spans="1:17">
      <c r="A1080" s="180">
        <f>'רשימת מכשור 2015'!A1079</f>
        <v>0</v>
      </c>
      <c r="B1080" s="180">
        <f>'רשימת מכשור 2015'!B1079</f>
        <v>0</v>
      </c>
      <c r="C1080" s="180">
        <f>'רשימת מכשור 2015'!C1079</f>
        <v>0</v>
      </c>
      <c r="D1080" s="233">
        <f>'רשימת מכשור 2015'!D1079</f>
        <v>0</v>
      </c>
      <c r="E1080" s="180">
        <f>'רשימת מכשור 2015'!E1079</f>
        <v>0</v>
      </c>
      <c r="F1080" s="180">
        <f>'רשימת מכשור 2015'!F1079</f>
        <v>0</v>
      </c>
      <c r="G1080" s="195"/>
      <c r="H1080" s="195"/>
      <c r="I1080" s="196"/>
      <c r="J1080" s="195"/>
      <c r="K1080" s="195"/>
      <c r="L1080" s="195"/>
      <c r="M1080" s="195"/>
      <c r="N1080" s="197"/>
      <c r="O1080" s="195"/>
      <c r="P1080" s="195"/>
      <c r="Q1080" s="195"/>
    </row>
    <row r="1081" spans="1:17">
      <c r="A1081" s="180">
        <f>'רשימת מכשור 2015'!A1080</f>
        <v>0</v>
      </c>
      <c r="B1081" s="180">
        <f>'רשימת מכשור 2015'!B1080</f>
        <v>0</v>
      </c>
      <c r="C1081" s="180">
        <f>'רשימת מכשור 2015'!C1080</f>
        <v>0</v>
      </c>
      <c r="D1081" s="233">
        <f>'רשימת מכשור 2015'!D1080</f>
        <v>0</v>
      </c>
      <c r="E1081" s="180">
        <f>'רשימת מכשור 2015'!E1080</f>
        <v>0</v>
      </c>
      <c r="F1081" s="180">
        <f>'רשימת מכשור 2015'!F1080</f>
        <v>0</v>
      </c>
      <c r="G1081" s="195"/>
      <c r="H1081" s="195"/>
      <c r="I1081" s="196"/>
      <c r="J1081" s="195"/>
      <c r="K1081" s="195"/>
      <c r="L1081" s="195"/>
      <c r="M1081" s="195"/>
      <c r="N1081" s="197"/>
      <c r="O1081" s="195"/>
      <c r="P1081" s="195"/>
      <c r="Q1081" s="195"/>
    </row>
    <row r="1082" spans="1:17">
      <c r="A1082" s="180">
        <f>'רשימת מכשור 2015'!A1081</f>
        <v>0</v>
      </c>
      <c r="B1082" s="180">
        <f>'רשימת מכשור 2015'!B1081</f>
        <v>0</v>
      </c>
      <c r="C1082" s="180">
        <f>'רשימת מכשור 2015'!C1081</f>
        <v>0</v>
      </c>
      <c r="D1082" s="233">
        <f>'רשימת מכשור 2015'!D1081</f>
        <v>0</v>
      </c>
      <c r="E1082" s="180">
        <f>'רשימת מכשור 2015'!E1081</f>
        <v>0</v>
      </c>
      <c r="F1082" s="180">
        <f>'רשימת מכשור 2015'!F1081</f>
        <v>0</v>
      </c>
      <c r="G1082" s="195"/>
      <c r="H1082" s="195"/>
      <c r="I1082" s="196"/>
      <c r="J1082" s="195"/>
      <c r="K1082" s="195"/>
      <c r="L1082" s="195"/>
      <c r="M1082" s="195"/>
      <c r="N1082" s="197"/>
      <c r="O1082" s="195"/>
      <c r="P1082" s="195"/>
      <c r="Q1082" s="195"/>
    </row>
    <row r="1083" spans="1:17">
      <c r="A1083" s="180">
        <f>'רשימת מכשור 2015'!A1082</f>
        <v>0</v>
      </c>
      <c r="B1083" s="180">
        <f>'רשימת מכשור 2015'!B1082</f>
        <v>0</v>
      </c>
      <c r="C1083" s="180">
        <f>'רשימת מכשור 2015'!C1082</f>
        <v>0</v>
      </c>
      <c r="D1083" s="233">
        <f>'רשימת מכשור 2015'!D1082</f>
        <v>0</v>
      </c>
      <c r="E1083" s="180">
        <f>'רשימת מכשור 2015'!E1082</f>
        <v>0</v>
      </c>
      <c r="F1083" s="180">
        <f>'רשימת מכשור 2015'!F1082</f>
        <v>0</v>
      </c>
      <c r="G1083" s="195"/>
      <c r="H1083" s="195"/>
      <c r="I1083" s="196"/>
      <c r="J1083" s="195"/>
      <c r="K1083" s="195"/>
      <c r="L1083" s="195"/>
      <c r="M1083" s="195"/>
      <c r="N1083" s="197"/>
      <c r="O1083" s="195"/>
      <c r="P1083" s="195"/>
      <c r="Q1083" s="195"/>
    </row>
    <row r="1084" spans="1:17">
      <c r="A1084" s="180">
        <f>'רשימת מכשור 2015'!A1083</f>
        <v>0</v>
      </c>
      <c r="B1084" s="180">
        <f>'רשימת מכשור 2015'!B1083</f>
        <v>0</v>
      </c>
      <c r="C1084" s="180">
        <f>'רשימת מכשור 2015'!C1083</f>
        <v>0</v>
      </c>
      <c r="D1084" s="233">
        <f>'רשימת מכשור 2015'!D1083</f>
        <v>0</v>
      </c>
      <c r="E1084" s="180">
        <f>'רשימת מכשור 2015'!E1083</f>
        <v>0</v>
      </c>
      <c r="F1084" s="180">
        <f>'רשימת מכשור 2015'!F1083</f>
        <v>0</v>
      </c>
      <c r="G1084" s="195"/>
      <c r="H1084" s="195"/>
      <c r="I1084" s="196"/>
      <c r="J1084" s="195"/>
      <c r="K1084" s="195"/>
      <c r="L1084" s="195"/>
      <c r="M1084" s="195"/>
      <c r="N1084" s="197"/>
      <c r="O1084" s="195"/>
      <c r="P1084" s="195"/>
      <c r="Q1084" s="195"/>
    </row>
    <row r="1085" spans="1:17">
      <c r="A1085" s="180">
        <f>'רשימת מכשור 2015'!A1084</f>
        <v>0</v>
      </c>
      <c r="B1085" s="180">
        <f>'רשימת מכשור 2015'!B1084</f>
        <v>0</v>
      </c>
      <c r="C1085" s="180">
        <f>'רשימת מכשור 2015'!C1084</f>
        <v>0</v>
      </c>
      <c r="D1085" s="233">
        <f>'רשימת מכשור 2015'!D1084</f>
        <v>0</v>
      </c>
      <c r="E1085" s="180">
        <f>'רשימת מכשור 2015'!E1084</f>
        <v>0</v>
      </c>
      <c r="F1085" s="180">
        <f>'רשימת מכשור 2015'!F1084</f>
        <v>0</v>
      </c>
      <c r="G1085" s="195"/>
      <c r="H1085" s="195"/>
      <c r="I1085" s="196"/>
      <c r="J1085" s="195"/>
      <c r="K1085" s="195"/>
      <c r="L1085" s="195"/>
      <c r="M1085" s="195"/>
      <c r="N1085" s="197"/>
      <c r="O1085" s="195"/>
      <c r="P1085" s="195"/>
      <c r="Q1085" s="195"/>
    </row>
    <row r="1086" spans="1:17">
      <c r="A1086" s="180">
        <f>'רשימת מכשור 2015'!A1085</f>
        <v>0</v>
      </c>
      <c r="B1086" s="180">
        <f>'רשימת מכשור 2015'!B1085</f>
        <v>0</v>
      </c>
      <c r="C1086" s="180">
        <f>'רשימת מכשור 2015'!C1085</f>
        <v>0</v>
      </c>
      <c r="D1086" s="233">
        <f>'רשימת מכשור 2015'!D1085</f>
        <v>0</v>
      </c>
      <c r="E1086" s="180">
        <f>'רשימת מכשור 2015'!E1085</f>
        <v>0</v>
      </c>
      <c r="F1086" s="180">
        <f>'רשימת מכשור 2015'!F1085</f>
        <v>0</v>
      </c>
      <c r="G1086" s="195"/>
      <c r="H1086" s="195"/>
      <c r="I1086" s="196"/>
      <c r="J1086" s="195"/>
      <c r="K1086" s="195"/>
      <c r="L1086" s="195"/>
      <c r="M1086" s="195"/>
      <c r="N1086" s="197"/>
      <c r="O1086" s="195"/>
      <c r="P1086" s="195"/>
      <c r="Q1086" s="195"/>
    </row>
    <row r="1087" spans="1:17">
      <c r="A1087" s="180">
        <f>'רשימת מכשור 2015'!A1086</f>
        <v>0</v>
      </c>
      <c r="B1087" s="180">
        <f>'רשימת מכשור 2015'!B1086</f>
        <v>0</v>
      </c>
      <c r="C1087" s="180">
        <f>'רשימת מכשור 2015'!C1086</f>
        <v>0</v>
      </c>
      <c r="D1087" s="233">
        <f>'רשימת מכשור 2015'!D1086</f>
        <v>0</v>
      </c>
      <c r="E1087" s="180">
        <f>'רשימת מכשור 2015'!E1086</f>
        <v>0</v>
      </c>
      <c r="F1087" s="180">
        <f>'רשימת מכשור 2015'!F1086</f>
        <v>0</v>
      </c>
      <c r="G1087" s="195"/>
      <c r="H1087" s="195"/>
      <c r="I1087" s="196"/>
      <c r="J1087" s="195"/>
      <c r="K1087" s="195"/>
      <c r="L1087" s="195"/>
      <c r="M1087" s="195"/>
      <c r="N1087" s="197"/>
      <c r="O1087" s="195"/>
      <c r="P1087" s="195"/>
      <c r="Q1087" s="195"/>
    </row>
    <row r="1088" spans="1:17">
      <c r="A1088" s="180">
        <f>'רשימת מכשור 2015'!A1087</f>
        <v>0</v>
      </c>
      <c r="B1088" s="180">
        <f>'רשימת מכשור 2015'!B1087</f>
        <v>0</v>
      </c>
      <c r="C1088" s="180">
        <f>'רשימת מכשור 2015'!C1087</f>
        <v>0</v>
      </c>
      <c r="D1088" s="233">
        <f>'רשימת מכשור 2015'!D1087</f>
        <v>0</v>
      </c>
      <c r="E1088" s="180">
        <f>'רשימת מכשור 2015'!E1087</f>
        <v>0</v>
      </c>
      <c r="F1088" s="180">
        <f>'רשימת מכשור 2015'!F1087</f>
        <v>0</v>
      </c>
      <c r="G1088" s="195"/>
      <c r="H1088" s="195"/>
      <c r="I1088" s="196"/>
      <c r="J1088" s="195"/>
      <c r="K1088" s="195"/>
      <c r="L1088" s="195"/>
      <c r="M1088" s="195"/>
      <c r="N1088" s="197"/>
      <c r="O1088" s="195"/>
      <c r="P1088" s="195"/>
      <c r="Q1088" s="195"/>
    </row>
    <row r="1089" spans="1:17">
      <c r="A1089" s="180">
        <f>'רשימת מכשור 2015'!A1088</f>
        <v>0</v>
      </c>
      <c r="B1089" s="180">
        <f>'רשימת מכשור 2015'!B1088</f>
        <v>0</v>
      </c>
      <c r="C1089" s="180">
        <f>'רשימת מכשור 2015'!C1088</f>
        <v>0</v>
      </c>
      <c r="D1089" s="233">
        <f>'רשימת מכשור 2015'!D1088</f>
        <v>0</v>
      </c>
      <c r="E1089" s="180">
        <f>'רשימת מכשור 2015'!E1088</f>
        <v>0</v>
      </c>
      <c r="F1089" s="180">
        <f>'רשימת מכשור 2015'!F1088</f>
        <v>0</v>
      </c>
      <c r="G1089" s="195"/>
      <c r="H1089" s="195"/>
      <c r="I1089" s="196"/>
      <c r="J1089" s="195"/>
      <c r="K1089" s="195"/>
      <c r="L1089" s="195"/>
      <c r="M1089" s="195"/>
      <c r="N1089" s="197"/>
      <c r="O1089" s="195"/>
      <c r="P1089" s="195"/>
      <c r="Q1089" s="195"/>
    </row>
    <row r="1090" spans="1:17">
      <c r="A1090" s="180">
        <f>'רשימת מכשור 2015'!A1089</f>
        <v>0</v>
      </c>
      <c r="B1090" s="180">
        <f>'רשימת מכשור 2015'!B1089</f>
        <v>0</v>
      </c>
      <c r="C1090" s="180">
        <f>'רשימת מכשור 2015'!C1089</f>
        <v>0</v>
      </c>
      <c r="D1090" s="233">
        <f>'רשימת מכשור 2015'!D1089</f>
        <v>0</v>
      </c>
      <c r="E1090" s="180">
        <f>'רשימת מכשור 2015'!E1089</f>
        <v>0</v>
      </c>
      <c r="F1090" s="180">
        <f>'רשימת מכשור 2015'!F1089</f>
        <v>0</v>
      </c>
      <c r="G1090" s="195"/>
      <c r="H1090" s="195"/>
      <c r="I1090" s="196"/>
      <c r="J1090" s="195"/>
      <c r="K1090" s="195"/>
      <c r="L1090" s="195"/>
      <c r="M1090" s="195"/>
      <c r="N1090" s="197"/>
      <c r="O1090" s="195"/>
      <c r="P1090" s="195"/>
      <c r="Q1090" s="195"/>
    </row>
    <row r="1091" spans="1:17">
      <c r="A1091" s="180">
        <f>'רשימת מכשור 2015'!A1090</f>
        <v>0</v>
      </c>
      <c r="B1091" s="180">
        <f>'רשימת מכשור 2015'!B1090</f>
        <v>0</v>
      </c>
      <c r="C1091" s="180">
        <f>'רשימת מכשור 2015'!C1090</f>
        <v>0</v>
      </c>
      <c r="D1091" s="233">
        <f>'רשימת מכשור 2015'!D1090</f>
        <v>0</v>
      </c>
      <c r="E1091" s="180">
        <f>'רשימת מכשור 2015'!E1090</f>
        <v>0</v>
      </c>
      <c r="F1091" s="180">
        <f>'רשימת מכשור 2015'!F1090</f>
        <v>0</v>
      </c>
      <c r="G1091" s="195"/>
      <c r="H1091" s="195"/>
      <c r="I1091" s="196"/>
      <c r="J1091" s="195"/>
      <c r="K1091" s="195"/>
      <c r="L1091" s="195"/>
      <c r="M1091" s="195"/>
      <c r="N1091" s="197"/>
      <c r="O1091" s="195"/>
      <c r="P1091" s="195"/>
      <c r="Q1091" s="195"/>
    </row>
    <row r="1092" spans="1:17">
      <c r="A1092" s="180">
        <f>'רשימת מכשור 2015'!A1091</f>
        <v>0</v>
      </c>
      <c r="B1092" s="180">
        <f>'רשימת מכשור 2015'!B1091</f>
        <v>0</v>
      </c>
      <c r="C1092" s="180">
        <f>'רשימת מכשור 2015'!C1091</f>
        <v>0</v>
      </c>
      <c r="D1092" s="233">
        <f>'רשימת מכשור 2015'!D1091</f>
        <v>0</v>
      </c>
      <c r="E1092" s="180">
        <f>'רשימת מכשור 2015'!E1091</f>
        <v>0</v>
      </c>
      <c r="F1092" s="180">
        <f>'רשימת מכשור 2015'!F1091</f>
        <v>0</v>
      </c>
      <c r="G1092" s="195"/>
      <c r="H1092" s="195"/>
      <c r="I1092" s="196"/>
      <c r="J1092" s="195"/>
      <c r="K1092" s="195"/>
      <c r="L1092" s="195"/>
      <c r="M1092" s="195"/>
      <c r="N1092" s="197"/>
      <c r="O1092" s="195"/>
      <c r="P1092" s="195"/>
      <c r="Q1092" s="195"/>
    </row>
    <row r="1093" spans="1:17">
      <c r="A1093" s="180">
        <f>'רשימת מכשור 2015'!A1092</f>
        <v>0</v>
      </c>
      <c r="B1093" s="180">
        <f>'רשימת מכשור 2015'!B1092</f>
        <v>0</v>
      </c>
      <c r="C1093" s="180">
        <f>'רשימת מכשור 2015'!C1092</f>
        <v>0</v>
      </c>
      <c r="D1093" s="233">
        <f>'רשימת מכשור 2015'!D1092</f>
        <v>0</v>
      </c>
      <c r="E1093" s="180">
        <f>'רשימת מכשור 2015'!E1092</f>
        <v>0</v>
      </c>
      <c r="F1093" s="180">
        <f>'רשימת מכשור 2015'!F1092</f>
        <v>0</v>
      </c>
      <c r="G1093" s="195"/>
      <c r="H1093" s="195"/>
      <c r="I1093" s="196"/>
      <c r="J1093" s="195"/>
      <c r="K1093" s="195"/>
      <c r="L1093" s="195"/>
      <c r="M1093" s="195"/>
      <c r="N1093" s="197"/>
      <c r="O1093" s="195"/>
      <c r="P1093" s="195"/>
      <c r="Q1093" s="195"/>
    </row>
    <row r="1094" spans="1:17">
      <c r="A1094" s="180">
        <f>'רשימת מכשור 2015'!A1093</f>
        <v>0</v>
      </c>
      <c r="B1094" s="180">
        <f>'רשימת מכשור 2015'!B1093</f>
        <v>0</v>
      </c>
      <c r="C1094" s="180">
        <f>'רשימת מכשור 2015'!C1093</f>
        <v>0</v>
      </c>
      <c r="D1094" s="233">
        <f>'רשימת מכשור 2015'!D1093</f>
        <v>0</v>
      </c>
      <c r="E1094" s="180">
        <f>'רשימת מכשור 2015'!E1093</f>
        <v>0</v>
      </c>
      <c r="F1094" s="180">
        <f>'רשימת מכשור 2015'!F1093</f>
        <v>0</v>
      </c>
      <c r="G1094" s="195"/>
      <c r="H1094" s="195"/>
      <c r="I1094" s="196"/>
      <c r="J1094" s="195"/>
      <c r="K1094" s="195"/>
      <c r="L1094" s="195"/>
      <c r="M1094" s="195"/>
      <c r="N1094" s="197"/>
      <c r="O1094" s="195"/>
      <c r="P1094" s="195"/>
      <c r="Q1094" s="195"/>
    </row>
    <row r="1095" spans="1:17">
      <c r="A1095" s="180">
        <f>'רשימת מכשור 2015'!A1094</f>
        <v>0</v>
      </c>
      <c r="B1095" s="180">
        <f>'רשימת מכשור 2015'!B1094</f>
        <v>0</v>
      </c>
      <c r="C1095" s="180">
        <f>'רשימת מכשור 2015'!C1094</f>
        <v>0</v>
      </c>
      <c r="D1095" s="233">
        <f>'רשימת מכשור 2015'!D1094</f>
        <v>0</v>
      </c>
      <c r="E1095" s="180">
        <f>'רשימת מכשור 2015'!E1094</f>
        <v>0</v>
      </c>
      <c r="F1095" s="180">
        <f>'רשימת מכשור 2015'!F1094</f>
        <v>0</v>
      </c>
      <c r="G1095" s="195"/>
      <c r="H1095" s="195"/>
      <c r="I1095" s="196"/>
      <c r="J1095" s="195"/>
      <c r="K1095" s="195"/>
      <c r="L1095" s="195"/>
      <c r="M1095" s="195"/>
      <c r="N1095" s="197"/>
      <c r="O1095" s="195"/>
      <c r="P1095" s="195"/>
      <c r="Q1095" s="195"/>
    </row>
    <row r="1096" spans="1:17">
      <c r="A1096" s="180">
        <f>'רשימת מכשור 2015'!A1095</f>
        <v>0</v>
      </c>
      <c r="B1096" s="180">
        <f>'רשימת מכשור 2015'!B1095</f>
        <v>0</v>
      </c>
      <c r="C1096" s="180">
        <f>'רשימת מכשור 2015'!C1095</f>
        <v>0</v>
      </c>
      <c r="D1096" s="233">
        <f>'רשימת מכשור 2015'!D1095</f>
        <v>0</v>
      </c>
      <c r="E1096" s="180">
        <f>'רשימת מכשור 2015'!E1095</f>
        <v>0</v>
      </c>
      <c r="F1096" s="180">
        <f>'רשימת מכשור 2015'!F1095</f>
        <v>0</v>
      </c>
      <c r="G1096" s="195"/>
      <c r="H1096" s="195"/>
      <c r="I1096" s="196"/>
      <c r="J1096" s="195"/>
      <c r="K1096" s="195"/>
      <c r="L1096" s="195"/>
      <c r="M1096" s="195"/>
      <c r="N1096" s="197"/>
      <c r="O1096" s="195"/>
      <c r="P1096" s="195"/>
      <c r="Q1096" s="195"/>
    </row>
    <row r="1097" spans="1:17">
      <c r="A1097" s="180">
        <f>'רשימת מכשור 2015'!A1096</f>
        <v>0</v>
      </c>
      <c r="B1097" s="180">
        <f>'רשימת מכשור 2015'!B1096</f>
        <v>0</v>
      </c>
      <c r="C1097" s="180">
        <f>'רשימת מכשור 2015'!C1096</f>
        <v>0</v>
      </c>
      <c r="D1097" s="233">
        <f>'רשימת מכשור 2015'!D1096</f>
        <v>0</v>
      </c>
      <c r="E1097" s="180">
        <f>'רשימת מכשור 2015'!E1096</f>
        <v>0</v>
      </c>
      <c r="F1097" s="180">
        <f>'רשימת מכשור 2015'!F1096</f>
        <v>0</v>
      </c>
      <c r="G1097" s="195"/>
      <c r="H1097" s="195"/>
      <c r="I1097" s="196"/>
      <c r="J1097" s="195"/>
      <c r="K1097" s="195"/>
      <c r="L1097" s="195"/>
      <c r="M1097" s="195"/>
      <c r="N1097" s="197"/>
      <c r="O1097" s="195"/>
      <c r="P1097" s="195"/>
      <c r="Q1097" s="195"/>
    </row>
    <row r="1098" spans="1:17">
      <c r="A1098" s="180">
        <f>'רשימת מכשור 2015'!A1097</f>
        <v>0</v>
      </c>
      <c r="B1098" s="180">
        <f>'רשימת מכשור 2015'!B1097</f>
        <v>0</v>
      </c>
      <c r="C1098" s="180">
        <f>'רשימת מכשור 2015'!C1097</f>
        <v>0</v>
      </c>
      <c r="D1098" s="233">
        <f>'רשימת מכשור 2015'!D1097</f>
        <v>0</v>
      </c>
      <c r="E1098" s="180">
        <f>'רשימת מכשור 2015'!E1097</f>
        <v>0</v>
      </c>
      <c r="F1098" s="180">
        <f>'רשימת מכשור 2015'!F1097</f>
        <v>0</v>
      </c>
      <c r="G1098" s="195"/>
      <c r="H1098" s="195"/>
      <c r="I1098" s="196"/>
      <c r="J1098" s="195"/>
      <c r="K1098" s="195"/>
      <c r="L1098" s="195"/>
      <c r="M1098" s="195"/>
      <c r="N1098" s="197"/>
      <c r="O1098" s="195"/>
      <c r="P1098" s="195"/>
      <c r="Q1098" s="195"/>
    </row>
    <row r="1099" spans="1:17">
      <c r="A1099" s="180">
        <f>'רשימת מכשור 2015'!A1098</f>
        <v>0</v>
      </c>
      <c r="B1099" s="180">
        <f>'רשימת מכשור 2015'!B1098</f>
        <v>0</v>
      </c>
      <c r="C1099" s="180">
        <f>'רשימת מכשור 2015'!C1098</f>
        <v>0</v>
      </c>
      <c r="D1099" s="233">
        <f>'רשימת מכשור 2015'!D1098</f>
        <v>0</v>
      </c>
      <c r="E1099" s="180">
        <f>'רשימת מכשור 2015'!E1098</f>
        <v>0</v>
      </c>
      <c r="F1099" s="180">
        <f>'רשימת מכשור 2015'!F1098</f>
        <v>0</v>
      </c>
      <c r="G1099" s="195"/>
      <c r="H1099" s="195"/>
      <c r="I1099" s="196"/>
      <c r="J1099" s="195"/>
      <c r="K1099" s="195"/>
      <c r="L1099" s="195"/>
      <c r="M1099" s="195"/>
      <c r="N1099" s="197"/>
      <c r="O1099" s="195"/>
      <c r="P1099" s="195"/>
      <c r="Q1099" s="195"/>
    </row>
    <row r="1100" spans="1:17">
      <c r="A1100" s="180">
        <f>'רשימת מכשור 2015'!A1099</f>
        <v>0</v>
      </c>
      <c r="B1100" s="180">
        <f>'רשימת מכשור 2015'!B1099</f>
        <v>0</v>
      </c>
      <c r="C1100" s="180">
        <f>'רשימת מכשור 2015'!C1099</f>
        <v>0</v>
      </c>
      <c r="D1100" s="233">
        <f>'רשימת מכשור 2015'!D1099</f>
        <v>0</v>
      </c>
      <c r="E1100" s="180">
        <f>'רשימת מכשור 2015'!E1099</f>
        <v>0</v>
      </c>
      <c r="F1100" s="180">
        <f>'רשימת מכשור 2015'!F1099</f>
        <v>0</v>
      </c>
      <c r="G1100" s="195"/>
      <c r="H1100" s="195"/>
      <c r="I1100" s="196"/>
      <c r="J1100" s="195"/>
      <c r="K1100" s="195"/>
      <c r="L1100" s="195"/>
      <c r="M1100" s="195"/>
      <c r="N1100" s="197"/>
      <c r="O1100" s="195"/>
      <c r="P1100" s="195"/>
      <c r="Q1100" s="195"/>
    </row>
    <row r="1101" spans="1:17">
      <c r="A1101" s="180">
        <f>'רשימת מכשור 2015'!A1100</f>
        <v>0</v>
      </c>
      <c r="B1101" s="180">
        <f>'רשימת מכשור 2015'!B1100</f>
        <v>0</v>
      </c>
      <c r="C1101" s="180">
        <f>'רשימת מכשור 2015'!C1100</f>
        <v>0</v>
      </c>
      <c r="D1101" s="233">
        <f>'רשימת מכשור 2015'!D1100</f>
        <v>0</v>
      </c>
      <c r="E1101" s="180">
        <f>'רשימת מכשור 2015'!E1100</f>
        <v>0</v>
      </c>
      <c r="F1101" s="180">
        <f>'רשימת מכשור 2015'!F1100</f>
        <v>0</v>
      </c>
      <c r="G1101" s="195"/>
      <c r="H1101" s="195"/>
      <c r="I1101" s="196"/>
      <c r="J1101" s="195"/>
      <c r="K1101" s="195"/>
      <c r="L1101" s="195"/>
      <c r="M1101" s="195"/>
      <c r="N1101" s="197"/>
      <c r="O1101" s="195"/>
      <c r="P1101" s="195"/>
      <c r="Q1101" s="195"/>
    </row>
    <row r="1102" spans="1:17">
      <c r="A1102" s="180">
        <f>'רשימת מכשור 2015'!A1101</f>
        <v>0</v>
      </c>
      <c r="B1102" s="180">
        <f>'רשימת מכשור 2015'!B1101</f>
        <v>0</v>
      </c>
      <c r="C1102" s="180">
        <f>'רשימת מכשור 2015'!C1101</f>
        <v>0</v>
      </c>
      <c r="D1102" s="233">
        <f>'רשימת מכשור 2015'!D1101</f>
        <v>0</v>
      </c>
      <c r="E1102" s="180">
        <f>'רשימת מכשור 2015'!E1101</f>
        <v>0</v>
      </c>
      <c r="F1102" s="180">
        <f>'רשימת מכשור 2015'!F1101</f>
        <v>0</v>
      </c>
      <c r="G1102" s="195"/>
      <c r="H1102" s="195"/>
      <c r="I1102" s="196"/>
      <c r="J1102" s="195"/>
      <c r="K1102" s="195"/>
      <c r="L1102" s="195"/>
      <c r="M1102" s="195"/>
      <c r="N1102" s="197"/>
      <c r="O1102" s="195"/>
      <c r="P1102" s="195"/>
      <c r="Q1102" s="195"/>
    </row>
    <row r="1103" spans="1:17">
      <c r="A1103" s="180">
        <f>'רשימת מכשור 2015'!A1102</f>
        <v>0</v>
      </c>
      <c r="B1103" s="180">
        <f>'רשימת מכשור 2015'!B1102</f>
        <v>0</v>
      </c>
      <c r="C1103" s="180">
        <f>'רשימת מכשור 2015'!C1102</f>
        <v>0</v>
      </c>
      <c r="D1103" s="233">
        <f>'רשימת מכשור 2015'!D1102</f>
        <v>0</v>
      </c>
      <c r="E1103" s="180">
        <f>'רשימת מכשור 2015'!E1102</f>
        <v>0</v>
      </c>
      <c r="F1103" s="180">
        <f>'רשימת מכשור 2015'!F1102</f>
        <v>0</v>
      </c>
      <c r="G1103" s="195"/>
      <c r="H1103" s="195"/>
      <c r="I1103" s="196"/>
      <c r="J1103" s="195"/>
      <c r="K1103" s="195"/>
      <c r="L1103" s="195"/>
      <c r="M1103" s="195"/>
      <c r="N1103" s="197"/>
      <c r="O1103" s="195"/>
      <c r="P1103" s="195"/>
      <c r="Q1103" s="195"/>
    </row>
    <row r="1104" spans="1:17">
      <c r="A1104" s="180">
        <f>'רשימת מכשור 2015'!A1103</f>
        <v>0</v>
      </c>
      <c r="B1104" s="180">
        <f>'רשימת מכשור 2015'!B1103</f>
        <v>0</v>
      </c>
      <c r="C1104" s="180">
        <f>'רשימת מכשור 2015'!C1103</f>
        <v>0</v>
      </c>
      <c r="D1104" s="233">
        <f>'רשימת מכשור 2015'!D1103</f>
        <v>0</v>
      </c>
      <c r="E1104" s="180">
        <f>'רשימת מכשור 2015'!E1103</f>
        <v>0</v>
      </c>
      <c r="F1104" s="180">
        <f>'רשימת מכשור 2015'!F1103</f>
        <v>0</v>
      </c>
      <c r="G1104" s="195"/>
      <c r="H1104" s="195"/>
      <c r="I1104" s="196"/>
      <c r="J1104" s="195"/>
      <c r="K1104" s="195"/>
      <c r="L1104" s="195"/>
      <c r="M1104" s="195"/>
      <c r="N1104" s="197"/>
      <c r="O1104" s="195"/>
      <c r="P1104" s="195"/>
      <c r="Q1104" s="195"/>
    </row>
    <row r="1105" spans="1:17">
      <c r="A1105" s="180">
        <f>'רשימת מכשור 2015'!A1104</f>
        <v>0</v>
      </c>
      <c r="B1105" s="180">
        <f>'רשימת מכשור 2015'!B1104</f>
        <v>0</v>
      </c>
      <c r="C1105" s="180">
        <f>'רשימת מכשור 2015'!C1104</f>
        <v>0</v>
      </c>
      <c r="D1105" s="233">
        <f>'רשימת מכשור 2015'!D1104</f>
        <v>0</v>
      </c>
      <c r="E1105" s="180">
        <f>'רשימת מכשור 2015'!E1104</f>
        <v>0</v>
      </c>
      <c r="F1105" s="180">
        <f>'רשימת מכשור 2015'!F1104</f>
        <v>0</v>
      </c>
      <c r="G1105" s="195"/>
      <c r="H1105" s="195"/>
      <c r="I1105" s="196"/>
      <c r="J1105" s="195"/>
      <c r="K1105" s="195"/>
      <c r="L1105" s="195"/>
      <c r="M1105" s="195"/>
      <c r="N1105" s="197"/>
      <c r="O1105" s="195"/>
      <c r="P1105" s="195"/>
      <c r="Q1105" s="195"/>
    </row>
    <row r="1106" spans="1:17">
      <c r="A1106" s="180">
        <f>'רשימת מכשור 2015'!A1105</f>
        <v>0</v>
      </c>
      <c r="B1106" s="180">
        <f>'רשימת מכשור 2015'!B1105</f>
        <v>0</v>
      </c>
      <c r="C1106" s="180">
        <f>'רשימת מכשור 2015'!C1105</f>
        <v>0</v>
      </c>
      <c r="D1106" s="233">
        <f>'רשימת מכשור 2015'!D1105</f>
        <v>0</v>
      </c>
      <c r="E1106" s="180">
        <f>'רשימת מכשור 2015'!E1105</f>
        <v>0</v>
      </c>
      <c r="F1106" s="180">
        <f>'רשימת מכשור 2015'!F1105</f>
        <v>0</v>
      </c>
      <c r="G1106" s="195"/>
      <c r="H1106" s="195"/>
      <c r="I1106" s="196"/>
      <c r="J1106" s="195"/>
      <c r="K1106" s="195"/>
      <c r="L1106" s="195"/>
      <c r="M1106" s="195"/>
      <c r="N1106" s="197"/>
      <c r="O1106" s="195"/>
      <c r="P1106" s="195"/>
      <c r="Q1106" s="195"/>
    </row>
    <row r="1107" spans="1:17">
      <c r="A1107" s="180">
        <f>'רשימת מכשור 2015'!A1106</f>
        <v>0</v>
      </c>
      <c r="B1107" s="180">
        <f>'רשימת מכשור 2015'!B1106</f>
        <v>0</v>
      </c>
      <c r="C1107" s="180">
        <f>'רשימת מכשור 2015'!C1106</f>
        <v>0</v>
      </c>
      <c r="D1107" s="233">
        <f>'רשימת מכשור 2015'!D1106</f>
        <v>0</v>
      </c>
      <c r="E1107" s="180">
        <f>'רשימת מכשור 2015'!E1106</f>
        <v>0</v>
      </c>
      <c r="F1107" s="180">
        <f>'רשימת מכשור 2015'!F1106</f>
        <v>0</v>
      </c>
      <c r="G1107" s="195"/>
      <c r="H1107" s="195"/>
      <c r="I1107" s="196"/>
      <c r="J1107" s="195"/>
      <c r="K1107" s="195"/>
      <c r="L1107" s="195"/>
      <c r="M1107" s="195"/>
      <c r="N1107" s="197"/>
      <c r="O1107" s="195"/>
      <c r="P1107" s="195"/>
      <c r="Q1107" s="195"/>
    </row>
    <row r="1108" spans="1:17">
      <c r="A1108" s="180">
        <f>'רשימת מכשור 2015'!A1107</f>
        <v>0</v>
      </c>
      <c r="B1108" s="180">
        <f>'רשימת מכשור 2015'!B1107</f>
        <v>0</v>
      </c>
      <c r="C1108" s="180">
        <f>'רשימת מכשור 2015'!C1107</f>
        <v>0</v>
      </c>
      <c r="D1108" s="233">
        <f>'רשימת מכשור 2015'!D1107</f>
        <v>0</v>
      </c>
      <c r="E1108" s="180">
        <f>'רשימת מכשור 2015'!E1107</f>
        <v>0</v>
      </c>
      <c r="F1108" s="180">
        <f>'רשימת מכשור 2015'!F1107</f>
        <v>0</v>
      </c>
      <c r="G1108" s="195"/>
      <c r="H1108" s="195"/>
      <c r="I1108" s="196"/>
      <c r="J1108" s="195"/>
      <c r="K1108" s="195"/>
      <c r="L1108" s="195"/>
      <c r="M1108" s="195"/>
      <c r="N1108" s="197"/>
      <c r="O1108" s="195"/>
      <c r="P1108" s="195"/>
      <c r="Q1108" s="195"/>
    </row>
    <row r="1109" spans="1:17">
      <c r="A1109" s="180">
        <f>'רשימת מכשור 2015'!A1108</f>
        <v>0</v>
      </c>
      <c r="B1109" s="180">
        <f>'רשימת מכשור 2015'!B1108</f>
        <v>0</v>
      </c>
      <c r="C1109" s="180">
        <f>'רשימת מכשור 2015'!C1108</f>
        <v>0</v>
      </c>
      <c r="D1109" s="233">
        <f>'רשימת מכשור 2015'!D1108</f>
        <v>0</v>
      </c>
      <c r="E1109" s="180">
        <f>'רשימת מכשור 2015'!E1108</f>
        <v>0</v>
      </c>
      <c r="F1109" s="180">
        <f>'רשימת מכשור 2015'!F1108</f>
        <v>0</v>
      </c>
      <c r="G1109" s="195"/>
      <c r="H1109" s="195"/>
      <c r="I1109" s="196"/>
      <c r="J1109" s="195"/>
      <c r="K1109" s="195"/>
      <c r="L1109" s="195"/>
      <c r="M1109" s="195"/>
      <c r="N1109" s="197"/>
      <c r="O1109" s="195"/>
      <c r="P1109" s="195"/>
      <c r="Q1109" s="195"/>
    </row>
    <row r="1110" spans="1:17">
      <c r="A1110" s="180">
        <f>'רשימת מכשור 2015'!A1109</f>
        <v>0</v>
      </c>
      <c r="B1110" s="180">
        <f>'רשימת מכשור 2015'!B1109</f>
        <v>0</v>
      </c>
      <c r="C1110" s="180">
        <f>'רשימת מכשור 2015'!C1109</f>
        <v>0</v>
      </c>
      <c r="D1110" s="233">
        <f>'רשימת מכשור 2015'!D1109</f>
        <v>0</v>
      </c>
      <c r="E1110" s="180">
        <f>'רשימת מכשור 2015'!E1109</f>
        <v>0</v>
      </c>
      <c r="F1110" s="180">
        <f>'רשימת מכשור 2015'!F1109</f>
        <v>0</v>
      </c>
      <c r="G1110" s="195"/>
      <c r="H1110" s="195"/>
      <c r="I1110" s="196"/>
      <c r="J1110" s="195"/>
      <c r="K1110" s="195"/>
      <c r="L1110" s="195"/>
      <c r="M1110" s="195"/>
      <c r="N1110" s="197"/>
      <c r="O1110" s="195"/>
      <c r="P1110" s="195"/>
      <c r="Q1110" s="195"/>
    </row>
    <row r="1111" spans="1:17">
      <c r="A1111" s="180">
        <f>'רשימת מכשור 2015'!A1110</f>
        <v>0</v>
      </c>
      <c r="B1111" s="180">
        <f>'רשימת מכשור 2015'!B1110</f>
        <v>0</v>
      </c>
      <c r="C1111" s="180">
        <f>'רשימת מכשור 2015'!C1110</f>
        <v>0</v>
      </c>
      <c r="D1111" s="233">
        <f>'רשימת מכשור 2015'!D1110</f>
        <v>0</v>
      </c>
      <c r="E1111" s="180">
        <f>'רשימת מכשור 2015'!E1110</f>
        <v>0</v>
      </c>
      <c r="F1111" s="180">
        <f>'רשימת מכשור 2015'!F1110</f>
        <v>0</v>
      </c>
      <c r="G1111" s="195"/>
      <c r="H1111" s="195"/>
      <c r="I1111" s="196"/>
      <c r="J1111" s="195"/>
      <c r="K1111" s="195"/>
      <c r="L1111" s="195"/>
      <c r="M1111" s="195"/>
      <c r="N1111" s="197"/>
      <c r="O1111" s="195"/>
      <c r="P1111" s="195"/>
      <c r="Q1111" s="195"/>
    </row>
    <row r="1112" spans="1:17">
      <c r="A1112" s="180">
        <f>'רשימת מכשור 2015'!A1111</f>
        <v>0</v>
      </c>
      <c r="B1112" s="180">
        <f>'רשימת מכשור 2015'!B1111</f>
        <v>0</v>
      </c>
      <c r="C1112" s="180">
        <f>'רשימת מכשור 2015'!C1111</f>
        <v>0</v>
      </c>
      <c r="D1112" s="233">
        <f>'רשימת מכשור 2015'!D1111</f>
        <v>0</v>
      </c>
      <c r="E1112" s="180">
        <f>'רשימת מכשור 2015'!E1111</f>
        <v>0</v>
      </c>
      <c r="F1112" s="180">
        <f>'רשימת מכשור 2015'!F1111</f>
        <v>0</v>
      </c>
      <c r="G1112" s="195"/>
      <c r="H1112" s="195"/>
      <c r="I1112" s="196"/>
      <c r="J1112" s="195"/>
      <c r="K1112" s="195"/>
      <c r="L1112" s="195"/>
      <c r="M1112" s="195"/>
      <c r="N1112" s="197"/>
      <c r="O1112" s="195"/>
      <c r="P1112" s="195"/>
      <c r="Q1112" s="195"/>
    </row>
    <row r="1113" spans="1:17">
      <c r="A1113" s="180">
        <f>'רשימת מכשור 2015'!A1112</f>
        <v>0</v>
      </c>
      <c r="B1113" s="180">
        <f>'רשימת מכשור 2015'!B1112</f>
        <v>0</v>
      </c>
      <c r="C1113" s="180">
        <f>'רשימת מכשור 2015'!C1112</f>
        <v>0</v>
      </c>
      <c r="D1113" s="233">
        <f>'רשימת מכשור 2015'!D1112</f>
        <v>0</v>
      </c>
      <c r="E1113" s="180">
        <f>'רשימת מכשור 2015'!E1112</f>
        <v>0</v>
      </c>
      <c r="F1113" s="180">
        <f>'רשימת מכשור 2015'!F1112</f>
        <v>0</v>
      </c>
      <c r="G1113" s="195"/>
      <c r="H1113" s="195"/>
      <c r="I1113" s="196"/>
      <c r="J1113" s="195"/>
      <c r="K1113" s="195"/>
      <c r="L1113" s="195"/>
      <c r="M1113" s="195"/>
      <c r="N1113" s="197"/>
      <c r="O1113" s="195"/>
      <c r="P1113" s="195"/>
      <c r="Q1113" s="195"/>
    </row>
    <row r="1114" spans="1:17">
      <c r="A1114" s="180">
        <f>'רשימת מכשור 2015'!A1113</f>
        <v>0</v>
      </c>
      <c r="B1114" s="180">
        <f>'רשימת מכשור 2015'!B1113</f>
        <v>0</v>
      </c>
      <c r="C1114" s="180">
        <f>'רשימת מכשור 2015'!C1113</f>
        <v>0</v>
      </c>
      <c r="D1114" s="233">
        <f>'רשימת מכשור 2015'!D1113</f>
        <v>0</v>
      </c>
      <c r="E1114" s="180">
        <f>'רשימת מכשור 2015'!E1113</f>
        <v>0</v>
      </c>
      <c r="F1114" s="180">
        <f>'רשימת מכשור 2015'!F1113</f>
        <v>0</v>
      </c>
      <c r="G1114" s="195"/>
      <c r="H1114" s="195"/>
      <c r="I1114" s="196"/>
      <c r="J1114" s="195"/>
      <c r="K1114" s="195"/>
      <c r="L1114" s="195"/>
      <c r="M1114" s="195"/>
      <c r="N1114" s="197"/>
      <c r="O1114" s="195"/>
      <c r="P1114" s="195"/>
      <c r="Q1114" s="195"/>
    </row>
    <row r="1115" spans="1:17">
      <c r="A1115" s="180">
        <f>'רשימת מכשור 2015'!A1114</f>
        <v>0</v>
      </c>
      <c r="B1115" s="180">
        <f>'רשימת מכשור 2015'!B1114</f>
        <v>0</v>
      </c>
      <c r="C1115" s="180">
        <f>'רשימת מכשור 2015'!C1114</f>
        <v>0</v>
      </c>
      <c r="D1115" s="233">
        <f>'רשימת מכשור 2015'!D1114</f>
        <v>0</v>
      </c>
      <c r="E1115" s="180">
        <f>'רשימת מכשור 2015'!E1114</f>
        <v>0</v>
      </c>
      <c r="F1115" s="180">
        <f>'רשימת מכשור 2015'!F1114</f>
        <v>0</v>
      </c>
      <c r="G1115" s="195"/>
      <c r="H1115" s="195"/>
      <c r="I1115" s="196"/>
      <c r="J1115" s="195"/>
      <c r="K1115" s="195"/>
      <c r="L1115" s="195"/>
      <c r="M1115" s="195"/>
      <c r="N1115" s="197"/>
      <c r="O1115" s="195"/>
      <c r="P1115" s="195"/>
      <c r="Q1115" s="195"/>
    </row>
    <row r="1116" spans="1:17">
      <c r="A1116" s="180">
        <f>'רשימת מכשור 2015'!A1115</f>
        <v>0</v>
      </c>
      <c r="B1116" s="180">
        <f>'רשימת מכשור 2015'!B1115</f>
        <v>0</v>
      </c>
      <c r="C1116" s="180">
        <f>'רשימת מכשור 2015'!C1115</f>
        <v>0</v>
      </c>
      <c r="D1116" s="233">
        <f>'רשימת מכשור 2015'!D1115</f>
        <v>0</v>
      </c>
      <c r="E1116" s="180">
        <f>'רשימת מכשור 2015'!E1115</f>
        <v>0</v>
      </c>
      <c r="F1116" s="180">
        <f>'רשימת מכשור 2015'!F1115</f>
        <v>0</v>
      </c>
      <c r="G1116" s="195"/>
      <c r="H1116" s="195"/>
      <c r="I1116" s="196"/>
      <c r="J1116" s="195"/>
      <c r="K1116" s="195"/>
      <c r="L1116" s="195"/>
      <c r="M1116" s="195"/>
      <c r="N1116" s="197"/>
      <c r="O1116" s="195"/>
      <c r="P1116" s="195"/>
      <c r="Q1116" s="195"/>
    </row>
    <row r="1117" spans="1:17">
      <c r="A1117" s="180">
        <f>'רשימת מכשור 2015'!A1116</f>
        <v>0</v>
      </c>
      <c r="B1117" s="180">
        <f>'רשימת מכשור 2015'!B1116</f>
        <v>0</v>
      </c>
      <c r="C1117" s="180">
        <f>'רשימת מכשור 2015'!C1116</f>
        <v>0</v>
      </c>
      <c r="D1117" s="233">
        <f>'רשימת מכשור 2015'!D1116</f>
        <v>0</v>
      </c>
      <c r="E1117" s="180">
        <f>'רשימת מכשור 2015'!E1116</f>
        <v>0</v>
      </c>
      <c r="F1117" s="180">
        <f>'רשימת מכשור 2015'!F1116</f>
        <v>0</v>
      </c>
      <c r="G1117" s="195"/>
      <c r="H1117" s="195"/>
      <c r="I1117" s="196"/>
      <c r="J1117" s="195"/>
      <c r="K1117" s="195"/>
      <c r="L1117" s="195"/>
      <c r="M1117" s="195"/>
      <c r="N1117" s="197"/>
      <c r="O1117" s="195"/>
      <c r="P1117" s="195"/>
      <c r="Q1117" s="195"/>
    </row>
    <row r="1118" spans="1:17">
      <c r="A1118" s="180">
        <f>'רשימת מכשור 2015'!A1117</f>
        <v>0</v>
      </c>
      <c r="B1118" s="180">
        <f>'רשימת מכשור 2015'!B1117</f>
        <v>0</v>
      </c>
      <c r="C1118" s="180">
        <f>'רשימת מכשור 2015'!C1117</f>
        <v>0</v>
      </c>
      <c r="D1118" s="233">
        <f>'רשימת מכשור 2015'!D1117</f>
        <v>0</v>
      </c>
      <c r="E1118" s="180">
        <f>'רשימת מכשור 2015'!E1117</f>
        <v>0</v>
      </c>
      <c r="F1118" s="180">
        <f>'רשימת מכשור 2015'!F1117</f>
        <v>0</v>
      </c>
      <c r="G1118" s="195"/>
      <c r="H1118" s="195"/>
      <c r="I1118" s="196"/>
      <c r="J1118" s="195"/>
      <c r="K1118" s="195"/>
      <c r="L1118" s="195"/>
      <c r="M1118" s="195"/>
      <c r="N1118" s="197"/>
      <c r="O1118" s="195"/>
      <c r="P1118" s="195"/>
      <c r="Q1118" s="195"/>
    </row>
    <row r="1119" spans="1:17">
      <c r="A1119" s="180">
        <f>'רשימת מכשור 2015'!A1118</f>
        <v>0</v>
      </c>
      <c r="B1119" s="180">
        <f>'רשימת מכשור 2015'!B1118</f>
        <v>0</v>
      </c>
      <c r="C1119" s="180">
        <f>'רשימת מכשור 2015'!C1118</f>
        <v>0</v>
      </c>
      <c r="D1119" s="233">
        <f>'רשימת מכשור 2015'!D1118</f>
        <v>0</v>
      </c>
      <c r="E1119" s="180">
        <f>'רשימת מכשור 2015'!E1118</f>
        <v>0</v>
      </c>
      <c r="F1119" s="180">
        <f>'רשימת מכשור 2015'!F1118</f>
        <v>0</v>
      </c>
      <c r="G1119" s="195"/>
      <c r="H1119" s="195"/>
      <c r="I1119" s="196"/>
      <c r="J1119" s="195"/>
      <c r="K1119" s="195"/>
      <c r="L1119" s="195"/>
      <c r="M1119" s="195"/>
      <c r="N1119" s="197"/>
      <c r="O1119" s="195"/>
      <c r="P1119" s="195"/>
      <c r="Q1119" s="195"/>
    </row>
    <row r="1120" spans="1:17">
      <c r="A1120" s="180">
        <f>'רשימת מכשור 2015'!A1119</f>
        <v>0</v>
      </c>
      <c r="B1120" s="180">
        <f>'רשימת מכשור 2015'!B1119</f>
        <v>0</v>
      </c>
      <c r="C1120" s="180">
        <f>'רשימת מכשור 2015'!C1119</f>
        <v>0</v>
      </c>
      <c r="D1120" s="233">
        <f>'רשימת מכשור 2015'!D1119</f>
        <v>0</v>
      </c>
      <c r="E1120" s="180">
        <f>'רשימת מכשור 2015'!E1119</f>
        <v>0</v>
      </c>
      <c r="F1120" s="180">
        <f>'רשימת מכשור 2015'!F1119</f>
        <v>0</v>
      </c>
      <c r="G1120" s="195"/>
      <c r="H1120" s="195"/>
      <c r="I1120" s="196"/>
      <c r="J1120" s="195"/>
      <c r="K1120" s="195"/>
      <c r="L1120" s="195"/>
      <c r="M1120" s="195"/>
      <c r="N1120" s="197"/>
      <c r="O1120" s="195"/>
      <c r="P1120" s="195"/>
      <c r="Q1120" s="195"/>
    </row>
    <row r="1121" spans="1:17">
      <c r="A1121" s="180">
        <f>'רשימת מכשור 2015'!A1120</f>
        <v>0</v>
      </c>
      <c r="B1121" s="180">
        <f>'רשימת מכשור 2015'!B1120</f>
        <v>0</v>
      </c>
      <c r="C1121" s="180">
        <f>'רשימת מכשור 2015'!C1120</f>
        <v>0</v>
      </c>
      <c r="D1121" s="233">
        <f>'רשימת מכשור 2015'!D1120</f>
        <v>0</v>
      </c>
      <c r="E1121" s="180">
        <f>'רשימת מכשור 2015'!E1120</f>
        <v>0</v>
      </c>
      <c r="F1121" s="180">
        <f>'רשימת מכשור 2015'!F1120</f>
        <v>0</v>
      </c>
      <c r="G1121" s="195"/>
      <c r="H1121" s="195"/>
      <c r="I1121" s="196"/>
      <c r="J1121" s="195"/>
      <c r="K1121" s="195"/>
      <c r="L1121" s="195"/>
      <c r="M1121" s="195"/>
      <c r="N1121" s="197"/>
      <c r="O1121" s="195"/>
      <c r="P1121" s="195"/>
      <c r="Q1121" s="195"/>
    </row>
    <row r="1122" spans="1:17">
      <c r="A1122" s="180">
        <f>'רשימת מכשור 2015'!A1121</f>
        <v>0</v>
      </c>
      <c r="B1122" s="180">
        <f>'רשימת מכשור 2015'!B1121</f>
        <v>0</v>
      </c>
      <c r="C1122" s="180">
        <f>'רשימת מכשור 2015'!C1121</f>
        <v>0</v>
      </c>
      <c r="D1122" s="233">
        <f>'רשימת מכשור 2015'!D1121</f>
        <v>0</v>
      </c>
      <c r="E1122" s="180">
        <f>'רשימת מכשור 2015'!E1121</f>
        <v>0</v>
      </c>
      <c r="F1122" s="180">
        <f>'רשימת מכשור 2015'!F1121</f>
        <v>0</v>
      </c>
      <c r="G1122" s="195"/>
      <c r="H1122" s="195"/>
      <c r="I1122" s="196"/>
      <c r="J1122" s="195"/>
      <c r="K1122" s="195"/>
      <c r="L1122" s="195"/>
      <c r="M1122" s="195"/>
      <c r="N1122" s="197"/>
      <c r="O1122" s="195"/>
      <c r="P1122" s="195"/>
      <c r="Q1122" s="195"/>
    </row>
    <row r="1123" spans="1:17">
      <c r="A1123" s="180">
        <f>'רשימת מכשור 2015'!A1122</f>
        <v>0</v>
      </c>
      <c r="B1123" s="180">
        <f>'רשימת מכשור 2015'!B1122</f>
        <v>0</v>
      </c>
      <c r="C1123" s="180">
        <f>'רשימת מכשור 2015'!C1122</f>
        <v>0</v>
      </c>
      <c r="D1123" s="233">
        <f>'רשימת מכשור 2015'!D1122</f>
        <v>0</v>
      </c>
      <c r="E1123" s="180">
        <f>'רשימת מכשור 2015'!E1122</f>
        <v>0</v>
      </c>
      <c r="F1123" s="180">
        <f>'רשימת מכשור 2015'!F1122</f>
        <v>0</v>
      </c>
      <c r="G1123" s="195"/>
      <c r="H1123" s="195"/>
      <c r="I1123" s="196"/>
      <c r="J1123" s="195"/>
      <c r="K1123" s="195"/>
      <c r="L1123" s="195"/>
      <c r="M1123" s="195"/>
      <c r="N1123" s="197"/>
      <c r="O1123" s="195"/>
      <c r="P1123" s="195"/>
      <c r="Q1123" s="195"/>
    </row>
    <row r="1124" spans="1:17">
      <c r="A1124" s="180">
        <f>'רשימת מכשור 2015'!A1123</f>
        <v>0</v>
      </c>
      <c r="B1124" s="180">
        <f>'רשימת מכשור 2015'!B1123</f>
        <v>0</v>
      </c>
      <c r="C1124" s="180">
        <f>'רשימת מכשור 2015'!C1123</f>
        <v>0</v>
      </c>
      <c r="D1124" s="233">
        <f>'רשימת מכשור 2015'!D1123</f>
        <v>0</v>
      </c>
      <c r="E1124" s="180">
        <f>'רשימת מכשור 2015'!E1123</f>
        <v>0</v>
      </c>
      <c r="F1124" s="180">
        <f>'רשימת מכשור 2015'!F1123</f>
        <v>0</v>
      </c>
      <c r="G1124" s="195"/>
      <c r="H1124" s="195"/>
      <c r="I1124" s="196"/>
      <c r="J1124" s="195"/>
      <c r="K1124" s="195"/>
      <c r="L1124" s="195"/>
      <c r="M1124" s="195"/>
      <c r="N1124" s="197"/>
      <c r="O1124" s="195"/>
      <c r="P1124" s="195"/>
      <c r="Q1124" s="195"/>
    </row>
    <row r="1125" spans="1:17">
      <c r="A1125" s="180">
        <f>'רשימת מכשור 2015'!A1124</f>
        <v>0</v>
      </c>
      <c r="B1125" s="180">
        <f>'רשימת מכשור 2015'!B1124</f>
        <v>0</v>
      </c>
      <c r="C1125" s="180">
        <f>'רשימת מכשור 2015'!C1124</f>
        <v>0</v>
      </c>
      <c r="D1125" s="233">
        <f>'רשימת מכשור 2015'!D1124</f>
        <v>0</v>
      </c>
      <c r="E1125" s="180">
        <f>'רשימת מכשור 2015'!E1124</f>
        <v>0</v>
      </c>
      <c r="F1125" s="180">
        <f>'רשימת מכשור 2015'!F1124</f>
        <v>0</v>
      </c>
      <c r="G1125" s="195"/>
      <c r="H1125" s="195"/>
      <c r="I1125" s="196"/>
      <c r="J1125" s="195"/>
      <c r="K1125" s="195"/>
      <c r="L1125" s="195"/>
      <c r="M1125" s="195"/>
      <c r="N1125" s="197"/>
      <c r="O1125" s="195"/>
      <c r="P1125" s="195"/>
      <c r="Q1125" s="195"/>
    </row>
    <row r="1126" spans="1:17">
      <c r="A1126" s="180">
        <f>'רשימת מכשור 2015'!A1125</f>
        <v>0</v>
      </c>
      <c r="B1126" s="180">
        <f>'רשימת מכשור 2015'!B1125</f>
        <v>0</v>
      </c>
      <c r="C1126" s="180">
        <f>'רשימת מכשור 2015'!C1125</f>
        <v>0</v>
      </c>
      <c r="D1126" s="233">
        <f>'רשימת מכשור 2015'!D1125</f>
        <v>0</v>
      </c>
      <c r="E1126" s="180">
        <f>'רשימת מכשור 2015'!E1125</f>
        <v>0</v>
      </c>
      <c r="F1126" s="180">
        <f>'רשימת מכשור 2015'!F1125</f>
        <v>0</v>
      </c>
      <c r="G1126" s="195"/>
      <c r="H1126" s="195"/>
      <c r="I1126" s="196"/>
      <c r="J1126" s="195"/>
      <c r="K1126" s="195"/>
      <c r="L1126" s="195"/>
      <c r="M1126" s="195"/>
      <c r="N1126" s="197"/>
      <c r="O1126" s="195"/>
      <c r="P1126" s="195"/>
      <c r="Q1126" s="195"/>
    </row>
    <row r="1127" spans="1:17">
      <c r="A1127" s="180">
        <f>'רשימת מכשור 2015'!A1126</f>
        <v>0</v>
      </c>
      <c r="B1127" s="180">
        <f>'רשימת מכשור 2015'!B1126</f>
        <v>0</v>
      </c>
      <c r="C1127" s="180">
        <f>'רשימת מכשור 2015'!C1126</f>
        <v>0</v>
      </c>
      <c r="D1127" s="233">
        <f>'רשימת מכשור 2015'!D1126</f>
        <v>0</v>
      </c>
      <c r="E1127" s="180">
        <f>'רשימת מכשור 2015'!E1126</f>
        <v>0</v>
      </c>
      <c r="F1127" s="180">
        <f>'רשימת מכשור 2015'!F1126</f>
        <v>0</v>
      </c>
      <c r="G1127" s="195"/>
      <c r="H1127" s="195"/>
      <c r="I1127" s="196"/>
      <c r="J1127" s="195"/>
      <c r="K1127" s="195"/>
      <c r="L1127" s="195"/>
      <c r="M1127" s="195"/>
      <c r="N1127" s="197"/>
      <c r="O1127" s="195"/>
      <c r="P1127" s="195"/>
      <c r="Q1127" s="195"/>
    </row>
    <row r="1128" spans="1:17">
      <c r="A1128" s="180">
        <f>'רשימת מכשור 2015'!A1127</f>
        <v>0</v>
      </c>
      <c r="B1128" s="180">
        <f>'רשימת מכשור 2015'!B1127</f>
        <v>0</v>
      </c>
      <c r="C1128" s="180">
        <f>'רשימת מכשור 2015'!C1127</f>
        <v>0</v>
      </c>
      <c r="D1128" s="233">
        <f>'רשימת מכשור 2015'!D1127</f>
        <v>0</v>
      </c>
      <c r="E1128" s="180">
        <f>'רשימת מכשור 2015'!E1127</f>
        <v>0</v>
      </c>
      <c r="F1128" s="180">
        <f>'רשימת מכשור 2015'!F1127</f>
        <v>0</v>
      </c>
      <c r="G1128" s="195"/>
      <c r="H1128" s="195"/>
      <c r="I1128" s="196"/>
      <c r="J1128" s="195"/>
      <c r="K1128" s="195"/>
      <c r="L1128" s="195"/>
      <c r="M1128" s="195"/>
      <c r="N1128" s="197"/>
      <c r="O1128" s="195"/>
      <c r="P1128" s="195"/>
      <c r="Q1128" s="195"/>
    </row>
    <row r="1129" spans="1:17">
      <c r="A1129" s="180">
        <f>'רשימת מכשור 2015'!A1128</f>
        <v>0</v>
      </c>
      <c r="B1129" s="180">
        <f>'רשימת מכשור 2015'!B1128</f>
        <v>0</v>
      </c>
      <c r="C1129" s="180">
        <f>'רשימת מכשור 2015'!C1128</f>
        <v>0</v>
      </c>
      <c r="D1129" s="233">
        <f>'רשימת מכשור 2015'!D1128</f>
        <v>0</v>
      </c>
      <c r="E1129" s="180">
        <f>'רשימת מכשור 2015'!E1128</f>
        <v>0</v>
      </c>
      <c r="F1129" s="180">
        <f>'רשימת מכשור 2015'!F1128</f>
        <v>0</v>
      </c>
      <c r="G1129" s="195"/>
      <c r="H1129" s="195"/>
      <c r="I1129" s="196"/>
      <c r="J1129" s="195"/>
      <c r="K1129" s="195"/>
      <c r="L1129" s="195"/>
      <c r="M1129" s="195"/>
      <c r="N1129" s="197"/>
      <c r="O1129" s="195"/>
      <c r="P1129" s="195"/>
      <c r="Q1129" s="195"/>
    </row>
    <row r="1130" spans="1:17">
      <c r="A1130" s="180">
        <f>'רשימת מכשור 2015'!A1129</f>
        <v>0</v>
      </c>
      <c r="B1130" s="180">
        <f>'רשימת מכשור 2015'!B1129</f>
        <v>0</v>
      </c>
      <c r="C1130" s="180">
        <f>'רשימת מכשור 2015'!C1129</f>
        <v>0</v>
      </c>
      <c r="D1130" s="233">
        <f>'רשימת מכשור 2015'!D1129</f>
        <v>0</v>
      </c>
      <c r="E1130" s="180">
        <f>'רשימת מכשור 2015'!E1129</f>
        <v>0</v>
      </c>
      <c r="F1130" s="180">
        <f>'רשימת מכשור 2015'!F1129</f>
        <v>0</v>
      </c>
      <c r="G1130" s="195"/>
      <c r="H1130" s="195"/>
      <c r="I1130" s="196"/>
      <c r="J1130" s="195"/>
      <c r="K1130" s="195"/>
      <c r="L1130" s="195"/>
      <c r="M1130" s="195"/>
      <c r="N1130" s="197"/>
      <c r="O1130" s="195"/>
      <c r="P1130" s="195"/>
      <c r="Q1130" s="195"/>
    </row>
    <row r="1131" spans="1:17">
      <c r="A1131" s="180">
        <f>'רשימת מכשור 2015'!A1130</f>
        <v>0</v>
      </c>
      <c r="B1131" s="180">
        <f>'רשימת מכשור 2015'!B1130</f>
        <v>0</v>
      </c>
      <c r="C1131" s="180">
        <f>'רשימת מכשור 2015'!C1130</f>
        <v>0</v>
      </c>
      <c r="D1131" s="233">
        <f>'רשימת מכשור 2015'!D1130</f>
        <v>0</v>
      </c>
      <c r="E1131" s="180">
        <f>'רשימת מכשור 2015'!E1130</f>
        <v>0</v>
      </c>
      <c r="F1131" s="180">
        <f>'רשימת מכשור 2015'!F1130</f>
        <v>0</v>
      </c>
      <c r="G1131" s="195"/>
      <c r="H1131" s="195"/>
      <c r="I1131" s="196"/>
      <c r="J1131" s="195"/>
      <c r="K1131" s="195"/>
      <c r="L1131" s="195"/>
      <c r="M1131" s="195"/>
      <c r="N1131" s="197"/>
      <c r="O1131" s="195"/>
      <c r="P1131" s="195"/>
      <c r="Q1131" s="195"/>
    </row>
    <row r="1132" spans="1:17">
      <c r="A1132" s="180">
        <f>'רשימת מכשור 2015'!A1131</f>
        <v>0</v>
      </c>
      <c r="B1132" s="180">
        <f>'רשימת מכשור 2015'!B1131</f>
        <v>0</v>
      </c>
      <c r="C1132" s="180">
        <f>'רשימת מכשור 2015'!C1131</f>
        <v>0</v>
      </c>
      <c r="D1132" s="233">
        <f>'רשימת מכשור 2015'!D1131</f>
        <v>0</v>
      </c>
      <c r="E1132" s="180">
        <f>'רשימת מכשור 2015'!E1131</f>
        <v>0</v>
      </c>
      <c r="F1132" s="180">
        <f>'רשימת מכשור 2015'!F1131</f>
        <v>0</v>
      </c>
      <c r="G1132" s="195"/>
      <c r="H1132" s="195"/>
      <c r="I1132" s="196"/>
      <c r="J1132" s="195"/>
      <c r="K1132" s="195"/>
      <c r="L1132" s="195"/>
      <c r="M1132" s="195"/>
      <c r="N1132" s="197"/>
      <c r="O1132" s="195"/>
      <c r="P1132" s="195"/>
      <c r="Q1132" s="195"/>
    </row>
    <row r="1133" spans="1:17">
      <c r="A1133" s="180">
        <f>'רשימת מכשור 2015'!A1132</f>
        <v>0</v>
      </c>
      <c r="B1133" s="180">
        <f>'רשימת מכשור 2015'!B1132</f>
        <v>0</v>
      </c>
      <c r="C1133" s="180">
        <f>'רשימת מכשור 2015'!C1132</f>
        <v>0</v>
      </c>
      <c r="D1133" s="233">
        <f>'רשימת מכשור 2015'!D1132</f>
        <v>0</v>
      </c>
      <c r="E1133" s="180">
        <f>'רשימת מכשור 2015'!E1132</f>
        <v>0</v>
      </c>
      <c r="F1133" s="180">
        <f>'רשימת מכשור 2015'!F1132</f>
        <v>0</v>
      </c>
      <c r="G1133" s="195"/>
      <c r="H1133" s="195"/>
      <c r="I1133" s="196"/>
      <c r="J1133" s="195"/>
      <c r="K1133" s="195"/>
      <c r="L1133" s="195"/>
      <c r="M1133" s="195"/>
      <c r="N1133" s="197"/>
      <c r="O1133" s="195"/>
      <c r="P1133" s="195"/>
      <c r="Q1133" s="195"/>
    </row>
    <row r="1134" spans="1:17">
      <c r="A1134" s="180">
        <f>'רשימת מכשור 2015'!A1133</f>
        <v>0</v>
      </c>
      <c r="B1134" s="180">
        <f>'רשימת מכשור 2015'!B1133</f>
        <v>0</v>
      </c>
      <c r="C1134" s="180">
        <f>'רשימת מכשור 2015'!C1133</f>
        <v>0</v>
      </c>
      <c r="D1134" s="233">
        <f>'רשימת מכשור 2015'!D1133</f>
        <v>0</v>
      </c>
      <c r="E1134" s="180">
        <f>'רשימת מכשור 2015'!E1133</f>
        <v>0</v>
      </c>
      <c r="F1134" s="180">
        <f>'רשימת מכשור 2015'!F1133</f>
        <v>0</v>
      </c>
      <c r="G1134" s="195"/>
      <c r="H1134" s="195"/>
      <c r="I1134" s="196"/>
      <c r="J1134" s="195"/>
      <c r="K1134" s="195"/>
      <c r="L1134" s="195"/>
      <c r="M1134" s="195"/>
      <c r="N1134" s="197"/>
      <c r="O1134" s="195"/>
      <c r="P1134" s="195"/>
      <c r="Q1134" s="195"/>
    </row>
    <row r="1135" spans="1:17">
      <c r="A1135" s="180">
        <f>'רשימת מכשור 2015'!A1134</f>
        <v>0</v>
      </c>
      <c r="B1135" s="180">
        <f>'רשימת מכשור 2015'!B1134</f>
        <v>0</v>
      </c>
      <c r="C1135" s="180">
        <f>'רשימת מכשור 2015'!C1134</f>
        <v>0</v>
      </c>
      <c r="D1135" s="233">
        <f>'רשימת מכשור 2015'!D1134</f>
        <v>0</v>
      </c>
      <c r="E1135" s="180">
        <f>'רשימת מכשור 2015'!E1134</f>
        <v>0</v>
      </c>
      <c r="F1135" s="180">
        <f>'רשימת מכשור 2015'!F1134</f>
        <v>0</v>
      </c>
      <c r="G1135" s="195"/>
      <c r="H1135" s="195"/>
      <c r="I1135" s="196"/>
      <c r="J1135" s="195"/>
      <c r="K1135" s="195"/>
      <c r="L1135" s="195"/>
      <c r="M1135" s="195"/>
      <c r="N1135" s="197"/>
      <c r="O1135" s="195"/>
      <c r="P1135" s="195"/>
      <c r="Q1135" s="195"/>
    </row>
    <row r="1136" spans="1:17">
      <c r="A1136" s="180">
        <f>'רשימת מכשור 2015'!A1135</f>
        <v>0</v>
      </c>
      <c r="B1136" s="180">
        <f>'רשימת מכשור 2015'!B1135</f>
        <v>0</v>
      </c>
      <c r="C1136" s="180">
        <f>'רשימת מכשור 2015'!C1135</f>
        <v>0</v>
      </c>
      <c r="D1136" s="233">
        <f>'רשימת מכשור 2015'!D1135</f>
        <v>0</v>
      </c>
      <c r="E1136" s="180">
        <f>'רשימת מכשור 2015'!E1135</f>
        <v>0</v>
      </c>
      <c r="F1136" s="180">
        <f>'רשימת מכשור 2015'!F1135</f>
        <v>0</v>
      </c>
      <c r="G1136" s="195"/>
      <c r="H1136" s="195"/>
      <c r="I1136" s="196"/>
      <c r="J1136" s="195"/>
      <c r="K1136" s="195"/>
      <c r="L1136" s="195"/>
      <c r="M1136" s="195"/>
      <c r="N1136" s="197"/>
      <c r="O1136" s="195"/>
      <c r="P1136" s="195"/>
      <c r="Q1136" s="195"/>
    </row>
    <row r="1137" spans="1:17">
      <c r="A1137" s="180">
        <f>'רשימת מכשור 2015'!A1136</f>
        <v>0</v>
      </c>
      <c r="B1137" s="180">
        <f>'רשימת מכשור 2015'!B1136</f>
        <v>0</v>
      </c>
      <c r="C1137" s="180">
        <f>'רשימת מכשור 2015'!C1136</f>
        <v>0</v>
      </c>
      <c r="D1137" s="233">
        <f>'רשימת מכשור 2015'!D1136</f>
        <v>0</v>
      </c>
      <c r="E1137" s="180">
        <f>'רשימת מכשור 2015'!E1136</f>
        <v>0</v>
      </c>
      <c r="F1137" s="180">
        <f>'רשימת מכשור 2015'!F1136</f>
        <v>0</v>
      </c>
      <c r="G1137" s="195"/>
      <c r="H1137" s="195"/>
      <c r="I1137" s="196"/>
      <c r="J1137" s="195"/>
      <c r="K1137" s="195"/>
      <c r="L1137" s="195"/>
      <c r="M1137" s="195"/>
      <c r="N1137" s="197"/>
      <c r="O1137" s="195"/>
      <c r="P1137" s="195"/>
      <c r="Q1137" s="195"/>
    </row>
    <row r="1138" spans="1:17">
      <c r="A1138" s="180">
        <f>'רשימת מכשור 2015'!A1137</f>
        <v>0</v>
      </c>
      <c r="B1138" s="180">
        <f>'רשימת מכשור 2015'!B1137</f>
        <v>0</v>
      </c>
      <c r="C1138" s="180">
        <f>'רשימת מכשור 2015'!C1137</f>
        <v>0</v>
      </c>
      <c r="D1138" s="233">
        <f>'רשימת מכשור 2015'!D1137</f>
        <v>0</v>
      </c>
      <c r="E1138" s="180">
        <f>'רשימת מכשור 2015'!E1137</f>
        <v>0</v>
      </c>
      <c r="F1138" s="180">
        <f>'רשימת מכשור 2015'!F1137</f>
        <v>0</v>
      </c>
      <c r="G1138" s="195"/>
      <c r="H1138" s="195"/>
      <c r="I1138" s="196"/>
      <c r="J1138" s="195"/>
      <c r="K1138" s="195"/>
      <c r="L1138" s="195"/>
      <c r="M1138" s="195"/>
      <c r="N1138" s="197"/>
      <c r="O1138" s="195"/>
      <c r="P1138" s="195"/>
      <c r="Q1138" s="195"/>
    </row>
    <row r="1139" spans="1:17">
      <c r="A1139" s="180">
        <f>'רשימת מכשור 2015'!A1138</f>
        <v>0</v>
      </c>
      <c r="B1139" s="180">
        <f>'רשימת מכשור 2015'!B1138</f>
        <v>0</v>
      </c>
      <c r="C1139" s="180">
        <f>'רשימת מכשור 2015'!C1138</f>
        <v>0</v>
      </c>
      <c r="D1139" s="233">
        <f>'רשימת מכשור 2015'!D1138</f>
        <v>0</v>
      </c>
      <c r="E1139" s="180">
        <f>'רשימת מכשור 2015'!E1138</f>
        <v>0</v>
      </c>
      <c r="F1139" s="180">
        <f>'רשימת מכשור 2015'!F1138</f>
        <v>0</v>
      </c>
      <c r="G1139" s="195"/>
      <c r="H1139" s="195"/>
      <c r="I1139" s="196"/>
      <c r="J1139" s="195"/>
      <c r="K1139" s="195"/>
      <c r="L1139" s="195"/>
      <c r="M1139" s="195"/>
      <c r="N1139" s="197"/>
      <c r="O1139" s="195"/>
      <c r="P1139" s="195"/>
      <c r="Q1139" s="195"/>
    </row>
    <row r="1140" spans="1:17">
      <c r="A1140" s="180">
        <f>'רשימת מכשור 2015'!A1139</f>
        <v>0</v>
      </c>
      <c r="B1140" s="180">
        <f>'רשימת מכשור 2015'!B1139</f>
        <v>0</v>
      </c>
      <c r="C1140" s="180">
        <f>'רשימת מכשור 2015'!C1139</f>
        <v>0</v>
      </c>
      <c r="D1140" s="233">
        <f>'רשימת מכשור 2015'!D1139</f>
        <v>0</v>
      </c>
      <c r="E1140" s="180">
        <f>'רשימת מכשור 2015'!E1139</f>
        <v>0</v>
      </c>
      <c r="F1140" s="180">
        <f>'רשימת מכשור 2015'!F1139</f>
        <v>0</v>
      </c>
      <c r="G1140" s="195"/>
      <c r="H1140" s="195"/>
      <c r="I1140" s="196"/>
      <c r="J1140" s="195"/>
      <c r="K1140" s="195"/>
      <c r="L1140" s="195"/>
      <c r="M1140" s="195"/>
      <c r="N1140" s="197"/>
      <c r="O1140" s="195"/>
      <c r="P1140" s="195"/>
      <c r="Q1140" s="195"/>
    </row>
    <row r="1141" spans="1:17">
      <c r="A1141" s="180">
        <f>'רשימת מכשור 2015'!A1140</f>
        <v>0</v>
      </c>
      <c r="B1141" s="180">
        <f>'רשימת מכשור 2015'!B1140</f>
        <v>0</v>
      </c>
      <c r="C1141" s="180">
        <f>'רשימת מכשור 2015'!C1140</f>
        <v>0</v>
      </c>
      <c r="D1141" s="233">
        <f>'רשימת מכשור 2015'!D1140</f>
        <v>0</v>
      </c>
      <c r="E1141" s="180">
        <f>'רשימת מכשור 2015'!E1140</f>
        <v>0</v>
      </c>
      <c r="F1141" s="180">
        <f>'רשימת מכשור 2015'!F1140</f>
        <v>0</v>
      </c>
      <c r="G1141" s="195"/>
      <c r="H1141" s="195"/>
      <c r="I1141" s="196"/>
      <c r="J1141" s="195"/>
      <c r="K1141" s="195"/>
      <c r="L1141" s="195"/>
      <c r="M1141" s="195"/>
      <c r="N1141" s="197"/>
      <c r="O1141" s="195"/>
      <c r="P1141" s="195"/>
      <c r="Q1141" s="195"/>
    </row>
    <row r="1142" spans="1:17">
      <c r="A1142" s="180">
        <f>'רשימת מכשור 2015'!A1141</f>
        <v>0</v>
      </c>
      <c r="B1142" s="180">
        <f>'רשימת מכשור 2015'!B1141</f>
        <v>0</v>
      </c>
      <c r="C1142" s="180">
        <f>'רשימת מכשור 2015'!C1141</f>
        <v>0</v>
      </c>
      <c r="D1142" s="233">
        <f>'רשימת מכשור 2015'!D1141</f>
        <v>0</v>
      </c>
      <c r="E1142" s="180">
        <f>'רשימת מכשור 2015'!E1141</f>
        <v>0</v>
      </c>
      <c r="F1142" s="180">
        <f>'רשימת מכשור 2015'!F1141</f>
        <v>0</v>
      </c>
      <c r="G1142" s="195"/>
      <c r="H1142" s="195"/>
      <c r="I1142" s="196"/>
      <c r="J1142" s="195"/>
      <c r="K1142" s="195"/>
      <c r="L1142" s="195"/>
      <c r="M1142" s="195"/>
      <c r="N1142" s="197"/>
      <c r="O1142" s="195"/>
      <c r="P1142" s="195"/>
      <c r="Q1142" s="195"/>
    </row>
    <row r="1143" spans="1:17">
      <c r="A1143" s="180">
        <f>'רשימת מכשור 2015'!A1142</f>
        <v>0</v>
      </c>
      <c r="B1143" s="180">
        <f>'רשימת מכשור 2015'!B1142</f>
        <v>0</v>
      </c>
      <c r="C1143" s="180">
        <f>'רשימת מכשור 2015'!C1142</f>
        <v>0</v>
      </c>
      <c r="D1143" s="233">
        <f>'רשימת מכשור 2015'!D1142</f>
        <v>0</v>
      </c>
      <c r="E1143" s="180">
        <f>'רשימת מכשור 2015'!E1142</f>
        <v>0</v>
      </c>
      <c r="F1143" s="180">
        <f>'רשימת מכשור 2015'!F1142</f>
        <v>0</v>
      </c>
      <c r="G1143" s="195"/>
      <c r="H1143" s="195"/>
      <c r="I1143" s="196"/>
      <c r="J1143" s="195"/>
      <c r="K1143" s="195"/>
      <c r="L1143" s="195"/>
      <c r="M1143" s="195"/>
      <c r="N1143" s="197"/>
      <c r="O1143" s="195"/>
      <c r="P1143" s="195"/>
      <c r="Q1143" s="195"/>
    </row>
    <row r="1144" spans="1:17">
      <c r="A1144" s="180">
        <f>'רשימת מכשור 2015'!A1143</f>
        <v>0</v>
      </c>
      <c r="B1144" s="180">
        <f>'רשימת מכשור 2015'!B1143</f>
        <v>0</v>
      </c>
      <c r="C1144" s="180">
        <f>'רשימת מכשור 2015'!C1143</f>
        <v>0</v>
      </c>
      <c r="D1144" s="233">
        <f>'רשימת מכשור 2015'!D1143</f>
        <v>0</v>
      </c>
      <c r="E1144" s="180">
        <f>'רשימת מכשור 2015'!E1143</f>
        <v>0</v>
      </c>
      <c r="F1144" s="180">
        <f>'רשימת מכשור 2015'!F1143</f>
        <v>0</v>
      </c>
      <c r="G1144" s="195"/>
      <c r="H1144" s="195"/>
      <c r="I1144" s="196"/>
      <c r="J1144" s="195"/>
      <c r="K1144" s="195"/>
      <c r="L1144" s="195"/>
      <c r="M1144" s="195"/>
      <c r="N1144" s="197"/>
      <c r="O1144" s="195"/>
      <c r="P1144" s="195"/>
      <c r="Q1144" s="195"/>
    </row>
    <row r="1145" spans="1:17">
      <c r="A1145" s="180">
        <f>'רשימת מכשור 2015'!A1144</f>
        <v>0</v>
      </c>
      <c r="B1145" s="180">
        <f>'רשימת מכשור 2015'!B1144</f>
        <v>0</v>
      </c>
      <c r="C1145" s="180">
        <f>'רשימת מכשור 2015'!C1144</f>
        <v>0</v>
      </c>
      <c r="D1145" s="233">
        <f>'רשימת מכשור 2015'!D1144</f>
        <v>0</v>
      </c>
      <c r="E1145" s="180">
        <f>'רשימת מכשור 2015'!E1144</f>
        <v>0</v>
      </c>
      <c r="F1145" s="180">
        <f>'רשימת מכשור 2015'!F1144</f>
        <v>0</v>
      </c>
      <c r="G1145" s="195"/>
      <c r="H1145" s="195"/>
      <c r="I1145" s="196"/>
      <c r="J1145" s="195"/>
      <c r="K1145" s="195"/>
      <c r="L1145" s="195"/>
      <c r="M1145" s="195"/>
      <c r="N1145" s="197"/>
      <c r="O1145" s="195"/>
      <c r="P1145" s="195"/>
      <c r="Q1145" s="195"/>
    </row>
    <row r="1146" spans="1:17">
      <c r="A1146" s="180">
        <f>'רשימת מכשור 2015'!A1145</f>
        <v>0</v>
      </c>
      <c r="B1146" s="180">
        <f>'רשימת מכשור 2015'!B1145</f>
        <v>0</v>
      </c>
      <c r="C1146" s="180">
        <f>'רשימת מכשור 2015'!C1145</f>
        <v>0</v>
      </c>
      <c r="D1146" s="233">
        <f>'רשימת מכשור 2015'!D1145</f>
        <v>0</v>
      </c>
      <c r="E1146" s="180">
        <f>'רשימת מכשור 2015'!E1145</f>
        <v>0</v>
      </c>
      <c r="F1146" s="180">
        <f>'רשימת מכשור 2015'!F1145</f>
        <v>0</v>
      </c>
      <c r="G1146" s="195"/>
      <c r="H1146" s="195"/>
      <c r="I1146" s="196"/>
      <c r="J1146" s="195"/>
      <c r="K1146" s="195"/>
      <c r="L1146" s="195"/>
      <c r="M1146" s="195"/>
      <c r="N1146" s="197"/>
      <c r="O1146" s="195"/>
      <c r="P1146" s="195"/>
      <c r="Q1146" s="195"/>
    </row>
    <row r="1147" spans="1:17">
      <c r="A1147" s="180">
        <f>'רשימת מכשור 2015'!A1146</f>
        <v>0</v>
      </c>
      <c r="B1147" s="180">
        <f>'רשימת מכשור 2015'!B1146</f>
        <v>0</v>
      </c>
      <c r="C1147" s="180">
        <f>'רשימת מכשור 2015'!C1146</f>
        <v>0</v>
      </c>
      <c r="D1147" s="233">
        <f>'רשימת מכשור 2015'!D1146</f>
        <v>0</v>
      </c>
      <c r="E1147" s="180">
        <f>'רשימת מכשור 2015'!E1146</f>
        <v>0</v>
      </c>
      <c r="F1147" s="180">
        <f>'רשימת מכשור 2015'!F1146</f>
        <v>0</v>
      </c>
      <c r="G1147" s="195"/>
      <c r="H1147" s="195"/>
      <c r="I1147" s="196"/>
      <c r="J1147" s="195"/>
      <c r="K1147" s="195"/>
      <c r="L1147" s="195"/>
      <c r="M1147" s="195"/>
      <c r="N1147" s="197"/>
      <c r="O1147" s="195"/>
      <c r="P1147" s="195"/>
      <c r="Q1147" s="195"/>
    </row>
    <row r="1148" spans="1:17">
      <c r="A1148" s="180">
        <f>'רשימת מכשור 2015'!A1147</f>
        <v>0</v>
      </c>
      <c r="B1148" s="180">
        <f>'רשימת מכשור 2015'!B1147</f>
        <v>0</v>
      </c>
      <c r="C1148" s="180">
        <f>'רשימת מכשור 2015'!C1147</f>
        <v>0</v>
      </c>
      <c r="D1148" s="233">
        <f>'רשימת מכשור 2015'!D1147</f>
        <v>0</v>
      </c>
      <c r="E1148" s="180">
        <f>'רשימת מכשור 2015'!E1147</f>
        <v>0</v>
      </c>
      <c r="F1148" s="180">
        <f>'רשימת מכשור 2015'!F1147</f>
        <v>0</v>
      </c>
      <c r="G1148" s="195"/>
      <c r="H1148" s="195"/>
      <c r="I1148" s="196"/>
      <c r="J1148" s="195"/>
      <c r="K1148" s="195"/>
      <c r="L1148" s="195"/>
      <c r="M1148" s="195"/>
      <c r="N1148" s="197"/>
      <c r="O1148" s="195"/>
      <c r="P1148" s="195"/>
      <c r="Q1148" s="195"/>
    </row>
    <row r="1149" spans="1:17">
      <c r="A1149" s="180">
        <f>'רשימת מכשור 2015'!A1148</f>
        <v>0</v>
      </c>
      <c r="B1149" s="180">
        <f>'רשימת מכשור 2015'!B1148</f>
        <v>0</v>
      </c>
      <c r="C1149" s="180">
        <f>'רשימת מכשור 2015'!C1148</f>
        <v>0</v>
      </c>
      <c r="D1149" s="233">
        <f>'רשימת מכשור 2015'!D1148</f>
        <v>0</v>
      </c>
      <c r="E1149" s="180">
        <f>'רשימת מכשור 2015'!E1148</f>
        <v>0</v>
      </c>
      <c r="F1149" s="180">
        <f>'רשימת מכשור 2015'!F1148</f>
        <v>0</v>
      </c>
      <c r="G1149" s="195"/>
      <c r="H1149" s="195"/>
      <c r="I1149" s="196"/>
      <c r="J1149" s="195"/>
      <c r="K1149" s="195"/>
      <c r="L1149" s="195"/>
      <c r="M1149" s="195"/>
      <c r="N1149" s="197"/>
      <c r="O1149" s="195"/>
      <c r="P1149" s="195"/>
      <c r="Q1149" s="195"/>
    </row>
    <row r="1150" spans="1:17">
      <c r="A1150" s="180">
        <f>'רשימת מכשור 2015'!A1149</f>
        <v>0</v>
      </c>
      <c r="B1150" s="180">
        <f>'רשימת מכשור 2015'!B1149</f>
        <v>0</v>
      </c>
      <c r="C1150" s="180">
        <f>'רשימת מכשור 2015'!C1149</f>
        <v>0</v>
      </c>
      <c r="D1150" s="233">
        <f>'רשימת מכשור 2015'!D1149</f>
        <v>0</v>
      </c>
      <c r="E1150" s="180">
        <f>'רשימת מכשור 2015'!E1149</f>
        <v>0</v>
      </c>
      <c r="F1150" s="180">
        <f>'רשימת מכשור 2015'!F1149</f>
        <v>0</v>
      </c>
      <c r="G1150" s="195"/>
      <c r="H1150" s="195"/>
      <c r="I1150" s="196"/>
      <c r="J1150" s="195"/>
      <c r="K1150" s="195"/>
      <c r="L1150" s="195"/>
      <c r="M1150" s="195"/>
      <c r="N1150" s="197"/>
      <c r="O1150" s="195"/>
      <c r="P1150" s="195"/>
      <c r="Q1150" s="195"/>
    </row>
    <row r="1151" spans="1:17">
      <c r="A1151" s="180">
        <f>'רשימת מכשור 2015'!A1150</f>
        <v>0</v>
      </c>
      <c r="B1151" s="180">
        <f>'רשימת מכשור 2015'!B1150</f>
        <v>0</v>
      </c>
      <c r="C1151" s="180">
        <f>'רשימת מכשור 2015'!C1150</f>
        <v>0</v>
      </c>
      <c r="D1151" s="233">
        <f>'רשימת מכשור 2015'!D1150</f>
        <v>0</v>
      </c>
      <c r="E1151" s="180">
        <f>'רשימת מכשור 2015'!E1150</f>
        <v>0</v>
      </c>
      <c r="F1151" s="180">
        <f>'רשימת מכשור 2015'!F1150</f>
        <v>0</v>
      </c>
      <c r="G1151" s="195"/>
      <c r="H1151" s="195"/>
      <c r="I1151" s="196"/>
      <c r="J1151" s="195"/>
      <c r="K1151" s="195"/>
      <c r="L1151" s="195"/>
      <c r="M1151" s="195"/>
      <c r="N1151" s="197"/>
      <c r="O1151" s="195"/>
      <c r="P1151" s="195"/>
      <c r="Q1151" s="195"/>
    </row>
    <row r="1152" spans="1:17">
      <c r="A1152" s="180">
        <f>'רשימת מכשור 2015'!A1151</f>
        <v>0</v>
      </c>
      <c r="B1152" s="180">
        <f>'רשימת מכשור 2015'!B1151</f>
        <v>0</v>
      </c>
      <c r="C1152" s="180">
        <f>'רשימת מכשור 2015'!C1151</f>
        <v>0</v>
      </c>
      <c r="D1152" s="233">
        <f>'רשימת מכשור 2015'!D1151</f>
        <v>0</v>
      </c>
      <c r="E1152" s="180">
        <f>'רשימת מכשור 2015'!E1151</f>
        <v>0</v>
      </c>
      <c r="F1152" s="180">
        <f>'רשימת מכשור 2015'!F1151</f>
        <v>0</v>
      </c>
      <c r="G1152" s="195"/>
      <c r="H1152" s="195"/>
      <c r="I1152" s="196"/>
      <c r="J1152" s="195"/>
      <c r="K1152" s="195"/>
      <c r="L1152" s="195"/>
      <c r="M1152" s="195"/>
      <c r="N1152" s="197"/>
      <c r="O1152" s="195"/>
      <c r="P1152" s="195"/>
      <c r="Q1152" s="195"/>
    </row>
    <row r="1153" spans="1:17">
      <c r="A1153" s="180">
        <f>'רשימת מכשור 2015'!A1152</f>
        <v>0</v>
      </c>
      <c r="B1153" s="180">
        <f>'רשימת מכשור 2015'!B1152</f>
        <v>0</v>
      </c>
      <c r="C1153" s="180">
        <f>'רשימת מכשור 2015'!C1152</f>
        <v>0</v>
      </c>
      <c r="D1153" s="233">
        <f>'רשימת מכשור 2015'!D1152</f>
        <v>0</v>
      </c>
      <c r="E1153" s="180">
        <f>'רשימת מכשור 2015'!E1152</f>
        <v>0</v>
      </c>
      <c r="F1153" s="180">
        <f>'רשימת מכשור 2015'!F1152</f>
        <v>0</v>
      </c>
      <c r="G1153" s="195"/>
      <c r="H1153" s="195"/>
      <c r="I1153" s="196"/>
      <c r="J1153" s="195"/>
      <c r="K1153" s="195"/>
      <c r="L1153" s="195"/>
      <c r="M1153" s="195"/>
      <c r="N1153" s="197"/>
      <c r="O1153" s="195"/>
      <c r="P1153" s="195"/>
      <c r="Q1153" s="195"/>
    </row>
    <row r="1154" spans="1:17">
      <c r="A1154" s="180">
        <f>'רשימת מכשור 2015'!A1153</f>
        <v>0</v>
      </c>
      <c r="B1154" s="180">
        <f>'רשימת מכשור 2015'!B1153</f>
        <v>0</v>
      </c>
      <c r="C1154" s="180">
        <f>'רשימת מכשור 2015'!C1153</f>
        <v>0</v>
      </c>
      <c r="D1154" s="233">
        <f>'רשימת מכשור 2015'!D1153</f>
        <v>0</v>
      </c>
      <c r="E1154" s="180">
        <f>'רשימת מכשור 2015'!E1153</f>
        <v>0</v>
      </c>
      <c r="F1154" s="180">
        <f>'רשימת מכשור 2015'!F1153</f>
        <v>0</v>
      </c>
      <c r="G1154" s="195"/>
      <c r="H1154" s="195"/>
      <c r="I1154" s="196"/>
      <c r="J1154" s="195"/>
      <c r="K1154" s="195"/>
      <c r="L1154" s="195"/>
      <c r="M1154" s="195"/>
      <c r="N1154" s="197"/>
      <c r="O1154" s="195"/>
      <c r="P1154" s="195"/>
      <c r="Q1154" s="195"/>
    </row>
    <row r="1155" spans="1:17">
      <c r="A1155" s="180">
        <f>'רשימת מכשור 2015'!A1154</f>
        <v>0</v>
      </c>
      <c r="B1155" s="180">
        <f>'רשימת מכשור 2015'!B1154</f>
        <v>0</v>
      </c>
      <c r="C1155" s="180">
        <f>'רשימת מכשור 2015'!C1154</f>
        <v>0</v>
      </c>
      <c r="D1155" s="233">
        <f>'רשימת מכשור 2015'!D1154</f>
        <v>0</v>
      </c>
      <c r="E1155" s="180">
        <f>'רשימת מכשור 2015'!E1154</f>
        <v>0</v>
      </c>
      <c r="F1155" s="180">
        <f>'רשימת מכשור 2015'!F1154</f>
        <v>0</v>
      </c>
      <c r="G1155" s="195"/>
      <c r="H1155" s="195"/>
      <c r="I1155" s="196"/>
      <c r="J1155" s="195"/>
      <c r="K1155" s="195"/>
      <c r="L1155" s="195"/>
      <c r="M1155" s="195"/>
      <c r="N1155" s="197"/>
      <c r="O1155" s="195"/>
      <c r="P1155" s="195"/>
      <c r="Q1155" s="195"/>
    </row>
    <row r="1156" spans="1:17">
      <c r="A1156" s="180">
        <f>'רשימת מכשור 2015'!A1155</f>
        <v>0</v>
      </c>
      <c r="B1156" s="180">
        <f>'רשימת מכשור 2015'!B1155</f>
        <v>0</v>
      </c>
      <c r="C1156" s="180">
        <f>'רשימת מכשור 2015'!C1155</f>
        <v>0</v>
      </c>
      <c r="D1156" s="233">
        <f>'רשימת מכשור 2015'!D1155</f>
        <v>0</v>
      </c>
      <c r="E1156" s="180">
        <f>'רשימת מכשור 2015'!E1155</f>
        <v>0</v>
      </c>
      <c r="F1156" s="180">
        <f>'רשימת מכשור 2015'!F1155</f>
        <v>0</v>
      </c>
      <c r="G1156" s="195"/>
      <c r="H1156" s="195"/>
      <c r="I1156" s="196"/>
      <c r="J1156" s="195"/>
      <c r="K1156" s="195"/>
      <c r="L1156" s="195"/>
      <c r="M1156" s="195"/>
      <c r="N1156" s="197"/>
      <c r="O1156" s="195"/>
      <c r="P1156" s="195"/>
      <c r="Q1156" s="195"/>
    </row>
    <row r="1157" spans="1:17">
      <c r="A1157" s="180">
        <f>'רשימת מכשור 2015'!A1156</f>
        <v>0</v>
      </c>
      <c r="B1157" s="180">
        <f>'רשימת מכשור 2015'!B1156</f>
        <v>0</v>
      </c>
      <c r="C1157" s="180">
        <f>'רשימת מכשור 2015'!C1156</f>
        <v>0</v>
      </c>
      <c r="D1157" s="233">
        <f>'רשימת מכשור 2015'!D1156</f>
        <v>0</v>
      </c>
      <c r="E1157" s="180">
        <f>'רשימת מכשור 2015'!E1156</f>
        <v>0</v>
      </c>
      <c r="F1157" s="180">
        <f>'רשימת מכשור 2015'!F1156</f>
        <v>0</v>
      </c>
      <c r="G1157" s="195"/>
      <c r="H1157" s="195"/>
      <c r="I1157" s="196"/>
      <c r="J1157" s="195"/>
      <c r="K1157" s="195"/>
      <c r="L1157" s="195"/>
      <c r="M1157" s="195"/>
      <c r="N1157" s="197"/>
      <c r="O1157" s="195"/>
      <c r="P1157" s="195"/>
      <c r="Q1157" s="195"/>
    </row>
    <row r="1158" spans="1:17">
      <c r="A1158" s="180">
        <f>'רשימת מכשור 2015'!A1157</f>
        <v>0</v>
      </c>
      <c r="B1158" s="180">
        <f>'רשימת מכשור 2015'!B1157</f>
        <v>0</v>
      </c>
      <c r="C1158" s="180">
        <f>'רשימת מכשור 2015'!C1157</f>
        <v>0</v>
      </c>
      <c r="D1158" s="233">
        <f>'רשימת מכשור 2015'!D1157</f>
        <v>0</v>
      </c>
      <c r="E1158" s="180">
        <f>'רשימת מכשור 2015'!E1157</f>
        <v>0</v>
      </c>
      <c r="F1158" s="180">
        <f>'רשימת מכשור 2015'!F1157</f>
        <v>0</v>
      </c>
      <c r="G1158" s="195"/>
      <c r="H1158" s="195"/>
      <c r="I1158" s="196"/>
      <c r="J1158" s="195"/>
      <c r="K1158" s="195"/>
      <c r="L1158" s="195"/>
      <c r="M1158" s="195"/>
      <c r="N1158" s="197"/>
      <c r="O1158" s="195"/>
      <c r="P1158" s="195"/>
      <c r="Q1158" s="195"/>
    </row>
    <row r="1159" spans="1:17">
      <c r="A1159" s="180">
        <f>'רשימת מכשור 2015'!A1158</f>
        <v>0</v>
      </c>
      <c r="B1159" s="180">
        <f>'רשימת מכשור 2015'!B1158</f>
        <v>0</v>
      </c>
      <c r="C1159" s="180">
        <f>'רשימת מכשור 2015'!C1158</f>
        <v>0</v>
      </c>
      <c r="D1159" s="233">
        <f>'רשימת מכשור 2015'!D1158</f>
        <v>0</v>
      </c>
      <c r="E1159" s="180">
        <f>'רשימת מכשור 2015'!E1158</f>
        <v>0</v>
      </c>
      <c r="F1159" s="180">
        <f>'רשימת מכשור 2015'!F1158</f>
        <v>0</v>
      </c>
      <c r="G1159" s="195"/>
      <c r="H1159" s="195"/>
      <c r="I1159" s="196"/>
      <c r="J1159" s="195"/>
      <c r="K1159" s="195"/>
      <c r="L1159" s="195"/>
      <c r="M1159" s="195"/>
      <c r="N1159" s="197"/>
      <c r="O1159" s="195"/>
      <c r="P1159" s="195"/>
      <c r="Q1159" s="195"/>
    </row>
    <row r="1160" spans="1:17">
      <c r="A1160" s="180">
        <f>'רשימת מכשור 2015'!A1159</f>
        <v>0</v>
      </c>
      <c r="B1160" s="180">
        <f>'רשימת מכשור 2015'!B1159</f>
        <v>0</v>
      </c>
      <c r="C1160" s="180">
        <f>'רשימת מכשור 2015'!C1159</f>
        <v>0</v>
      </c>
      <c r="D1160" s="233">
        <f>'רשימת מכשור 2015'!D1159</f>
        <v>0</v>
      </c>
      <c r="E1160" s="180">
        <f>'רשימת מכשור 2015'!E1159</f>
        <v>0</v>
      </c>
      <c r="F1160" s="180">
        <f>'רשימת מכשור 2015'!F1159</f>
        <v>0</v>
      </c>
      <c r="G1160" s="195"/>
      <c r="H1160" s="195"/>
      <c r="I1160" s="196"/>
      <c r="J1160" s="195"/>
      <c r="K1160" s="195"/>
      <c r="L1160" s="195"/>
      <c r="M1160" s="195"/>
      <c r="N1160" s="197"/>
      <c r="O1160" s="195"/>
      <c r="P1160" s="195"/>
      <c r="Q1160" s="195"/>
    </row>
    <row r="1161" spans="1:17">
      <c r="A1161" s="180">
        <f>'רשימת מכשור 2015'!A1160</f>
        <v>0</v>
      </c>
      <c r="B1161" s="180">
        <f>'רשימת מכשור 2015'!B1160</f>
        <v>0</v>
      </c>
      <c r="C1161" s="180">
        <f>'רשימת מכשור 2015'!C1160</f>
        <v>0</v>
      </c>
      <c r="D1161" s="233">
        <f>'רשימת מכשור 2015'!D1160</f>
        <v>0</v>
      </c>
      <c r="E1161" s="180">
        <f>'רשימת מכשור 2015'!E1160</f>
        <v>0</v>
      </c>
      <c r="F1161" s="180">
        <f>'רשימת מכשור 2015'!F1160</f>
        <v>0</v>
      </c>
      <c r="G1161" s="195"/>
      <c r="H1161" s="195"/>
      <c r="I1161" s="196"/>
      <c r="J1161" s="195"/>
      <c r="K1161" s="195"/>
      <c r="L1161" s="195"/>
      <c r="M1161" s="195"/>
      <c r="N1161" s="197"/>
      <c r="O1161" s="195"/>
      <c r="P1161" s="195"/>
      <c r="Q1161" s="195"/>
    </row>
    <row r="1162" spans="1:17">
      <c r="A1162" s="180">
        <f>'רשימת מכשור 2015'!A1161</f>
        <v>0</v>
      </c>
      <c r="B1162" s="180">
        <f>'רשימת מכשור 2015'!B1161</f>
        <v>0</v>
      </c>
      <c r="C1162" s="180">
        <f>'רשימת מכשור 2015'!C1161</f>
        <v>0</v>
      </c>
      <c r="D1162" s="233">
        <f>'רשימת מכשור 2015'!D1161</f>
        <v>0</v>
      </c>
      <c r="E1162" s="180">
        <f>'רשימת מכשור 2015'!E1161</f>
        <v>0</v>
      </c>
      <c r="F1162" s="180">
        <f>'רשימת מכשור 2015'!F1161</f>
        <v>0</v>
      </c>
      <c r="G1162" s="195"/>
      <c r="H1162" s="195"/>
      <c r="I1162" s="196"/>
      <c r="J1162" s="195"/>
      <c r="K1162" s="195"/>
      <c r="L1162" s="195"/>
      <c r="M1162" s="195"/>
      <c r="N1162" s="197"/>
      <c r="O1162" s="195"/>
      <c r="P1162" s="195"/>
      <c r="Q1162" s="195"/>
    </row>
    <row r="1163" spans="1:17">
      <c r="A1163" s="180">
        <f>'רשימת מכשור 2015'!A1162</f>
        <v>0</v>
      </c>
      <c r="B1163" s="180">
        <f>'רשימת מכשור 2015'!B1162</f>
        <v>0</v>
      </c>
      <c r="C1163" s="180">
        <f>'רשימת מכשור 2015'!C1162</f>
        <v>0</v>
      </c>
      <c r="D1163" s="233">
        <f>'רשימת מכשור 2015'!D1162</f>
        <v>0</v>
      </c>
      <c r="E1163" s="180">
        <f>'רשימת מכשור 2015'!E1162</f>
        <v>0</v>
      </c>
      <c r="F1163" s="180">
        <f>'רשימת מכשור 2015'!F1162</f>
        <v>0</v>
      </c>
      <c r="G1163" s="195"/>
      <c r="H1163" s="195"/>
      <c r="I1163" s="196"/>
      <c r="J1163" s="195"/>
      <c r="K1163" s="195"/>
      <c r="L1163" s="195"/>
      <c r="M1163" s="195"/>
      <c r="N1163" s="197"/>
      <c r="O1163" s="195"/>
      <c r="P1163" s="195"/>
      <c r="Q1163" s="195"/>
    </row>
    <row r="1164" spans="1:17">
      <c r="A1164" s="180">
        <f>'רשימת מכשור 2015'!A1163</f>
        <v>0</v>
      </c>
      <c r="B1164" s="180">
        <f>'רשימת מכשור 2015'!B1163</f>
        <v>0</v>
      </c>
      <c r="C1164" s="180">
        <f>'רשימת מכשור 2015'!C1163</f>
        <v>0</v>
      </c>
      <c r="D1164" s="233">
        <f>'רשימת מכשור 2015'!D1163</f>
        <v>0</v>
      </c>
      <c r="E1164" s="180">
        <f>'רשימת מכשור 2015'!E1163</f>
        <v>0</v>
      </c>
      <c r="F1164" s="180">
        <f>'רשימת מכשור 2015'!F1163</f>
        <v>0</v>
      </c>
      <c r="G1164" s="195"/>
      <c r="H1164" s="195"/>
      <c r="I1164" s="196"/>
      <c r="J1164" s="195"/>
      <c r="K1164" s="195"/>
      <c r="L1164" s="195"/>
      <c r="M1164" s="195"/>
      <c r="N1164" s="197"/>
      <c r="O1164" s="195"/>
      <c r="P1164" s="195"/>
      <c r="Q1164" s="195"/>
    </row>
    <row r="1165" spans="1:17">
      <c r="A1165" s="180">
        <f>'רשימת מכשור 2015'!A1164</f>
        <v>0</v>
      </c>
      <c r="B1165" s="180">
        <f>'רשימת מכשור 2015'!B1164</f>
        <v>0</v>
      </c>
      <c r="C1165" s="180">
        <f>'רשימת מכשור 2015'!C1164</f>
        <v>0</v>
      </c>
      <c r="D1165" s="233">
        <f>'רשימת מכשור 2015'!D1164</f>
        <v>0</v>
      </c>
      <c r="E1165" s="180">
        <f>'רשימת מכשור 2015'!E1164</f>
        <v>0</v>
      </c>
      <c r="F1165" s="180">
        <f>'רשימת מכשור 2015'!F1164</f>
        <v>0</v>
      </c>
      <c r="G1165" s="195"/>
      <c r="H1165" s="195"/>
      <c r="I1165" s="196"/>
      <c r="J1165" s="195"/>
      <c r="K1165" s="195"/>
      <c r="L1165" s="195"/>
      <c r="M1165" s="195"/>
      <c r="N1165" s="197"/>
      <c r="O1165" s="195"/>
      <c r="P1165" s="195"/>
      <c r="Q1165" s="195"/>
    </row>
    <row r="1166" spans="1:17">
      <c r="A1166" s="180">
        <f>'רשימת מכשור 2015'!A1165</f>
        <v>0</v>
      </c>
      <c r="B1166" s="180">
        <f>'רשימת מכשור 2015'!B1165</f>
        <v>0</v>
      </c>
      <c r="C1166" s="180">
        <f>'רשימת מכשור 2015'!C1165</f>
        <v>0</v>
      </c>
      <c r="D1166" s="233">
        <f>'רשימת מכשור 2015'!D1165</f>
        <v>0</v>
      </c>
      <c r="E1166" s="180">
        <f>'רשימת מכשור 2015'!E1165</f>
        <v>0</v>
      </c>
      <c r="F1166" s="180">
        <f>'רשימת מכשור 2015'!F1165</f>
        <v>0</v>
      </c>
      <c r="G1166" s="195"/>
      <c r="H1166" s="195"/>
      <c r="I1166" s="196"/>
      <c r="J1166" s="195"/>
      <c r="K1166" s="195"/>
      <c r="L1166" s="195"/>
      <c r="M1166" s="195"/>
      <c r="N1166" s="197"/>
      <c r="O1166" s="195"/>
      <c r="P1166" s="195"/>
      <c r="Q1166" s="195"/>
    </row>
    <row r="1167" spans="1:17">
      <c r="A1167" s="180">
        <f>'רשימת מכשור 2015'!A1166</f>
        <v>0</v>
      </c>
      <c r="B1167" s="180">
        <f>'רשימת מכשור 2015'!B1166</f>
        <v>0</v>
      </c>
      <c r="C1167" s="180">
        <f>'רשימת מכשור 2015'!C1166</f>
        <v>0</v>
      </c>
      <c r="D1167" s="233">
        <f>'רשימת מכשור 2015'!D1166</f>
        <v>0</v>
      </c>
      <c r="E1167" s="180">
        <f>'רשימת מכשור 2015'!E1166</f>
        <v>0</v>
      </c>
      <c r="F1167" s="180">
        <f>'רשימת מכשור 2015'!F1166</f>
        <v>0</v>
      </c>
      <c r="G1167" s="195"/>
      <c r="H1167" s="195"/>
      <c r="I1167" s="196"/>
      <c r="J1167" s="195"/>
      <c r="K1167" s="195"/>
      <c r="L1167" s="195"/>
      <c r="M1167" s="195"/>
      <c r="N1167" s="197"/>
      <c r="O1167" s="195"/>
      <c r="P1167" s="195"/>
      <c r="Q1167" s="195"/>
    </row>
    <row r="1168" spans="1:17">
      <c r="A1168" s="180">
        <f>'רשימת מכשור 2015'!A1167</f>
        <v>0</v>
      </c>
      <c r="B1168" s="180">
        <f>'רשימת מכשור 2015'!B1167</f>
        <v>0</v>
      </c>
      <c r="C1168" s="180">
        <f>'רשימת מכשור 2015'!C1167</f>
        <v>0</v>
      </c>
      <c r="D1168" s="233">
        <f>'רשימת מכשור 2015'!D1167</f>
        <v>0</v>
      </c>
      <c r="E1168" s="180">
        <f>'רשימת מכשור 2015'!E1167</f>
        <v>0</v>
      </c>
      <c r="F1168" s="180">
        <f>'רשימת מכשור 2015'!F1167</f>
        <v>0</v>
      </c>
      <c r="G1168" s="195"/>
      <c r="H1168" s="195"/>
      <c r="I1168" s="196"/>
      <c r="J1168" s="195"/>
      <c r="K1168" s="195"/>
      <c r="L1168" s="195"/>
      <c r="M1168" s="195"/>
      <c r="N1168" s="197"/>
      <c r="O1168" s="195"/>
      <c r="P1168" s="195"/>
      <c r="Q1168" s="195"/>
    </row>
    <row r="1169" spans="1:17">
      <c r="A1169" s="180">
        <f>'רשימת מכשור 2015'!A1168</f>
        <v>0</v>
      </c>
      <c r="B1169" s="180">
        <f>'רשימת מכשור 2015'!B1168</f>
        <v>0</v>
      </c>
      <c r="C1169" s="180">
        <f>'רשימת מכשור 2015'!C1168</f>
        <v>0</v>
      </c>
      <c r="D1169" s="233">
        <f>'רשימת מכשור 2015'!D1168</f>
        <v>0</v>
      </c>
      <c r="E1169" s="180">
        <f>'רשימת מכשור 2015'!E1168</f>
        <v>0</v>
      </c>
      <c r="F1169" s="180">
        <f>'רשימת מכשור 2015'!F1168</f>
        <v>0</v>
      </c>
      <c r="G1169" s="195"/>
      <c r="H1169" s="195"/>
      <c r="I1169" s="196"/>
      <c r="J1169" s="195"/>
      <c r="K1169" s="195"/>
      <c r="L1169" s="195"/>
      <c r="M1169" s="195"/>
      <c r="N1169" s="197"/>
      <c r="O1169" s="195"/>
      <c r="P1169" s="195"/>
      <c r="Q1169" s="195"/>
    </row>
    <row r="1170" spans="1:17">
      <c r="A1170" s="180">
        <f>'רשימת מכשור 2015'!A1169</f>
        <v>0</v>
      </c>
      <c r="B1170" s="180">
        <f>'רשימת מכשור 2015'!B1169</f>
        <v>0</v>
      </c>
      <c r="C1170" s="180">
        <f>'רשימת מכשור 2015'!C1169</f>
        <v>0</v>
      </c>
      <c r="D1170" s="233">
        <f>'רשימת מכשור 2015'!D1169</f>
        <v>0</v>
      </c>
      <c r="E1170" s="180">
        <f>'רשימת מכשור 2015'!E1169</f>
        <v>0</v>
      </c>
      <c r="F1170" s="180">
        <f>'רשימת מכשור 2015'!F1169</f>
        <v>0</v>
      </c>
      <c r="G1170" s="195"/>
      <c r="H1170" s="195"/>
      <c r="I1170" s="196"/>
      <c r="J1170" s="195"/>
      <c r="K1170" s="195"/>
      <c r="L1170" s="195"/>
      <c r="M1170" s="195"/>
      <c r="N1170" s="197"/>
      <c r="O1170" s="195"/>
      <c r="P1170" s="195"/>
      <c r="Q1170" s="195"/>
    </row>
    <row r="1171" spans="1:17">
      <c r="A1171" s="180">
        <f>'רשימת מכשור 2015'!A1170</f>
        <v>0</v>
      </c>
      <c r="B1171" s="180">
        <f>'רשימת מכשור 2015'!B1170</f>
        <v>0</v>
      </c>
      <c r="C1171" s="180">
        <f>'רשימת מכשור 2015'!C1170</f>
        <v>0</v>
      </c>
      <c r="D1171" s="233">
        <f>'רשימת מכשור 2015'!D1170</f>
        <v>0</v>
      </c>
      <c r="E1171" s="180">
        <f>'רשימת מכשור 2015'!E1170</f>
        <v>0</v>
      </c>
      <c r="F1171" s="180">
        <f>'רשימת מכשור 2015'!F1170</f>
        <v>0</v>
      </c>
      <c r="G1171" s="195"/>
      <c r="H1171" s="195"/>
      <c r="I1171" s="196"/>
      <c r="J1171" s="195"/>
      <c r="K1171" s="195"/>
      <c r="L1171" s="195"/>
      <c r="M1171" s="195"/>
      <c r="N1171" s="197"/>
      <c r="O1171" s="195"/>
      <c r="P1171" s="195"/>
      <c r="Q1171" s="195"/>
    </row>
    <row r="1172" spans="1:17">
      <c r="A1172" s="180">
        <f>'רשימת מכשור 2015'!A1171</f>
        <v>0</v>
      </c>
      <c r="B1172" s="180">
        <f>'רשימת מכשור 2015'!B1171</f>
        <v>0</v>
      </c>
      <c r="C1172" s="180">
        <f>'רשימת מכשור 2015'!C1171</f>
        <v>0</v>
      </c>
      <c r="D1172" s="233">
        <f>'רשימת מכשור 2015'!D1171</f>
        <v>0</v>
      </c>
      <c r="E1172" s="180">
        <f>'רשימת מכשור 2015'!E1171</f>
        <v>0</v>
      </c>
      <c r="F1172" s="180">
        <f>'רשימת מכשור 2015'!F1171</f>
        <v>0</v>
      </c>
      <c r="G1172" s="195"/>
      <c r="H1172" s="195"/>
      <c r="I1172" s="196"/>
      <c r="J1172" s="195"/>
      <c r="K1172" s="195"/>
      <c r="L1172" s="195"/>
      <c r="M1172" s="195"/>
      <c r="N1172" s="197"/>
      <c r="O1172" s="195"/>
      <c r="P1172" s="195"/>
      <c r="Q1172" s="195"/>
    </row>
    <row r="1173" spans="1:17">
      <c r="A1173" s="180">
        <f>'רשימת מכשור 2015'!A1172</f>
        <v>0</v>
      </c>
      <c r="B1173" s="180">
        <f>'רשימת מכשור 2015'!B1172</f>
        <v>0</v>
      </c>
      <c r="C1173" s="180">
        <f>'רשימת מכשור 2015'!C1172</f>
        <v>0</v>
      </c>
      <c r="D1173" s="233">
        <f>'רשימת מכשור 2015'!D1172</f>
        <v>0</v>
      </c>
      <c r="E1173" s="180">
        <f>'רשימת מכשור 2015'!E1172</f>
        <v>0</v>
      </c>
      <c r="F1173" s="180">
        <f>'רשימת מכשור 2015'!F1172</f>
        <v>0</v>
      </c>
      <c r="G1173" s="195"/>
      <c r="H1173" s="195"/>
      <c r="I1173" s="196"/>
      <c r="J1173" s="195"/>
      <c r="K1173" s="195"/>
      <c r="L1173" s="195"/>
      <c r="M1173" s="195"/>
      <c r="N1173" s="197"/>
      <c r="O1173" s="195"/>
      <c r="P1173" s="195"/>
      <c r="Q1173" s="195"/>
    </row>
    <row r="1174" spans="1:17">
      <c r="A1174" s="180">
        <f>'רשימת מכשור 2015'!A1173</f>
        <v>0</v>
      </c>
      <c r="B1174" s="180">
        <f>'רשימת מכשור 2015'!B1173</f>
        <v>0</v>
      </c>
      <c r="C1174" s="180">
        <f>'רשימת מכשור 2015'!C1173</f>
        <v>0</v>
      </c>
      <c r="D1174" s="233">
        <f>'רשימת מכשור 2015'!D1173</f>
        <v>0</v>
      </c>
      <c r="E1174" s="180">
        <f>'רשימת מכשור 2015'!E1173</f>
        <v>0</v>
      </c>
      <c r="F1174" s="180">
        <f>'רשימת מכשור 2015'!F1173</f>
        <v>0</v>
      </c>
      <c r="G1174" s="195"/>
      <c r="H1174" s="195"/>
      <c r="I1174" s="196"/>
      <c r="J1174" s="195"/>
      <c r="K1174" s="195"/>
      <c r="L1174" s="195"/>
      <c r="M1174" s="195"/>
      <c r="N1174" s="197"/>
      <c r="O1174" s="195"/>
      <c r="P1174" s="195"/>
      <c r="Q1174" s="195"/>
    </row>
    <row r="1175" spans="1:17">
      <c r="A1175" s="180">
        <f>'רשימת מכשור 2015'!A1174</f>
        <v>0</v>
      </c>
      <c r="B1175" s="180">
        <f>'רשימת מכשור 2015'!B1174</f>
        <v>0</v>
      </c>
      <c r="C1175" s="180">
        <f>'רשימת מכשור 2015'!C1174</f>
        <v>0</v>
      </c>
      <c r="D1175" s="233">
        <f>'רשימת מכשור 2015'!D1174</f>
        <v>0</v>
      </c>
      <c r="E1175" s="180">
        <f>'רשימת מכשור 2015'!E1174</f>
        <v>0</v>
      </c>
      <c r="F1175" s="180">
        <f>'רשימת מכשור 2015'!F1174</f>
        <v>0</v>
      </c>
      <c r="G1175" s="195"/>
      <c r="H1175" s="195"/>
      <c r="I1175" s="196"/>
      <c r="J1175" s="195"/>
      <c r="K1175" s="195"/>
      <c r="L1175" s="195"/>
      <c r="M1175" s="195"/>
      <c r="N1175" s="197"/>
      <c r="O1175" s="195"/>
      <c r="P1175" s="195"/>
      <c r="Q1175" s="195"/>
    </row>
    <row r="1176" spans="1:17">
      <c r="A1176" s="180">
        <f>'רשימת מכשור 2015'!A1175</f>
        <v>0</v>
      </c>
      <c r="B1176" s="180">
        <f>'רשימת מכשור 2015'!B1175</f>
        <v>0</v>
      </c>
      <c r="C1176" s="180">
        <f>'רשימת מכשור 2015'!C1175</f>
        <v>0</v>
      </c>
      <c r="D1176" s="233">
        <f>'רשימת מכשור 2015'!D1175</f>
        <v>0</v>
      </c>
      <c r="E1176" s="180">
        <f>'רשימת מכשור 2015'!E1175</f>
        <v>0</v>
      </c>
      <c r="F1176" s="180">
        <f>'רשימת מכשור 2015'!F1175</f>
        <v>0</v>
      </c>
      <c r="G1176" s="195"/>
      <c r="H1176" s="195"/>
      <c r="I1176" s="196"/>
      <c r="J1176" s="195"/>
      <c r="K1176" s="195"/>
      <c r="L1176" s="195"/>
      <c r="M1176" s="195"/>
      <c r="N1176" s="197"/>
      <c r="O1176" s="195"/>
      <c r="P1176" s="195"/>
      <c r="Q1176" s="195"/>
    </row>
    <row r="1177" spans="1:17">
      <c r="A1177" s="180">
        <f>'רשימת מכשור 2015'!A1176</f>
        <v>0</v>
      </c>
      <c r="B1177" s="180">
        <f>'רשימת מכשור 2015'!B1176</f>
        <v>0</v>
      </c>
      <c r="C1177" s="180">
        <f>'רשימת מכשור 2015'!C1176</f>
        <v>0</v>
      </c>
      <c r="D1177" s="233">
        <f>'רשימת מכשור 2015'!D1176</f>
        <v>0</v>
      </c>
      <c r="E1177" s="180">
        <f>'רשימת מכשור 2015'!E1176</f>
        <v>0</v>
      </c>
      <c r="F1177" s="180">
        <f>'רשימת מכשור 2015'!F1176</f>
        <v>0</v>
      </c>
      <c r="G1177" s="195"/>
      <c r="H1177" s="195"/>
      <c r="I1177" s="196"/>
      <c r="J1177" s="195"/>
      <c r="K1177" s="195"/>
      <c r="L1177" s="195"/>
      <c r="M1177" s="195"/>
      <c r="N1177" s="197"/>
      <c r="O1177" s="195"/>
      <c r="P1177" s="195"/>
      <c r="Q1177" s="195"/>
    </row>
    <row r="1178" spans="1:17">
      <c r="A1178" s="180">
        <f>'רשימת מכשור 2015'!A1177</f>
        <v>0</v>
      </c>
      <c r="B1178" s="180">
        <f>'רשימת מכשור 2015'!B1177</f>
        <v>0</v>
      </c>
      <c r="C1178" s="180">
        <f>'רשימת מכשור 2015'!C1177</f>
        <v>0</v>
      </c>
      <c r="D1178" s="233">
        <f>'רשימת מכשור 2015'!D1177</f>
        <v>0</v>
      </c>
      <c r="E1178" s="180">
        <f>'רשימת מכשור 2015'!E1177</f>
        <v>0</v>
      </c>
      <c r="F1178" s="180">
        <f>'רשימת מכשור 2015'!F1177</f>
        <v>0</v>
      </c>
      <c r="G1178" s="195"/>
      <c r="H1178" s="195"/>
      <c r="I1178" s="196"/>
      <c r="J1178" s="195"/>
      <c r="K1178" s="195"/>
      <c r="L1178" s="195"/>
      <c r="M1178" s="195"/>
      <c r="N1178" s="197"/>
      <c r="O1178" s="195"/>
      <c r="P1178" s="195"/>
      <c r="Q1178" s="195"/>
    </row>
    <row r="1179" spans="1:17">
      <c r="A1179" s="180">
        <f>'רשימת מכשור 2015'!A1178</f>
        <v>0</v>
      </c>
      <c r="B1179" s="180">
        <f>'רשימת מכשור 2015'!B1178</f>
        <v>0</v>
      </c>
      <c r="C1179" s="180">
        <f>'רשימת מכשור 2015'!C1178</f>
        <v>0</v>
      </c>
      <c r="D1179" s="233">
        <f>'רשימת מכשור 2015'!D1178</f>
        <v>0</v>
      </c>
      <c r="E1179" s="180">
        <f>'רשימת מכשור 2015'!E1178</f>
        <v>0</v>
      </c>
      <c r="F1179" s="180">
        <f>'רשימת מכשור 2015'!F1178</f>
        <v>0</v>
      </c>
      <c r="G1179" s="195"/>
      <c r="H1179" s="195"/>
      <c r="I1179" s="196"/>
      <c r="J1179" s="195"/>
      <c r="K1179" s="195"/>
      <c r="L1179" s="195"/>
      <c r="M1179" s="195"/>
      <c r="N1179" s="197"/>
      <c r="O1179" s="195"/>
      <c r="P1179" s="195"/>
      <c r="Q1179" s="195"/>
    </row>
    <row r="1180" spans="1:17">
      <c r="A1180" s="180">
        <f>'רשימת מכשור 2015'!A1179</f>
        <v>0</v>
      </c>
      <c r="B1180" s="180">
        <f>'רשימת מכשור 2015'!B1179</f>
        <v>0</v>
      </c>
      <c r="C1180" s="180">
        <f>'רשימת מכשור 2015'!C1179</f>
        <v>0</v>
      </c>
      <c r="D1180" s="233">
        <f>'רשימת מכשור 2015'!D1179</f>
        <v>0</v>
      </c>
      <c r="E1180" s="180">
        <f>'רשימת מכשור 2015'!E1179</f>
        <v>0</v>
      </c>
      <c r="F1180" s="180">
        <f>'רשימת מכשור 2015'!F1179</f>
        <v>0</v>
      </c>
      <c r="G1180" s="195"/>
      <c r="H1180" s="195"/>
      <c r="I1180" s="196"/>
      <c r="J1180" s="195"/>
      <c r="K1180" s="195"/>
      <c r="L1180" s="195"/>
      <c r="M1180" s="195"/>
      <c r="N1180" s="197"/>
      <c r="O1180" s="195"/>
      <c r="P1180" s="195"/>
      <c r="Q1180" s="195"/>
    </row>
    <row r="1181" spans="1:17">
      <c r="A1181" s="180">
        <f>'רשימת מכשור 2015'!A1180</f>
        <v>0</v>
      </c>
      <c r="B1181" s="180">
        <f>'רשימת מכשור 2015'!B1180</f>
        <v>0</v>
      </c>
      <c r="C1181" s="180">
        <f>'רשימת מכשור 2015'!C1180</f>
        <v>0</v>
      </c>
      <c r="D1181" s="233">
        <f>'רשימת מכשור 2015'!D1180</f>
        <v>0</v>
      </c>
      <c r="E1181" s="180">
        <f>'רשימת מכשור 2015'!E1180</f>
        <v>0</v>
      </c>
      <c r="F1181" s="180">
        <f>'רשימת מכשור 2015'!F1180</f>
        <v>0</v>
      </c>
      <c r="G1181" s="195"/>
      <c r="H1181" s="195"/>
      <c r="I1181" s="196"/>
      <c r="J1181" s="195"/>
      <c r="K1181" s="195"/>
      <c r="L1181" s="195"/>
      <c r="M1181" s="195"/>
      <c r="N1181" s="197"/>
      <c r="O1181" s="195"/>
      <c r="P1181" s="195"/>
      <c r="Q1181" s="195"/>
    </row>
    <row r="1182" spans="1:17">
      <c r="A1182" s="180">
        <f>'רשימת מכשור 2015'!A1181</f>
        <v>0</v>
      </c>
      <c r="B1182" s="180">
        <f>'רשימת מכשור 2015'!B1181</f>
        <v>0</v>
      </c>
      <c r="C1182" s="180">
        <f>'רשימת מכשור 2015'!C1181</f>
        <v>0</v>
      </c>
      <c r="D1182" s="233">
        <f>'רשימת מכשור 2015'!D1181</f>
        <v>0</v>
      </c>
      <c r="E1182" s="180">
        <f>'רשימת מכשור 2015'!E1181</f>
        <v>0</v>
      </c>
      <c r="F1182" s="180">
        <f>'רשימת מכשור 2015'!F1181</f>
        <v>0</v>
      </c>
      <c r="G1182" s="195"/>
      <c r="H1182" s="195"/>
      <c r="I1182" s="196"/>
      <c r="J1182" s="195"/>
      <c r="K1182" s="195"/>
      <c r="L1182" s="195"/>
      <c r="M1182" s="195"/>
      <c r="N1182" s="197"/>
      <c r="O1182" s="195"/>
      <c r="P1182" s="195"/>
      <c r="Q1182" s="195"/>
    </row>
    <row r="1183" spans="1:17">
      <c r="A1183" s="180">
        <f>'רשימת מכשור 2015'!A1182</f>
        <v>0</v>
      </c>
      <c r="B1183" s="180">
        <f>'רשימת מכשור 2015'!B1182</f>
        <v>0</v>
      </c>
      <c r="C1183" s="180">
        <f>'רשימת מכשור 2015'!C1182</f>
        <v>0</v>
      </c>
      <c r="D1183" s="233">
        <f>'רשימת מכשור 2015'!D1182</f>
        <v>0</v>
      </c>
      <c r="E1183" s="180">
        <f>'רשימת מכשור 2015'!E1182</f>
        <v>0</v>
      </c>
      <c r="F1183" s="180">
        <f>'רשימת מכשור 2015'!F1182</f>
        <v>0</v>
      </c>
      <c r="G1183" s="195"/>
      <c r="H1183" s="195"/>
      <c r="I1183" s="196"/>
      <c r="J1183" s="195"/>
      <c r="K1183" s="195"/>
      <c r="L1183" s="195"/>
      <c r="M1183" s="195"/>
      <c r="N1183" s="197"/>
      <c r="O1183" s="195"/>
      <c r="P1183" s="195"/>
      <c r="Q1183" s="195"/>
    </row>
    <row r="1184" spans="1:17">
      <c r="A1184" s="180">
        <f>'רשימת מכשור 2015'!A1183</f>
        <v>0</v>
      </c>
      <c r="B1184" s="180">
        <f>'רשימת מכשור 2015'!B1183</f>
        <v>0</v>
      </c>
      <c r="C1184" s="180">
        <f>'רשימת מכשור 2015'!C1183</f>
        <v>0</v>
      </c>
      <c r="D1184" s="233">
        <f>'רשימת מכשור 2015'!D1183</f>
        <v>0</v>
      </c>
      <c r="E1184" s="180">
        <f>'רשימת מכשור 2015'!E1183</f>
        <v>0</v>
      </c>
      <c r="F1184" s="180">
        <f>'רשימת מכשור 2015'!F1183</f>
        <v>0</v>
      </c>
      <c r="G1184" s="195"/>
      <c r="H1184" s="195"/>
      <c r="I1184" s="196"/>
      <c r="J1184" s="195"/>
      <c r="K1184" s="195"/>
      <c r="L1184" s="195"/>
      <c r="M1184" s="195"/>
      <c r="N1184" s="197"/>
      <c r="O1184" s="195"/>
      <c r="P1184" s="195"/>
      <c r="Q1184" s="195"/>
    </row>
    <row r="1185" spans="1:17">
      <c r="A1185" s="180">
        <f>'רשימת מכשור 2015'!A1184</f>
        <v>0</v>
      </c>
      <c r="B1185" s="180">
        <f>'רשימת מכשור 2015'!B1184</f>
        <v>0</v>
      </c>
      <c r="C1185" s="180">
        <f>'רשימת מכשור 2015'!C1184</f>
        <v>0</v>
      </c>
      <c r="D1185" s="233">
        <f>'רשימת מכשור 2015'!D1184</f>
        <v>0</v>
      </c>
      <c r="E1185" s="180">
        <f>'רשימת מכשור 2015'!E1184</f>
        <v>0</v>
      </c>
      <c r="F1185" s="180">
        <f>'רשימת מכשור 2015'!F1184</f>
        <v>0</v>
      </c>
      <c r="G1185" s="195"/>
      <c r="H1185" s="195"/>
      <c r="I1185" s="196"/>
      <c r="J1185" s="195"/>
      <c r="K1185" s="195"/>
      <c r="L1185" s="195"/>
      <c r="M1185" s="195"/>
      <c r="N1185" s="197"/>
      <c r="O1185" s="195"/>
      <c r="P1185" s="195"/>
      <c r="Q1185" s="195"/>
    </row>
    <row r="1186" spans="1:17">
      <c r="A1186" s="180">
        <f>'רשימת מכשור 2015'!A1185</f>
        <v>0</v>
      </c>
      <c r="B1186" s="180">
        <f>'רשימת מכשור 2015'!B1185</f>
        <v>0</v>
      </c>
      <c r="C1186" s="180">
        <f>'רשימת מכשור 2015'!C1185</f>
        <v>0</v>
      </c>
      <c r="D1186" s="233">
        <f>'רשימת מכשור 2015'!D1185</f>
        <v>0</v>
      </c>
      <c r="E1186" s="180">
        <f>'רשימת מכשור 2015'!E1185</f>
        <v>0</v>
      </c>
      <c r="F1186" s="180">
        <f>'רשימת מכשור 2015'!F1185</f>
        <v>0</v>
      </c>
      <c r="G1186" s="195"/>
      <c r="H1186" s="195"/>
      <c r="I1186" s="196"/>
      <c r="J1186" s="195"/>
      <c r="K1186" s="195"/>
      <c r="L1186" s="195"/>
      <c r="M1186" s="195"/>
      <c r="N1186" s="197"/>
      <c r="O1186" s="195"/>
      <c r="P1186" s="195"/>
      <c r="Q1186" s="195"/>
    </row>
    <row r="1187" spans="1:17">
      <c r="A1187" s="180">
        <f>'רשימת מכשור 2015'!A1186</f>
        <v>0</v>
      </c>
      <c r="B1187" s="180">
        <f>'רשימת מכשור 2015'!B1186</f>
        <v>0</v>
      </c>
      <c r="C1187" s="180">
        <f>'רשימת מכשור 2015'!C1186</f>
        <v>0</v>
      </c>
      <c r="D1187" s="233">
        <f>'רשימת מכשור 2015'!D1186</f>
        <v>0</v>
      </c>
      <c r="E1187" s="180">
        <f>'רשימת מכשור 2015'!E1186</f>
        <v>0</v>
      </c>
      <c r="F1187" s="180">
        <f>'רשימת מכשור 2015'!F1186</f>
        <v>0</v>
      </c>
      <c r="G1187" s="195"/>
      <c r="H1187" s="195"/>
      <c r="I1187" s="196"/>
      <c r="J1187" s="195"/>
      <c r="K1187" s="195"/>
      <c r="L1187" s="195"/>
      <c r="M1187" s="195"/>
      <c r="N1187" s="197"/>
      <c r="O1187" s="195"/>
      <c r="P1187" s="195"/>
      <c r="Q1187" s="195"/>
    </row>
    <row r="1188" spans="1:17">
      <c r="A1188" s="180">
        <f>'רשימת מכשור 2015'!A1187</f>
        <v>0</v>
      </c>
      <c r="B1188" s="180">
        <f>'רשימת מכשור 2015'!B1187</f>
        <v>0</v>
      </c>
      <c r="C1188" s="180">
        <f>'רשימת מכשור 2015'!C1187</f>
        <v>0</v>
      </c>
      <c r="D1188" s="233">
        <f>'רשימת מכשור 2015'!D1187</f>
        <v>0</v>
      </c>
      <c r="E1188" s="180">
        <f>'רשימת מכשור 2015'!E1187</f>
        <v>0</v>
      </c>
      <c r="F1188" s="180">
        <f>'רשימת מכשור 2015'!F1187</f>
        <v>0</v>
      </c>
      <c r="G1188" s="195"/>
      <c r="H1188" s="195"/>
      <c r="I1188" s="196"/>
      <c r="J1188" s="195"/>
      <c r="K1188" s="195"/>
      <c r="L1188" s="195"/>
      <c r="M1188" s="195"/>
      <c r="N1188" s="197"/>
      <c r="O1188" s="195"/>
      <c r="P1188" s="195"/>
      <c r="Q1188" s="195"/>
    </row>
    <row r="1189" spans="1:17">
      <c r="A1189" s="180">
        <f>'רשימת מכשור 2015'!A1188</f>
        <v>0</v>
      </c>
      <c r="B1189" s="180">
        <f>'רשימת מכשור 2015'!B1188</f>
        <v>0</v>
      </c>
      <c r="C1189" s="180">
        <f>'רשימת מכשור 2015'!C1188</f>
        <v>0</v>
      </c>
      <c r="D1189" s="233">
        <f>'רשימת מכשור 2015'!D1188</f>
        <v>0</v>
      </c>
      <c r="E1189" s="180">
        <f>'רשימת מכשור 2015'!E1188</f>
        <v>0</v>
      </c>
      <c r="F1189" s="180">
        <f>'רשימת מכשור 2015'!F1188</f>
        <v>0</v>
      </c>
      <c r="G1189" s="195"/>
      <c r="H1189" s="195"/>
      <c r="I1189" s="196"/>
      <c r="J1189" s="195"/>
      <c r="K1189" s="195"/>
      <c r="L1189" s="195"/>
      <c r="M1189" s="195"/>
      <c r="N1189" s="197"/>
      <c r="O1189" s="195"/>
      <c r="P1189" s="195"/>
      <c r="Q1189" s="195"/>
    </row>
    <row r="1190" spans="1:17">
      <c r="A1190" s="180">
        <f>'רשימת מכשור 2015'!A1189</f>
        <v>0</v>
      </c>
      <c r="B1190" s="180">
        <f>'רשימת מכשור 2015'!B1189</f>
        <v>0</v>
      </c>
      <c r="C1190" s="180">
        <f>'רשימת מכשור 2015'!C1189</f>
        <v>0</v>
      </c>
      <c r="D1190" s="233">
        <f>'רשימת מכשור 2015'!D1189</f>
        <v>0</v>
      </c>
      <c r="E1190" s="180">
        <f>'רשימת מכשור 2015'!E1189</f>
        <v>0</v>
      </c>
      <c r="F1190" s="180">
        <f>'רשימת מכשור 2015'!F1189</f>
        <v>0</v>
      </c>
      <c r="G1190" s="195"/>
      <c r="H1190" s="195"/>
      <c r="I1190" s="196"/>
      <c r="J1190" s="195"/>
      <c r="K1190" s="195"/>
      <c r="L1190" s="195"/>
      <c r="M1190" s="195"/>
      <c r="N1190" s="197"/>
      <c r="O1190" s="195"/>
      <c r="P1190" s="195"/>
      <c r="Q1190" s="195"/>
    </row>
    <row r="1191" spans="1:17">
      <c r="A1191" s="180">
        <f>'רשימת מכשור 2015'!A1190</f>
        <v>0</v>
      </c>
      <c r="B1191" s="180">
        <f>'רשימת מכשור 2015'!B1190</f>
        <v>0</v>
      </c>
      <c r="C1191" s="180">
        <f>'רשימת מכשור 2015'!C1190</f>
        <v>0</v>
      </c>
      <c r="D1191" s="233">
        <f>'רשימת מכשור 2015'!D1190</f>
        <v>0</v>
      </c>
      <c r="E1191" s="180">
        <f>'רשימת מכשור 2015'!E1190</f>
        <v>0</v>
      </c>
      <c r="F1191" s="180">
        <f>'רשימת מכשור 2015'!F1190</f>
        <v>0</v>
      </c>
      <c r="G1191" s="195"/>
      <c r="H1191" s="195"/>
      <c r="I1191" s="196"/>
      <c r="J1191" s="195"/>
      <c r="K1191" s="195"/>
      <c r="L1191" s="195"/>
      <c r="M1191" s="195"/>
      <c r="N1191" s="197"/>
      <c r="O1191" s="195"/>
      <c r="P1191" s="195"/>
      <c r="Q1191" s="195"/>
    </row>
    <row r="1192" spans="1:17">
      <c r="A1192" s="180">
        <f>'רשימת מכשור 2015'!A1191</f>
        <v>0</v>
      </c>
      <c r="B1192" s="180">
        <f>'רשימת מכשור 2015'!B1191</f>
        <v>0</v>
      </c>
      <c r="C1192" s="180">
        <f>'רשימת מכשור 2015'!C1191</f>
        <v>0</v>
      </c>
      <c r="D1192" s="233">
        <f>'רשימת מכשור 2015'!D1191</f>
        <v>0</v>
      </c>
      <c r="E1192" s="180">
        <f>'רשימת מכשור 2015'!E1191</f>
        <v>0</v>
      </c>
      <c r="F1192" s="180">
        <f>'רשימת מכשור 2015'!F1191</f>
        <v>0</v>
      </c>
      <c r="G1192" s="195"/>
      <c r="H1192" s="195"/>
      <c r="I1192" s="196"/>
      <c r="J1192" s="195"/>
      <c r="K1192" s="195"/>
      <c r="L1192" s="195"/>
      <c r="M1192" s="195"/>
      <c r="N1192" s="197"/>
      <c r="O1192" s="195"/>
      <c r="P1192" s="195"/>
      <c r="Q1192" s="195"/>
    </row>
    <row r="1193" spans="1:17">
      <c r="A1193" s="180">
        <f>'רשימת מכשור 2015'!A1192</f>
        <v>0</v>
      </c>
      <c r="B1193" s="180">
        <f>'רשימת מכשור 2015'!B1192</f>
        <v>0</v>
      </c>
      <c r="C1193" s="180">
        <f>'רשימת מכשור 2015'!C1192</f>
        <v>0</v>
      </c>
      <c r="D1193" s="233">
        <f>'רשימת מכשור 2015'!D1192</f>
        <v>0</v>
      </c>
      <c r="E1193" s="180">
        <f>'רשימת מכשור 2015'!E1192</f>
        <v>0</v>
      </c>
      <c r="F1193" s="180">
        <f>'רשימת מכשור 2015'!F1192</f>
        <v>0</v>
      </c>
      <c r="G1193" s="195"/>
      <c r="H1193" s="195"/>
      <c r="I1193" s="196"/>
      <c r="J1193" s="195"/>
      <c r="K1193" s="195"/>
      <c r="L1193" s="195"/>
      <c r="M1193" s="195"/>
      <c r="N1193" s="197"/>
      <c r="O1193" s="195"/>
      <c r="P1193" s="195"/>
      <c r="Q1193" s="195"/>
    </row>
    <row r="1194" spans="1:17">
      <c r="A1194" s="180">
        <f>'רשימת מכשור 2015'!A1193</f>
        <v>0</v>
      </c>
      <c r="B1194" s="180">
        <f>'רשימת מכשור 2015'!B1193</f>
        <v>0</v>
      </c>
      <c r="C1194" s="180">
        <f>'רשימת מכשור 2015'!C1193</f>
        <v>0</v>
      </c>
      <c r="D1194" s="233">
        <f>'רשימת מכשור 2015'!D1193</f>
        <v>0</v>
      </c>
      <c r="E1194" s="180">
        <f>'רשימת מכשור 2015'!E1193</f>
        <v>0</v>
      </c>
      <c r="F1194" s="180">
        <f>'רשימת מכשור 2015'!F1193</f>
        <v>0</v>
      </c>
      <c r="G1194" s="195"/>
      <c r="H1194" s="195"/>
      <c r="I1194" s="196"/>
      <c r="J1194" s="195"/>
      <c r="K1194" s="195"/>
      <c r="L1194" s="195"/>
      <c r="M1194" s="195"/>
      <c r="N1194" s="197"/>
      <c r="O1194" s="195"/>
      <c r="P1194" s="195"/>
      <c r="Q1194" s="195"/>
    </row>
    <row r="1195" spans="1:17">
      <c r="A1195" s="180">
        <f>'רשימת מכשור 2015'!A1194</f>
        <v>0</v>
      </c>
      <c r="B1195" s="180">
        <f>'רשימת מכשור 2015'!B1194</f>
        <v>0</v>
      </c>
      <c r="C1195" s="180">
        <f>'רשימת מכשור 2015'!C1194</f>
        <v>0</v>
      </c>
      <c r="D1195" s="233">
        <f>'רשימת מכשור 2015'!D1194</f>
        <v>0</v>
      </c>
      <c r="E1195" s="180">
        <f>'רשימת מכשור 2015'!E1194</f>
        <v>0</v>
      </c>
      <c r="F1195" s="180">
        <f>'רשימת מכשור 2015'!F1194</f>
        <v>0</v>
      </c>
      <c r="G1195" s="195"/>
      <c r="H1195" s="195"/>
      <c r="I1195" s="196"/>
      <c r="J1195" s="195"/>
      <c r="K1195" s="195"/>
      <c r="L1195" s="195"/>
      <c r="M1195" s="195"/>
      <c r="N1195" s="197"/>
      <c r="O1195" s="195"/>
      <c r="P1195" s="195"/>
      <c r="Q1195" s="195"/>
    </row>
    <row r="1196" spans="1:17">
      <c r="A1196" s="180">
        <f>'רשימת מכשור 2015'!A1195</f>
        <v>0</v>
      </c>
      <c r="B1196" s="180">
        <f>'רשימת מכשור 2015'!B1195</f>
        <v>0</v>
      </c>
      <c r="C1196" s="180">
        <f>'רשימת מכשור 2015'!C1195</f>
        <v>0</v>
      </c>
      <c r="D1196" s="233">
        <f>'רשימת מכשור 2015'!D1195</f>
        <v>0</v>
      </c>
      <c r="E1196" s="180">
        <f>'רשימת מכשור 2015'!E1195</f>
        <v>0</v>
      </c>
      <c r="F1196" s="180">
        <f>'רשימת מכשור 2015'!F1195</f>
        <v>0</v>
      </c>
      <c r="G1196" s="195"/>
      <c r="H1196" s="195"/>
      <c r="I1196" s="196"/>
      <c r="J1196" s="195"/>
      <c r="K1196" s="195"/>
      <c r="L1196" s="195"/>
      <c r="M1196" s="195"/>
      <c r="N1196" s="197"/>
      <c r="O1196" s="195"/>
      <c r="P1196" s="195"/>
      <c r="Q1196" s="195"/>
    </row>
    <row r="1197" spans="1:17">
      <c r="A1197" s="180">
        <f>'רשימת מכשור 2015'!A1196</f>
        <v>0</v>
      </c>
      <c r="B1197" s="180">
        <f>'רשימת מכשור 2015'!B1196</f>
        <v>0</v>
      </c>
      <c r="C1197" s="180">
        <f>'רשימת מכשור 2015'!C1196</f>
        <v>0</v>
      </c>
      <c r="D1197" s="233">
        <f>'רשימת מכשור 2015'!D1196</f>
        <v>0</v>
      </c>
      <c r="E1197" s="180">
        <f>'רשימת מכשור 2015'!E1196</f>
        <v>0</v>
      </c>
      <c r="F1197" s="180">
        <f>'רשימת מכשור 2015'!F1196</f>
        <v>0</v>
      </c>
      <c r="G1197" s="195"/>
      <c r="H1197" s="195"/>
      <c r="I1197" s="196"/>
      <c r="J1197" s="195"/>
      <c r="K1197" s="195"/>
      <c r="L1197" s="195"/>
      <c r="M1197" s="195"/>
      <c r="N1197" s="197"/>
      <c r="O1197" s="195"/>
      <c r="P1197" s="195"/>
      <c r="Q1197" s="195"/>
    </row>
    <row r="1198" spans="1:17">
      <c r="A1198" s="180">
        <f>'רשימת מכשור 2015'!A1197</f>
        <v>0</v>
      </c>
      <c r="B1198" s="180">
        <f>'רשימת מכשור 2015'!B1197</f>
        <v>0</v>
      </c>
      <c r="C1198" s="180">
        <f>'רשימת מכשור 2015'!C1197</f>
        <v>0</v>
      </c>
      <c r="D1198" s="233">
        <f>'רשימת מכשור 2015'!D1197</f>
        <v>0</v>
      </c>
      <c r="E1198" s="180">
        <f>'רשימת מכשור 2015'!E1197</f>
        <v>0</v>
      </c>
      <c r="F1198" s="180">
        <f>'רשימת מכשור 2015'!F1197</f>
        <v>0</v>
      </c>
      <c r="G1198" s="195"/>
      <c r="H1198" s="195"/>
      <c r="I1198" s="196"/>
      <c r="J1198" s="195"/>
      <c r="K1198" s="195"/>
      <c r="L1198" s="195"/>
      <c r="M1198" s="195"/>
      <c r="N1198" s="197"/>
      <c r="O1198" s="195"/>
      <c r="P1198" s="195"/>
      <c r="Q1198" s="195"/>
    </row>
    <row r="1199" spans="1:17">
      <c r="A1199" s="180">
        <f>'רשימת מכשור 2015'!A1198</f>
        <v>0</v>
      </c>
      <c r="B1199" s="180">
        <f>'רשימת מכשור 2015'!B1198</f>
        <v>0</v>
      </c>
      <c r="C1199" s="180">
        <f>'רשימת מכשור 2015'!C1198</f>
        <v>0</v>
      </c>
      <c r="D1199" s="233">
        <f>'רשימת מכשור 2015'!D1198</f>
        <v>0</v>
      </c>
      <c r="E1199" s="180">
        <f>'רשימת מכשור 2015'!E1198</f>
        <v>0</v>
      </c>
      <c r="F1199" s="180">
        <f>'רשימת מכשור 2015'!F1198</f>
        <v>0</v>
      </c>
      <c r="G1199" s="195"/>
      <c r="H1199" s="195"/>
      <c r="I1199" s="196"/>
      <c r="J1199" s="195"/>
      <c r="K1199" s="195"/>
      <c r="L1199" s="195"/>
      <c r="M1199" s="195"/>
      <c r="N1199" s="197"/>
      <c r="O1199" s="195"/>
      <c r="P1199" s="195"/>
      <c r="Q1199" s="195"/>
    </row>
    <row r="1200" spans="1:17">
      <c r="A1200" s="180">
        <f>'רשימת מכשור 2015'!A1199</f>
        <v>0</v>
      </c>
      <c r="B1200" s="180">
        <f>'רשימת מכשור 2015'!B1199</f>
        <v>0</v>
      </c>
      <c r="C1200" s="180">
        <f>'רשימת מכשור 2015'!C1199</f>
        <v>0</v>
      </c>
      <c r="D1200" s="233">
        <f>'רשימת מכשור 2015'!D1199</f>
        <v>0</v>
      </c>
      <c r="E1200" s="180">
        <f>'רשימת מכשור 2015'!E1199</f>
        <v>0</v>
      </c>
      <c r="F1200" s="180">
        <f>'רשימת מכשור 2015'!F1199</f>
        <v>0</v>
      </c>
      <c r="G1200" s="195"/>
      <c r="H1200" s="195"/>
      <c r="I1200" s="196"/>
      <c r="J1200" s="195"/>
      <c r="K1200" s="195"/>
      <c r="L1200" s="195"/>
      <c r="M1200" s="195"/>
      <c r="N1200" s="197"/>
      <c r="O1200" s="195"/>
      <c r="P1200" s="195"/>
      <c r="Q1200" s="195"/>
    </row>
    <row r="1201" spans="1:17">
      <c r="A1201" s="180">
        <f>'רשימת מכשור 2015'!A1200</f>
        <v>0</v>
      </c>
      <c r="B1201" s="180">
        <f>'רשימת מכשור 2015'!B1200</f>
        <v>0</v>
      </c>
      <c r="C1201" s="180">
        <f>'רשימת מכשור 2015'!C1200</f>
        <v>0</v>
      </c>
      <c r="D1201" s="233">
        <f>'רשימת מכשור 2015'!D1200</f>
        <v>0</v>
      </c>
      <c r="E1201" s="180">
        <f>'רשימת מכשור 2015'!E1200</f>
        <v>0</v>
      </c>
      <c r="F1201" s="180">
        <f>'רשימת מכשור 2015'!F1200</f>
        <v>0</v>
      </c>
      <c r="G1201" s="195"/>
      <c r="H1201" s="195"/>
      <c r="I1201" s="196"/>
      <c r="J1201" s="195"/>
      <c r="K1201" s="195"/>
      <c r="L1201" s="195"/>
      <c r="M1201" s="195"/>
      <c r="N1201" s="197"/>
      <c r="O1201" s="195"/>
      <c r="P1201" s="195"/>
      <c r="Q1201" s="195"/>
    </row>
    <row r="1202" spans="1:17">
      <c r="A1202" s="180">
        <f>'רשימת מכשור 2015'!A1201</f>
        <v>0</v>
      </c>
      <c r="B1202" s="180">
        <f>'רשימת מכשור 2015'!B1201</f>
        <v>0</v>
      </c>
      <c r="C1202" s="180">
        <f>'רשימת מכשור 2015'!C1201</f>
        <v>0</v>
      </c>
      <c r="D1202" s="233">
        <f>'רשימת מכשור 2015'!D1201</f>
        <v>0</v>
      </c>
      <c r="E1202" s="180">
        <f>'רשימת מכשור 2015'!E1201</f>
        <v>0</v>
      </c>
      <c r="F1202" s="180">
        <f>'רשימת מכשור 2015'!F1201</f>
        <v>0</v>
      </c>
      <c r="G1202" s="195"/>
      <c r="H1202" s="195"/>
      <c r="I1202" s="196"/>
      <c r="J1202" s="195"/>
      <c r="K1202" s="195"/>
      <c r="L1202" s="195"/>
      <c r="M1202" s="195"/>
      <c r="N1202" s="197"/>
      <c r="O1202" s="195"/>
      <c r="P1202" s="195"/>
      <c r="Q1202" s="195"/>
    </row>
    <row r="1203" spans="1:17">
      <c r="A1203" s="180">
        <f>'רשימת מכשור 2015'!A1202</f>
        <v>0</v>
      </c>
      <c r="B1203" s="180">
        <f>'רשימת מכשור 2015'!B1202</f>
        <v>0</v>
      </c>
      <c r="C1203" s="180">
        <f>'רשימת מכשור 2015'!C1202</f>
        <v>0</v>
      </c>
      <c r="D1203" s="233">
        <f>'רשימת מכשור 2015'!D1202</f>
        <v>0</v>
      </c>
      <c r="E1203" s="180">
        <f>'רשימת מכשור 2015'!E1202</f>
        <v>0</v>
      </c>
      <c r="F1203" s="180">
        <f>'רשימת מכשור 2015'!F1202</f>
        <v>0</v>
      </c>
      <c r="G1203" s="195"/>
      <c r="H1203" s="195"/>
      <c r="I1203" s="196"/>
      <c r="J1203" s="195"/>
      <c r="K1203" s="195"/>
      <c r="L1203" s="195"/>
      <c r="M1203" s="195"/>
      <c r="N1203" s="197"/>
      <c r="O1203" s="195"/>
      <c r="P1203" s="195"/>
      <c r="Q1203" s="195"/>
    </row>
    <row r="1204" spans="1:17">
      <c r="A1204" s="180">
        <f>'רשימת מכשור 2015'!A1203</f>
        <v>0</v>
      </c>
      <c r="B1204" s="180">
        <f>'רשימת מכשור 2015'!B1203</f>
        <v>0</v>
      </c>
      <c r="C1204" s="180">
        <f>'רשימת מכשור 2015'!C1203</f>
        <v>0</v>
      </c>
      <c r="D1204" s="233">
        <f>'רשימת מכשור 2015'!D1203</f>
        <v>0</v>
      </c>
      <c r="E1204" s="180">
        <f>'רשימת מכשור 2015'!E1203</f>
        <v>0</v>
      </c>
      <c r="F1204" s="180">
        <f>'רשימת מכשור 2015'!F1203</f>
        <v>0</v>
      </c>
      <c r="G1204" s="195"/>
      <c r="H1204" s="195"/>
      <c r="I1204" s="196"/>
      <c r="J1204" s="195"/>
      <c r="K1204" s="195"/>
      <c r="L1204" s="195"/>
      <c r="M1204" s="195"/>
      <c r="N1204" s="197"/>
      <c r="O1204" s="195"/>
      <c r="P1204" s="195"/>
      <c r="Q1204" s="195"/>
    </row>
    <row r="1205" spans="1:17">
      <c r="A1205" s="180">
        <f>'רשימת מכשור 2015'!A1204</f>
        <v>0</v>
      </c>
      <c r="B1205" s="180">
        <f>'רשימת מכשור 2015'!B1204</f>
        <v>0</v>
      </c>
      <c r="C1205" s="180">
        <f>'רשימת מכשור 2015'!C1204</f>
        <v>0</v>
      </c>
      <c r="D1205" s="233">
        <f>'רשימת מכשור 2015'!D1204</f>
        <v>0</v>
      </c>
      <c r="E1205" s="180">
        <f>'רשימת מכשור 2015'!E1204</f>
        <v>0</v>
      </c>
      <c r="F1205" s="180">
        <f>'רשימת מכשור 2015'!F1204</f>
        <v>0</v>
      </c>
      <c r="G1205" s="195"/>
      <c r="H1205" s="195"/>
      <c r="I1205" s="196"/>
      <c r="J1205" s="195"/>
      <c r="K1205" s="195"/>
      <c r="L1205" s="195"/>
      <c r="M1205" s="195"/>
      <c r="N1205" s="197"/>
      <c r="O1205" s="195"/>
      <c r="P1205" s="195"/>
      <c r="Q1205" s="195"/>
    </row>
    <row r="1206" spans="1:17">
      <c r="A1206" s="180">
        <f>'רשימת מכשור 2015'!A1205</f>
        <v>0</v>
      </c>
      <c r="B1206" s="180">
        <f>'רשימת מכשור 2015'!B1205</f>
        <v>0</v>
      </c>
      <c r="C1206" s="180">
        <f>'רשימת מכשור 2015'!C1205</f>
        <v>0</v>
      </c>
      <c r="D1206" s="233">
        <f>'רשימת מכשור 2015'!D1205</f>
        <v>0</v>
      </c>
      <c r="E1206" s="180">
        <f>'רשימת מכשור 2015'!E1205</f>
        <v>0</v>
      </c>
      <c r="F1206" s="180">
        <f>'רשימת מכשור 2015'!F1205</f>
        <v>0</v>
      </c>
      <c r="G1206" s="195"/>
      <c r="H1206" s="195"/>
      <c r="I1206" s="196"/>
      <c r="J1206" s="195"/>
      <c r="K1206" s="195"/>
      <c r="L1206" s="195"/>
      <c r="M1206" s="195"/>
      <c r="N1206" s="197"/>
      <c r="O1206" s="195"/>
      <c r="P1206" s="195"/>
      <c r="Q1206" s="195"/>
    </row>
    <row r="1207" spans="1:17">
      <c r="A1207" s="180">
        <f>'רשימת מכשור 2015'!A1206</f>
        <v>0</v>
      </c>
      <c r="B1207" s="180">
        <f>'רשימת מכשור 2015'!B1206</f>
        <v>0</v>
      </c>
      <c r="C1207" s="180">
        <f>'רשימת מכשור 2015'!C1206</f>
        <v>0</v>
      </c>
      <c r="D1207" s="233">
        <f>'רשימת מכשור 2015'!D1206</f>
        <v>0</v>
      </c>
      <c r="E1207" s="180">
        <f>'רשימת מכשור 2015'!E1206</f>
        <v>0</v>
      </c>
      <c r="F1207" s="180">
        <f>'רשימת מכשור 2015'!F1206</f>
        <v>0</v>
      </c>
      <c r="G1207" s="195"/>
      <c r="H1207" s="195"/>
      <c r="I1207" s="196"/>
      <c r="J1207" s="195"/>
      <c r="K1207" s="195"/>
      <c r="L1207" s="195"/>
      <c r="M1207" s="195"/>
      <c r="N1207" s="197"/>
      <c r="O1207" s="195"/>
      <c r="P1207" s="195"/>
      <c r="Q1207" s="195"/>
    </row>
    <row r="1208" spans="1:17">
      <c r="A1208" s="180">
        <f>'רשימת מכשור 2015'!A1207</f>
        <v>0</v>
      </c>
      <c r="B1208" s="180">
        <f>'רשימת מכשור 2015'!B1207</f>
        <v>0</v>
      </c>
      <c r="C1208" s="180">
        <f>'רשימת מכשור 2015'!C1207</f>
        <v>0</v>
      </c>
      <c r="D1208" s="233">
        <f>'רשימת מכשור 2015'!D1207</f>
        <v>0</v>
      </c>
      <c r="E1208" s="180">
        <f>'רשימת מכשור 2015'!E1207</f>
        <v>0</v>
      </c>
      <c r="F1208" s="180">
        <f>'רשימת מכשור 2015'!F1207</f>
        <v>0</v>
      </c>
      <c r="G1208" s="195"/>
      <c r="H1208" s="195"/>
      <c r="I1208" s="196"/>
      <c r="J1208" s="195"/>
      <c r="K1208" s="195"/>
      <c r="L1208" s="195"/>
      <c r="M1208" s="195"/>
      <c r="N1208" s="197"/>
      <c r="O1208" s="195"/>
      <c r="P1208" s="195"/>
      <c r="Q1208" s="195"/>
    </row>
    <row r="1209" spans="1:17">
      <c r="A1209" s="180">
        <f>'רשימת מכשור 2015'!A1208</f>
        <v>0</v>
      </c>
      <c r="B1209" s="180">
        <f>'רשימת מכשור 2015'!B1208</f>
        <v>0</v>
      </c>
      <c r="C1209" s="180">
        <f>'רשימת מכשור 2015'!C1208</f>
        <v>0</v>
      </c>
      <c r="D1209" s="233">
        <f>'רשימת מכשור 2015'!D1208</f>
        <v>0</v>
      </c>
      <c r="E1209" s="180">
        <f>'רשימת מכשור 2015'!E1208</f>
        <v>0</v>
      </c>
      <c r="F1209" s="180">
        <f>'רשימת מכשור 2015'!F1208</f>
        <v>0</v>
      </c>
      <c r="G1209" s="195"/>
      <c r="H1209" s="195"/>
      <c r="I1209" s="196"/>
      <c r="J1209" s="195"/>
      <c r="K1209" s="195"/>
      <c r="L1209" s="195"/>
      <c r="M1209" s="195"/>
      <c r="N1209" s="197"/>
      <c r="O1209" s="195"/>
      <c r="P1209" s="195"/>
      <c r="Q1209" s="195"/>
    </row>
    <row r="1210" spans="1:17">
      <c r="A1210" s="180">
        <f>'רשימת מכשור 2015'!A1209</f>
        <v>0</v>
      </c>
      <c r="B1210" s="180">
        <f>'רשימת מכשור 2015'!B1209</f>
        <v>0</v>
      </c>
      <c r="C1210" s="180">
        <f>'רשימת מכשור 2015'!C1209</f>
        <v>0</v>
      </c>
      <c r="D1210" s="233">
        <f>'רשימת מכשור 2015'!D1209</f>
        <v>0</v>
      </c>
      <c r="E1210" s="180">
        <f>'רשימת מכשור 2015'!E1209</f>
        <v>0</v>
      </c>
      <c r="F1210" s="180">
        <f>'רשימת מכשור 2015'!F1209</f>
        <v>0</v>
      </c>
      <c r="G1210" s="195"/>
      <c r="H1210" s="195"/>
      <c r="I1210" s="196"/>
      <c r="J1210" s="195"/>
      <c r="K1210" s="195"/>
      <c r="L1210" s="195"/>
      <c r="M1210" s="195"/>
      <c r="N1210" s="197"/>
      <c r="O1210" s="195"/>
      <c r="P1210" s="195"/>
      <c r="Q1210" s="195"/>
    </row>
    <row r="1211" spans="1:17">
      <c r="A1211" s="180">
        <f>'רשימת מכשור 2015'!A1210</f>
        <v>0</v>
      </c>
      <c r="B1211" s="180">
        <f>'רשימת מכשור 2015'!B1210</f>
        <v>0</v>
      </c>
      <c r="C1211" s="180">
        <f>'רשימת מכשור 2015'!C1210</f>
        <v>0</v>
      </c>
      <c r="D1211" s="233">
        <f>'רשימת מכשור 2015'!D1210</f>
        <v>0</v>
      </c>
      <c r="E1211" s="180">
        <f>'רשימת מכשור 2015'!E1210</f>
        <v>0</v>
      </c>
      <c r="F1211" s="180">
        <f>'רשימת מכשור 2015'!F1210</f>
        <v>0</v>
      </c>
      <c r="G1211" s="195"/>
      <c r="H1211" s="195"/>
      <c r="I1211" s="196"/>
      <c r="J1211" s="195"/>
      <c r="K1211" s="195"/>
      <c r="L1211" s="195"/>
      <c r="M1211" s="195"/>
      <c r="N1211" s="197"/>
      <c r="O1211" s="195"/>
      <c r="P1211" s="195"/>
      <c r="Q1211" s="195"/>
    </row>
    <row r="1212" spans="1:17">
      <c r="A1212" s="180">
        <f>'רשימת מכשור 2015'!A1211</f>
        <v>0</v>
      </c>
      <c r="B1212" s="180">
        <f>'רשימת מכשור 2015'!B1211</f>
        <v>0</v>
      </c>
      <c r="C1212" s="180">
        <f>'רשימת מכשור 2015'!C1211</f>
        <v>0</v>
      </c>
      <c r="D1212" s="233">
        <f>'רשימת מכשור 2015'!D1211</f>
        <v>0</v>
      </c>
      <c r="E1212" s="180">
        <f>'רשימת מכשור 2015'!E1211</f>
        <v>0</v>
      </c>
      <c r="F1212" s="180">
        <f>'רשימת מכשור 2015'!F1211</f>
        <v>0</v>
      </c>
      <c r="G1212" s="195"/>
      <c r="H1212" s="195"/>
      <c r="I1212" s="196"/>
      <c r="J1212" s="195"/>
      <c r="K1212" s="195"/>
      <c r="L1212" s="195"/>
      <c r="M1212" s="195"/>
      <c r="N1212" s="197"/>
      <c r="O1212" s="195"/>
      <c r="P1212" s="195"/>
      <c r="Q1212" s="195"/>
    </row>
    <row r="1213" spans="1:17">
      <c r="A1213" s="180">
        <f>'רשימת מכשור 2015'!A1212</f>
        <v>0</v>
      </c>
      <c r="B1213" s="180">
        <f>'רשימת מכשור 2015'!B1212</f>
        <v>0</v>
      </c>
      <c r="C1213" s="180">
        <f>'רשימת מכשור 2015'!C1212</f>
        <v>0</v>
      </c>
      <c r="D1213" s="233">
        <f>'רשימת מכשור 2015'!D1212</f>
        <v>0</v>
      </c>
      <c r="E1213" s="180">
        <f>'רשימת מכשור 2015'!E1212</f>
        <v>0</v>
      </c>
      <c r="F1213" s="180">
        <f>'רשימת מכשור 2015'!F1212</f>
        <v>0</v>
      </c>
      <c r="G1213" s="195"/>
      <c r="H1213" s="195"/>
      <c r="I1213" s="196"/>
      <c r="J1213" s="195"/>
      <c r="K1213" s="195"/>
      <c r="L1213" s="195"/>
      <c r="M1213" s="195"/>
      <c r="N1213" s="197"/>
      <c r="O1213" s="195"/>
      <c r="P1213" s="195"/>
      <c r="Q1213" s="195"/>
    </row>
    <row r="1214" spans="1:17">
      <c r="A1214" s="180">
        <f>'רשימת מכשור 2015'!A1213</f>
        <v>0</v>
      </c>
      <c r="B1214" s="180">
        <f>'רשימת מכשור 2015'!B1213</f>
        <v>0</v>
      </c>
      <c r="C1214" s="180">
        <f>'רשימת מכשור 2015'!C1213</f>
        <v>0</v>
      </c>
      <c r="D1214" s="233">
        <f>'רשימת מכשור 2015'!D1213</f>
        <v>0</v>
      </c>
      <c r="E1214" s="180">
        <f>'רשימת מכשור 2015'!E1213</f>
        <v>0</v>
      </c>
      <c r="F1214" s="180">
        <f>'רשימת מכשור 2015'!F1213</f>
        <v>0</v>
      </c>
      <c r="G1214" s="195"/>
      <c r="H1214" s="195"/>
      <c r="I1214" s="196"/>
      <c r="J1214" s="195"/>
      <c r="K1214" s="195"/>
      <c r="L1214" s="195"/>
      <c r="M1214" s="195"/>
      <c r="N1214" s="197"/>
      <c r="O1214" s="195"/>
      <c r="P1214" s="195"/>
      <c r="Q1214" s="195"/>
    </row>
    <row r="1215" spans="1:17">
      <c r="A1215" s="180">
        <f>'רשימת מכשור 2015'!A1214</f>
        <v>0</v>
      </c>
      <c r="B1215" s="180">
        <f>'רשימת מכשור 2015'!B1214</f>
        <v>0</v>
      </c>
      <c r="C1215" s="180">
        <f>'רשימת מכשור 2015'!C1214</f>
        <v>0</v>
      </c>
      <c r="D1215" s="233">
        <f>'רשימת מכשור 2015'!D1214</f>
        <v>0</v>
      </c>
      <c r="E1215" s="180">
        <f>'רשימת מכשור 2015'!E1214</f>
        <v>0</v>
      </c>
      <c r="F1215" s="180">
        <f>'רשימת מכשור 2015'!F1214</f>
        <v>0</v>
      </c>
      <c r="G1215" s="195"/>
      <c r="H1215" s="195"/>
      <c r="I1215" s="196"/>
      <c r="J1215" s="195"/>
      <c r="K1215" s="195"/>
      <c r="L1215" s="195"/>
      <c r="M1215" s="195"/>
      <c r="N1215" s="197"/>
      <c r="O1215" s="195"/>
      <c r="P1215" s="195"/>
      <c r="Q1215" s="195"/>
    </row>
    <row r="1216" spans="1:17">
      <c r="A1216" s="180">
        <f>'רשימת מכשור 2015'!A1215</f>
        <v>0</v>
      </c>
      <c r="B1216" s="180">
        <f>'רשימת מכשור 2015'!B1215</f>
        <v>0</v>
      </c>
      <c r="C1216" s="180">
        <f>'רשימת מכשור 2015'!C1215</f>
        <v>0</v>
      </c>
      <c r="D1216" s="233">
        <f>'רשימת מכשור 2015'!D1215</f>
        <v>0</v>
      </c>
      <c r="E1216" s="180">
        <f>'רשימת מכשור 2015'!E1215</f>
        <v>0</v>
      </c>
      <c r="F1216" s="180">
        <f>'רשימת מכשור 2015'!F1215</f>
        <v>0</v>
      </c>
      <c r="G1216" s="195"/>
      <c r="H1216" s="195"/>
      <c r="I1216" s="196"/>
      <c r="J1216" s="195"/>
      <c r="K1216" s="195"/>
      <c r="L1216" s="195"/>
      <c r="M1216" s="195"/>
      <c r="N1216" s="197"/>
      <c r="O1216" s="195"/>
      <c r="P1216" s="195"/>
      <c r="Q1216" s="195"/>
    </row>
    <row r="1217" spans="1:17">
      <c r="A1217" s="180">
        <f>'רשימת מכשור 2015'!A1216</f>
        <v>0</v>
      </c>
      <c r="B1217" s="180">
        <f>'רשימת מכשור 2015'!B1216</f>
        <v>0</v>
      </c>
      <c r="C1217" s="180">
        <f>'רשימת מכשור 2015'!C1216</f>
        <v>0</v>
      </c>
      <c r="D1217" s="233">
        <f>'רשימת מכשור 2015'!D1216</f>
        <v>0</v>
      </c>
      <c r="E1217" s="180">
        <f>'רשימת מכשור 2015'!E1216</f>
        <v>0</v>
      </c>
      <c r="F1217" s="180">
        <f>'רשימת מכשור 2015'!F1216</f>
        <v>0</v>
      </c>
      <c r="G1217" s="195"/>
      <c r="H1217" s="195"/>
      <c r="I1217" s="196"/>
      <c r="J1217" s="195"/>
      <c r="K1217" s="195"/>
      <c r="L1217" s="195"/>
      <c r="M1217" s="195"/>
      <c r="N1217" s="197"/>
      <c r="O1217" s="195"/>
      <c r="P1217" s="195"/>
      <c r="Q1217" s="195"/>
    </row>
    <row r="1218" spans="1:17">
      <c r="A1218" s="180">
        <f>'רשימת מכשור 2015'!A1217</f>
        <v>0</v>
      </c>
      <c r="B1218" s="180">
        <f>'רשימת מכשור 2015'!B1217</f>
        <v>0</v>
      </c>
      <c r="C1218" s="180">
        <f>'רשימת מכשור 2015'!C1217</f>
        <v>0</v>
      </c>
      <c r="D1218" s="233">
        <f>'רשימת מכשור 2015'!D1217</f>
        <v>0</v>
      </c>
      <c r="E1218" s="180">
        <f>'רשימת מכשור 2015'!E1217</f>
        <v>0</v>
      </c>
      <c r="F1218" s="180">
        <f>'רשימת מכשור 2015'!F1217</f>
        <v>0</v>
      </c>
      <c r="G1218" s="195"/>
      <c r="H1218" s="195"/>
      <c r="I1218" s="196"/>
      <c r="J1218" s="195"/>
      <c r="K1218" s="195"/>
      <c r="L1218" s="195"/>
      <c r="M1218" s="195"/>
      <c r="N1218" s="197"/>
      <c r="O1218" s="195"/>
      <c r="P1218" s="195"/>
      <c r="Q1218" s="195"/>
    </row>
    <row r="1219" spans="1:17">
      <c r="A1219" s="180">
        <f>'רשימת מכשור 2015'!A1218</f>
        <v>0</v>
      </c>
      <c r="B1219" s="180">
        <f>'רשימת מכשור 2015'!B1218</f>
        <v>0</v>
      </c>
      <c r="C1219" s="180">
        <f>'רשימת מכשור 2015'!C1218</f>
        <v>0</v>
      </c>
      <c r="D1219" s="233">
        <f>'רשימת מכשור 2015'!D1218</f>
        <v>0</v>
      </c>
      <c r="E1219" s="180">
        <f>'רשימת מכשור 2015'!E1218</f>
        <v>0</v>
      </c>
      <c r="F1219" s="180">
        <f>'רשימת מכשור 2015'!F1218</f>
        <v>0</v>
      </c>
      <c r="G1219" s="195"/>
      <c r="H1219" s="195"/>
      <c r="I1219" s="196"/>
      <c r="J1219" s="195"/>
      <c r="K1219" s="195"/>
      <c r="L1219" s="195"/>
      <c r="M1219" s="195"/>
      <c r="N1219" s="197"/>
      <c r="O1219" s="195"/>
      <c r="P1219" s="195"/>
      <c r="Q1219" s="195"/>
    </row>
    <row r="1220" spans="1:17">
      <c r="A1220" s="180">
        <f>'רשימת מכשור 2015'!A1219</f>
        <v>0</v>
      </c>
      <c r="B1220" s="180">
        <f>'רשימת מכשור 2015'!B1219</f>
        <v>0</v>
      </c>
      <c r="C1220" s="180">
        <f>'רשימת מכשור 2015'!C1219</f>
        <v>0</v>
      </c>
      <c r="D1220" s="233">
        <f>'רשימת מכשור 2015'!D1219</f>
        <v>0</v>
      </c>
      <c r="E1220" s="180">
        <f>'רשימת מכשור 2015'!E1219</f>
        <v>0</v>
      </c>
      <c r="F1220" s="180">
        <f>'רשימת מכשור 2015'!F1219</f>
        <v>0</v>
      </c>
      <c r="G1220" s="195"/>
      <c r="H1220" s="195"/>
      <c r="I1220" s="196"/>
      <c r="J1220" s="195"/>
      <c r="K1220" s="195"/>
      <c r="L1220" s="195"/>
      <c r="M1220" s="195"/>
      <c r="N1220" s="197"/>
      <c r="O1220" s="195"/>
      <c r="P1220" s="195"/>
      <c r="Q1220" s="195"/>
    </row>
    <row r="1221" spans="1:17">
      <c r="A1221" s="180">
        <f>'רשימת מכשור 2015'!A1220</f>
        <v>0</v>
      </c>
      <c r="B1221" s="180">
        <f>'רשימת מכשור 2015'!B1220</f>
        <v>0</v>
      </c>
      <c r="C1221" s="180">
        <f>'רשימת מכשור 2015'!C1220</f>
        <v>0</v>
      </c>
      <c r="D1221" s="233">
        <f>'רשימת מכשור 2015'!D1220</f>
        <v>0</v>
      </c>
      <c r="E1221" s="180">
        <f>'רשימת מכשור 2015'!E1220</f>
        <v>0</v>
      </c>
      <c r="F1221" s="180">
        <f>'רשימת מכשור 2015'!F1220</f>
        <v>0</v>
      </c>
      <c r="G1221" s="195"/>
      <c r="H1221" s="195"/>
      <c r="I1221" s="196"/>
      <c r="J1221" s="195"/>
      <c r="K1221" s="195"/>
      <c r="L1221" s="195"/>
      <c r="M1221" s="195"/>
      <c r="N1221" s="197"/>
      <c r="O1221" s="195"/>
      <c r="P1221" s="195"/>
      <c r="Q1221" s="195"/>
    </row>
    <row r="1222" spans="1:17">
      <c r="A1222" s="180">
        <f>'רשימת מכשור 2015'!A1221</f>
        <v>0</v>
      </c>
      <c r="B1222" s="180">
        <f>'רשימת מכשור 2015'!B1221</f>
        <v>0</v>
      </c>
      <c r="C1222" s="180">
        <f>'רשימת מכשור 2015'!C1221</f>
        <v>0</v>
      </c>
      <c r="D1222" s="233">
        <f>'רשימת מכשור 2015'!D1221</f>
        <v>0</v>
      </c>
      <c r="E1222" s="180">
        <f>'רשימת מכשור 2015'!E1221</f>
        <v>0</v>
      </c>
      <c r="F1222" s="180">
        <f>'רשימת מכשור 2015'!F1221</f>
        <v>0</v>
      </c>
      <c r="G1222" s="195"/>
      <c r="H1222" s="195"/>
      <c r="I1222" s="196"/>
      <c r="J1222" s="195"/>
      <c r="K1222" s="195"/>
      <c r="L1222" s="195"/>
      <c r="M1222" s="195"/>
      <c r="N1222" s="197"/>
      <c r="O1222" s="195"/>
      <c r="P1222" s="195"/>
      <c r="Q1222" s="195"/>
    </row>
    <row r="1223" spans="1:17">
      <c r="A1223" s="180">
        <f>'רשימת מכשור 2015'!A1222</f>
        <v>0</v>
      </c>
      <c r="B1223" s="180">
        <f>'רשימת מכשור 2015'!B1222</f>
        <v>0</v>
      </c>
      <c r="C1223" s="180">
        <f>'רשימת מכשור 2015'!C1222</f>
        <v>0</v>
      </c>
      <c r="D1223" s="233">
        <f>'רשימת מכשור 2015'!D1222</f>
        <v>0</v>
      </c>
      <c r="E1223" s="180">
        <f>'רשימת מכשור 2015'!E1222</f>
        <v>0</v>
      </c>
      <c r="F1223" s="180">
        <f>'רשימת מכשור 2015'!F1222</f>
        <v>0</v>
      </c>
      <c r="G1223" s="195"/>
      <c r="H1223" s="195"/>
      <c r="I1223" s="196"/>
      <c r="J1223" s="195"/>
      <c r="K1223" s="195"/>
      <c r="L1223" s="195"/>
      <c r="M1223" s="195"/>
      <c r="N1223" s="197"/>
      <c r="O1223" s="195"/>
      <c r="P1223" s="195"/>
      <c r="Q1223" s="195"/>
    </row>
    <row r="1224" spans="1:17">
      <c r="A1224" s="180">
        <f>'רשימת מכשור 2015'!A1223</f>
        <v>0</v>
      </c>
      <c r="B1224" s="180">
        <f>'רשימת מכשור 2015'!B1223</f>
        <v>0</v>
      </c>
      <c r="C1224" s="180">
        <f>'רשימת מכשור 2015'!C1223</f>
        <v>0</v>
      </c>
      <c r="D1224" s="233">
        <f>'רשימת מכשור 2015'!D1223</f>
        <v>0</v>
      </c>
      <c r="E1224" s="180">
        <f>'רשימת מכשור 2015'!E1223</f>
        <v>0</v>
      </c>
      <c r="F1224" s="180">
        <f>'רשימת מכשור 2015'!F1223</f>
        <v>0</v>
      </c>
      <c r="G1224" s="195"/>
      <c r="H1224" s="195"/>
      <c r="I1224" s="196"/>
      <c r="J1224" s="195"/>
      <c r="K1224" s="195"/>
      <c r="L1224" s="195"/>
      <c r="M1224" s="195"/>
      <c r="N1224" s="197"/>
      <c r="O1224" s="195"/>
      <c r="P1224" s="195"/>
      <c r="Q1224" s="195"/>
    </row>
    <row r="1225" spans="1:17">
      <c r="A1225" s="180">
        <f>'רשימת מכשור 2015'!A1224</f>
        <v>0</v>
      </c>
      <c r="B1225" s="180">
        <f>'רשימת מכשור 2015'!B1224</f>
        <v>0</v>
      </c>
      <c r="C1225" s="180">
        <f>'רשימת מכשור 2015'!C1224</f>
        <v>0</v>
      </c>
      <c r="D1225" s="233">
        <f>'רשימת מכשור 2015'!D1224</f>
        <v>0</v>
      </c>
      <c r="E1225" s="180">
        <f>'רשימת מכשור 2015'!E1224</f>
        <v>0</v>
      </c>
      <c r="F1225" s="180">
        <f>'רשימת מכשור 2015'!F1224</f>
        <v>0</v>
      </c>
      <c r="G1225" s="195"/>
      <c r="H1225" s="195"/>
      <c r="I1225" s="196"/>
      <c r="J1225" s="195"/>
      <c r="K1225" s="195"/>
      <c r="L1225" s="195"/>
      <c r="M1225" s="195"/>
      <c r="N1225" s="197"/>
      <c r="O1225" s="195"/>
      <c r="P1225" s="195"/>
      <c r="Q1225" s="195"/>
    </row>
    <row r="1226" spans="1:17">
      <c r="A1226" s="180">
        <f>'רשימת מכשור 2015'!A1225</f>
        <v>0</v>
      </c>
      <c r="B1226" s="180">
        <f>'רשימת מכשור 2015'!B1225</f>
        <v>0</v>
      </c>
      <c r="C1226" s="180">
        <f>'רשימת מכשור 2015'!C1225</f>
        <v>0</v>
      </c>
      <c r="D1226" s="233">
        <f>'רשימת מכשור 2015'!D1225</f>
        <v>0</v>
      </c>
      <c r="E1226" s="180">
        <f>'רשימת מכשור 2015'!E1225</f>
        <v>0</v>
      </c>
      <c r="F1226" s="180">
        <f>'רשימת מכשור 2015'!F1225</f>
        <v>0</v>
      </c>
      <c r="G1226" s="195"/>
      <c r="H1226" s="195"/>
      <c r="I1226" s="196"/>
      <c r="J1226" s="195"/>
      <c r="K1226" s="195"/>
      <c r="L1226" s="195"/>
      <c r="M1226" s="195"/>
      <c r="N1226" s="197"/>
      <c r="O1226" s="195"/>
      <c r="P1226" s="195"/>
      <c r="Q1226" s="195"/>
    </row>
    <row r="1227" spans="1:17">
      <c r="A1227" s="180">
        <f>'רשימת מכשור 2015'!A1226</f>
        <v>0</v>
      </c>
      <c r="B1227" s="180">
        <f>'רשימת מכשור 2015'!B1226</f>
        <v>0</v>
      </c>
      <c r="C1227" s="180">
        <f>'רשימת מכשור 2015'!C1226</f>
        <v>0</v>
      </c>
      <c r="D1227" s="233">
        <f>'רשימת מכשור 2015'!D1226</f>
        <v>0</v>
      </c>
      <c r="E1227" s="180">
        <f>'רשימת מכשור 2015'!E1226</f>
        <v>0</v>
      </c>
      <c r="F1227" s="180">
        <f>'רשימת מכשור 2015'!F1226</f>
        <v>0</v>
      </c>
      <c r="G1227" s="195"/>
      <c r="H1227" s="195"/>
      <c r="I1227" s="196"/>
      <c r="J1227" s="195"/>
      <c r="K1227" s="195"/>
      <c r="L1227" s="195"/>
      <c r="M1227" s="195"/>
      <c r="N1227" s="197"/>
      <c r="O1227" s="195"/>
      <c r="P1227" s="195"/>
      <c r="Q1227" s="195"/>
    </row>
    <row r="1228" spans="1:17">
      <c r="A1228" s="180">
        <f>'רשימת מכשור 2015'!A1227</f>
        <v>0</v>
      </c>
      <c r="B1228" s="180">
        <f>'רשימת מכשור 2015'!B1227</f>
        <v>0</v>
      </c>
      <c r="C1228" s="180">
        <f>'רשימת מכשור 2015'!C1227</f>
        <v>0</v>
      </c>
      <c r="D1228" s="233">
        <f>'רשימת מכשור 2015'!D1227</f>
        <v>0</v>
      </c>
      <c r="E1228" s="180">
        <f>'רשימת מכשור 2015'!E1227</f>
        <v>0</v>
      </c>
      <c r="F1228" s="180">
        <f>'רשימת מכשור 2015'!F1227</f>
        <v>0</v>
      </c>
      <c r="G1228" s="195"/>
      <c r="H1228" s="195"/>
      <c r="I1228" s="196"/>
      <c r="J1228" s="195"/>
      <c r="K1228" s="195"/>
      <c r="L1228" s="195"/>
      <c r="M1228" s="195"/>
      <c r="N1228" s="197"/>
      <c r="O1228" s="195"/>
      <c r="P1228" s="195"/>
      <c r="Q1228" s="195"/>
    </row>
    <row r="1229" spans="1:17">
      <c r="A1229" s="180">
        <f>'רשימת מכשור 2015'!A1228</f>
        <v>0</v>
      </c>
      <c r="B1229" s="180">
        <f>'רשימת מכשור 2015'!B1228</f>
        <v>0</v>
      </c>
      <c r="C1229" s="180">
        <f>'רשימת מכשור 2015'!C1228</f>
        <v>0</v>
      </c>
      <c r="D1229" s="233">
        <f>'רשימת מכשור 2015'!D1228</f>
        <v>0</v>
      </c>
      <c r="E1229" s="180">
        <f>'רשימת מכשור 2015'!E1228</f>
        <v>0</v>
      </c>
      <c r="F1229" s="180">
        <f>'רשימת מכשור 2015'!F1228</f>
        <v>0</v>
      </c>
      <c r="G1229" s="195"/>
      <c r="H1229" s="195"/>
      <c r="I1229" s="196"/>
      <c r="J1229" s="195"/>
      <c r="K1229" s="195"/>
      <c r="L1229" s="195"/>
      <c r="M1229" s="195"/>
      <c r="N1229" s="197"/>
      <c r="O1229" s="195"/>
      <c r="P1229" s="195"/>
      <c r="Q1229" s="195"/>
    </row>
    <row r="1230" spans="1:17">
      <c r="A1230" s="180">
        <f>'רשימת מכשור 2015'!A1229</f>
        <v>0</v>
      </c>
      <c r="B1230" s="180">
        <f>'רשימת מכשור 2015'!B1229</f>
        <v>0</v>
      </c>
      <c r="C1230" s="180">
        <f>'רשימת מכשור 2015'!C1229</f>
        <v>0</v>
      </c>
      <c r="D1230" s="233">
        <f>'רשימת מכשור 2015'!D1229</f>
        <v>0</v>
      </c>
      <c r="E1230" s="180">
        <f>'רשימת מכשור 2015'!E1229</f>
        <v>0</v>
      </c>
      <c r="F1230" s="180">
        <f>'רשימת מכשור 2015'!F1229</f>
        <v>0</v>
      </c>
      <c r="G1230" s="195"/>
      <c r="H1230" s="195"/>
      <c r="I1230" s="196"/>
      <c r="J1230" s="195"/>
      <c r="K1230" s="195"/>
      <c r="L1230" s="195"/>
      <c r="M1230" s="195"/>
      <c r="N1230" s="197"/>
      <c r="O1230" s="195"/>
      <c r="P1230" s="195"/>
      <c r="Q1230" s="195"/>
    </row>
    <row r="1231" spans="1:17">
      <c r="A1231" s="180">
        <f>'רשימת מכשור 2015'!A1230</f>
        <v>0</v>
      </c>
      <c r="B1231" s="180">
        <f>'רשימת מכשור 2015'!B1230</f>
        <v>0</v>
      </c>
      <c r="C1231" s="180">
        <f>'רשימת מכשור 2015'!C1230</f>
        <v>0</v>
      </c>
      <c r="D1231" s="233">
        <f>'רשימת מכשור 2015'!D1230</f>
        <v>0</v>
      </c>
      <c r="E1231" s="180">
        <f>'רשימת מכשור 2015'!E1230</f>
        <v>0</v>
      </c>
      <c r="F1231" s="180">
        <f>'רשימת מכשור 2015'!F1230</f>
        <v>0</v>
      </c>
      <c r="G1231" s="195"/>
      <c r="H1231" s="195"/>
      <c r="I1231" s="196"/>
      <c r="J1231" s="195"/>
      <c r="K1231" s="195"/>
      <c r="L1231" s="195"/>
      <c r="M1231" s="195"/>
      <c r="N1231" s="197"/>
      <c r="O1231" s="195"/>
      <c r="P1231" s="195"/>
      <c r="Q1231" s="195"/>
    </row>
    <row r="1232" spans="1:17">
      <c r="A1232" s="180">
        <f>'רשימת מכשור 2015'!A1231</f>
        <v>0</v>
      </c>
      <c r="B1232" s="180">
        <f>'רשימת מכשור 2015'!B1231</f>
        <v>0</v>
      </c>
      <c r="C1232" s="180">
        <f>'רשימת מכשור 2015'!C1231</f>
        <v>0</v>
      </c>
      <c r="D1232" s="233">
        <f>'רשימת מכשור 2015'!D1231</f>
        <v>0</v>
      </c>
      <c r="E1232" s="180">
        <f>'רשימת מכשור 2015'!E1231</f>
        <v>0</v>
      </c>
      <c r="F1232" s="180">
        <f>'רשימת מכשור 2015'!F1231</f>
        <v>0</v>
      </c>
      <c r="G1232" s="195"/>
      <c r="H1232" s="195"/>
      <c r="I1232" s="196"/>
      <c r="J1232" s="195"/>
      <c r="K1232" s="195"/>
      <c r="L1232" s="195"/>
      <c r="M1232" s="195"/>
      <c r="N1232" s="197"/>
      <c r="O1232" s="195"/>
      <c r="P1232" s="195"/>
      <c r="Q1232" s="195"/>
    </row>
    <row r="1233" spans="1:17">
      <c r="A1233" s="180">
        <f>'רשימת מכשור 2015'!A1232</f>
        <v>0</v>
      </c>
      <c r="B1233" s="180">
        <f>'רשימת מכשור 2015'!B1232</f>
        <v>0</v>
      </c>
      <c r="C1233" s="180">
        <f>'רשימת מכשור 2015'!C1232</f>
        <v>0</v>
      </c>
      <c r="D1233" s="233">
        <f>'רשימת מכשור 2015'!D1232</f>
        <v>0</v>
      </c>
      <c r="E1233" s="180">
        <f>'רשימת מכשור 2015'!E1232</f>
        <v>0</v>
      </c>
      <c r="F1233" s="180">
        <f>'רשימת מכשור 2015'!F1232</f>
        <v>0</v>
      </c>
      <c r="G1233" s="195"/>
      <c r="H1233" s="195"/>
      <c r="I1233" s="196"/>
      <c r="J1233" s="195"/>
      <c r="K1233" s="195"/>
      <c r="L1233" s="195"/>
      <c r="M1233" s="195"/>
      <c r="N1233" s="197"/>
      <c r="O1233" s="195"/>
      <c r="P1233" s="195"/>
      <c r="Q1233" s="195"/>
    </row>
    <row r="1234" spans="1:17">
      <c r="A1234" s="180">
        <f>'רשימת מכשור 2015'!A1233</f>
        <v>0</v>
      </c>
      <c r="B1234" s="180">
        <f>'רשימת מכשור 2015'!B1233</f>
        <v>0</v>
      </c>
      <c r="C1234" s="180">
        <f>'רשימת מכשור 2015'!C1233</f>
        <v>0</v>
      </c>
      <c r="D1234" s="233">
        <f>'רשימת מכשור 2015'!D1233</f>
        <v>0</v>
      </c>
      <c r="E1234" s="180">
        <f>'רשימת מכשור 2015'!E1233</f>
        <v>0</v>
      </c>
      <c r="F1234" s="180">
        <f>'רשימת מכשור 2015'!F1233</f>
        <v>0</v>
      </c>
      <c r="G1234" s="195"/>
      <c r="H1234" s="195"/>
      <c r="I1234" s="196"/>
      <c r="J1234" s="195"/>
      <c r="K1234" s="195"/>
      <c r="L1234" s="195"/>
      <c r="M1234" s="195"/>
      <c r="N1234" s="197"/>
      <c r="O1234" s="195"/>
      <c r="P1234" s="195"/>
      <c r="Q1234" s="195"/>
    </row>
    <row r="1235" spans="1:17">
      <c r="A1235" s="180">
        <f>'רשימת מכשור 2015'!A1234</f>
        <v>0</v>
      </c>
      <c r="B1235" s="180">
        <f>'רשימת מכשור 2015'!B1234</f>
        <v>0</v>
      </c>
      <c r="C1235" s="180">
        <f>'רשימת מכשור 2015'!C1234</f>
        <v>0</v>
      </c>
      <c r="D1235" s="233">
        <f>'רשימת מכשור 2015'!D1234</f>
        <v>0</v>
      </c>
      <c r="E1235" s="180">
        <f>'רשימת מכשור 2015'!E1234</f>
        <v>0</v>
      </c>
      <c r="F1235" s="180">
        <f>'רשימת מכשור 2015'!F1234</f>
        <v>0</v>
      </c>
      <c r="G1235" s="195"/>
      <c r="H1235" s="195"/>
      <c r="I1235" s="196"/>
      <c r="J1235" s="195"/>
      <c r="K1235" s="195"/>
      <c r="L1235" s="195"/>
      <c r="M1235" s="195"/>
      <c r="N1235" s="197"/>
      <c r="O1235" s="195"/>
      <c r="P1235" s="195"/>
      <c r="Q1235" s="195"/>
    </row>
    <row r="1236" spans="1:17">
      <c r="A1236" s="180">
        <f>'רשימת מכשור 2015'!A1235</f>
        <v>0</v>
      </c>
      <c r="B1236" s="180">
        <f>'רשימת מכשור 2015'!B1235</f>
        <v>0</v>
      </c>
      <c r="C1236" s="180">
        <f>'רשימת מכשור 2015'!C1235</f>
        <v>0</v>
      </c>
      <c r="D1236" s="233">
        <f>'רשימת מכשור 2015'!D1235</f>
        <v>0</v>
      </c>
      <c r="E1236" s="180">
        <f>'רשימת מכשור 2015'!E1235</f>
        <v>0</v>
      </c>
      <c r="F1236" s="180">
        <f>'רשימת מכשור 2015'!F1235</f>
        <v>0</v>
      </c>
      <c r="G1236" s="195"/>
      <c r="H1236" s="195"/>
      <c r="I1236" s="196"/>
      <c r="J1236" s="195"/>
      <c r="K1236" s="195"/>
      <c r="L1236" s="195"/>
      <c r="M1236" s="195"/>
      <c r="N1236" s="197"/>
      <c r="O1236" s="195"/>
      <c r="P1236" s="195"/>
      <c r="Q1236" s="195"/>
    </row>
    <row r="1237" spans="1:17">
      <c r="A1237" s="180">
        <f>'רשימת מכשור 2015'!A1236</f>
        <v>0</v>
      </c>
      <c r="B1237" s="180">
        <f>'רשימת מכשור 2015'!B1236</f>
        <v>0</v>
      </c>
      <c r="C1237" s="180">
        <f>'רשימת מכשור 2015'!C1236</f>
        <v>0</v>
      </c>
      <c r="D1237" s="233">
        <f>'רשימת מכשור 2015'!D1236</f>
        <v>0</v>
      </c>
      <c r="E1237" s="180">
        <f>'רשימת מכשור 2015'!E1236</f>
        <v>0</v>
      </c>
      <c r="F1237" s="180">
        <f>'רשימת מכשור 2015'!F1236</f>
        <v>0</v>
      </c>
      <c r="G1237" s="195"/>
      <c r="H1237" s="195"/>
      <c r="I1237" s="196"/>
      <c r="J1237" s="195"/>
      <c r="K1237" s="195"/>
      <c r="L1237" s="195"/>
      <c r="M1237" s="195"/>
      <c r="N1237" s="197"/>
      <c r="O1237" s="195"/>
      <c r="P1237" s="195"/>
      <c r="Q1237" s="195"/>
    </row>
    <row r="1238" spans="1:17">
      <c r="A1238" s="180">
        <f>'רשימת מכשור 2015'!A1237</f>
        <v>0</v>
      </c>
      <c r="B1238" s="180">
        <f>'רשימת מכשור 2015'!B1237</f>
        <v>0</v>
      </c>
      <c r="C1238" s="180">
        <f>'רשימת מכשור 2015'!C1237</f>
        <v>0</v>
      </c>
      <c r="D1238" s="233">
        <f>'רשימת מכשור 2015'!D1237</f>
        <v>0</v>
      </c>
      <c r="E1238" s="180">
        <f>'רשימת מכשור 2015'!E1237</f>
        <v>0</v>
      </c>
      <c r="F1238" s="180">
        <f>'רשימת מכשור 2015'!F1237</f>
        <v>0</v>
      </c>
      <c r="G1238" s="195"/>
      <c r="H1238" s="195"/>
      <c r="I1238" s="196"/>
      <c r="J1238" s="195"/>
      <c r="K1238" s="195"/>
      <c r="L1238" s="195"/>
      <c r="M1238" s="195"/>
      <c r="N1238" s="197"/>
      <c r="O1238" s="195"/>
      <c r="P1238" s="195"/>
      <c r="Q1238" s="195"/>
    </row>
    <row r="1239" spans="1:17">
      <c r="A1239" s="180">
        <f>'רשימת מכשור 2015'!A1238</f>
        <v>0</v>
      </c>
      <c r="B1239" s="180">
        <f>'רשימת מכשור 2015'!B1238</f>
        <v>0</v>
      </c>
      <c r="C1239" s="180">
        <f>'רשימת מכשור 2015'!C1238</f>
        <v>0</v>
      </c>
      <c r="D1239" s="233">
        <f>'רשימת מכשור 2015'!D1238</f>
        <v>0</v>
      </c>
      <c r="E1239" s="180">
        <f>'רשימת מכשור 2015'!E1238</f>
        <v>0</v>
      </c>
      <c r="F1239" s="180">
        <f>'רשימת מכשור 2015'!F1238</f>
        <v>0</v>
      </c>
      <c r="G1239" s="195"/>
      <c r="H1239" s="195"/>
      <c r="I1239" s="196"/>
      <c r="J1239" s="195"/>
      <c r="K1239" s="195"/>
      <c r="L1239" s="195"/>
      <c r="M1239" s="195"/>
      <c r="N1239" s="197"/>
      <c r="O1239" s="195"/>
      <c r="P1239" s="195"/>
      <c r="Q1239" s="195"/>
    </row>
    <row r="1240" spans="1:17">
      <c r="A1240" s="180">
        <f>'רשימת מכשור 2015'!A1239</f>
        <v>0</v>
      </c>
      <c r="B1240" s="180">
        <f>'רשימת מכשור 2015'!B1239</f>
        <v>0</v>
      </c>
      <c r="C1240" s="180">
        <f>'רשימת מכשור 2015'!C1239</f>
        <v>0</v>
      </c>
      <c r="D1240" s="233">
        <f>'רשימת מכשור 2015'!D1239</f>
        <v>0</v>
      </c>
      <c r="E1240" s="180">
        <f>'רשימת מכשור 2015'!E1239</f>
        <v>0</v>
      </c>
      <c r="F1240" s="180">
        <f>'רשימת מכשור 2015'!F1239</f>
        <v>0</v>
      </c>
      <c r="G1240" s="195"/>
      <c r="H1240" s="195"/>
      <c r="I1240" s="196"/>
      <c r="J1240" s="195"/>
      <c r="K1240" s="195"/>
      <c r="L1240" s="195"/>
      <c r="M1240" s="195"/>
      <c r="N1240" s="197"/>
      <c r="O1240" s="195"/>
      <c r="P1240" s="195"/>
      <c r="Q1240" s="195"/>
    </row>
    <row r="1241" spans="1:17">
      <c r="A1241" s="180">
        <f>'רשימת מכשור 2015'!A1240</f>
        <v>0</v>
      </c>
      <c r="B1241" s="180">
        <f>'רשימת מכשור 2015'!B1240</f>
        <v>0</v>
      </c>
      <c r="C1241" s="180">
        <f>'רשימת מכשור 2015'!C1240</f>
        <v>0</v>
      </c>
      <c r="D1241" s="233">
        <f>'רשימת מכשור 2015'!D1240</f>
        <v>0</v>
      </c>
      <c r="E1241" s="180">
        <f>'רשימת מכשור 2015'!E1240</f>
        <v>0</v>
      </c>
      <c r="F1241" s="180">
        <f>'רשימת מכשור 2015'!F1240</f>
        <v>0</v>
      </c>
      <c r="G1241" s="195"/>
      <c r="H1241" s="195"/>
      <c r="I1241" s="196"/>
      <c r="J1241" s="195"/>
      <c r="K1241" s="195"/>
      <c r="L1241" s="195"/>
      <c r="M1241" s="195"/>
      <c r="N1241" s="197"/>
      <c r="O1241" s="195"/>
      <c r="P1241" s="195"/>
      <c r="Q1241" s="195"/>
    </row>
    <row r="1242" spans="1:17">
      <c r="A1242" s="180">
        <f>'רשימת מכשור 2015'!A1241</f>
        <v>0</v>
      </c>
      <c r="B1242" s="180">
        <f>'רשימת מכשור 2015'!B1241</f>
        <v>0</v>
      </c>
      <c r="C1242" s="180">
        <f>'רשימת מכשור 2015'!C1241</f>
        <v>0</v>
      </c>
      <c r="D1242" s="233">
        <f>'רשימת מכשור 2015'!D1241</f>
        <v>0</v>
      </c>
      <c r="E1242" s="180">
        <f>'רשימת מכשור 2015'!E1241</f>
        <v>0</v>
      </c>
      <c r="F1242" s="180">
        <f>'רשימת מכשור 2015'!F1241</f>
        <v>0</v>
      </c>
      <c r="G1242" s="195"/>
      <c r="H1242" s="195"/>
      <c r="I1242" s="196"/>
      <c r="J1242" s="195"/>
      <c r="K1242" s="195"/>
      <c r="L1242" s="195"/>
      <c r="M1242" s="195"/>
      <c r="N1242" s="197"/>
      <c r="O1242" s="195"/>
      <c r="P1242" s="195"/>
      <c r="Q1242" s="195"/>
    </row>
    <row r="1243" spans="1:17">
      <c r="A1243" s="180">
        <f>'רשימת מכשור 2015'!A1242</f>
        <v>0</v>
      </c>
      <c r="B1243" s="180">
        <f>'רשימת מכשור 2015'!B1242</f>
        <v>0</v>
      </c>
      <c r="C1243" s="180">
        <f>'רשימת מכשור 2015'!C1242</f>
        <v>0</v>
      </c>
      <c r="D1243" s="233">
        <f>'רשימת מכשור 2015'!D1242</f>
        <v>0</v>
      </c>
      <c r="E1243" s="180">
        <f>'רשימת מכשור 2015'!E1242</f>
        <v>0</v>
      </c>
      <c r="F1243" s="180">
        <f>'רשימת מכשור 2015'!F1242</f>
        <v>0</v>
      </c>
      <c r="G1243" s="195"/>
      <c r="H1243" s="195"/>
      <c r="I1243" s="196"/>
      <c r="J1243" s="195"/>
      <c r="K1243" s="195"/>
      <c r="L1243" s="195"/>
      <c r="M1243" s="195"/>
      <c r="N1243" s="197"/>
      <c r="O1243" s="195"/>
      <c r="P1243" s="195"/>
      <c r="Q1243" s="195"/>
    </row>
    <row r="1244" spans="1:17">
      <c r="A1244" s="180">
        <f>'רשימת מכשור 2015'!A1243</f>
        <v>0</v>
      </c>
      <c r="B1244" s="180">
        <f>'רשימת מכשור 2015'!B1243</f>
        <v>0</v>
      </c>
      <c r="C1244" s="180">
        <f>'רשימת מכשור 2015'!C1243</f>
        <v>0</v>
      </c>
      <c r="D1244" s="233">
        <f>'רשימת מכשור 2015'!D1243</f>
        <v>0</v>
      </c>
      <c r="E1244" s="180">
        <f>'רשימת מכשור 2015'!E1243</f>
        <v>0</v>
      </c>
      <c r="F1244" s="180">
        <f>'רשימת מכשור 2015'!F1243</f>
        <v>0</v>
      </c>
      <c r="G1244" s="195"/>
      <c r="H1244" s="195"/>
      <c r="I1244" s="196"/>
      <c r="J1244" s="195"/>
      <c r="K1244" s="195"/>
      <c r="L1244" s="195"/>
      <c r="M1244" s="195"/>
      <c r="N1244" s="197"/>
      <c r="O1244" s="195"/>
      <c r="P1244" s="195"/>
      <c r="Q1244" s="195"/>
    </row>
    <row r="1245" spans="1:17">
      <c r="A1245" s="180">
        <f>'רשימת מכשור 2015'!A1244</f>
        <v>0</v>
      </c>
      <c r="B1245" s="180">
        <f>'רשימת מכשור 2015'!B1244</f>
        <v>0</v>
      </c>
      <c r="C1245" s="180">
        <f>'רשימת מכשור 2015'!C1244</f>
        <v>0</v>
      </c>
      <c r="D1245" s="233">
        <f>'רשימת מכשור 2015'!D1244</f>
        <v>0</v>
      </c>
      <c r="E1245" s="180">
        <f>'רשימת מכשור 2015'!E1244</f>
        <v>0</v>
      </c>
      <c r="F1245" s="180">
        <f>'רשימת מכשור 2015'!F1244</f>
        <v>0</v>
      </c>
      <c r="G1245" s="195"/>
      <c r="H1245" s="195"/>
      <c r="I1245" s="196"/>
      <c r="J1245" s="195"/>
      <c r="K1245" s="195"/>
      <c r="L1245" s="195"/>
      <c r="M1245" s="195"/>
      <c r="N1245" s="197"/>
      <c r="O1245" s="195"/>
      <c r="P1245" s="195"/>
      <c r="Q1245" s="195"/>
    </row>
    <row r="1246" spans="1:17">
      <c r="A1246" s="180">
        <f>'רשימת מכשור 2015'!A1245</f>
        <v>0</v>
      </c>
      <c r="B1246" s="180">
        <f>'רשימת מכשור 2015'!B1245</f>
        <v>0</v>
      </c>
      <c r="C1246" s="180">
        <f>'רשימת מכשור 2015'!C1245</f>
        <v>0</v>
      </c>
      <c r="D1246" s="233">
        <f>'רשימת מכשור 2015'!D1245</f>
        <v>0</v>
      </c>
      <c r="E1246" s="180">
        <f>'רשימת מכשור 2015'!E1245</f>
        <v>0</v>
      </c>
      <c r="F1246" s="180">
        <f>'רשימת מכשור 2015'!F1245</f>
        <v>0</v>
      </c>
      <c r="G1246" s="195"/>
      <c r="H1246" s="195"/>
      <c r="I1246" s="196"/>
      <c r="J1246" s="195"/>
      <c r="K1246" s="195"/>
      <c r="L1246" s="195"/>
      <c r="M1246" s="195"/>
      <c r="N1246" s="197"/>
      <c r="O1246" s="195"/>
      <c r="P1246" s="195"/>
      <c r="Q1246" s="195"/>
    </row>
    <row r="1247" spans="1:17">
      <c r="A1247" s="180">
        <f>'רשימת מכשור 2015'!A1246</f>
        <v>0</v>
      </c>
      <c r="B1247" s="180">
        <f>'רשימת מכשור 2015'!B1246</f>
        <v>0</v>
      </c>
      <c r="C1247" s="180">
        <f>'רשימת מכשור 2015'!C1246</f>
        <v>0</v>
      </c>
      <c r="D1247" s="233">
        <f>'רשימת מכשור 2015'!D1246</f>
        <v>0</v>
      </c>
      <c r="E1247" s="180">
        <f>'רשימת מכשור 2015'!E1246</f>
        <v>0</v>
      </c>
      <c r="F1247" s="180">
        <f>'רשימת מכשור 2015'!F1246</f>
        <v>0</v>
      </c>
      <c r="G1247" s="195"/>
      <c r="H1247" s="195"/>
      <c r="I1247" s="196"/>
      <c r="J1247" s="195"/>
      <c r="K1247" s="195"/>
      <c r="L1247" s="195"/>
      <c r="M1247" s="195"/>
      <c r="N1247" s="197"/>
      <c r="O1247" s="195"/>
      <c r="P1247" s="195"/>
      <c r="Q1247" s="195"/>
    </row>
    <row r="1248" spans="1:17">
      <c r="A1248" s="180">
        <f>'רשימת מכשור 2015'!A1247</f>
        <v>0</v>
      </c>
      <c r="B1248" s="180">
        <f>'רשימת מכשור 2015'!B1247</f>
        <v>0</v>
      </c>
      <c r="C1248" s="180">
        <f>'רשימת מכשור 2015'!C1247</f>
        <v>0</v>
      </c>
      <c r="D1248" s="233">
        <f>'רשימת מכשור 2015'!D1247</f>
        <v>0</v>
      </c>
      <c r="E1248" s="180">
        <f>'רשימת מכשור 2015'!E1247</f>
        <v>0</v>
      </c>
      <c r="F1248" s="180">
        <f>'רשימת מכשור 2015'!F1247</f>
        <v>0</v>
      </c>
      <c r="G1248" s="195"/>
      <c r="H1248" s="195"/>
      <c r="I1248" s="196"/>
      <c r="J1248" s="195"/>
      <c r="K1248" s="195"/>
      <c r="L1248" s="195"/>
      <c r="M1248" s="195"/>
      <c r="N1248" s="197"/>
      <c r="O1248" s="195"/>
      <c r="P1248" s="195"/>
      <c r="Q1248" s="195"/>
    </row>
    <row r="1249" spans="1:17">
      <c r="A1249" s="180">
        <f>'רשימת מכשור 2015'!A1248</f>
        <v>0</v>
      </c>
      <c r="B1249" s="180">
        <f>'רשימת מכשור 2015'!B1248</f>
        <v>0</v>
      </c>
      <c r="C1249" s="180">
        <f>'רשימת מכשור 2015'!C1248</f>
        <v>0</v>
      </c>
      <c r="D1249" s="233">
        <f>'רשימת מכשור 2015'!D1248</f>
        <v>0</v>
      </c>
      <c r="E1249" s="180">
        <f>'רשימת מכשור 2015'!E1248</f>
        <v>0</v>
      </c>
      <c r="F1249" s="180">
        <f>'רשימת מכשור 2015'!F1248</f>
        <v>0</v>
      </c>
      <c r="G1249" s="195"/>
      <c r="H1249" s="195"/>
      <c r="I1249" s="196"/>
      <c r="J1249" s="195"/>
      <c r="K1249" s="195"/>
      <c r="L1249" s="195"/>
      <c r="M1249" s="195"/>
      <c r="N1249" s="197"/>
      <c r="O1249" s="195"/>
      <c r="P1249" s="195"/>
      <c r="Q1249" s="195"/>
    </row>
    <row r="1250" spans="1:17">
      <c r="A1250" s="180">
        <f>'רשימת מכשור 2015'!A1249</f>
        <v>0</v>
      </c>
      <c r="B1250" s="180">
        <f>'רשימת מכשור 2015'!B1249</f>
        <v>0</v>
      </c>
      <c r="C1250" s="180">
        <f>'רשימת מכשור 2015'!C1249</f>
        <v>0</v>
      </c>
      <c r="D1250" s="233">
        <f>'רשימת מכשור 2015'!D1249</f>
        <v>0</v>
      </c>
      <c r="E1250" s="180">
        <f>'רשימת מכשור 2015'!E1249</f>
        <v>0</v>
      </c>
      <c r="F1250" s="180">
        <f>'רשימת מכשור 2015'!F1249</f>
        <v>0</v>
      </c>
      <c r="G1250" s="195"/>
      <c r="H1250" s="195"/>
      <c r="I1250" s="196"/>
      <c r="J1250" s="195"/>
      <c r="K1250" s="195"/>
      <c r="L1250" s="195"/>
      <c r="M1250" s="195"/>
      <c r="N1250" s="197"/>
      <c r="O1250" s="195"/>
      <c r="P1250" s="195"/>
      <c r="Q1250" s="195"/>
    </row>
    <row r="1251" spans="1:17">
      <c r="A1251" s="180">
        <f>'רשימת מכשור 2015'!A1250</f>
        <v>0</v>
      </c>
      <c r="B1251" s="180">
        <f>'רשימת מכשור 2015'!B1250</f>
        <v>0</v>
      </c>
      <c r="C1251" s="180">
        <f>'רשימת מכשור 2015'!C1250</f>
        <v>0</v>
      </c>
      <c r="D1251" s="233">
        <f>'רשימת מכשור 2015'!D1250</f>
        <v>0</v>
      </c>
      <c r="E1251" s="180">
        <f>'רשימת מכשור 2015'!E1250</f>
        <v>0</v>
      </c>
      <c r="F1251" s="180">
        <f>'רשימת מכשור 2015'!F1250</f>
        <v>0</v>
      </c>
      <c r="G1251" s="195"/>
      <c r="H1251" s="195"/>
      <c r="I1251" s="196"/>
      <c r="J1251" s="195"/>
      <c r="K1251" s="195"/>
      <c r="L1251" s="195"/>
      <c r="M1251" s="195"/>
      <c r="N1251" s="197"/>
      <c r="O1251" s="195"/>
      <c r="P1251" s="195"/>
      <c r="Q1251" s="195"/>
    </row>
    <row r="1252" spans="1:17">
      <c r="A1252" s="180">
        <f>'רשימת מכשור 2015'!A1251</f>
        <v>0</v>
      </c>
      <c r="B1252" s="180">
        <f>'רשימת מכשור 2015'!B1251</f>
        <v>0</v>
      </c>
      <c r="C1252" s="180">
        <f>'רשימת מכשור 2015'!C1251</f>
        <v>0</v>
      </c>
      <c r="D1252" s="233">
        <f>'רשימת מכשור 2015'!D1251</f>
        <v>0</v>
      </c>
      <c r="E1252" s="180">
        <f>'רשימת מכשור 2015'!E1251</f>
        <v>0</v>
      </c>
      <c r="F1252" s="180">
        <f>'רשימת מכשור 2015'!F1251</f>
        <v>0</v>
      </c>
      <c r="G1252" s="195"/>
      <c r="H1252" s="195"/>
      <c r="I1252" s="196"/>
      <c r="J1252" s="195"/>
      <c r="K1252" s="195"/>
      <c r="L1252" s="195"/>
      <c r="M1252" s="195"/>
      <c r="N1252" s="197"/>
      <c r="O1252" s="195"/>
      <c r="P1252" s="195"/>
      <c r="Q1252" s="195"/>
    </row>
    <row r="1253" spans="1:17">
      <c r="A1253" s="180">
        <f>'רשימת מכשור 2015'!A1252</f>
        <v>0</v>
      </c>
      <c r="B1253" s="180">
        <f>'רשימת מכשור 2015'!B1252</f>
        <v>0</v>
      </c>
      <c r="C1253" s="180">
        <f>'רשימת מכשור 2015'!C1252</f>
        <v>0</v>
      </c>
      <c r="D1253" s="233">
        <f>'רשימת מכשור 2015'!D1252</f>
        <v>0</v>
      </c>
      <c r="E1253" s="180">
        <f>'רשימת מכשור 2015'!E1252</f>
        <v>0</v>
      </c>
      <c r="F1253" s="180">
        <f>'רשימת מכשור 2015'!F1252</f>
        <v>0</v>
      </c>
      <c r="G1253" s="195"/>
      <c r="H1253" s="195"/>
      <c r="I1253" s="196"/>
      <c r="J1253" s="195"/>
      <c r="K1253" s="195"/>
      <c r="L1253" s="195"/>
      <c r="M1253" s="195"/>
      <c r="N1253" s="197"/>
      <c r="O1253" s="195"/>
      <c r="P1253" s="195"/>
      <c r="Q1253" s="195"/>
    </row>
    <row r="1254" spans="1:17">
      <c r="A1254" s="180">
        <f>'רשימת מכשור 2015'!A1253</f>
        <v>0</v>
      </c>
      <c r="B1254" s="180">
        <f>'רשימת מכשור 2015'!B1253</f>
        <v>0</v>
      </c>
      <c r="C1254" s="180">
        <f>'רשימת מכשור 2015'!C1253</f>
        <v>0</v>
      </c>
      <c r="D1254" s="233">
        <f>'רשימת מכשור 2015'!D1253</f>
        <v>0</v>
      </c>
      <c r="E1254" s="180">
        <f>'רשימת מכשור 2015'!E1253</f>
        <v>0</v>
      </c>
      <c r="F1254" s="180">
        <f>'רשימת מכשור 2015'!F1253</f>
        <v>0</v>
      </c>
      <c r="G1254" s="195"/>
      <c r="H1254" s="195"/>
      <c r="I1254" s="196"/>
      <c r="J1254" s="195"/>
      <c r="K1254" s="195"/>
      <c r="L1254" s="195"/>
      <c r="M1254" s="195"/>
      <c r="N1254" s="197"/>
      <c r="O1254" s="195"/>
      <c r="P1254" s="195"/>
      <c r="Q1254" s="195"/>
    </row>
    <row r="1255" spans="1:17">
      <c r="A1255" s="180">
        <f>'רשימת מכשור 2015'!A1254</f>
        <v>0</v>
      </c>
      <c r="B1255" s="180">
        <f>'רשימת מכשור 2015'!B1254</f>
        <v>0</v>
      </c>
      <c r="C1255" s="180">
        <f>'רשימת מכשור 2015'!C1254</f>
        <v>0</v>
      </c>
      <c r="D1255" s="233">
        <f>'רשימת מכשור 2015'!D1254</f>
        <v>0</v>
      </c>
      <c r="E1255" s="180">
        <f>'רשימת מכשור 2015'!E1254</f>
        <v>0</v>
      </c>
      <c r="F1255" s="180">
        <f>'רשימת מכשור 2015'!F1254</f>
        <v>0</v>
      </c>
      <c r="G1255" s="195"/>
      <c r="H1255" s="195"/>
      <c r="I1255" s="196"/>
      <c r="J1255" s="195"/>
      <c r="K1255" s="195"/>
      <c r="L1255" s="195"/>
      <c r="M1255" s="195"/>
      <c r="N1255" s="197"/>
      <c r="O1255" s="195"/>
      <c r="P1255" s="195"/>
      <c r="Q1255" s="195"/>
    </row>
    <row r="1256" spans="1:17">
      <c r="A1256" s="180">
        <f>'רשימת מכשור 2015'!A1255</f>
        <v>0</v>
      </c>
      <c r="B1256" s="180">
        <f>'רשימת מכשור 2015'!B1255</f>
        <v>0</v>
      </c>
      <c r="C1256" s="180">
        <f>'רשימת מכשור 2015'!C1255</f>
        <v>0</v>
      </c>
      <c r="D1256" s="233">
        <f>'רשימת מכשור 2015'!D1255</f>
        <v>0</v>
      </c>
      <c r="E1256" s="180">
        <f>'רשימת מכשור 2015'!E1255</f>
        <v>0</v>
      </c>
      <c r="F1256" s="180">
        <f>'רשימת מכשור 2015'!F1255</f>
        <v>0</v>
      </c>
      <c r="G1256" s="195"/>
      <c r="H1256" s="195"/>
      <c r="I1256" s="196"/>
      <c r="J1256" s="195"/>
      <c r="K1256" s="195"/>
      <c r="L1256" s="195"/>
      <c r="M1256" s="195"/>
      <c r="N1256" s="197"/>
      <c r="O1256" s="195"/>
      <c r="P1256" s="195"/>
      <c r="Q1256" s="195"/>
    </row>
    <row r="1257" spans="1:17">
      <c r="A1257" s="180">
        <f>'רשימת מכשור 2015'!A1256</f>
        <v>0</v>
      </c>
      <c r="B1257" s="180">
        <f>'רשימת מכשור 2015'!B1256</f>
        <v>0</v>
      </c>
      <c r="C1257" s="180">
        <f>'רשימת מכשור 2015'!C1256</f>
        <v>0</v>
      </c>
      <c r="D1257" s="233">
        <f>'רשימת מכשור 2015'!D1256</f>
        <v>0</v>
      </c>
      <c r="E1257" s="180">
        <f>'רשימת מכשור 2015'!E1256</f>
        <v>0</v>
      </c>
      <c r="F1257" s="180">
        <f>'רשימת מכשור 2015'!F1256</f>
        <v>0</v>
      </c>
      <c r="G1257" s="195"/>
      <c r="H1257" s="195"/>
      <c r="I1257" s="196"/>
      <c r="J1257" s="195"/>
      <c r="K1257" s="195"/>
      <c r="L1257" s="195"/>
      <c r="M1257" s="195"/>
      <c r="N1257" s="197"/>
      <c r="O1257" s="195"/>
      <c r="P1257" s="195"/>
      <c r="Q1257" s="195"/>
    </row>
    <row r="1258" spans="1:17">
      <c r="A1258" s="180">
        <f>'רשימת מכשור 2015'!A1257</f>
        <v>0</v>
      </c>
      <c r="B1258" s="180">
        <f>'רשימת מכשור 2015'!B1257</f>
        <v>0</v>
      </c>
      <c r="C1258" s="180">
        <f>'רשימת מכשור 2015'!C1257</f>
        <v>0</v>
      </c>
      <c r="D1258" s="233">
        <f>'רשימת מכשור 2015'!D1257</f>
        <v>0</v>
      </c>
      <c r="E1258" s="180">
        <f>'רשימת מכשור 2015'!E1257</f>
        <v>0</v>
      </c>
      <c r="F1258" s="180">
        <f>'רשימת מכשור 2015'!F1257</f>
        <v>0</v>
      </c>
      <c r="G1258" s="195"/>
      <c r="H1258" s="195"/>
      <c r="I1258" s="196"/>
      <c r="J1258" s="195"/>
      <c r="K1258" s="195"/>
      <c r="L1258" s="195"/>
      <c r="M1258" s="195"/>
      <c r="N1258" s="197"/>
      <c r="O1258" s="195"/>
      <c r="P1258" s="195"/>
      <c r="Q1258" s="195"/>
    </row>
    <row r="1259" spans="1:17">
      <c r="A1259" s="180">
        <f>'רשימת מכשור 2015'!A1258</f>
        <v>0</v>
      </c>
      <c r="B1259" s="180">
        <f>'רשימת מכשור 2015'!B1258</f>
        <v>0</v>
      </c>
      <c r="C1259" s="180">
        <f>'רשימת מכשור 2015'!C1258</f>
        <v>0</v>
      </c>
      <c r="D1259" s="233">
        <f>'רשימת מכשור 2015'!D1258</f>
        <v>0</v>
      </c>
      <c r="E1259" s="180">
        <f>'רשימת מכשור 2015'!E1258</f>
        <v>0</v>
      </c>
      <c r="F1259" s="180">
        <f>'רשימת מכשור 2015'!F1258</f>
        <v>0</v>
      </c>
      <c r="G1259" s="195"/>
      <c r="H1259" s="195"/>
      <c r="I1259" s="196"/>
      <c r="J1259" s="195"/>
      <c r="K1259" s="195"/>
      <c r="L1259" s="195"/>
      <c r="M1259" s="195"/>
      <c r="N1259" s="197"/>
      <c r="O1259" s="195"/>
      <c r="P1259" s="195"/>
      <c r="Q1259" s="195"/>
    </row>
    <row r="1260" spans="1:17">
      <c r="A1260" s="180">
        <f>'רשימת מכשור 2015'!A1259</f>
        <v>0</v>
      </c>
      <c r="B1260" s="180">
        <f>'רשימת מכשור 2015'!B1259</f>
        <v>0</v>
      </c>
      <c r="C1260" s="180">
        <f>'רשימת מכשור 2015'!C1259</f>
        <v>0</v>
      </c>
      <c r="D1260" s="233">
        <f>'רשימת מכשור 2015'!D1259</f>
        <v>0</v>
      </c>
      <c r="E1260" s="180">
        <f>'רשימת מכשור 2015'!E1259</f>
        <v>0</v>
      </c>
      <c r="F1260" s="180">
        <f>'רשימת מכשור 2015'!F1259</f>
        <v>0</v>
      </c>
      <c r="G1260" s="195"/>
      <c r="H1260" s="195"/>
      <c r="I1260" s="196"/>
      <c r="J1260" s="195"/>
      <c r="K1260" s="195"/>
      <c r="L1260" s="195"/>
      <c r="M1260" s="195"/>
      <c r="N1260" s="197"/>
      <c r="O1260" s="195"/>
      <c r="P1260" s="195"/>
      <c r="Q1260" s="195"/>
    </row>
    <row r="1261" spans="1:17">
      <c r="A1261" s="180">
        <f>'רשימת מכשור 2015'!A1260</f>
        <v>0</v>
      </c>
      <c r="B1261" s="180">
        <f>'רשימת מכשור 2015'!B1260</f>
        <v>0</v>
      </c>
      <c r="C1261" s="180">
        <f>'רשימת מכשור 2015'!C1260</f>
        <v>0</v>
      </c>
      <c r="D1261" s="233">
        <f>'רשימת מכשור 2015'!D1260</f>
        <v>0</v>
      </c>
      <c r="E1261" s="180">
        <f>'רשימת מכשור 2015'!E1260</f>
        <v>0</v>
      </c>
      <c r="F1261" s="180">
        <f>'רשימת מכשור 2015'!F1260</f>
        <v>0</v>
      </c>
      <c r="G1261" s="195"/>
      <c r="H1261" s="195"/>
      <c r="I1261" s="196"/>
      <c r="J1261" s="195"/>
      <c r="K1261" s="195"/>
      <c r="L1261" s="195"/>
      <c r="M1261" s="195"/>
      <c r="N1261" s="197"/>
      <c r="O1261" s="195"/>
      <c r="P1261" s="195"/>
      <c r="Q1261" s="195"/>
    </row>
    <row r="1262" spans="1:17">
      <c r="A1262" s="180">
        <f>'רשימת מכשור 2015'!A1261</f>
        <v>0</v>
      </c>
      <c r="B1262" s="180">
        <f>'רשימת מכשור 2015'!B1261</f>
        <v>0</v>
      </c>
      <c r="C1262" s="180">
        <f>'רשימת מכשור 2015'!C1261</f>
        <v>0</v>
      </c>
      <c r="D1262" s="233">
        <f>'רשימת מכשור 2015'!D1261</f>
        <v>0</v>
      </c>
      <c r="E1262" s="180">
        <f>'רשימת מכשור 2015'!E1261</f>
        <v>0</v>
      </c>
      <c r="F1262" s="180">
        <f>'רשימת מכשור 2015'!F1261</f>
        <v>0</v>
      </c>
      <c r="G1262" s="195"/>
      <c r="H1262" s="195"/>
      <c r="I1262" s="196"/>
      <c r="J1262" s="195"/>
      <c r="K1262" s="195"/>
      <c r="L1262" s="195"/>
      <c r="M1262" s="195"/>
      <c r="N1262" s="197"/>
      <c r="O1262" s="195"/>
      <c r="P1262" s="195"/>
      <c r="Q1262" s="195"/>
    </row>
    <row r="1263" spans="1:17">
      <c r="A1263" s="180">
        <f>'רשימת מכשור 2015'!A1262</f>
        <v>0</v>
      </c>
      <c r="B1263" s="180">
        <f>'רשימת מכשור 2015'!B1262</f>
        <v>0</v>
      </c>
      <c r="C1263" s="180">
        <f>'רשימת מכשור 2015'!C1262</f>
        <v>0</v>
      </c>
      <c r="D1263" s="233">
        <f>'רשימת מכשור 2015'!D1262</f>
        <v>0</v>
      </c>
      <c r="E1263" s="180">
        <f>'רשימת מכשור 2015'!E1262</f>
        <v>0</v>
      </c>
      <c r="F1263" s="180">
        <f>'רשימת מכשור 2015'!F1262</f>
        <v>0</v>
      </c>
      <c r="G1263" s="195"/>
      <c r="H1263" s="195"/>
      <c r="I1263" s="196"/>
      <c r="J1263" s="195"/>
      <c r="K1263" s="195"/>
      <c r="L1263" s="195"/>
      <c r="M1263" s="195"/>
      <c r="N1263" s="197"/>
      <c r="O1263" s="195"/>
      <c r="P1263" s="195"/>
      <c r="Q1263" s="195"/>
    </row>
    <row r="1264" spans="1:17">
      <c r="A1264" s="180">
        <f>'רשימת מכשור 2015'!A1263</f>
        <v>0</v>
      </c>
      <c r="B1264" s="180">
        <f>'רשימת מכשור 2015'!B1263</f>
        <v>0</v>
      </c>
      <c r="C1264" s="180">
        <f>'רשימת מכשור 2015'!C1263</f>
        <v>0</v>
      </c>
      <c r="D1264" s="233">
        <f>'רשימת מכשור 2015'!D1263</f>
        <v>0</v>
      </c>
      <c r="E1264" s="180">
        <f>'רשימת מכשור 2015'!E1263</f>
        <v>0</v>
      </c>
      <c r="F1264" s="180">
        <f>'רשימת מכשור 2015'!F1263</f>
        <v>0</v>
      </c>
      <c r="G1264" s="195"/>
      <c r="H1264" s="195"/>
      <c r="I1264" s="196"/>
      <c r="J1264" s="195"/>
      <c r="K1264" s="195"/>
      <c r="L1264" s="195"/>
      <c r="M1264" s="195"/>
      <c r="N1264" s="197"/>
      <c r="O1264" s="195"/>
      <c r="P1264" s="195"/>
      <c r="Q1264" s="195"/>
    </row>
    <row r="1265" spans="1:17">
      <c r="A1265" s="180">
        <f>'רשימת מכשור 2015'!A1264</f>
        <v>0</v>
      </c>
      <c r="B1265" s="180">
        <f>'רשימת מכשור 2015'!B1264</f>
        <v>0</v>
      </c>
      <c r="C1265" s="180">
        <f>'רשימת מכשור 2015'!C1264</f>
        <v>0</v>
      </c>
      <c r="D1265" s="233">
        <f>'רשימת מכשור 2015'!D1264</f>
        <v>0</v>
      </c>
      <c r="E1265" s="180">
        <f>'רשימת מכשור 2015'!E1264</f>
        <v>0</v>
      </c>
      <c r="F1265" s="180">
        <f>'רשימת מכשור 2015'!F1264</f>
        <v>0</v>
      </c>
      <c r="G1265" s="195"/>
      <c r="H1265" s="195"/>
      <c r="I1265" s="196"/>
      <c r="J1265" s="195"/>
      <c r="K1265" s="195"/>
      <c r="L1265" s="195"/>
      <c r="M1265" s="195"/>
      <c r="N1265" s="197"/>
      <c r="O1265" s="195"/>
      <c r="P1265" s="195"/>
      <c r="Q1265" s="195"/>
    </row>
    <row r="1266" spans="1:17">
      <c r="A1266" s="180">
        <f>'רשימת מכשור 2015'!A1265</f>
        <v>0</v>
      </c>
      <c r="B1266" s="180">
        <f>'רשימת מכשור 2015'!B1265</f>
        <v>0</v>
      </c>
      <c r="C1266" s="180">
        <f>'רשימת מכשור 2015'!C1265</f>
        <v>0</v>
      </c>
      <c r="D1266" s="233">
        <f>'רשימת מכשור 2015'!D1265</f>
        <v>0</v>
      </c>
      <c r="E1266" s="180">
        <f>'רשימת מכשור 2015'!E1265</f>
        <v>0</v>
      </c>
      <c r="F1266" s="180">
        <f>'רשימת מכשור 2015'!F1265</f>
        <v>0</v>
      </c>
      <c r="G1266" s="195"/>
      <c r="H1266" s="195"/>
      <c r="I1266" s="196"/>
      <c r="J1266" s="195"/>
      <c r="K1266" s="195"/>
      <c r="L1266" s="195"/>
      <c r="M1266" s="195"/>
      <c r="N1266" s="197"/>
      <c r="O1266" s="195"/>
      <c r="P1266" s="195"/>
      <c r="Q1266" s="195"/>
    </row>
    <row r="1267" spans="1:17">
      <c r="A1267" s="180">
        <f>'רשימת מכשור 2015'!A1266</f>
        <v>0</v>
      </c>
      <c r="B1267" s="180">
        <f>'רשימת מכשור 2015'!B1266</f>
        <v>0</v>
      </c>
      <c r="C1267" s="180">
        <f>'רשימת מכשור 2015'!C1266</f>
        <v>0</v>
      </c>
      <c r="D1267" s="233">
        <f>'רשימת מכשור 2015'!D1266</f>
        <v>0</v>
      </c>
      <c r="E1267" s="180">
        <f>'רשימת מכשור 2015'!E1266</f>
        <v>0</v>
      </c>
      <c r="F1267" s="180">
        <f>'רשימת מכשור 2015'!F1266</f>
        <v>0</v>
      </c>
      <c r="G1267" s="195"/>
      <c r="H1267" s="195"/>
      <c r="I1267" s="196"/>
      <c r="J1267" s="195"/>
      <c r="K1267" s="195"/>
      <c r="L1267" s="195"/>
      <c r="M1267" s="195"/>
      <c r="N1267" s="197"/>
      <c r="O1267" s="195"/>
      <c r="P1267" s="195"/>
      <c r="Q1267" s="195"/>
    </row>
    <row r="1268" spans="1:17">
      <c r="A1268" s="180">
        <f>'רשימת מכשור 2015'!A1267</f>
        <v>0</v>
      </c>
      <c r="B1268" s="180">
        <f>'רשימת מכשור 2015'!B1267</f>
        <v>0</v>
      </c>
      <c r="C1268" s="180">
        <f>'רשימת מכשור 2015'!C1267</f>
        <v>0</v>
      </c>
      <c r="D1268" s="233">
        <f>'רשימת מכשור 2015'!D1267</f>
        <v>0</v>
      </c>
      <c r="E1268" s="180">
        <f>'רשימת מכשור 2015'!E1267</f>
        <v>0</v>
      </c>
      <c r="F1268" s="180">
        <f>'רשימת מכשור 2015'!F1267</f>
        <v>0</v>
      </c>
      <c r="G1268" s="195"/>
      <c r="H1268" s="195"/>
      <c r="I1268" s="196"/>
      <c r="J1268" s="195"/>
      <c r="K1268" s="195"/>
      <c r="L1268" s="195"/>
      <c r="M1268" s="195"/>
      <c r="N1268" s="197"/>
      <c r="O1268" s="195"/>
      <c r="P1268" s="195"/>
      <c r="Q1268" s="195"/>
    </row>
    <row r="1269" spans="1:17">
      <c r="A1269" s="180">
        <f>'רשימת מכשור 2015'!A1268</f>
        <v>0</v>
      </c>
      <c r="B1269" s="180">
        <f>'רשימת מכשור 2015'!B1268</f>
        <v>0</v>
      </c>
      <c r="C1269" s="180">
        <f>'רשימת מכשור 2015'!C1268</f>
        <v>0</v>
      </c>
      <c r="D1269" s="233">
        <f>'רשימת מכשור 2015'!D1268</f>
        <v>0</v>
      </c>
      <c r="E1269" s="180">
        <f>'רשימת מכשור 2015'!E1268</f>
        <v>0</v>
      </c>
      <c r="F1269" s="180">
        <f>'רשימת מכשור 2015'!F1268</f>
        <v>0</v>
      </c>
      <c r="G1269" s="195"/>
      <c r="H1269" s="195"/>
      <c r="I1269" s="196"/>
      <c r="J1269" s="195"/>
      <c r="K1269" s="195"/>
      <c r="L1269" s="195"/>
      <c r="M1269" s="195"/>
      <c r="N1269" s="197"/>
      <c r="O1269" s="195"/>
      <c r="P1269" s="195"/>
      <c r="Q1269" s="195"/>
    </row>
    <row r="1270" spans="1:17">
      <c r="A1270" s="180">
        <f>'רשימת מכשור 2015'!A1269</f>
        <v>0</v>
      </c>
      <c r="B1270" s="180">
        <f>'רשימת מכשור 2015'!B1269</f>
        <v>0</v>
      </c>
      <c r="C1270" s="180">
        <f>'רשימת מכשור 2015'!C1269</f>
        <v>0</v>
      </c>
      <c r="D1270" s="233">
        <f>'רשימת מכשור 2015'!D1269</f>
        <v>0</v>
      </c>
      <c r="E1270" s="180">
        <f>'רשימת מכשור 2015'!E1269</f>
        <v>0</v>
      </c>
      <c r="F1270" s="180">
        <f>'רשימת מכשור 2015'!F1269</f>
        <v>0</v>
      </c>
      <c r="G1270" s="195"/>
      <c r="H1270" s="195"/>
      <c r="I1270" s="196"/>
      <c r="J1270" s="195"/>
      <c r="K1270" s="195"/>
      <c r="L1270" s="195"/>
      <c r="M1270" s="195"/>
      <c r="N1270" s="197"/>
      <c r="O1270" s="195"/>
      <c r="P1270" s="195"/>
      <c r="Q1270" s="195"/>
    </row>
    <row r="1271" spans="1:17">
      <c r="A1271" s="180">
        <f>'רשימת מכשור 2015'!A1270</f>
        <v>0</v>
      </c>
      <c r="B1271" s="180">
        <f>'רשימת מכשור 2015'!B1270</f>
        <v>0</v>
      </c>
      <c r="C1271" s="180">
        <f>'רשימת מכשור 2015'!C1270</f>
        <v>0</v>
      </c>
      <c r="D1271" s="233">
        <f>'רשימת מכשור 2015'!D1270</f>
        <v>0</v>
      </c>
      <c r="E1271" s="180">
        <f>'רשימת מכשור 2015'!E1270</f>
        <v>0</v>
      </c>
      <c r="F1271" s="180">
        <f>'רשימת מכשור 2015'!F1270</f>
        <v>0</v>
      </c>
      <c r="G1271" s="195"/>
      <c r="H1271" s="195"/>
      <c r="I1271" s="196"/>
      <c r="J1271" s="195"/>
      <c r="K1271" s="195"/>
      <c r="L1271" s="195"/>
      <c r="M1271" s="195"/>
      <c r="N1271" s="197"/>
      <c r="O1271" s="195"/>
      <c r="P1271" s="195"/>
      <c r="Q1271" s="195"/>
    </row>
    <row r="1272" spans="1:17">
      <c r="A1272" s="180">
        <f>'רשימת מכשור 2015'!A1271</f>
        <v>0</v>
      </c>
      <c r="B1272" s="180">
        <f>'רשימת מכשור 2015'!B1271</f>
        <v>0</v>
      </c>
      <c r="C1272" s="180">
        <f>'רשימת מכשור 2015'!C1271</f>
        <v>0</v>
      </c>
      <c r="D1272" s="233">
        <f>'רשימת מכשור 2015'!D1271</f>
        <v>0</v>
      </c>
      <c r="E1272" s="180">
        <f>'רשימת מכשור 2015'!E1271</f>
        <v>0</v>
      </c>
      <c r="F1272" s="180">
        <f>'רשימת מכשור 2015'!F1271</f>
        <v>0</v>
      </c>
      <c r="G1272" s="195"/>
      <c r="H1272" s="195"/>
      <c r="I1272" s="196"/>
      <c r="J1272" s="195"/>
      <c r="K1272" s="195"/>
      <c r="L1272" s="195"/>
      <c r="M1272" s="195"/>
      <c r="N1272" s="197"/>
      <c r="O1272" s="195"/>
      <c r="P1272" s="195"/>
      <c r="Q1272" s="195"/>
    </row>
    <row r="1273" spans="1:17">
      <c r="A1273" s="180">
        <f>'רשימת מכשור 2015'!A1272</f>
        <v>0</v>
      </c>
      <c r="B1273" s="180">
        <f>'רשימת מכשור 2015'!B1272</f>
        <v>0</v>
      </c>
      <c r="C1273" s="180">
        <f>'רשימת מכשור 2015'!C1272</f>
        <v>0</v>
      </c>
      <c r="D1273" s="233">
        <f>'רשימת מכשור 2015'!D1272</f>
        <v>0</v>
      </c>
      <c r="E1273" s="180">
        <f>'רשימת מכשור 2015'!E1272</f>
        <v>0</v>
      </c>
      <c r="F1273" s="180">
        <f>'רשימת מכשור 2015'!F1272</f>
        <v>0</v>
      </c>
      <c r="G1273" s="195"/>
      <c r="H1273" s="195"/>
      <c r="I1273" s="196"/>
      <c r="J1273" s="195"/>
      <c r="K1273" s="195"/>
      <c r="L1273" s="195"/>
      <c r="M1273" s="195"/>
      <c r="N1273" s="197"/>
      <c r="O1273" s="195"/>
      <c r="P1273" s="195"/>
      <c r="Q1273" s="195"/>
    </row>
    <row r="1274" spans="1:17">
      <c r="A1274" s="180">
        <f>'רשימת מכשור 2015'!A1273</f>
        <v>0</v>
      </c>
      <c r="B1274" s="180">
        <f>'רשימת מכשור 2015'!B1273</f>
        <v>0</v>
      </c>
      <c r="C1274" s="180">
        <f>'רשימת מכשור 2015'!C1273</f>
        <v>0</v>
      </c>
      <c r="D1274" s="233">
        <f>'רשימת מכשור 2015'!D1273</f>
        <v>0</v>
      </c>
      <c r="E1274" s="180">
        <f>'רשימת מכשור 2015'!E1273</f>
        <v>0</v>
      </c>
      <c r="F1274" s="180">
        <f>'רשימת מכשור 2015'!F1273</f>
        <v>0</v>
      </c>
      <c r="G1274" s="195"/>
      <c r="H1274" s="195"/>
      <c r="I1274" s="196"/>
      <c r="J1274" s="195"/>
      <c r="K1274" s="195"/>
      <c r="L1274" s="195"/>
      <c r="M1274" s="195"/>
      <c r="N1274" s="197"/>
      <c r="O1274" s="195"/>
      <c r="P1274" s="195"/>
      <c r="Q1274" s="195"/>
    </row>
    <row r="1275" spans="1:17">
      <c r="A1275" s="180">
        <f>'רשימת מכשור 2015'!A1274</f>
        <v>0</v>
      </c>
      <c r="B1275" s="180">
        <f>'רשימת מכשור 2015'!B1274</f>
        <v>0</v>
      </c>
      <c r="C1275" s="180">
        <f>'רשימת מכשור 2015'!C1274</f>
        <v>0</v>
      </c>
      <c r="D1275" s="233">
        <f>'רשימת מכשור 2015'!D1274</f>
        <v>0</v>
      </c>
      <c r="E1275" s="180">
        <f>'רשימת מכשור 2015'!E1274</f>
        <v>0</v>
      </c>
      <c r="F1275" s="180">
        <f>'רשימת מכשור 2015'!F1274</f>
        <v>0</v>
      </c>
      <c r="G1275" s="195"/>
      <c r="H1275" s="195"/>
      <c r="I1275" s="196"/>
      <c r="J1275" s="195"/>
      <c r="K1275" s="195"/>
      <c r="L1275" s="195"/>
      <c r="M1275" s="195"/>
      <c r="N1275" s="197"/>
      <c r="O1275" s="195"/>
      <c r="P1275" s="195"/>
      <c r="Q1275" s="195"/>
    </row>
    <row r="1276" spans="1:17">
      <c r="A1276" s="180">
        <f>'רשימת מכשור 2015'!A1275</f>
        <v>0</v>
      </c>
      <c r="B1276" s="180">
        <f>'רשימת מכשור 2015'!B1275</f>
        <v>0</v>
      </c>
      <c r="C1276" s="180">
        <f>'רשימת מכשור 2015'!C1275</f>
        <v>0</v>
      </c>
      <c r="D1276" s="233">
        <f>'רשימת מכשור 2015'!D1275</f>
        <v>0</v>
      </c>
      <c r="E1276" s="180">
        <f>'רשימת מכשור 2015'!E1275</f>
        <v>0</v>
      </c>
      <c r="F1276" s="180">
        <f>'רשימת מכשור 2015'!F1275</f>
        <v>0</v>
      </c>
      <c r="G1276" s="195"/>
      <c r="H1276" s="195"/>
      <c r="I1276" s="196"/>
      <c r="J1276" s="195"/>
      <c r="K1276" s="195"/>
      <c r="L1276" s="195"/>
      <c r="M1276" s="195"/>
      <c r="N1276" s="197"/>
      <c r="O1276" s="195"/>
      <c r="P1276" s="195"/>
      <c r="Q1276" s="195"/>
    </row>
    <row r="1277" spans="1:17">
      <c r="A1277" s="180">
        <f>'רשימת מכשור 2015'!A1276</f>
        <v>0</v>
      </c>
      <c r="B1277" s="180">
        <f>'רשימת מכשור 2015'!B1276</f>
        <v>0</v>
      </c>
      <c r="C1277" s="180">
        <f>'רשימת מכשור 2015'!C1276</f>
        <v>0</v>
      </c>
      <c r="D1277" s="233">
        <f>'רשימת מכשור 2015'!D1276</f>
        <v>0</v>
      </c>
      <c r="E1277" s="180">
        <f>'רשימת מכשור 2015'!E1276</f>
        <v>0</v>
      </c>
      <c r="F1277" s="180">
        <f>'רשימת מכשור 2015'!F1276</f>
        <v>0</v>
      </c>
      <c r="G1277" s="195"/>
      <c r="H1277" s="195"/>
      <c r="I1277" s="196"/>
      <c r="J1277" s="195"/>
      <c r="K1277" s="195"/>
      <c r="L1277" s="195"/>
      <c r="M1277" s="195"/>
      <c r="N1277" s="197"/>
      <c r="O1277" s="195"/>
      <c r="P1277" s="195"/>
      <c r="Q1277" s="195"/>
    </row>
    <row r="1278" spans="1:17">
      <c r="A1278" s="180">
        <f>'רשימת מכשור 2015'!A1277</f>
        <v>0</v>
      </c>
      <c r="B1278" s="180">
        <f>'רשימת מכשור 2015'!B1277</f>
        <v>0</v>
      </c>
      <c r="C1278" s="180">
        <f>'רשימת מכשור 2015'!C1277</f>
        <v>0</v>
      </c>
      <c r="D1278" s="233">
        <f>'רשימת מכשור 2015'!D1277</f>
        <v>0</v>
      </c>
      <c r="E1278" s="180">
        <f>'רשימת מכשור 2015'!E1277</f>
        <v>0</v>
      </c>
      <c r="F1278" s="180">
        <f>'רשימת מכשור 2015'!F1277</f>
        <v>0</v>
      </c>
      <c r="G1278" s="195"/>
      <c r="H1278" s="195"/>
      <c r="I1278" s="196"/>
      <c r="J1278" s="195"/>
      <c r="K1278" s="195"/>
      <c r="L1278" s="195"/>
      <c r="M1278" s="195"/>
      <c r="N1278" s="197"/>
      <c r="O1278" s="195"/>
      <c r="P1278" s="195"/>
      <c r="Q1278" s="195"/>
    </row>
    <row r="1279" spans="1:17">
      <c r="A1279" s="180">
        <f>'רשימת מכשור 2015'!A1278</f>
        <v>0</v>
      </c>
      <c r="B1279" s="180">
        <f>'רשימת מכשור 2015'!B1278</f>
        <v>0</v>
      </c>
      <c r="C1279" s="180">
        <f>'רשימת מכשור 2015'!C1278</f>
        <v>0</v>
      </c>
      <c r="D1279" s="233">
        <f>'רשימת מכשור 2015'!D1278</f>
        <v>0</v>
      </c>
      <c r="E1279" s="180">
        <f>'רשימת מכשור 2015'!E1278</f>
        <v>0</v>
      </c>
      <c r="F1279" s="180">
        <f>'רשימת מכשור 2015'!F1278</f>
        <v>0</v>
      </c>
      <c r="G1279" s="195"/>
      <c r="H1279" s="195"/>
      <c r="I1279" s="196"/>
      <c r="J1279" s="195"/>
      <c r="K1279" s="195"/>
      <c r="L1279" s="195"/>
      <c r="M1279" s="195"/>
      <c r="N1279" s="197"/>
      <c r="O1279" s="195"/>
      <c r="P1279" s="195"/>
      <c r="Q1279" s="195"/>
    </row>
    <row r="1280" spans="1:17">
      <c r="A1280" s="180">
        <f>'רשימת מכשור 2015'!A1279</f>
        <v>0</v>
      </c>
      <c r="B1280" s="180">
        <f>'רשימת מכשור 2015'!B1279</f>
        <v>0</v>
      </c>
      <c r="C1280" s="180">
        <f>'רשימת מכשור 2015'!C1279</f>
        <v>0</v>
      </c>
      <c r="D1280" s="233">
        <f>'רשימת מכשור 2015'!D1279</f>
        <v>0</v>
      </c>
      <c r="E1280" s="180">
        <f>'רשימת מכשור 2015'!E1279</f>
        <v>0</v>
      </c>
      <c r="F1280" s="180">
        <f>'רשימת מכשור 2015'!F1279</f>
        <v>0</v>
      </c>
      <c r="G1280" s="195"/>
      <c r="H1280" s="195"/>
      <c r="I1280" s="196"/>
      <c r="J1280" s="195"/>
      <c r="K1280" s="195"/>
      <c r="L1280" s="195"/>
      <c r="M1280" s="195"/>
      <c r="N1280" s="197"/>
      <c r="O1280" s="195"/>
      <c r="P1280" s="195"/>
      <c r="Q1280" s="195"/>
    </row>
    <row r="1281" spans="1:17">
      <c r="A1281" s="180">
        <f>'רשימת מכשור 2015'!A1280</f>
        <v>0</v>
      </c>
      <c r="B1281" s="180">
        <f>'רשימת מכשור 2015'!B1280</f>
        <v>0</v>
      </c>
      <c r="C1281" s="180">
        <f>'רשימת מכשור 2015'!C1280</f>
        <v>0</v>
      </c>
      <c r="D1281" s="233">
        <f>'רשימת מכשור 2015'!D1280</f>
        <v>0</v>
      </c>
      <c r="E1281" s="180">
        <f>'רשימת מכשור 2015'!E1280</f>
        <v>0</v>
      </c>
      <c r="F1281" s="180">
        <f>'רשימת מכשור 2015'!F1280</f>
        <v>0</v>
      </c>
      <c r="G1281" s="195"/>
      <c r="H1281" s="195"/>
      <c r="I1281" s="196"/>
      <c r="J1281" s="195"/>
      <c r="K1281" s="195"/>
      <c r="L1281" s="195"/>
      <c r="M1281" s="195"/>
      <c r="N1281" s="197"/>
      <c r="O1281" s="195"/>
      <c r="P1281" s="195"/>
      <c r="Q1281" s="195"/>
    </row>
    <row r="1282" spans="1:17">
      <c r="A1282" s="180">
        <f>'רשימת מכשור 2015'!A1281</f>
        <v>0</v>
      </c>
      <c r="B1282" s="180">
        <f>'רשימת מכשור 2015'!B1281</f>
        <v>0</v>
      </c>
      <c r="C1282" s="180">
        <f>'רשימת מכשור 2015'!C1281</f>
        <v>0</v>
      </c>
      <c r="D1282" s="233">
        <f>'רשימת מכשור 2015'!D1281</f>
        <v>0</v>
      </c>
      <c r="E1282" s="180">
        <f>'רשימת מכשור 2015'!E1281</f>
        <v>0</v>
      </c>
      <c r="F1282" s="180">
        <f>'רשימת מכשור 2015'!F1281</f>
        <v>0</v>
      </c>
      <c r="G1282" s="195"/>
      <c r="H1282" s="195"/>
      <c r="I1282" s="196"/>
      <c r="J1282" s="195"/>
      <c r="K1282" s="195"/>
      <c r="L1282" s="195"/>
      <c r="M1282" s="195"/>
      <c r="N1282" s="197"/>
      <c r="O1282" s="195"/>
      <c r="P1282" s="195"/>
      <c r="Q1282" s="195"/>
    </row>
    <row r="1283" spans="1:17">
      <c r="A1283" s="180">
        <f>'רשימת מכשור 2015'!A1282</f>
        <v>0</v>
      </c>
      <c r="B1283" s="180">
        <f>'רשימת מכשור 2015'!B1282</f>
        <v>0</v>
      </c>
      <c r="C1283" s="180">
        <f>'רשימת מכשור 2015'!C1282</f>
        <v>0</v>
      </c>
      <c r="D1283" s="233">
        <f>'רשימת מכשור 2015'!D1282</f>
        <v>0</v>
      </c>
      <c r="E1283" s="180">
        <f>'רשימת מכשור 2015'!E1282</f>
        <v>0</v>
      </c>
      <c r="F1283" s="180">
        <f>'רשימת מכשור 2015'!F1282</f>
        <v>0</v>
      </c>
      <c r="G1283" s="195"/>
      <c r="H1283" s="195"/>
      <c r="I1283" s="196"/>
      <c r="J1283" s="195"/>
      <c r="K1283" s="195"/>
      <c r="L1283" s="195"/>
      <c r="M1283" s="195"/>
      <c r="N1283" s="197"/>
      <c r="O1283" s="195"/>
      <c r="P1283" s="195"/>
      <c r="Q1283" s="195"/>
    </row>
    <row r="1284" spans="1:17">
      <c r="A1284" s="180">
        <f>'רשימת מכשור 2015'!A1283</f>
        <v>0</v>
      </c>
      <c r="B1284" s="180">
        <f>'רשימת מכשור 2015'!B1283</f>
        <v>0</v>
      </c>
      <c r="C1284" s="180">
        <f>'רשימת מכשור 2015'!C1283</f>
        <v>0</v>
      </c>
      <c r="D1284" s="233">
        <f>'רשימת מכשור 2015'!D1283</f>
        <v>0</v>
      </c>
      <c r="E1284" s="180">
        <f>'רשימת מכשור 2015'!E1283</f>
        <v>0</v>
      </c>
      <c r="F1284" s="180">
        <f>'רשימת מכשור 2015'!F1283</f>
        <v>0</v>
      </c>
      <c r="G1284" s="195"/>
      <c r="H1284" s="195"/>
      <c r="I1284" s="196"/>
      <c r="J1284" s="195"/>
      <c r="K1284" s="195"/>
      <c r="L1284" s="195"/>
      <c r="M1284" s="195"/>
      <c r="N1284" s="197"/>
      <c r="O1284" s="195"/>
      <c r="P1284" s="195"/>
      <c r="Q1284" s="195"/>
    </row>
    <row r="1285" spans="1:17">
      <c r="A1285" s="180">
        <f>'רשימת מכשור 2015'!A1284</f>
        <v>0</v>
      </c>
      <c r="B1285" s="180">
        <f>'רשימת מכשור 2015'!B1284</f>
        <v>0</v>
      </c>
      <c r="C1285" s="180">
        <f>'רשימת מכשור 2015'!C1284</f>
        <v>0</v>
      </c>
      <c r="D1285" s="233">
        <f>'רשימת מכשור 2015'!D1284</f>
        <v>0</v>
      </c>
      <c r="E1285" s="180">
        <f>'רשימת מכשור 2015'!E1284</f>
        <v>0</v>
      </c>
      <c r="F1285" s="180">
        <f>'רשימת מכשור 2015'!F1284</f>
        <v>0</v>
      </c>
      <c r="G1285" s="195"/>
      <c r="H1285" s="195"/>
      <c r="I1285" s="196"/>
      <c r="J1285" s="195"/>
      <c r="K1285" s="195"/>
      <c r="L1285" s="195"/>
      <c r="M1285" s="195"/>
      <c r="N1285" s="197"/>
      <c r="O1285" s="195"/>
      <c r="P1285" s="195"/>
      <c r="Q1285" s="195"/>
    </row>
    <row r="1286" spans="1:17">
      <c r="A1286" s="180">
        <f>'רשימת מכשור 2015'!A1285</f>
        <v>0</v>
      </c>
      <c r="B1286" s="180">
        <f>'רשימת מכשור 2015'!B1285</f>
        <v>0</v>
      </c>
      <c r="C1286" s="180">
        <f>'רשימת מכשור 2015'!C1285</f>
        <v>0</v>
      </c>
      <c r="D1286" s="233">
        <f>'רשימת מכשור 2015'!D1285</f>
        <v>0</v>
      </c>
      <c r="E1286" s="180">
        <f>'רשימת מכשור 2015'!E1285</f>
        <v>0</v>
      </c>
      <c r="F1286" s="180">
        <f>'רשימת מכשור 2015'!F1285</f>
        <v>0</v>
      </c>
      <c r="G1286" s="195"/>
      <c r="H1286" s="195"/>
      <c r="I1286" s="196"/>
      <c r="J1286" s="195"/>
      <c r="K1286" s="195"/>
      <c r="L1286" s="195"/>
      <c r="M1286" s="195"/>
      <c r="N1286" s="197"/>
      <c r="O1286" s="195"/>
      <c r="P1286" s="195"/>
      <c r="Q1286" s="195"/>
    </row>
    <row r="1287" spans="1:17">
      <c r="A1287" s="180">
        <f>'רשימת מכשור 2015'!A1286</f>
        <v>0</v>
      </c>
      <c r="B1287" s="180">
        <f>'רשימת מכשור 2015'!B1286</f>
        <v>0</v>
      </c>
      <c r="C1287" s="180">
        <f>'רשימת מכשור 2015'!C1286</f>
        <v>0</v>
      </c>
      <c r="D1287" s="233">
        <f>'רשימת מכשור 2015'!D1286</f>
        <v>0</v>
      </c>
      <c r="E1287" s="180">
        <f>'רשימת מכשור 2015'!E1286</f>
        <v>0</v>
      </c>
      <c r="F1287" s="180">
        <f>'רשימת מכשור 2015'!F1286</f>
        <v>0</v>
      </c>
      <c r="G1287" s="195"/>
      <c r="H1287" s="195"/>
      <c r="I1287" s="196"/>
      <c r="J1287" s="195"/>
      <c r="K1287" s="195"/>
      <c r="L1287" s="195"/>
      <c r="M1287" s="195"/>
      <c r="N1287" s="197"/>
      <c r="O1287" s="195"/>
      <c r="P1287" s="195"/>
      <c r="Q1287" s="195"/>
    </row>
    <row r="1288" spans="1:17">
      <c r="A1288" s="180">
        <f>'רשימת מכשור 2015'!A1287</f>
        <v>0</v>
      </c>
      <c r="B1288" s="180">
        <f>'רשימת מכשור 2015'!B1287</f>
        <v>0</v>
      </c>
      <c r="C1288" s="180">
        <f>'רשימת מכשור 2015'!C1287</f>
        <v>0</v>
      </c>
      <c r="D1288" s="233">
        <f>'רשימת מכשור 2015'!D1287</f>
        <v>0</v>
      </c>
      <c r="E1288" s="180">
        <f>'רשימת מכשור 2015'!E1287</f>
        <v>0</v>
      </c>
      <c r="F1288" s="180">
        <f>'רשימת מכשור 2015'!F1287</f>
        <v>0</v>
      </c>
      <c r="G1288" s="195"/>
      <c r="H1288" s="195"/>
      <c r="I1288" s="196"/>
      <c r="J1288" s="195"/>
      <c r="K1288" s="195"/>
      <c r="L1288" s="195"/>
      <c r="M1288" s="195"/>
      <c r="N1288" s="197"/>
      <c r="O1288" s="195"/>
      <c r="P1288" s="195"/>
      <c r="Q1288" s="195"/>
    </row>
    <row r="1289" spans="1:17">
      <c r="A1289" s="180">
        <f>'רשימת מכשור 2015'!A1288</f>
        <v>0</v>
      </c>
      <c r="B1289" s="180">
        <f>'רשימת מכשור 2015'!B1288</f>
        <v>0</v>
      </c>
      <c r="C1289" s="180">
        <f>'רשימת מכשור 2015'!C1288</f>
        <v>0</v>
      </c>
      <c r="D1289" s="233">
        <f>'רשימת מכשור 2015'!D1288</f>
        <v>0</v>
      </c>
      <c r="E1289" s="180">
        <f>'רשימת מכשור 2015'!E1288</f>
        <v>0</v>
      </c>
      <c r="F1289" s="180">
        <f>'רשימת מכשור 2015'!F1288</f>
        <v>0</v>
      </c>
      <c r="G1289" s="195"/>
      <c r="H1289" s="195"/>
      <c r="I1289" s="196"/>
      <c r="J1289" s="195"/>
      <c r="K1289" s="195"/>
      <c r="L1289" s="195"/>
      <c r="M1289" s="195"/>
      <c r="N1289" s="197"/>
      <c r="O1289" s="195"/>
      <c r="P1289" s="195"/>
      <c r="Q1289" s="195"/>
    </row>
    <row r="1290" spans="1:17">
      <c r="A1290" s="180">
        <f>'רשימת מכשור 2015'!A1289</f>
        <v>0</v>
      </c>
      <c r="B1290" s="180">
        <f>'רשימת מכשור 2015'!B1289</f>
        <v>0</v>
      </c>
      <c r="C1290" s="180">
        <f>'רשימת מכשור 2015'!C1289</f>
        <v>0</v>
      </c>
      <c r="D1290" s="233">
        <f>'רשימת מכשור 2015'!D1289</f>
        <v>0</v>
      </c>
      <c r="E1290" s="180">
        <f>'רשימת מכשור 2015'!E1289</f>
        <v>0</v>
      </c>
      <c r="F1290" s="180">
        <f>'רשימת מכשור 2015'!F1289</f>
        <v>0</v>
      </c>
      <c r="G1290" s="195"/>
      <c r="H1290" s="195"/>
      <c r="I1290" s="196"/>
      <c r="J1290" s="195"/>
      <c r="K1290" s="195"/>
      <c r="L1290" s="195"/>
      <c r="M1290" s="195"/>
      <c r="N1290" s="197"/>
      <c r="O1290" s="195"/>
      <c r="P1290" s="195"/>
      <c r="Q1290" s="195"/>
    </row>
    <row r="1291" spans="1:17">
      <c r="A1291" s="180">
        <f>'רשימת מכשור 2015'!A1290</f>
        <v>0</v>
      </c>
      <c r="B1291" s="180">
        <f>'רשימת מכשור 2015'!B1290</f>
        <v>0</v>
      </c>
      <c r="C1291" s="180">
        <f>'רשימת מכשור 2015'!C1290</f>
        <v>0</v>
      </c>
      <c r="D1291" s="233">
        <f>'רשימת מכשור 2015'!D1290</f>
        <v>0</v>
      </c>
      <c r="E1291" s="180">
        <f>'רשימת מכשור 2015'!E1290</f>
        <v>0</v>
      </c>
      <c r="F1291" s="180">
        <f>'רשימת מכשור 2015'!F1290</f>
        <v>0</v>
      </c>
      <c r="G1291" s="195"/>
      <c r="H1291" s="195"/>
      <c r="I1291" s="196"/>
      <c r="J1291" s="195"/>
      <c r="K1291" s="195"/>
      <c r="L1291" s="195"/>
      <c r="M1291" s="195"/>
      <c r="N1291" s="197"/>
      <c r="O1291" s="195"/>
      <c r="P1291" s="195"/>
      <c r="Q1291" s="195"/>
    </row>
    <row r="1292" spans="1:17">
      <c r="A1292" s="180">
        <f>'רשימת מכשור 2015'!A1291</f>
        <v>0</v>
      </c>
      <c r="B1292" s="180">
        <f>'רשימת מכשור 2015'!B1291</f>
        <v>0</v>
      </c>
      <c r="C1292" s="180">
        <f>'רשימת מכשור 2015'!C1291</f>
        <v>0</v>
      </c>
      <c r="D1292" s="233">
        <f>'רשימת מכשור 2015'!D1291</f>
        <v>0</v>
      </c>
      <c r="E1292" s="180">
        <f>'רשימת מכשור 2015'!E1291</f>
        <v>0</v>
      </c>
      <c r="F1292" s="180">
        <f>'רשימת מכשור 2015'!F1291</f>
        <v>0</v>
      </c>
      <c r="G1292" s="195"/>
      <c r="H1292" s="195"/>
      <c r="I1292" s="196"/>
      <c r="J1292" s="195"/>
      <c r="K1292" s="195"/>
      <c r="L1292" s="195"/>
      <c r="M1292" s="195"/>
      <c r="N1292" s="197"/>
      <c r="O1292" s="195"/>
      <c r="P1292" s="195"/>
      <c r="Q1292" s="195"/>
    </row>
    <row r="1293" spans="1:17">
      <c r="A1293" s="180">
        <f>'רשימת מכשור 2015'!A1292</f>
        <v>0</v>
      </c>
      <c r="B1293" s="180">
        <f>'רשימת מכשור 2015'!B1292</f>
        <v>0</v>
      </c>
      <c r="C1293" s="180">
        <f>'רשימת מכשור 2015'!C1292</f>
        <v>0</v>
      </c>
      <c r="D1293" s="233">
        <f>'רשימת מכשור 2015'!D1292</f>
        <v>0</v>
      </c>
      <c r="E1293" s="180">
        <f>'רשימת מכשור 2015'!E1292</f>
        <v>0</v>
      </c>
      <c r="F1293" s="180">
        <f>'רשימת מכשור 2015'!F1292</f>
        <v>0</v>
      </c>
      <c r="G1293" s="195"/>
      <c r="H1293" s="195"/>
      <c r="I1293" s="196"/>
      <c r="J1293" s="195"/>
      <c r="K1293" s="195"/>
      <c r="L1293" s="195"/>
      <c r="M1293" s="195"/>
      <c r="N1293" s="197"/>
      <c r="O1293" s="195"/>
      <c r="P1293" s="195"/>
      <c r="Q1293" s="195"/>
    </row>
    <row r="1294" spans="1:17">
      <c r="A1294" s="180">
        <f>'רשימת מכשור 2015'!A1293</f>
        <v>0</v>
      </c>
      <c r="B1294" s="180">
        <f>'רשימת מכשור 2015'!B1293</f>
        <v>0</v>
      </c>
      <c r="C1294" s="180">
        <f>'רשימת מכשור 2015'!C1293</f>
        <v>0</v>
      </c>
      <c r="D1294" s="233">
        <f>'רשימת מכשור 2015'!D1293</f>
        <v>0</v>
      </c>
      <c r="E1294" s="180">
        <f>'רשימת מכשור 2015'!E1293</f>
        <v>0</v>
      </c>
      <c r="F1294" s="180">
        <f>'רשימת מכשור 2015'!F1293</f>
        <v>0</v>
      </c>
      <c r="G1294" s="195"/>
      <c r="H1294" s="195"/>
      <c r="I1294" s="196"/>
      <c r="J1294" s="195"/>
      <c r="K1294" s="195"/>
      <c r="L1294" s="195"/>
      <c r="M1294" s="195"/>
      <c r="N1294" s="197"/>
      <c r="O1294" s="195"/>
      <c r="P1294" s="195"/>
      <c r="Q1294" s="195"/>
    </row>
    <row r="1295" spans="1:17">
      <c r="A1295" s="180">
        <f>'רשימת מכשור 2015'!A1294</f>
        <v>0</v>
      </c>
      <c r="B1295" s="180">
        <f>'רשימת מכשור 2015'!B1294</f>
        <v>0</v>
      </c>
      <c r="C1295" s="180">
        <f>'רשימת מכשור 2015'!C1294</f>
        <v>0</v>
      </c>
      <c r="D1295" s="233">
        <f>'רשימת מכשור 2015'!D1294</f>
        <v>0</v>
      </c>
      <c r="E1295" s="180">
        <f>'רשימת מכשור 2015'!E1294</f>
        <v>0</v>
      </c>
      <c r="F1295" s="180">
        <f>'רשימת מכשור 2015'!F1294</f>
        <v>0</v>
      </c>
      <c r="G1295" s="195"/>
      <c r="H1295" s="195"/>
      <c r="I1295" s="196"/>
      <c r="J1295" s="195"/>
      <c r="K1295" s="195"/>
      <c r="L1295" s="195"/>
      <c r="M1295" s="195"/>
      <c r="N1295" s="197"/>
      <c r="O1295" s="195"/>
      <c r="P1295" s="195"/>
      <c r="Q1295" s="195"/>
    </row>
    <row r="1296" spans="1:17">
      <c r="A1296" s="180">
        <f>'רשימת מכשור 2015'!A1295</f>
        <v>0</v>
      </c>
      <c r="B1296" s="180">
        <f>'רשימת מכשור 2015'!B1295</f>
        <v>0</v>
      </c>
      <c r="C1296" s="180">
        <f>'רשימת מכשור 2015'!C1295</f>
        <v>0</v>
      </c>
      <c r="D1296" s="233">
        <f>'רשימת מכשור 2015'!D1295</f>
        <v>0</v>
      </c>
      <c r="E1296" s="180">
        <f>'רשימת מכשור 2015'!E1295</f>
        <v>0</v>
      </c>
      <c r="F1296" s="180">
        <f>'רשימת מכשור 2015'!F1295</f>
        <v>0</v>
      </c>
      <c r="G1296" s="195"/>
      <c r="H1296" s="195"/>
      <c r="I1296" s="196"/>
      <c r="J1296" s="195"/>
      <c r="K1296" s="195"/>
      <c r="L1296" s="195"/>
      <c r="M1296" s="195"/>
      <c r="N1296" s="197"/>
      <c r="O1296" s="195"/>
      <c r="P1296" s="195"/>
      <c r="Q1296" s="195"/>
    </row>
    <row r="1297" spans="1:17">
      <c r="A1297" s="180">
        <f>'רשימת מכשור 2015'!A1296</f>
        <v>0</v>
      </c>
      <c r="B1297" s="180">
        <f>'רשימת מכשור 2015'!B1296</f>
        <v>0</v>
      </c>
      <c r="C1297" s="180">
        <f>'רשימת מכשור 2015'!C1296</f>
        <v>0</v>
      </c>
      <c r="D1297" s="233">
        <f>'רשימת מכשור 2015'!D1296</f>
        <v>0</v>
      </c>
      <c r="E1297" s="180">
        <f>'רשימת מכשור 2015'!E1296</f>
        <v>0</v>
      </c>
      <c r="F1297" s="180">
        <f>'רשימת מכשור 2015'!F1296</f>
        <v>0</v>
      </c>
      <c r="G1297" s="195"/>
      <c r="H1297" s="195"/>
      <c r="I1297" s="196"/>
      <c r="J1297" s="195"/>
      <c r="K1297" s="195"/>
      <c r="L1297" s="195"/>
      <c r="M1297" s="195"/>
      <c r="N1297" s="197"/>
      <c r="O1297" s="195"/>
      <c r="P1297" s="195"/>
      <c r="Q1297" s="195"/>
    </row>
    <row r="1298" spans="1:17">
      <c r="A1298" s="180">
        <f>'רשימת מכשור 2015'!A1297</f>
        <v>0</v>
      </c>
      <c r="B1298" s="180">
        <f>'רשימת מכשור 2015'!B1297</f>
        <v>0</v>
      </c>
      <c r="C1298" s="180">
        <f>'רשימת מכשור 2015'!C1297</f>
        <v>0</v>
      </c>
      <c r="D1298" s="233">
        <f>'רשימת מכשור 2015'!D1297</f>
        <v>0</v>
      </c>
      <c r="E1298" s="180">
        <f>'רשימת מכשור 2015'!E1297</f>
        <v>0</v>
      </c>
      <c r="F1298" s="180">
        <f>'רשימת מכשור 2015'!F1297</f>
        <v>0</v>
      </c>
      <c r="G1298" s="195"/>
      <c r="H1298" s="195"/>
      <c r="I1298" s="196"/>
      <c r="J1298" s="195"/>
      <c r="K1298" s="195"/>
      <c r="L1298" s="195"/>
      <c r="M1298" s="195"/>
      <c r="N1298" s="197"/>
      <c r="O1298" s="195"/>
      <c r="P1298" s="195"/>
      <c r="Q1298" s="195"/>
    </row>
    <row r="1299" spans="1:17">
      <c r="A1299" s="180">
        <f>'רשימת מכשור 2015'!A1298</f>
        <v>0</v>
      </c>
      <c r="B1299" s="180">
        <f>'רשימת מכשור 2015'!B1298</f>
        <v>0</v>
      </c>
      <c r="C1299" s="180">
        <f>'רשימת מכשור 2015'!C1298</f>
        <v>0</v>
      </c>
      <c r="D1299" s="233">
        <f>'רשימת מכשור 2015'!D1298</f>
        <v>0</v>
      </c>
      <c r="E1299" s="180">
        <f>'רשימת מכשור 2015'!E1298</f>
        <v>0</v>
      </c>
      <c r="F1299" s="180">
        <f>'רשימת מכשור 2015'!F1298</f>
        <v>0</v>
      </c>
      <c r="G1299" s="195"/>
      <c r="H1299" s="195"/>
      <c r="I1299" s="196"/>
      <c r="J1299" s="195"/>
      <c r="K1299" s="195"/>
      <c r="L1299" s="195"/>
      <c r="M1299" s="195"/>
      <c r="N1299" s="197"/>
      <c r="O1299" s="195"/>
      <c r="P1299" s="195"/>
      <c r="Q1299" s="195"/>
    </row>
    <row r="1300" spans="1:17">
      <c r="A1300" s="180">
        <f>'רשימת מכשור 2015'!A1299</f>
        <v>0</v>
      </c>
      <c r="B1300" s="180">
        <f>'רשימת מכשור 2015'!B1299</f>
        <v>0</v>
      </c>
      <c r="C1300" s="180">
        <f>'רשימת מכשור 2015'!C1299</f>
        <v>0</v>
      </c>
      <c r="D1300" s="233">
        <f>'רשימת מכשור 2015'!D1299</f>
        <v>0</v>
      </c>
      <c r="E1300" s="180">
        <f>'רשימת מכשור 2015'!E1299</f>
        <v>0</v>
      </c>
      <c r="F1300" s="180">
        <f>'רשימת מכשור 2015'!F1299</f>
        <v>0</v>
      </c>
      <c r="G1300" s="195"/>
      <c r="H1300" s="195"/>
      <c r="I1300" s="196"/>
      <c r="J1300" s="195"/>
      <c r="K1300" s="195"/>
      <c r="L1300" s="195"/>
      <c r="M1300" s="195"/>
      <c r="N1300" s="197"/>
      <c r="O1300" s="195"/>
      <c r="P1300" s="195"/>
      <c r="Q1300" s="195"/>
    </row>
    <row r="1301" spans="1:17">
      <c r="A1301" s="180">
        <f>'רשימת מכשור 2015'!A1300</f>
        <v>0</v>
      </c>
      <c r="B1301" s="180">
        <f>'רשימת מכשור 2015'!B1300</f>
        <v>0</v>
      </c>
      <c r="C1301" s="180">
        <f>'רשימת מכשור 2015'!C1300</f>
        <v>0</v>
      </c>
      <c r="D1301" s="233">
        <f>'רשימת מכשור 2015'!D1300</f>
        <v>0</v>
      </c>
      <c r="E1301" s="180">
        <f>'רשימת מכשור 2015'!E1300</f>
        <v>0</v>
      </c>
      <c r="F1301" s="180">
        <f>'רשימת מכשור 2015'!F1300</f>
        <v>0</v>
      </c>
      <c r="G1301" s="195"/>
      <c r="H1301" s="195"/>
      <c r="I1301" s="196"/>
      <c r="J1301" s="195"/>
      <c r="K1301" s="195"/>
      <c r="L1301" s="195"/>
      <c r="M1301" s="195"/>
      <c r="N1301" s="197"/>
      <c r="O1301" s="195"/>
      <c r="P1301" s="195"/>
      <c r="Q1301" s="195"/>
    </row>
    <row r="1302" spans="1:17">
      <c r="A1302" s="180">
        <f>'רשימת מכשור 2015'!A1301</f>
        <v>0</v>
      </c>
      <c r="B1302" s="180">
        <f>'רשימת מכשור 2015'!B1301</f>
        <v>0</v>
      </c>
      <c r="C1302" s="180">
        <f>'רשימת מכשור 2015'!C1301</f>
        <v>0</v>
      </c>
      <c r="D1302" s="233">
        <f>'רשימת מכשור 2015'!D1301</f>
        <v>0</v>
      </c>
      <c r="E1302" s="180">
        <f>'רשימת מכשור 2015'!E1301</f>
        <v>0</v>
      </c>
      <c r="F1302" s="180">
        <f>'רשימת מכשור 2015'!F1301</f>
        <v>0</v>
      </c>
      <c r="G1302" s="195"/>
      <c r="H1302" s="195"/>
      <c r="I1302" s="196"/>
      <c r="J1302" s="195"/>
      <c r="K1302" s="195"/>
      <c r="L1302" s="195"/>
      <c r="M1302" s="195"/>
      <c r="N1302" s="197"/>
      <c r="O1302" s="195"/>
      <c r="P1302" s="195"/>
      <c r="Q1302" s="195"/>
    </row>
    <row r="1303" spans="1:17">
      <c r="A1303" s="180">
        <f>'רשימת מכשור 2015'!A1302</f>
        <v>0</v>
      </c>
      <c r="B1303" s="180">
        <f>'רשימת מכשור 2015'!B1302</f>
        <v>0</v>
      </c>
      <c r="C1303" s="180">
        <f>'רשימת מכשור 2015'!C1302</f>
        <v>0</v>
      </c>
      <c r="D1303" s="233">
        <f>'רשימת מכשור 2015'!D1302</f>
        <v>0</v>
      </c>
      <c r="E1303" s="180">
        <f>'רשימת מכשור 2015'!E1302</f>
        <v>0</v>
      </c>
      <c r="F1303" s="180">
        <f>'רשימת מכשור 2015'!F1302</f>
        <v>0</v>
      </c>
      <c r="G1303" s="195"/>
      <c r="H1303" s="195"/>
      <c r="I1303" s="196"/>
      <c r="J1303" s="195"/>
      <c r="K1303" s="195"/>
      <c r="L1303" s="195"/>
      <c r="M1303" s="195"/>
      <c r="N1303" s="197"/>
      <c r="O1303" s="195"/>
      <c r="P1303" s="195"/>
      <c r="Q1303" s="195"/>
    </row>
    <row r="1304" spans="1:17">
      <c r="A1304" s="180">
        <f>'רשימת מכשור 2015'!A1303</f>
        <v>0</v>
      </c>
      <c r="B1304" s="180">
        <f>'רשימת מכשור 2015'!B1303</f>
        <v>0</v>
      </c>
      <c r="C1304" s="180">
        <f>'רשימת מכשור 2015'!C1303</f>
        <v>0</v>
      </c>
      <c r="D1304" s="233">
        <f>'רשימת מכשור 2015'!D1303</f>
        <v>0</v>
      </c>
      <c r="E1304" s="180">
        <f>'רשימת מכשור 2015'!E1303</f>
        <v>0</v>
      </c>
      <c r="F1304" s="180">
        <f>'רשימת מכשור 2015'!F1303</f>
        <v>0</v>
      </c>
      <c r="G1304" s="195"/>
      <c r="H1304" s="195"/>
      <c r="I1304" s="196"/>
      <c r="J1304" s="195"/>
      <c r="K1304" s="195"/>
      <c r="L1304" s="195"/>
      <c r="M1304" s="195"/>
      <c r="N1304" s="197"/>
      <c r="O1304" s="195"/>
      <c r="P1304" s="195"/>
      <c r="Q1304" s="195"/>
    </row>
    <row r="1305" spans="1:17">
      <c r="A1305" s="180">
        <f>'רשימת מכשור 2015'!A1304</f>
        <v>0</v>
      </c>
      <c r="B1305" s="180">
        <f>'רשימת מכשור 2015'!B1304</f>
        <v>0</v>
      </c>
      <c r="C1305" s="180">
        <f>'רשימת מכשור 2015'!C1304</f>
        <v>0</v>
      </c>
      <c r="D1305" s="233">
        <f>'רשימת מכשור 2015'!D1304</f>
        <v>0</v>
      </c>
      <c r="E1305" s="180">
        <f>'רשימת מכשור 2015'!E1304</f>
        <v>0</v>
      </c>
      <c r="F1305" s="180">
        <f>'רשימת מכשור 2015'!F1304</f>
        <v>0</v>
      </c>
      <c r="G1305" s="195"/>
      <c r="H1305" s="195"/>
      <c r="I1305" s="196"/>
      <c r="J1305" s="195"/>
      <c r="K1305" s="195"/>
      <c r="L1305" s="195"/>
      <c r="M1305" s="195"/>
      <c r="N1305" s="197"/>
      <c r="O1305" s="195"/>
      <c r="P1305" s="195"/>
      <c r="Q1305" s="195"/>
    </row>
    <row r="1306" spans="1:17">
      <c r="A1306" s="180">
        <f>'רשימת מכשור 2015'!A1305</f>
        <v>0</v>
      </c>
      <c r="B1306" s="180">
        <f>'רשימת מכשור 2015'!B1305</f>
        <v>0</v>
      </c>
      <c r="C1306" s="180">
        <f>'רשימת מכשור 2015'!C1305</f>
        <v>0</v>
      </c>
      <c r="D1306" s="233">
        <f>'רשימת מכשור 2015'!D1305</f>
        <v>0</v>
      </c>
      <c r="E1306" s="180">
        <f>'רשימת מכשור 2015'!E1305</f>
        <v>0</v>
      </c>
      <c r="F1306" s="180">
        <f>'רשימת מכשור 2015'!F1305</f>
        <v>0</v>
      </c>
      <c r="G1306" s="195"/>
      <c r="H1306" s="195"/>
      <c r="I1306" s="196"/>
      <c r="J1306" s="195"/>
      <c r="K1306" s="195"/>
      <c r="L1306" s="195"/>
      <c r="M1306" s="195"/>
      <c r="N1306" s="197"/>
      <c r="O1306" s="195"/>
      <c r="P1306" s="195"/>
      <c r="Q1306" s="195"/>
    </row>
    <row r="1307" spans="1:17">
      <c r="A1307" s="180">
        <f>'רשימת מכשור 2015'!A1306</f>
        <v>0</v>
      </c>
      <c r="B1307" s="180">
        <f>'רשימת מכשור 2015'!B1306</f>
        <v>0</v>
      </c>
      <c r="C1307" s="180">
        <f>'רשימת מכשור 2015'!C1306</f>
        <v>0</v>
      </c>
      <c r="D1307" s="233">
        <f>'רשימת מכשור 2015'!D1306</f>
        <v>0</v>
      </c>
      <c r="E1307" s="180">
        <f>'רשימת מכשור 2015'!E1306</f>
        <v>0</v>
      </c>
      <c r="F1307" s="180">
        <f>'רשימת מכשור 2015'!F1306</f>
        <v>0</v>
      </c>
      <c r="G1307" s="195"/>
      <c r="H1307" s="195"/>
      <c r="I1307" s="196"/>
      <c r="J1307" s="195"/>
      <c r="K1307" s="195"/>
      <c r="L1307" s="195"/>
      <c r="M1307" s="195"/>
      <c r="N1307" s="197"/>
      <c r="O1307" s="195"/>
      <c r="P1307" s="195"/>
      <c r="Q1307" s="195"/>
    </row>
    <row r="1308" spans="1:17">
      <c r="A1308" s="180">
        <f>'רשימת מכשור 2015'!A1307</f>
        <v>0</v>
      </c>
      <c r="B1308" s="180">
        <f>'רשימת מכשור 2015'!B1307</f>
        <v>0</v>
      </c>
      <c r="C1308" s="180">
        <f>'רשימת מכשור 2015'!C1307</f>
        <v>0</v>
      </c>
      <c r="D1308" s="233">
        <f>'רשימת מכשור 2015'!D1307</f>
        <v>0</v>
      </c>
      <c r="E1308" s="180">
        <f>'רשימת מכשור 2015'!E1307</f>
        <v>0</v>
      </c>
      <c r="F1308" s="180">
        <f>'רשימת מכשור 2015'!F1307</f>
        <v>0</v>
      </c>
      <c r="G1308" s="195"/>
      <c r="H1308" s="195"/>
      <c r="I1308" s="196"/>
      <c r="J1308" s="195"/>
      <c r="K1308" s="195"/>
      <c r="L1308" s="195"/>
      <c r="M1308" s="195"/>
      <c r="N1308" s="197"/>
      <c r="O1308" s="195"/>
      <c r="P1308" s="195"/>
      <c r="Q1308" s="195"/>
    </row>
    <row r="1309" spans="1:17">
      <c r="A1309" s="180">
        <f>'רשימת מכשור 2015'!A1308</f>
        <v>0</v>
      </c>
      <c r="B1309" s="180">
        <f>'רשימת מכשור 2015'!B1308</f>
        <v>0</v>
      </c>
      <c r="C1309" s="180">
        <f>'רשימת מכשור 2015'!C1308</f>
        <v>0</v>
      </c>
      <c r="D1309" s="233">
        <f>'רשימת מכשור 2015'!D1308</f>
        <v>0</v>
      </c>
      <c r="E1309" s="180">
        <f>'רשימת מכשור 2015'!E1308</f>
        <v>0</v>
      </c>
      <c r="F1309" s="180">
        <f>'רשימת מכשור 2015'!F1308</f>
        <v>0</v>
      </c>
      <c r="G1309" s="195"/>
      <c r="H1309" s="195"/>
      <c r="I1309" s="196"/>
      <c r="J1309" s="195"/>
      <c r="K1309" s="195"/>
      <c r="L1309" s="195"/>
      <c r="M1309" s="195"/>
      <c r="N1309" s="197"/>
      <c r="O1309" s="195"/>
      <c r="P1309" s="195"/>
      <c r="Q1309" s="195"/>
    </row>
    <row r="1310" spans="1:17">
      <c r="A1310" s="180">
        <f>'רשימת מכשור 2015'!A1309</f>
        <v>0</v>
      </c>
      <c r="B1310" s="180">
        <f>'רשימת מכשור 2015'!B1309</f>
        <v>0</v>
      </c>
      <c r="C1310" s="180">
        <f>'רשימת מכשור 2015'!C1309</f>
        <v>0</v>
      </c>
      <c r="D1310" s="233">
        <f>'רשימת מכשור 2015'!D1309</f>
        <v>0</v>
      </c>
      <c r="E1310" s="180">
        <f>'רשימת מכשור 2015'!E1309</f>
        <v>0</v>
      </c>
      <c r="F1310" s="180">
        <f>'רשימת מכשור 2015'!F1309</f>
        <v>0</v>
      </c>
      <c r="G1310" s="195"/>
      <c r="H1310" s="195"/>
      <c r="I1310" s="196"/>
      <c r="J1310" s="195"/>
      <c r="K1310" s="195"/>
      <c r="L1310" s="195"/>
      <c r="M1310" s="195"/>
      <c r="N1310" s="197"/>
      <c r="O1310" s="195"/>
      <c r="P1310" s="195"/>
      <c r="Q1310" s="195"/>
    </row>
    <row r="1311" spans="1:17">
      <c r="A1311" s="180">
        <f>'רשימת מכשור 2015'!A1310</f>
        <v>0</v>
      </c>
      <c r="B1311" s="180">
        <f>'רשימת מכשור 2015'!B1310</f>
        <v>0</v>
      </c>
      <c r="C1311" s="180">
        <f>'רשימת מכשור 2015'!C1310</f>
        <v>0</v>
      </c>
      <c r="D1311" s="233">
        <f>'רשימת מכשור 2015'!D1310</f>
        <v>0</v>
      </c>
      <c r="E1311" s="180">
        <f>'רשימת מכשור 2015'!E1310</f>
        <v>0</v>
      </c>
      <c r="F1311" s="180">
        <f>'רשימת מכשור 2015'!F1310</f>
        <v>0</v>
      </c>
      <c r="G1311" s="195"/>
      <c r="H1311" s="195"/>
      <c r="I1311" s="196"/>
      <c r="J1311" s="195"/>
      <c r="K1311" s="195"/>
      <c r="L1311" s="195"/>
      <c r="M1311" s="195"/>
      <c r="N1311" s="197"/>
      <c r="O1311" s="195"/>
      <c r="P1311" s="195"/>
      <c r="Q1311" s="195"/>
    </row>
    <row r="1312" spans="1:17">
      <c r="A1312" s="180">
        <f>'רשימת מכשור 2015'!A1311</f>
        <v>0</v>
      </c>
      <c r="B1312" s="180">
        <f>'רשימת מכשור 2015'!B1311</f>
        <v>0</v>
      </c>
      <c r="C1312" s="180">
        <f>'רשימת מכשור 2015'!C1311</f>
        <v>0</v>
      </c>
      <c r="D1312" s="233">
        <f>'רשימת מכשור 2015'!D1311</f>
        <v>0</v>
      </c>
      <c r="E1312" s="180">
        <f>'רשימת מכשור 2015'!E1311</f>
        <v>0</v>
      </c>
      <c r="F1312" s="180">
        <f>'רשימת מכשור 2015'!F1311</f>
        <v>0</v>
      </c>
      <c r="G1312" s="195"/>
      <c r="H1312" s="195"/>
      <c r="I1312" s="196"/>
      <c r="J1312" s="195"/>
      <c r="K1312" s="195"/>
      <c r="L1312" s="195"/>
      <c r="M1312" s="195"/>
      <c r="N1312" s="197"/>
      <c r="O1312" s="195"/>
      <c r="P1312" s="195"/>
      <c r="Q1312" s="195"/>
    </row>
    <row r="1313" spans="1:17">
      <c r="A1313" s="180">
        <f>'רשימת מכשור 2015'!A1312</f>
        <v>0</v>
      </c>
      <c r="B1313" s="180">
        <f>'רשימת מכשור 2015'!B1312</f>
        <v>0</v>
      </c>
      <c r="C1313" s="180">
        <f>'רשימת מכשור 2015'!C1312</f>
        <v>0</v>
      </c>
      <c r="D1313" s="233">
        <f>'רשימת מכשור 2015'!D1312</f>
        <v>0</v>
      </c>
      <c r="E1313" s="180">
        <f>'רשימת מכשור 2015'!E1312</f>
        <v>0</v>
      </c>
      <c r="F1313" s="180">
        <f>'רשימת מכשור 2015'!F1312</f>
        <v>0</v>
      </c>
      <c r="G1313" s="195"/>
      <c r="H1313" s="195"/>
      <c r="I1313" s="196"/>
      <c r="J1313" s="195"/>
      <c r="K1313" s="195"/>
      <c r="L1313" s="195"/>
      <c r="M1313" s="195"/>
      <c r="N1313" s="197"/>
      <c r="O1313" s="195"/>
      <c r="P1313" s="195"/>
      <c r="Q1313" s="195"/>
    </row>
    <row r="1314" spans="1:17">
      <c r="A1314" s="180">
        <f>'רשימת מכשור 2015'!A1313</f>
        <v>0</v>
      </c>
      <c r="B1314" s="180">
        <f>'רשימת מכשור 2015'!B1313</f>
        <v>0</v>
      </c>
      <c r="C1314" s="180">
        <f>'רשימת מכשור 2015'!C1313</f>
        <v>0</v>
      </c>
      <c r="D1314" s="233">
        <f>'רשימת מכשור 2015'!D1313</f>
        <v>0</v>
      </c>
      <c r="E1314" s="180">
        <f>'רשימת מכשור 2015'!E1313</f>
        <v>0</v>
      </c>
      <c r="F1314" s="180">
        <f>'רשימת מכשור 2015'!F1313</f>
        <v>0</v>
      </c>
      <c r="G1314" s="195"/>
      <c r="H1314" s="195"/>
      <c r="I1314" s="196"/>
      <c r="J1314" s="195"/>
      <c r="K1314" s="195"/>
      <c r="L1314" s="195"/>
      <c r="M1314" s="195"/>
      <c r="N1314" s="197"/>
      <c r="O1314" s="195"/>
      <c r="P1314" s="195"/>
      <c r="Q1314" s="195"/>
    </row>
    <row r="1315" spans="1:17">
      <c r="A1315" s="180">
        <f>'רשימת מכשור 2015'!A1314</f>
        <v>0</v>
      </c>
      <c r="B1315" s="180">
        <f>'רשימת מכשור 2015'!B1314</f>
        <v>0</v>
      </c>
      <c r="C1315" s="180">
        <f>'רשימת מכשור 2015'!C1314</f>
        <v>0</v>
      </c>
      <c r="D1315" s="233">
        <f>'רשימת מכשור 2015'!D1314</f>
        <v>0</v>
      </c>
      <c r="E1315" s="180">
        <f>'רשימת מכשור 2015'!E1314</f>
        <v>0</v>
      </c>
      <c r="F1315" s="180">
        <f>'רשימת מכשור 2015'!F1314</f>
        <v>0</v>
      </c>
      <c r="G1315" s="195"/>
      <c r="H1315" s="195"/>
      <c r="I1315" s="196"/>
      <c r="J1315" s="195"/>
      <c r="K1315" s="195"/>
      <c r="L1315" s="195"/>
      <c r="M1315" s="195"/>
      <c r="N1315" s="197"/>
      <c r="O1315" s="195"/>
      <c r="P1315" s="195"/>
      <c r="Q1315" s="195"/>
    </row>
    <row r="1316" spans="1:17">
      <c r="A1316" s="180">
        <f>'רשימת מכשור 2015'!A1315</f>
        <v>0</v>
      </c>
      <c r="B1316" s="180">
        <f>'רשימת מכשור 2015'!B1315</f>
        <v>0</v>
      </c>
      <c r="C1316" s="180">
        <f>'רשימת מכשור 2015'!C1315</f>
        <v>0</v>
      </c>
      <c r="D1316" s="233">
        <f>'רשימת מכשור 2015'!D1315</f>
        <v>0</v>
      </c>
      <c r="E1316" s="180">
        <f>'רשימת מכשור 2015'!E1315</f>
        <v>0</v>
      </c>
      <c r="F1316" s="180">
        <f>'רשימת מכשור 2015'!F1315</f>
        <v>0</v>
      </c>
      <c r="G1316" s="195"/>
      <c r="H1316" s="195"/>
      <c r="I1316" s="196"/>
      <c r="J1316" s="195"/>
      <c r="K1316" s="195"/>
      <c r="L1316" s="195"/>
      <c r="M1316" s="195"/>
      <c r="N1316" s="197"/>
      <c r="O1316" s="195"/>
      <c r="P1316" s="195"/>
      <c r="Q1316" s="195"/>
    </row>
    <row r="1317" spans="1:17">
      <c r="A1317" s="180">
        <f>'רשימת מכשור 2015'!A1316</f>
        <v>0</v>
      </c>
      <c r="B1317" s="180">
        <f>'רשימת מכשור 2015'!B1316</f>
        <v>0</v>
      </c>
      <c r="C1317" s="180">
        <f>'רשימת מכשור 2015'!C1316</f>
        <v>0</v>
      </c>
      <c r="D1317" s="233">
        <f>'רשימת מכשור 2015'!D1316</f>
        <v>0</v>
      </c>
      <c r="E1317" s="180">
        <f>'רשימת מכשור 2015'!E1316</f>
        <v>0</v>
      </c>
      <c r="F1317" s="180">
        <f>'רשימת מכשור 2015'!F1316</f>
        <v>0</v>
      </c>
      <c r="G1317" s="195"/>
      <c r="H1317" s="195"/>
      <c r="I1317" s="196"/>
      <c r="J1317" s="195"/>
      <c r="K1317" s="195"/>
      <c r="L1317" s="195"/>
      <c r="M1317" s="195"/>
      <c r="N1317" s="197"/>
      <c r="O1317" s="195"/>
      <c r="P1317" s="195"/>
      <c r="Q1317" s="195"/>
    </row>
    <row r="1318" spans="1:17">
      <c r="A1318" s="180">
        <f>'רשימת מכשור 2015'!A1317</f>
        <v>0</v>
      </c>
      <c r="B1318" s="180">
        <f>'רשימת מכשור 2015'!B1317</f>
        <v>0</v>
      </c>
      <c r="C1318" s="180">
        <f>'רשימת מכשור 2015'!C1317</f>
        <v>0</v>
      </c>
      <c r="D1318" s="233">
        <f>'רשימת מכשור 2015'!D1317</f>
        <v>0</v>
      </c>
      <c r="E1318" s="180">
        <f>'רשימת מכשור 2015'!E1317</f>
        <v>0</v>
      </c>
      <c r="F1318" s="180">
        <f>'רשימת מכשור 2015'!F1317</f>
        <v>0</v>
      </c>
      <c r="G1318" s="195"/>
      <c r="H1318" s="195"/>
      <c r="I1318" s="196"/>
      <c r="J1318" s="195"/>
      <c r="K1318" s="195"/>
      <c r="L1318" s="195"/>
      <c r="M1318" s="195"/>
      <c r="N1318" s="197"/>
      <c r="O1318" s="195"/>
      <c r="P1318" s="195"/>
      <c r="Q1318" s="195"/>
    </row>
    <row r="1319" spans="1:17">
      <c r="A1319" s="180">
        <f>'רשימת מכשור 2015'!A1318</f>
        <v>0</v>
      </c>
      <c r="B1319" s="180">
        <f>'רשימת מכשור 2015'!B1318</f>
        <v>0</v>
      </c>
      <c r="C1319" s="180">
        <f>'רשימת מכשור 2015'!C1318</f>
        <v>0</v>
      </c>
      <c r="D1319" s="233">
        <f>'רשימת מכשור 2015'!D1318</f>
        <v>0</v>
      </c>
      <c r="E1319" s="180">
        <f>'רשימת מכשור 2015'!E1318</f>
        <v>0</v>
      </c>
      <c r="F1319" s="180">
        <f>'רשימת מכשור 2015'!F1318</f>
        <v>0</v>
      </c>
      <c r="G1319" s="195"/>
      <c r="H1319" s="195"/>
      <c r="I1319" s="196"/>
      <c r="J1319" s="195"/>
      <c r="K1319" s="195"/>
      <c r="L1319" s="195"/>
      <c r="M1319" s="195"/>
      <c r="N1319" s="197"/>
      <c r="O1319" s="195"/>
      <c r="P1319" s="195"/>
      <c r="Q1319" s="195"/>
    </row>
    <row r="1320" spans="1:17">
      <c r="A1320" s="180">
        <f>'רשימת מכשור 2015'!A1319</f>
        <v>0</v>
      </c>
      <c r="B1320" s="180">
        <f>'רשימת מכשור 2015'!B1319</f>
        <v>0</v>
      </c>
      <c r="C1320" s="180">
        <f>'רשימת מכשור 2015'!C1319</f>
        <v>0</v>
      </c>
      <c r="D1320" s="233">
        <f>'רשימת מכשור 2015'!D1319</f>
        <v>0</v>
      </c>
      <c r="E1320" s="180">
        <f>'רשימת מכשור 2015'!E1319</f>
        <v>0</v>
      </c>
      <c r="F1320" s="180">
        <f>'רשימת מכשור 2015'!F1319</f>
        <v>0</v>
      </c>
      <c r="G1320" s="195"/>
      <c r="H1320" s="195"/>
      <c r="I1320" s="196"/>
      <c r="J1320" s="195"/>
      <c r="K1320" s="195"/>
      <c r="L1320" s="195"/>
      <c r="M1320" s="195"/>
      <c r="N1320" s="197"/>
      <c r="O1320" s="195"/>
      <c r="P1320" s="195"/>
      <c r="Q1320" s="195"/>
    </row>
    <row r="1321" spans="1:17">
      <c r="A1321" s="180">
        <f>'רשימת מכשור 2015'!A1320</f>
        <v>0</v>
      </c>
      <c r="B1321" s="180">
        <f>'רשימת מכשור 2015'!B1320</f>
        <v>0</v>
      </c>
      <c r="C1321" s="180">
        <f>'רשימת מכשור 2015'!C1320</f>
        <v>0</v>
      </c>
      <c r="D1321" s="233">
        <f>'רשימת מכשור 2015'!D1320</f>
        <v>0</v>
      </c>
      <c r="E1321" s="180">
        <f>'רשימת מכשור 2015'!E1320</f>
        <v>0</v>
      </c>
      <c r="F1321" s="180">
        <f>'רשימת מכשור 2015'!F1320</f>
        <v>0</v>
      </c>
      <c r="G1321" s="195"/>
      <c r="H1321" s="195"/>
      <c r="I1321" s="196"/>
      <c r="J1321" s="195"/>
      <c r="K1321" s="195"/>
      <c r="L1321" s="195"/>
      <c r="M1321" s="195"/>
      <c r="N1321" s="197"/>
      <c r="O1321" s="195"/>
      <c r="P1321" s="195"/>
      <c r="Q1321" s="195"/>
    </row>
    <row r="1322" spans="1:17">
      <c r="A1322" s="180">
        <f>'רשימת מכשור 2015'!A1321</f>
        <v>0</v>
      </c>
      <c r="B1322" s="180">
        <f>'רשימת מכשור 2015'!B1321</f>
        <v>0</v>
      </c>
      <c r="C1322" s="180">
        <f>'רשימת מכשור 2015'!C1321</f>
        <v>0</v>
      </c>
      <c r="D1322" s="233">
        <f>'רשימת מכשור 2015'!D1321</f>
        <v>0</v>
      </c>
      <c r="E1322" s="180">
        <f>'רשימת מכשור 2015'!E1321</f>
        <v>0</v>
      </c>
      <c r="F1322" s="180">
        <f>'רשימת מכשור 2015'!F1321</f>
        <v>0</v>
      </c>
      <c r="G1322" s="195"/>
      <c r="H1322" s="195"/>
      <c r="I1322" s="196"/>
      <c r="J1322" s="195"/>
      <c r="K1322" s="195"/>
      <c r="L1322" s="195"/>
      <c r="M1322" s="195"/>
      <c r="N1322" s="197"/>
      <c r="O1322" s="195"/>
      <c r="P1322" s="195"/>
      <c r="Q1322" s="195"/>
    </row>
    <row r="1323" spans="1:17">
      <c r="A1323" s="180">
        <f>'רשימת מכשור 2015'!A1322</f>
        <v>0</v>
      </c>
      <c r="B1323" s="180">
        <f>'רשימת מכשור 2015'!B1322</f>
        <v>0</v>
      </c>
      <c r="C1323" s="180">
        <f>'רשימת מכשור 2015'!C1322</f>
        <v>0</v>
      </c>
      <c r="D1323" s="233">
        <f>'רשימת מכשור 2015'!D1322</f>
        <v>0</v>
      </c>
      <c r="E1323" s="180">
        <f>'רשימת מכשור 2015'!E1322</f>
        <v>0</v>
      </c>
      <c r="F1323" s="180">
        <f>'רשימת מכשור 2015'!F1322</f>
        <v>0</v>
      </c>
      <c r="G1323" s="195"/>
      <c r="H1323" s="195"/>
      <c r="I1323" s="196"/>
      <c r="J1323" s="195"/>
      <c r="K1323" s="195"/>
      <c r="L1323" s="195"/>
      <c r="M1323" s="195"/>
      <c r="N1323" s="197"/>
      <c r="O1323" s="195"/>
      <c r="P1323" s="195"/>
      <c r="Q1323" s="195"/>
    </row>
    <row r="1324" spans="1:17">
      <c r="A1324" s="180">
        <f>'רשימת מכשור 2015'!A1323</f>
        <v>0</v>
      </c>
      <c r="B1324" s="180">
        <f>'רשימת מכשור 2015'!B1323</f>
        <v>0</v>
      </c>
      <c r="C1324" s="180">
        <f>'רשימת מכשור 2015'!C1323</f>
        <v>0</v>
      </c>
      <c r="D1324" s="233">
        <f>'רשימת מכשור 2015'!D1323</f>
        <v>0</v>
      </c>
      <c r="E1324" s="180">
        <f>'רשימת מכשור 2015'!E1323</f>
        <v>0</v>
      </c>
      <c r="F1324" s="180">
        <f>'רשימת מכשור 2015'!F1323</f>
        <v>0</v>
      </c>
      <c r="G1324" s="195"/>
      <c r="H1324" s="195"/>
      <c r="I1324" s="196"/>
      <c r="J1324" s="195"/>
      <c r="K1324" s="195"/>
      <c r="L1324" s="195"/>
      <c r="M1324" s="195"/>
      <c r="N1324" s="197"/>
      <c r="O1324" s="195"/>
      <c r="P1324" s="195"/>
      <c r="Q1324" s="195"/>
    </row>
    <row r="1325" spans="1:17">
      <c r="A1325" s="180">
        <f>'רשימת מכשור 2015'!A1324</f>
        <v>0</v>
      </c>
      <c r="B1325" s="180">
        <f>'רשימת מכשור 2015'!B1324</f>
        <v>0</v>
      </c>
      <c r="C1325" s="180">
        <f>'רשימת מכשור 2015'!C1324</f>
        <v>0</v>
      </c>
      <c r="D1325" s="233">
        <f>'רשימת מכשור 2015'!D1324</f>
        <v>0</v>
      </c>
      <c r="E1325" s="180">
        <f>'רשימת מכשור 2015'!E1324</f>
        <v>0</v>
      </c>
      <c r="F1325" s="180">
        <f>'רשימת מכשור 2015'!F1324</f>
        <v>0</v>
      </c>
      <c r="G1325" s="195"/>
      <c r="H1325" s="195"/>
      <c r="I1325" s="196"/>
      <c r="J1325" s="195"/>
      <c r="K1325" s="195"/>
      <c r="L1325" s="195"/>
      <c r="M1325" s="195"/>
      <c r="N1325" s="197"/>
      <c r="O1325" s="195"/>
      <c r="P1325" s="195"/>
      <c r="Q1325" s="195"/>
    </row>
    <row r="1326" spans="1:17">
      <c r="A1326" s="180">
        <f>'רשימת מכשור 2015'!A1325</f>
        <v>0</v>
      </c>
      <c r="B1326" s="180">
        <f>'רשימת מכשור 2015'!B1325</f>
        <v>0</v>
      </c>
      <c r="C1326" s="180">
        <f>'רשימת מכשור 2015'!C1325</f>
        <v>0</v>
      </c>
      <c r="D1326" s="233">
        <f>'רשימת מכשור 2015'!D1325</f>
        <v>0</v>
      </c>
      <c r="E1326" s="180">
        <f>'רשימת מכשור 2015'!E1325</f>
        <v>0</v>
      </c>
      <c r="F1326" s="180">
        <f>'רשימת מכשור 2015'!F1325</f>
        <v>0</v>
      </c>
      <c r="G1326" s="195"/>
      <c r="H1326" s="195"/>
      <c r="I1326" s="196"/>
      <c r="J1326" s="195"/>
      <c r="K1326" s="195"/>
      <c r="L1326" s="195"/>
      <c r="M1326" s="195"/>
      <c r="N1326" s="197"/>
      <c r="O1326" s="195"/>
      <c r="P1326" s="195"/>
      <c r="Q1326" s="195"/>
    </row>
    <row r="1327" spans="1:17">
      <c r="A1327" s="180">
        <f>'רשימת מכשור 2015'!A1326</f>
        <v>0</v>
      </c>
      <c r="B1327" s="180">
        <f>'רשימת מכשור 2015'!B1326</f>
        <v>0</v>
      </c>
      <c r="C1327" s="180">
        <f>'רשימת מכשור 2015'!C1326</f>
        <v>0</v>
      </c>
      <c r="D1327" s="233">
        <f>'רשימת מכשור 2015'!D1326</f>
        <v>0</v>
      </c>
      <c r="E1327" s="180">
        <f>'רשימת מכשור 2015'!E1326</f>
        <v>0</v>
      </c>
      <c r="F1327" s="180">
        <f>'רשימת מכשור 2015'!F1326</f>
        <v>0</v>
      </c>
      <c r="G1327" s="195"/>
      <c r="H1327" s="195"/>
      <c r="I1327" s="196"/>
      <c r="J1327" s="195"/>
      <c r="K1327" s="195"/>
      <c r="L1327" s="195"/>
      <c r="M1327" s="195"/>
      <c r="N1327" s="197"/>
      <c r="O1327" s="195"/>
      <c r="P1327" s="195"/>
      <c r="Q1327" s="195"/>
    </row>
    <row r="1328" spans="1:17">
      <c r="A1328" s="180">
        <f>'רשימת מכשור 2015'!A1327</f>
        <v>0</v>
      </c>
      <c r="B1328" s="180">
        <f>'רשימת מכשור 2015'!B1327</f>
        <v>0</v>
      </c>
      <c r="C1328" s="180">
        <f>'רשימת מכשור 2015'!C1327</f>
        <v>0</v>
      </c>
      <c r="D1328" s="233">
        <f>'רשימת מכשור 2015'!D1327</f>
        <v>0</v>
      </c>
      <c r="E1328" s="180">
        <f>'רשימת מכשור 2015'!E1327</f>
        <v>0</v>
      </c>
      <c r="F1328" s="180">
        <f>'רשימת מכשור 2015'!F1327</f>
        <v>0</v>
      </c>
      <c r="G1328" s="195"/>
      <c r="H1328" s="195"/>
      <c r="I1328" s="196"/>
      <c r="J1328" s="195"/>
      <c r="K1328" s="195"/>
      <c r="L1328" s="195"/>
      <c r="M1328" s="195"/>
      <c r="N1328" s="197"/>
      <c r="O1328" s="195"/>
      <c r="P1328" s="195"/>
      <c r="Q1328" s="195"/>
    </row>
    <row r="1329" spans="1:17">
      <c r="A1329" s="180">
        <f>'רשימת מכשור 2015'!A1328</f>
        <v>0</v>
      </c>
      <c r="B1329" s="180">
        <f>'רשימת מכשור 2015'!B1328</f>
        <v>0</v>
      </c>
      <c r="C1329" s="180">
        <f>'רשימת מכשור 2015'!C1328</f>
        <v>0</v>
      </c>
      <c r="D1329" s="233">
        <f>'רשימת מכשור 2015'!D1328</f>
        <v>0</v>
      </c>
      <c r="E1329" s="180">
        <f>'רשימת מכשור 2015'!E1328</f>
        <v>0</v>
      </c>
      <c r="F1329" s="180">
        <f>'רשימת מכשור 2015'!F1328</f>
        <v>0</v>
      </c>
      <c r="G1329" s="195"/>
      <c r="H1329" s="195"/>
      <c r="I1329" s="196"/>
      <c r="J1329" s="195"/>
      <c r="K1329" s="195"/>
      <c r="L1329" s="195"/>
      <c r="M1329" s="195"/>
      <c r="N1329" s="197"/>
      <c r="O1329" s="195"/>
      <c r="P1329" s="195"/>
      <c r="Q1329" s="195"/>
    </row>
    <row r="1330" spans="1:17">
      <c r="A1330" s="180">
        <f>'רשימת מכשור 2015'!A1329</f>
        <v>0</v>
      </c>
      <c r="B1330" s="180">
        <f>'רשימת מכשור 2015'!B1329</f>
        <v>0</v>
      </c>
      <c r="C1330" s="180">
        <f>'רשימת מכשור 2015'!C1329</f>
        <v>0</v>
      </c>
      <c r="D1330" s="233">
        <f>'רשימת מכשור 2015'!D1329</f>
        <v>0</v>
      </c>
      <c r="E1330" s="180">
        <f>'רשימת מכשור 2015'!E1329</f>
        <v>0</v>
      </c>
      <c r="F1330" s="180">
        <f>'רשימת מכשור 2015'!F1329</f>
        <v>0</v>
      </c>
      <c r="G1330" s="195"/>
      <c r="H1330" s="195"/>
      <c r="I1330" s="196"/>
      <c r="J1330" s="195"/>
      <c r="K1330" s="195"/>
      <c r="L1330" s="195"/>
      <c r="M1330" s="195"/>
      <c r="N1330" s="197"/>
      <c r="O1330" s="195"/>
      <c r="P1330" s="195"/>
      <c r="Q1330" s="195"/>
    </row>
    <row r="1331" spans="1:17">
      <c r="A1331" s="180">
        <f>'רשימת מכשור 2015'!A1330</f>
        <v>0</v>
      </c>
      <c r="B1331" s="180">
        <f>'רשימת מכשור 2015'!B1330</f>
        <v>0</v>
      </c>
      <c r="C1331" s="180">
        <f>'רשימת מכשור 2015'!C1330</f>
        <v>0</v>
      </c>
      <c r="D1331" s="233">
        <f>'רשימת מכשור 2015'!D1330</f>
        <v>0</v>
      </c>
      <c r="E1331" s="180">
        <f>'רשימת מכשור 2015'!E1330</f>
        <v>0</v>
      </c>
      <c r="F1331" s="180">
        <f>'רשימת מכשור 2015'!F1330</f>
        <v>0</v>
      </c>
      <c r="G1331" s="195"/>
      <c r="H1331" s="195"/>
      <c r="I1331" s="196"/>
      <c r="J1331" s="195"/>
      <c r="K1331" s="195"/>
      <c r="L1331" s="195"/>
      <c r="M1331" s="195"/>
      <c r="N1331" s="197"/>
      <c r="O1331" s="195"/>
      <c r="P1331" s="195"/>
      <c r="Q1331" s="195"/>
    </row>
    <row r="1332" spans="1:17">
      <c r="A1332" s="180">
        <f>'רשימת מכשור 2015'!A1331</f>
        <v>0</v>
      </c>
      <c r="B1332" s="180">
        <f>'רשימת מכשור 2015'!B1331</f>
        <v>0</v>
      </c>
      <c r="C1332" s="180">
        <f>'רשימת מכשור 2015'!C1331</f>
        <v>0</v>
      </c>
      <c r="D1332" s="233">
        <f>'רשימת מכשור 2015'!D1331</f>
        <v>0</v>
      </c>
      <c r="E1332" s="180">
        <f>'רשימת מכשור 2015'!E1331</f>
        <v>0</v>
      </c>
      <c r="F1332" s="180">
        <f>'רשימת מכשור 2015'!F1331</f>
        <v>0</v>
      </c>
      <c r="G1332" s="195"/>
      <c r="H1332" s="195"/>
      <c r="I1332" s="196"/>
      <c r="J1332" s="195"/>
      <c r="K1332" s="195"/>
      <c r="L1332" s="195"/>
      <c r="M1332" s="195"/>
      <c r="N1332" s="197"/>
      <c r="O1332" s="195"/>
      <c r="P1332" s="195"/>
      <c r="Q1332" s="195"/>
    </row>
    <row r="1333" spans="1:17">
      <c r="A1333" s="180">
        <f>'רשימת מכשור 2015'!A1332</f>
        <v>0</v>
      </c>
      <c r="B1333" s="180">
        <f>'רשימת מכשור 2015'!B1332</f>
        <v>0</v>
      </c>
      <c r="C1333" s="180">
        <f>'רשימת מכשור 2015'!C1332</f>
        <v>0</v>
      </c>
      <c r="D1333" s="233">
        <f>'רשימת מכשור 2015'!D1332</f>
        <v>0</v>
      </c>
      <c r="E1333" s="180">
        <f>'רשימת מכשור 2015'!E1332</f>
        <v>0</v>
      </c>
      <c r="F1333" s="180">
        <f>'רשימת מכשור 2015'!F1332</f>
        <v>0</v>
      </c>
      <c r="G1333" s="195"/>
      <c r="H1333" s="195"/>
      <c r="I1333" s="196"/>
      <c r="J1333" s="195"/>
      <c r="K1333" s="195"/>
      <c r="L1333" s="195"/>
      <c r="M1333" s="195"/>
      <c r="N1333" s="197"/>
      <c r="O1333" s="195"/>
      <c r="P1333" s="195"/>
      <c r="Q1333" s="195"/>
    </row>
    <row r="1334" spans="1:17">
      <c r="A1334" s="180">
        <f>'רשימת מכשור 2015'!A1333</f>
        <v>0</v>
      </c>
      <c r="B1334" s="180">
        <f>'רשימת מכשור 2015'!B1333</f>
        <v>0</v>
      </c>
      <c r="C1334" s="180">
        <f>'רשימת מכשור 2015'!C1333</f>
        <v>0</v>
      </c>
      <c r="D1334" s="233">
        <f>'רשימת מכשור 2015'!D1333</f>
        <v>0</v>
      </c>
      <c r="E1334" s="180">
        <f>'רשימת מכשור 2015'!E1333</f>
        <v>0</v>
      </c>
      <c r="F1334" s="180">
        <f>'רשימת מכשור 2015'!F1333</f>
        <v>0</v>
      </c>
      <c r="G1334" s="195"/>
      <c r="H1334" s="195"/>
      <c r="I1334" s="196"/>
      <c r="J1334" s="195"/>
      <c r="K1334" s="195"/>
      <c r="L1334" s="195"/>
      <c r="M1334" s="195"/>
      <c r="N1334" s="197"/>
      <c r="O1334" s="195"/>
      <c r="P1334" s="195"/>
      <c r="Q1334" s="195"/>
    </row>
    <row r="1335" spans="1:17">
      <c r="A1335" s="180">
        <f>'רשימת מכשור 2015'!A1334</f>
        <v>0</v>
      </c>
      <c r="B1335" s="180">
        <f>'רשימת מכשור 2015'!B1334</f>
        <v>0</v>
      </c>
      <c r="C1335" s="180">
        <f>'רשימת מכשור 2015'!C1334</f>
        <v>0</v>
      </c>
      <c r="D1335" s="233">
        <f>'רשימת מכשור 2015'!D1334</f>
        <v>0</v>
      </c>
      <c r="E1335" s="180">
        <f>'רשימת מכשור 2015'!E1334</f>
        <v>0</v>
      </c>
      <c r="F1335" s="180">
        <f>'רשימת מכשור 2015'!F1334</f>
        <v>0</v>
      </c>
      <c r="G1335" s="195"/>
      <c r="H1335" s="195"/>
      <c r="I1335" s="196"/>
      <c r="J1335" s="195"/>
      <c r="K1335" s="195"/>
      <c r="L1335" s="195"/>
      <c r="M1335" s="195"/>
      <c r="N1335" s="197"/>
      <c r="O1335" s="195"/>
      <c r="P1335" s="195"/>
      <c r="Q1335" s="195"/>
    </row>
    <row r="1336" spans="1:17">
      <c r="A1336" s="180">
        <f>'רשימת מכשור 2015'!A1335</f>
        <v>0</v>
      </c>
      <c r="B1336" s="180">
        <f>'רשימת מכשור 2015'!B1335</f>
        <v>0</v>
      </c>
      <c r="C1336" s="180">
        <f>'רשימת מכשור 2015'!C1335</f>
        <v>0</v>
      </c>
      <c r="D1336" s="233">
        <f>'רשימת מכשור 2015'!D1335</f>
        <v>0</v>
      </c>
      <c r="E1336" s="180">
        <f>'רשימת מכשור 2015'!E1335</f>
        <v>0</v>
      </c>
      <c r="F1336" s="180">
        <f>'רשימת מכשור 2015'!F1335</f>
        <v>0</v>
      </c>
      <c r="G1336" s="195"/>
      <c r="H1336" s="195"/>
      <c r="I1336" s="196"/>
      <c r="J1336" s="195"/>
      <c r="K1336" s="195"/>
      <c r="L1336" s="195"/>
      <c r="M1336" s="195"/>
      <c r="N1336" s="197"/>
      <c r="O1336" s="195"/>
      <c r="P1336" s="195"/>
      <c r="Q1336" s="195"/>
    </row>
    <row r="1337" spans="1:17">
      <c r="A1337" s="180">
        <f>'רשימת מכשור 2015'!A1336</f>
        <v>0</v>
      </c>
      <c r="B1337" s="180">
        <f>'רשימת מכשור 2015'!B1336</f>
        <v>0</v>
      </c>
      <c r="C1337" s="180">
        <f>'רשימת מכשור 2015'!C1336</f>
        <v>0</v>
      </c>
      <c r="D1337" s="233">
        <f>'רשימת מכשור 2015'!D1336</f>
        <v>0</v>
      </c>
      <c r="E1337" s="180">
        <f>'רשימת מכשור 2015'!E1336</f>
        <v>0</v>
      </c>
      <c r="F1337" s="180">
        <f>'רשימת מכשור 2015'!F1336</f>
        <v>0</v>
      </c>
      <c r="G1337" s="195"/>
      <c r="H1337" s="195"/>
      <c r="I1337" s="196"/>
      <c r="J1337" s="195"/>
      <c r="K1337" s="195"/>
      <c r="L1337" s="195"/>
      <c r="M1337" s="195"/>
      <c r="N1337" s="197"/>
      <c r="O1337" s="195"/>
      <c r="P1337" s="195"/>
      <c r="Q1337" s="195"/>
    </row>
    <row r="1338" spans="1:17">
      <c r="A1338" s="180">
        <f>'רשימת מכשור 2015'!A1337</f>
        <v>0</v>
      </c>
      <c r="B1338" s="180">
        <f>'רשימת מכשור 2015'!B1337</f>
        <v>0</v>
      </c>
      <c r="C1338" s="180">
        <f>'רשימת מכשור 2015'!C1337</f>
        <v>0</v>
      </c>
      <c r="D1338" s="233">
        <f>'רשימת מכשור 2015'!D1337</f>
        <v>0</v>
      </c>
      <c r="E1338" s="180">
        <f>'רשימת מכשור 2015'!E1337</f>
        <v>0</v>
      </c>
      <c r="F1338" s="180">
        <f>'רשימת מכשור 2015'!F1337</f>
        <v>0</v>
      </c>
      <c r="G1338" s="195"/>
      <c r="H1338" s="195"/>
      <c r="I1338" s="196"/>
      <c r="J1338" s="195"/>
      <c r="K1338" s="195"/>
      <c r="L1338" s="195"/>
      <c r="M1338" s="195"/>
      <c r="N1338" s="197"/>
      <c r="O1338" s="195"/>
      <c r="P1338" s="195"/>
      <c r="Q1338" s="195"/>
    </row>
    <row r="1339" spans="1:17">
      <c r="A1339" s="180">
        <f>'רשימת מכשור 2015'!A1338</f>
        <v>0</v>
      </c>
      <c r="B1339" s="180">
        <f>'רשימת מכשור 2015'!B1338</f>
        <v>0</v>
      </c>
      <c r="C1339" s="180">
        <f>'רשימת מכשור 2015'!C1338</f>
        <v>0</v>
      </c>
      <c r="D1339" s="233">
        <f>'רשימת מכשור 2015'!D1338</f>
        <v>0</v>
      </c>
      <c r="E1339" s="180">
        <f>'רשימת מכשור 2015'!E1338</f>
        <v>0</v>
      </c>
      <c r="F1339" s="180">
        <f>'רשימת מכשור 2015'!F1338</f>
        <v>0</v>
      </c>
      <c r="G1339" s="195"/>
      <c r="H1339" s="195"/>
      <c r="I1339" s="196"/>
      <c r="J1339" s="195"/>
      <c r="K1339" s="195"/>
      <c r="L1339" s="195"/>
      <c r="M1339" s="195"/>
      <c r="N1339" s="197"/>
      <c r="O1339" s="195"/>
      <c r="P1339" s="195"/>
      <c r="Q1339" s="195"/>
    </row>
    <row r="1340" spans="1:17">
      <c r="A1340" s="180">
        <f>'רשימת מכשור 2015'!A1339</f>
        <v>0</v>
      </c>
      <c r="B1340" s="180">
        <f>'רשימת מכשור 2015'!B1339</f>
        <v>0</v>
      </c>
      <c r="C1340" s="180">
        <f>'רשימת מכשור 2015'!C1339</f>
        <v>0</v>
      </c>
      <c r="D1340" s="233">
        <f>'רשימת מכשור 2015'!D1339</f>
        <v>0</v>
      </c>
      <c r="E1340" s="180">
        <f>'רשימת מכשור 2015'!E1339</f>
        <v>0</v>
      </c>
      <c r="F1340" s="180">
        <f>'רשימת מכשור 2015'!F1339</f>
        <v>0</v>
      </c>
      <c r="G1340" s="195"/>
      <c r="H1340" s="195"/>
      <c r="I1340" s="196"/>
      <c r="J1340" s="195"/>
      <c r="K1340" s="195"/>
      <c r="L1340" s="195"/>
      <c r="M1340" s="195"/>
      <c r="N1340" s="197"/>
      <c r="O1340" s="195"/>
      <c r="P1340" s="195"/>
      <c r="Q1340" s="195"/>
    </row>
    <row r="1341" spans="1:17">
      <c r="A1341" s="180">
        <f>'רשימת מכשור 2015'!A1340</f>
        <v>0</v>
      </c>
      <c r="B1341" s="180">
        <f>'רשימת מכשור 2015'!B1340</f>
        <v>0</v>
      </c>
      <c r="C1341" s="180">
        <f>'רשימת מכשור 2015'!C1340</f>
        <v>0</v>
      </c>
      <c r="D1341" s="233">
        <f>'רשימת מכשור 2015'!D1340</f>
        <v>0</v>
      </c>
      <c r="E1341" s="180">
        <f>'רשימת מכשור 2015'!E1340</f>
        <v>0</v>
      </c>
      <c r="F1341" s="180">
        <f>'רשימת מכשור 2015'!F1340</f>
        <v>0</v>
      </c>
      <c r="G1341" s="195"/>
      <c r="H1341" s="195"/>
      <c r="I1341" s="196"/>
      <c r="J1341" s="195"/>
      <c r="K1341" s="195"/>
      <c r="L1341" s="195"/>
      <c r="M1341" s="195"/>
      <c r="N1341" s="197"/>
      <c r="O1341" s="195"/>
      <c r="P1341" s="195"/>
      <c r="Q1341" s="195"/>
    </row>
    <row r="1342" spans="1:17">
      <c r="A1342" s="180">
        <f>'רשימת מכשור 2015'!A1341</f>
        <v>0</v>
      </c>
      <c r="B1342" s="180">
        <f>'רשימת מכשור 2015'!B1341</f>
        <v>0</v>
      </c>
      <c r="C1342" s="180">
        <f>'רשימת מכשור 2015'!C1341</f>
        <v>0</v>
      </c>
      <c r="D1342" s="233">
        <f>'רשימת מכשור 2015'!D1341</f>
        <v>0</v>
      </c>
      <c r="E1342" s="180">
        <f>'רשימת מכשור 2015'!E1341</f>
        <v>0</v>
      </c>
      <c r="F1342" s="180">
        <f>'רשימת מכשור 2015'!F1341</f>
        <v>0</v>
      </c>
      <c r="G1342" s="195"/>
      <c r="H1342" s="195"/>
      <c r="I1342" s="196"/>
      <c r="J1342" s="195"/>
      <c r="K1342" s="195"/>
      <c r="L1342" s="195"/>
      <c r="M1342" s="195"/>
      <c r="N1342" s="197"/>
      <c r="O1342" s="195"/>
      <c r="P1342" s="195"/>
      <c r="Q1342" s="195"/>
    </row>
    <row r="1343" spans="1:17">
      <c r="A1343" s="180">
        <f>'רשימת מכשור 2015'!A1342</f>
        <v>0</v>
      </c>
      <c r="B1343" s="180">
        <f>'רשימת מכשור 2015'!B1342</f>
        <v>0</v>
      </c>
      <c r="C1343" s="180">
        <f>'רשימת מכשור 2015'!C1342</f>
        <v>0</v>
      </c>
      <c r="D1343" s="233">
        <f>'רשימת מכשור 2015'!D1342</f>
        <v>0</v>
      </c>
      <c r="E1343" s="180">
        <f>'רשימת מכשור 2015'!E1342</f>
        <v>0</v>
      </c>
      <c r="F1343" s="180">
        <f>'רשימת מכשור 2015'!F1342</f>
        <v>0</v>
      </c>
      <c r="G1343" s="195"/>
      <c r="H1343" s="195"/>
      <c r="I1343" s="196"/>
      <c r="J1343" s="195"/>
      <c r="K1343" s="195"/>
      <c r="L1343" s="195"/>
      <c r="M1343" s="195"/>
      <c r="N1343" s="197"/>
      <c r="O1343" s="195"/>
      <c r="P1343" s="195"/>
      <c r="Q1343" s="195"/>
    </row>
    <row r="1344" spans="1:17">
      <c r="A1344" s="180">
        <f>'רשימת מכשור 2015'!A1343</f>
        <v>0</v>
      </c>
      <c r="B1344" s="180">
        <f>'רשימת מכשור 2015'!B1343</f>
        <v>0</v>
      </c>
      <c r="C1344" s="180">
        <f>'רשימת מכשור 2015'!C1343</f>
        <v>0</v>
      </c>
      <c r="D1344" s="233">
        <f>'רשימת מכשור 2015'!D1343</f>
        <v>0</v>
      </c>
      <c r="E1344" s="180">
        <f>'רשימת מכשור 2015'!E1343</f>
        <v>0</v>
      </c>
      <c r="F1344" s="180">
        <f>'רשימת מכשור 2015'!F1343</f>
        <v>0</v>
      </c>
      <c r="G1344" s="195"/>
      <c r="H1344" s="195"/>
      <c r="I1344" s="196"/>
      <c r="J1344" s="195"/>
      <c r="K1344" s="195"/>
      <c r="L1344" s="195"/>
      <c r="M1344" s="195"/>
      <c r="N1344" s="197"/>
      <c r="O1344" s="195"/>
      <c r="P1344" s="195"/>
      <c r="Q1344" s="195"/>
    </row>
    <row r="1345" spans="1:17">
      <c r="A1345" s="180">
        <f>'רשימת מכשור 2015'!A1344</f>
        <v>0</v>
      </c>
      <c r="B1345" s="180">
        <f>'רשימת מכשור 2015'!B1344</f>
        <v>0</v>
      </c>
      <c r="C1345" s="180">
        <f>'רשימת מכשור 2015'!C1344</f>
        <v>0</v>
      </c>
      <c r="D1345" s="233">
        <f>'רשימת מכשור 2015'!D1344</f>
        <v>0</v>
      </c>
      <c r="E1345" s="180">
        <f>'רשימת מכשור 2015'!E1344</f>
        <v>0</v>
      </c>
      <c r="F1345" s="180">
        <f>'רשימת מכשור 2015'!F1344</f>
        <v>0</v>
      </c>
      <c r="G1345" s="195"/>
      <c r="H1345" s="195"/>
      <c r="I1345" s="196"/>
      <c r="J1345" s="195"/>
      <c r="K1345" s="195"/>
      <c r="L1345" s="195"/>
      <c r="M1345" s="195"/>
      <c r="N1345" s="197"/>
      <c r="O1345" s="195"/>
      <c r="P1345" s="195"/>
      <c r="Q1345" s="195"/>
    </row>
    <row r="1346" spans="1:17">
      <c r="A1346" s="180">
        <f>'רשימת מכשור 2015'!A1345</f>
        <v>0</v>
      </c>
      <c r="B1346" s="180">
        <f>'רשימת מכשור 2015'!B1345</f>
        <v>0</v>
      </c>
      <c r="C1346" s="180">
        <f>'רשימת מכשור 2015'!C1345</f>
        <v>0</v>
      </c>
      <c r="D1346" s="233">
        <f>'רשימת מכשור 2015'!D1345</f>
        <v>0</v>
      </c>
      <c r="E1346" s="180">
        <f>'רשימת מכשור 2015'!E1345</f>
        <v>0</v>
      </c>
      <c r="F1346" s="180">
        <f>'רשימת מכשור 2015'!F1345</f>
        <v>0</v>
      </c>
      <c r="G1346" s="195"/>
      <c r="H1346" s="195"/>
      <c r="I1346" s="196"/>
      <c r="J1346" s="195"/>
      <c r="K1346" s="195"/>
      <c r="L1346" s="195"/>
      <c r="M1346" s="195"/>
      <c r="N1346" s="197"/>
      <c r="O1346" s="195"/>
      <c r="P1346" s="195"/>
      <c r="Q1346" s="195"/>
    </row>
    <row r="1347" spans="1:17">
      <c r="A1347" s="180">
        <f>'רשימת מכשור 2015'!A1346</f>
        <v>0</v>
      </c>
      <c r="B1347" s="180">
        <f>'רשימת מכשור 2015'!B1346</f>
        <v>0</v>
      </c>
      <c r="C1347" s="180">
        <f>'רשימת מכשור 2015'!C1346</f>
        <v>0</v>
      </c>
      <c r="D1347" s="233">
        <f>'רשימת מכשור 2015'!D1346</f>
        <v>0</v>
      </c>
      <c r="E1347" s="180">
        <f>'רשימת מכשור 2015'!E1346</f>
        <v>0</v>
      </c>
      <c r="F1347" s="180">
        <f>'רשימת מכשור 2015'!F1346</f>
        <v>0</v>
      </c>
      <c r="G1347" s="195"/>
      <c r="H1347" s="195"/>
      <c r="I1347" s="196"/>
      <c r="J1347" s="195"/>
      <c r="K1347" s="195"/>
      <c r="L1347" s="195"/>
      <c r="M1347" s="195"/>
      <c r="N1347" s="197"/>
      <c r="O1347" s="195"/>
      <c r="P1347" s="195"/>
      <c r="Q1347" s="195"/>
    </row>
    <row r="1348" spans="1:17">
      <c r="A1348" s="180">
        <f>'רשימת מכשור 2015'!A1347</f>
        <v>0</v>
      </c>
      <c r="B1348" s="180">
        <f>'רשימת מכשור 2015'!B1347</f>
        <v>0</v>
      </c>
      <c r="C1348" s="180">
        <f>'רשימת מכשור 2015'!C1347</f>
        <v>0</v>
      </c>
      <c r="D1348" s="233">
        <f>'רשימת מכשור 2015'!D1347</f>
        <v>0</v>
      </c>
      <c r="E1348" s="180">
        <f>'רשימת מכשור 2015'!E1347</f>
        <v>0</v>
      </c>
      <c r="F1348" s="180">
        <f>'רשימת מכשור 2015'!F1347</f>
        <v>0</v>
      </c>
      <c r="G1348" s="195"/>
      <c r="H1348" s="195"/>
      <c r="I1348" s="196"/>
      <c r="J1348" s="195"/>
      <c r="K1348" s="195"/>
      <c r="L1348" s="195"/>
      <c r="M1348" s="195"/>
      <c r="N1348" s="197"/>
      <c r="O1348" s="195"/>
      <c r="P1348" s="195"/>
      <c r="Q1348" s="195"/>
    </row>
    <row r="1349" spans="1:17">
      <c r="A1349" s="180">
        <f>'רשימת מכשור 2015'!A1348</f>
        <v>0</v>
      </c>
      <c r="B1349" s="180">
        <f>'רשימת מכשור 2015'!B1348</f>
        <v>0</v>
      </c>
      <c r="C1349" s="180">
        <f>'רשימת מכשור 2015'!C1348</f>
        <v>0</v>
      </c>
      <c r="D1349" s="233">
        <f>'רשימת מכשור 2015'!D1348</f>
        <v>0</v>
      </c>
      <c r="E1349" s="180">
        <f>'רשימת מכשור 2015'!E1348</f>
        <v>0</v>
      </c>
      <c r="F1349" s="180">
        <f>'רשימת מכשור 2015'!F1348</f>
        <v>0</v>
      </c>
      <c r="G1349" s="195"/>
      <c r="H1349" s="195"/>
      <c r="I1349" s="196"/>
      <c r="J1349" s="195"/>
      <c r="K1349" s="195"/>
      <c r="L1349" s="195"/>
      <c r="M1349" s="195"/>
      <c r="N1349" s="197"/>
      <c r="O1349" s="195"/>
      <c r="P1349" s="195"/>
      <c r="Q1349" s="195"/>
    </row>
    <row r="1350" spans="1:17">
      <c r="A1350" s="180">
        <f>'רשימת מכשור 2015'!A1349</f>
        <v>0</v>
      </c>
      <c r="B1350" s="180">
        <f>'רשימת מכשור 2015'!B1349</f>
        <v>0</v>
      </c>
      <c r="C1350" s="180">
        <f>'רשימת מכשור 2015'!C1349</f>
        <v>0</v>
      </c>
      <c r="D1350" s="233">
        <f>'רשימת מכשור 2015'!D1349</f>
        <v>0</v>
      </c>
      <c r="E1350" s="180">
        <f>'רשימת מכשור 2015'!E1349</f>
        <v>0</v>
      </c>
      <c r="F1350" s="180">
        <f>'רשימת מכשור 2015'!F1349</f>
        <v>0</v>
      </c>
      <c r="G1350" s="195"/>
      <c r="H1350" s="195"/>
      <c r="I1350" s="196"/>
      <c r="J1350" s="195"/>
      <c r="K1350" s="195"/>
      <c r="L1350" s="195"/>
      <c r="M1350" s="195"/>
      <c r="N1350" s="197"/>
      <c r="O1350" s="195"/>
      <c r="P1350" s="195"/>
      <c r="Q1350" s="195"/>
    </row>
    <row r="1351" spans="1:17">
      <c r="A1351" s="180">
        <f>'רשימת מכשור 2015'!A1350</f>
        <v>0</v>
      </c>
      <c r="B1351" s="180">
        <f>'רשימת מכשור 2015'!B1350</f>
        <v>0</v>
      </c>
      <c r="C1351" s="180">
        <f>'רשימת מכשור 2015'!C1350</f>
        <v>0</v>
      </c>
      <c r="D1351" s="233">
        <f>'רשימת מכשור 2015'!D1350</f>
        <v>0</v>
      </c>
      <c r="E1351" s="180">
        <f>'רשימת מכשור 2015'!E1350</f>
        <v>0</v>
      </c>
      <c r="F1351" s="180">
        <f>'רשימת מכשור 2015'!F1350</f>
        <v>0</v>
      </c>
      <c r="G1351" s="195"/>
      <c r="H1351" s="195"/>
      <c r="I1351" s="196"/>
      <c r="J1351" s="195"/>
      <c r="K1351" s="195"/>
      <c r="L1351" s="195"/>
      <c r="M1351" s="195"/>
      <c r="N1351" s="197"/>
      <c r="O1351" s="195"/>
      <c r="P1351" s="195"/>
      <c r="Q1351" s="195"/>
    </row>
    <row r="1352" spans="1:17">
      <c r="A1352" s="180">
        <f>'רשימת מכשור 2015'!A1351</f>
        <v>0</v>
      </c>
      <c r="B1352" s="180">
        <f>'רשימת מכשור 2015'!B1351</f>
        <v>0</v>
      </c>
      <c r="C1352" s="180">
        <f>'רשימת מכשור 2015'!C1351</f>
        <v>0</v>
      </c>
      <c r="D1352" s="233">
        <f>'רשימת מכשור 2015'!D1351</f>
        <v>0</v>
      </c>
      <c r="E1352" s="180">
        <f>'רשימת מכשור 2015'!E1351</f>
        <v>0</v>
      </c>
      <c r="F1352" s="180">
        <f>'רשימת מכשור 2015'!F1351</f>
        <v>0</v>
      </c>
      <c r="G1352" s="195"/>
      <c r="H1352" s="195"/>
      <c r="I1352" s="196"/>
      <c r="J1352" s="195"/>
      <c r="K1352" s="195"/>
      <c r="L1352" s="195"/>
      <c r="M1352" s="195"/>
      <c r="N1352" s="197"/>
      <c r="O1352" s="195"/>
      <c r="P1352" s="195"/>
      <c r="Q1352" s="195"/>
    </row>
    <row r="1353" spans="1:17">
      <c r="A1353" s="180">
        <f>'רשימת מכשור 2015'!A1352</f>
        <v>0</v>
      </c>
      <c r="B1353" s="180">
        <f>'רשימת מכשור 2015'!B1352</f>
        <v>0</v>
      </c>
      <c r="C1353" s="180">
        <f>'רשימת מכשור 2015'!C1352</f>
        <v>0</v>
      </c>
      <c r="D1353" s="233">
        <f>'רשימת מכשור 2015'!D1352</f>
        <v>0</v>
      </c>
      <c r="E1353" s="180">
        <f>'רשימת מכשור 2015'!E1352</f>
        <v>0</v>
      </c>
      <c r="F1353" s="180">
        <f>'רשימת מכשור 2015'!F1352</f>
        <v>0</v>
      </c>
      <c r="G1353" s="195"/>
      <c r="H1353" s="195"/>
      <c r="I1353" s="196"/>
      <c r="J1353" s="195"/>
      <c r="K1353" s="195"/>
      <c r="L1353" s="195"/>
      <c r="M1353" s="195"/>
      <c r="N1353" s="197"/>
      <c r="O1353" s="195"/>
      <c r="P1353" s="195"/>
      <c r="Q1353" s="195"/>
    </row>
    <row r="1354" spans="1:17">
      <c r="A1354" s="180">
        <f>'רשימת מכשור 2015'!A1353</f>
        <v>0</v>
      </c>
      <c r="B1354" s="180">
        <f>'רשימת מכשור 2015'!B1353</f>
        <v>0</v>
      </c>
      <c r="C1354" s="180">
        <f>'רשימת מכשור 2015'!C1353</f>
        <v>0</v>
      </c>
      <c r="D1354" s="233">
        <f>'רשימת מכשור 2015'!D1353</f>
        <v>0</v>
      </c>
      <c r="E1354" s="180">
        <f>'רשימת מכשור 2015'!E1353</f>
        <v>0</v>
      </c>
      <c r="F1354" s="180">
        <f>'רשימת מכשור 2015'!F1353</f>
        <v>0</v>
      </c>
      <c r="G1354" s="195"/>
      <c r="H1354" s="195"/>
      <c r="I1354" s="196"/>
      <c r="J1354" s="195"/>
      <c r="K1354" s="195"/>
      <c r="L1354" s="195"/>
      <c r="M1354" s="195"/>
      <c r="N1354" s="197"/>
      <c r="O1354" s="195"/>
      <c r="P1354" s="195"/>
      <c r="Q1354" s="195"/>
    </row>
    <row r="1355" spans="1:17">
      <c r="A1355" s="180">
        <f>'רשימת מכשור 2015'!A1354</f>
        <v>0</v>
      </c>
      <c r="B1355" s="180">
        <f>'רשימת מכשור 2015'!B1354</f>
        <v>0</v>
      </c>
      <c r="C1355" s="180">
        <f>'רשימת מכשור 2015'!C1354</f>
        <v>0</v>
      </c>
      <c r="D1355" s="233">
        <f>'רשימת מכשור 2015'!D1354</f>
        <v>0</v>
      </c>
      <c r="E1355" s="180">
        <f>'רשימת מכשור 2015'!E1354</f>
        <v>0</v>
      </c>
      <c r="F1355" s="180">
        <f>'רשימת מכשור 2015'!F1354</f>
        <v>0</v>
      </c>
      <c r="G1355" s="195"/>
      <c r="H1355" s="195"/>
      <c r="I1355" s="196"/>
      <c r="J1355" s="195"/>
      <c r="K1355" s="195"/>
      <c r="L1355" s="195"/>
      <c r="M1355" s="195"/>
      <c r="N1355" s="197"/>
      <c r="O1355" s="195"/>
      <c r="P1355" s="195"/>
      <c r="Q1355" s="195"/>
    </row>
    <row r="1356" spans="1:17">
      <c r="A1356" s="180">
        <f>'רשימת מכשור 2015'!A1355</f>
        <v>0</v>
      </c>
      <c r="B1356" s="180">
        <f>'רשימת מכשור 2015'!B1355</f>
        <v>0</v>
      </c>
      <c r="C1356" s="180">
        <f>'רשימת מכשור 2015'!C1355</f>
        <v>0</v>
      </c>
      <c r="D1356" s="233">
        <f>'רשימת מכשור 2015'!D1355</f>
        <v>0</v>
      </c>
      <c r="E1356" s="180">
        <f>'רשימת מכשור 2015'!E1355</f>
        <v>0</v>
      </c>
      <c r="F1356" s="180">
        <f>'רשימת מכשור 2015'!F1355</f>
        <v>0</v>
      </c>
      <c r="G1356" s="195"/>
      <c r="H1356" s="195"/>
      <c r="I1356" s="196"/>
      <c r="J1356" s="195"/>
      <c r="K1356" s="195"/>
      <c r="L1356" s="195"/>
      <c r="M1356" s="195"/>
      <c r="N1356" s="197"/>
      <c r="O1356" s="195"/>
      <c r="P1356" s="195"/>
      <c r="Q1356" s="195"/>
    </row>
    <row r="1357" spans="1:17">
      <c r="A1357" s="180">
        <f>'רשימת מכשור 2015'!A1356</f>
        <v>0</v>
      </c>
      <c r="B1357" s="180">
        <f>'רשימת מכשור 2015'!B1356</f>
        <v>0</v>
      </c>
      <c r="C1357" s="180">
        <f>'רשימת מכשור 2015'!C1356</f>
        <v>0</v>
      </c>
      <c r="D1357" s="233">
        <f>'רשימת מכשור 2015'!D1356</f>
        <v>0</v>
      </c>
      <c r="E1357" s="180">
        <f>'רשימת מכשור 2015'!E1356</f>
        <v>0</v>
      </c>
      <c r="F1357" s="180">
        <f>'רשימת מכשור 2015'!F1356</f>
        <v>0</v>
      </c>
      <c r="G1357" s="195"/>
      <c r="H1357" s="195"/>
      <c r="I1357" s="196"/>
      <c r="J1357" s="195"/>
      <c r="K1357" s="195"/>
      <c r="L1357" s="195"/>
      <c r="M1357" s="195"/>
      <c r="N1357" s="197"/>
      <c r="O1357" s="195"/>
      <c r="P1357" s="195"/>
      <c r="Q1357" s="195"/>
    </row>
    <row r="1358" spans="1:17">
      <c r="A1358" s="180">
        <f>'רשימת מכשור 2015'!A1357</f>
        <v>0</v>
      </c>
      <c r="B1358" s="180">
        <f>'רשימת מכשור 2015'!B1357</f>
        <v>0</v>
      </c>
      <c r="C1358" s="180">
        <f>'רשימת מכשור 2015'!C1357</f>
        <v>0</v>
      </c>
      <c r="D1358" s="233">
        <f>'רשימת מכשור 2015'!D1357</f>
        <v>0</v>
      </c>
      <c r="E1358" s="180">
        <f>'רשימת מכשור 2015'!E1357</f>
        <v>0</v>
      </c>
      <c r="F1358" s="180">
        <f>'רשימת מכשור 2015'!F1357</f>
        <v>0</v>
      </c>
      <c r="G1358" s="195"/>
      <c r="H1358" s="195"/>
      <c r="I1358" s="196"/>
      <c r="J1358" s="195"/>
      <c r="K1358" s="195"/>
      <c r="L1358" s="195"/>
      <c r="M1358" s="195"/>
      <c r="N1358" s="197"/>
      <c r="O1358" s="195"/>
      <c r="P1358" s="195"/>
      <c r="Q1358" s="195"/>
    </row>
    <row r="1359" spans="1:17">
      <c r="A1359" s="180">
        <f>'רשימת מכשור 2015'!A1358</f>
        <v>0</v>
      </c>
      <c r="B1359" s="180">
        <f>'רשימת מכשור 2015'!B1358</f>
        <v>0</v>
      </c>
      <c r="C1359" s="180">
        <f>'רשימת מכשור 2015'!C1358</f>
        <v>0</v>
      </c>
      <c r="D1359" s="233">
        <f>'רשימת מכשור 2015'!D1358</f>
        <v>0</v>
      </c>
      <c r="E1359" s="180">
        <f>'רשימת מכשור 2015'!E1358</f>
        <v>0</v>
      </c>
      <c r="F1359" s="180">
        <f>'רשימת מכשור 2015'!F1358</f>
        <v>0</v>
      </c>
      <c r="G1359" s="195"/>
      <c r="H1359" s="195"/>
      <c r="I1359" s="196"/>
      <c r="J1359" s="195"/>
      <c r="K1359" s="195"/>
      <c r="L1359" s="195"/>
      <c r="M1359" s="195"/>
      <c r="N1359" s="197"/>
      <c r="O1359" s="195"/>
      <c r="P1359" s="195"/>
      <c r="Q1359" s="195"/>
    </row>
    <row r="1360" spans="1:17">
      <c r="A1360" s="180">
        <f>'רשימת מכשור 2015'!A1359</f>
        <v>0</v>
      </c>
      <c r="B1360" s="180">
        <f>'רשימת מכשור 2015'!B1359</f>
        <v>0</v>
      </c>
      <c r="C1360" s="180">
        <f>'רשימת מכשור 2015'!C1359</f>
        <v>0</v>
      </c>
      <c r="D1360" s="233">
        <f>'רשימת מכשור 2015'!D1359</f>
        <v>0</v>
      </c>
      <c r="E1360" s="180">
        <f>'רשימת מכשור 2015'!E1359</f>
        <v>0</v>
      </c>
      <c r="F1360" s="180">
        <f>'רשימת מכשור 2015'!F1359</f>
        <v>0</v>
      </c>
      <c r="G1360" s="195"/>
      <c r="H1360" s="195"/>
      <c r="I1360" s="196"/>
      <c r="J1360" s="195"/>
      <c r="K1360" s="195"/>
      <c r="L1360" s="195"/>
      <c r="M1360" s="195"/>
      <c r="N1360" s="197"/>
      <c r="O1360" s="195"/>
      <c r="P1360" s="195"/>
      <c r="Q1360" s="195"/>
    </row>
    <row r="1361" spans="1:17">
      <c r="A1361" s="180">
        <f>'רשימת מכשור 2015'!A1360</f>
        <v>0</v>
      </c>
      <c r="B1361" s="180">
        <f>'רשימת מכשור 2015'!B1360</f>
        <v>0</v>
      </c>
      <c r="C1361" s="180">
        <f>'רשימת מכשור 2015'!C1360</f>
        <v>0</v>
      </c>
      <c r="D1361" s="233">
        <f>'רשימת מכשור 2015'!D1360</f>
        <v>0</v>
      </c>
      <c r="E1361" s="180">
        <f>'רשימת מכשור 2015'!E1360</f>
        <v>0</v>
      </c>
      <c r="F1361" s="180">
        <f>'רשימת מכשור 2015'!F1360</f>
        <v>0</v>
      </c>
      <c r="G1361" s="195"/>
      <c r="H1361" s="195"/>
      <c r="I1361" s="196"/>
      <c r="J1361" s="195"/>
      <c r="K1361" s="195"/>
      <c r="L1361" s="195"/>
      <c r="M1361" s="195"/>
      <c r="N1361" s="197"/>
      <c r="O1361" s="195"/>
      <c r="P1361" s="195"/>
      <c r="Q1361" s="195"/>
    </row>
    <row r="1362" spans="1:17">
      <c r="A1362" s="180">
        <f>'רשימת מכשור 2015'!A1361</f>
        <v>0</v>
      </c>
      <c r="B1362" s="180">
        <f>'רשימת מכשור 2015'!B1361</f>
        <v>0</v>
      </c>
      <c r="C1362" s="180">
        <f>'רשימת מכשור 2015'!C1361</f>
        <v>0</v>
      </c>
      <c r="D1362" s="233">
        <f>'רשימת מכשור 2015'!D1361</f>
        <v>0</v>
      </c>
      <c r="E1362" s="180">
        <f>'רשימת מכשור 2015'!E1361</f>
        <v>0</v>
      </c>
      <c r="F1362" s="180">
        <f>'רשימת מכשור 2015'!F1361</f>
        <v>0</v>
      </c>
      <c r="G1362" s="195"/>
      <c r="H1362" s="195"/>
      <c r="I1362" s="196"/>
      <c r="J1362" s="195"/>
      <c r="K1362" s="195"/>
      <c r="L1362" s="195"/>
      <c r="M1362" s="195"/>
      <c r="N1362" s="197"/>
      <c r="O1362" s="195"/>
      <c r="P1362" s="195"/>
      <c r="Q1362" s="195"/>
    </row>
    <row r="1363" spans="1:17">
      <c r="A1363" s="180">
        <f>'רשימת מכשור 2015'!A1362</f>
        <v>0</v>
      </c>
      <c r="B1363" s="180">
        <f>'רשימת מכשור 2015'!B1362</f>
        <v>0</v>
      </c>
      <c r="C1363" s="180">
        <f>'רשימת מכשור 2015'!C1362</f>
        <v>0</v>
      </c>
      <c r="D1363" s="233">
        <f>'רשימת מכשור 2015'!D1362</f>
        <v>0</v>
      </c>
      <c r="E1363" s="180">
        <f>'רשימת מכשור 2015'!E1362</f>
        <v>0</v>
      </c>
      <c r="F1363" s="180">
        <f>'רשימת מכשור 2015'!F1362</f>
        <v>0</v>
      </c>
      <c r="G1363" s="195"/>
      <c r="H1363" s="195"/>
      <c r="I1363" s="196"/>
      <c r="J1363" s="195"/>
      <c r="K1363" s="195"/>
      <c r="L1363" s="195"/>
      <c r="M1363" s="195"/>
      <c r="N1363" s="197"/>
      <c r="O1363" s="195"/>
      <c r="P1363" s="195"/>
      <c r="Q1363" s="195"/>
    </row>
    <row r="1364" spans="1:17">
      <c r="A1364" s="180">
        <f>'רשימת מכשור 2015'!A1363</f>
        <v>0</v>
      </c>
      <c r="B1364" s="180">
        <f>'רשימת מכשור 2015'!B1363</f>
        <v>0</v>
      </c>
      <c r="C1364" s="180">
        <f>'רשימת מכשור 2015'!C1363</f>
        <v>0</v>
      </c>
      <c r="D1364" s="233">
        <f>'רשימת מכשור 2015'!D1363</f>
        <v>0</v>
      </c>
      <c r="E1364" s="180">
        <f>'רשימת מכשור 2015'!E1363</f>
        <v>0</v>
      </c>
      <c r="F1364" s="180">
        <f>'רשימת מכשור 2015'!F1363</f>
        <v>0</v>
      </c>
      <c r="G1364" s="195"/>
      <c r="H1364" s="195"/>
      <c r="I1364" s="196"/>
      <c r="J1364" s="195"/>
      <c r="K1364" s="195"/>
      <c r="L1364" s="195"/>
      <c r="M1364" s="195"/>
      <c r="N1364" s="197"/>
      <c r="O1364" s="195"/>
      <c r="P1364" s="195"/>
      <c r="Q1364" s="195"/>
    </row>
    <row r="1365" spans="1:17">
      <c r="A1365" s="180">
        <f>'רשימת מכשור 2015'!A1364</f>
        <v>0</v>
      </c>
      <c r="B1365" s="180">
        <f>'רשימת מכשור 2015'!B1364</f>
        <v>0</v>
      </c>
      <c r="C1365" s="180">
        <f>'רשימת מכשור 2015'!C1364</f>
        <v>0</v>
      </c>
      <c r="D1365" s="233">
        <f>'רשימת מכשור 2015'!D1364</f>
        <v>0</v>
      </c>
      <c r="E1365" s="180">
        <f>'רשימת מכשור 2015'!E1364</f>
        <v>0</v>
      </c>
      <c r="F1365" s="180">
        <f>'רשימת מכשור 2015'!F1364</f>
        <v>0</v>
      </c>
      <c r="G1365" s="195"/>
      <c r="H1365" s="195"/>
      <c r="I1365" s="196"/>
      <c r="J1365" s="195"/>
      <c r="K1365" s="195"/>
      <c r="L1365" s="195"/>
      <c r="M1365" s="195"/>
      <c r="N1365" s="197"/>
      <c r="O1365" s="195"/>
      <c r="P1365" s="195"/>
      <c r="Q1365" s="195"/>
    </row>
    <row r="1366" spans="1:17">
      <c r="A1366" s="180">
        <f>'רשימת מכשור 2015'!A1365</f>
        <v>0</v>
      </c>
      <c r="B1366" s="180">
        <f>'רשימת מכשור 2015'!B1365</f>
        <v>0</v>
      </c>
      <c r="C1366" s="180">
        <f>'רשימת מכשור 2015'!C1365</f>
        <v>0</v>
      </c>
      <c r="D1366" s="233">
        <f>'רשימת מכשור 2015'!D1365</f>
        <v>0</v>
      </c>
      <c r="E1366" s="180">
        <f>'רשימת מכשור 2015'!E1365</f>
        <v>0</v>
      </c>
      <c r="F1366" s="180">
        <f>'רשימת מכשור 2015'!F1365</f>
        <v>0</v>
      </c>
      <c r="G1366" s="195"/>
      <c r="H1366" s="195"/>
      <c r="I1366" s="196"/>
      <c r="J1366" s="195"/>
      <c r="K1366" s="195"/>
      <c r="L1366" s="195"/>
      <c r="M1366" s="195"/>
      <c r="N1366" s="197"/>
      <c r="O1366" s="195"/>
      <c r="P1366" s="195"/>
      <c r="Q1366" s="195"/>
    </row>
    <row r="1367" spans="1:17">
      <c r="A1367" s="180">
        <f>'רשימת מכשור 2015'!A1366</f>
        <v>0</v>
      </c>
      <c r="B1367" s="180">
        <f>'רשימת מכשור 2015'!B1366</f>
        <v>0</v>
      </c>
      <c r="C1367" s="180">
        <f>'רשימת מכשור 2015'!C1366</f>
        <v>0</v>
      </c>
      <c r="D1367" s="233">
        <f>'רשימת מכשור 2015'!D1366</f>
        <v>0</v>
      </c>
      <c r="E1367" s="180">
        <f>'רשימת מכשור 2015'!E1366</f>
        <v>0</v>
      </c>
      <c r="F1367" s="180">
        <f>'רשימת מכשור 2015'!F1366</f>
        <v>0</v>
      </c>
      <c r="G1367" s="195"/>
      <c r="H1367" s="195"/>
      <c r="I1367" s="196"/>
      <c r="J1367" s="195"/>
      <c r="K1367" s="195"/>
      <c r="L1367" s="195"/>
      <c r="M1367" s="195"/>
      <c r="N1367" s="197"/>
      <c r="O1367" s="195"/>
      <c r="P1367" s="195"/>
      <c r="Q1367" s="195"/>
    </row>
    <row r="1368" spans="1:17">
      <c r="A1368" s="180">
        <f>'רשימת מכשור 2015'!A1367</f>
        <v>0</v>
      </c>
      <c r="B1368" s="180">
        <f>'רשימת מכשור 2015'!B1367</f>
        <v>0</v>
      </c>
      <c r="C1368" s="180">
        <f>'רשימת מכשור 2015'!C1367</f>
        <v>0</v>
      </c>
      <c r="D1368" s="233">
        <f>'רשימת מכשור 2015'!D1367</f>
        <v>0</v>
      </c>
      <c r="E1368" s="180">
        <f>'רשימת מכשור 2015'!E1367</f>
        <v>0</v>
      </c>
      <c r="F1368" s="180">
        <f>'רשימת מכשור 2015'!F1367</f>
        <v>0</v>
      </c>
      <c r="G1368" s="195"/>
      <c r="H1368" s="195"/>
      <c r="I1368" s="196"/>
      <c r="J1368" s="195"/>
      <c r="K1368" s="195"/>
      <c r="L1368" s="195"/>
      <c r="M1368" s="195"/>
      <c r="N1368" s="197"/>
      <c r="O1368" s="195"/>
      <c r="P1368" s="195"/>
      <c r="Q1368" s="195"/>
    </row>
    <row r="1369" spans="1:17">
      <c r="A1369" s="180">
        <f>'רשימת מכשור 2015'!A1368</f>
        <v>0</v>
      </c>
      <c r="B1369" s="180">
        <f>'רשימת מכשור 2015'!B1368</f>
        <v>0</v>
      </c>
      <c r="C1369" s="180">
        <f>'רשימת מכשור 2015'!C1368</f>
        <v>0</v>
      </c>
      <c r="D1369" s="233">
        <f>'רשימת מכשור 2015'!D1368</f>
        <v>0</v>
      </c>
      <c r="E1369" s="180">
        <f>'רשימת מכשור 2015'!E1368</f>
        <v>0</v>
      </c>
      <c r="F1369" s="180">
        <f>'רשימת מכשור 2015'!F1368</f>
        <v>0</v>
      </c>
      <c r="G1369" s="195"/>
      <c r="H1369" s="195"/>
      <c r="I1369" s="196"/>
      <c r="J1369" s="195"/>
      <c r="K1369" s="195"/>
      <c r="L1369" s="195"/>
      <c r="M1369" s="195"/>
      <c r="N1369" s="197"/>
      <c r="O1369" s="195"/>
      <c r="P1369" s="195"/>
      <c r="Q1369" s="195"/>
    </row>
    <row r="1370" spans="1:17">
      <c r="A1370" s="180">
        <f>'רשימת מכשור 2015'!A1369</f>
        <v>0</v>
      </c>
      <c r="B1370" s="180">
        <f>'רשימת מכשור 2015'!B1369</f>
        <v>0</v>
      </c>
      <c r="C1370" s="180">
        <f>'רשימת מכשור 2015'!C1369</f>
        <v>0</v>
      </c>
      <c r="D1370" s="233">
        <f>'רשימת מכשור 2015'!D1369</f>
        <v>0</v>
      </c>
      <c r="E1370" s="180">
        <f>'רשימת מכשור 2015'!E1369</f>
        <v>0</v>
      </c>
      <c r="F1370" s="180">
        <f>'רשימת מכשור 2015'!F1369</f>
        <v>0</v>
      </c>
      <c r="G1370" s="195"/>
      <c r="H1370" s="195"/>
      <c r="I1370" s="196"/>
      <c r="J1370" s="195"/>
      <c r="K1370" s="195"/>
      <c r="L1370" s="195"/>
      <c r="M1370" s="195"/>
      <c r="N1370" s="197"/>
      <c r="O1370" s="195"/>
      <c r="P1370" s="195"/>
      <c r="Q1370" s="195"/>
    </row>
    <row r="1371" spans="1:17">
      <c r="A1371" s="180">
        <f>'רשימת מכשור 2015'!A1370</f>
        <v>0</v>
      </c>
      <c r="B1371" s="180">
        <f>'רשימת מכשור 2015'!B1370</f>
        <v>0</v>
      </c>
      <c r="C1371" s="180">
        <f>'רשימת מכשור 2015'!C1370</f>
        <v>0</v>
      </c>
      <c r="D1371" s="233">
        <f>'רשימת מכשור 2015'!D1370</f>
        <v>0</v>
      </c>
      <c r="E1371" s="180">
        <f>'רשימת מכשור 2015'!E1370</f>
        <v>0</v>
      </c>
      <c r="F1371" s="180">
        <f>'רשימת מכשור 2015'!F1370</f>
        <v>0</v>
      </c>
      <c r="G1371" s="195"/>
      <c r="H1371" s="195"/>
      <c r="I1371" s="196"/>
      <c r="J1371" s="195"/>
      <c r="K1371" s="195"/>
      <c r="L1371" s="195"/>
      <c r="M1371" s="195"/>
      <c r="N1371" s="197"/>
      <c r="O1371" s="195"/>
      <c r="P1371" s="195"/>
      <c r="Q1371" s="195"/>
    </row>
    <row r="1372" spans="1:17">
      <c r="A1372" s="180">
        <f>'רשימת מכשור 2015'!A1371</f>
        <v>0</v>
      </c>
      <c r="B1372" s="180">
        <f>'רשימת מכשור 2015'!B1371</f>
        <v>0</v>
      </c>
      <c r="C1372" s="180">
        <f>'רשימת מכשור 2015'!C1371</f>
        <v>0</v>
      </c>
      <c r="D1372" s="233">
        <f>'רשימת מכשור 2015'!D1371</f>
        <v>0</v>
      </c>
      <c r="E1372" s="180">
        <f>'רשימת מכשור 2015'!E1371</f>
        <v>0</v>
      </c>
      <c r="F1372" s="180">
        <f>'רשימת מכשור 2015'!F1371</f>
        <v>0</v>
      </c>
      <c r="G1372" s="195"/>
      <c r="H1372" s="195"/>
      <c r="I1372" s="196"/>
      <c r="J1372" s="195"/>
      <c r="K1372" s="195"/>
      <c r="L1372" s="195"/>
      <c r="M1372" s="195"/>
      <c r="N1372" s="197"/>
      <c r="O1372" s="195"/>
      <c r="P1372" s="195"/>
      <c r="Q1372" s="195"/>
    </row>
    <row r="1373" spans="1:17">
      <c r="A1373" s="180">
        <f>'רשימת מכשור 2015'!A1372</f>
        <v>0</v>
      </c>
      <c r="B1373" s="180">
        <f>'רשימת מכשור 2015'!B1372</f>
        <v>0</v>
      </c>
      <c r="C1373" s="180">
        <f>'רשימת מכשור 2015'!C1372</f>
        <v>0</v>
      </c>
      <c r="D1373" s="233">
        <f>'רשימת מכשור 2015'!D1372</f>
        <v>0</v>
      </c>
      <c r="E1373" s="180">
        <f>'רשימת מכשור 2015'!E1372</f>
        <v>0</v>
      </c>
      <c r="F1373" s="180">
        <f>'רשימת מכשור 2015'!F1372</f>
        <v>0</v>
      </c>
      <c r="G1373" s="195"/>
      <c r="H1373" s="195"/>
      <c r="I1373" s="196"/>
      <c r="J1373" s="195"/>
      <c r="K1373" s="195"/>
      <c r="L1373" s="195"/>
      <c r="M1373" s="195"/>
      <c r="N1373" s="197"/>
      <c r="O1373" s="195"/>
      <c r="P1373" s="195"/>
      <c r="Q1373" s="195"/>
    </row>
    <row r="1374" spans="1:17">
      <c r="A1374" s="180">
        <f>'רשימת מכשור 2015'!A1373</f>
        <v>0</v>
      </c>
      <c r="B1374" s="180">
        <f>'רשימת מכשור 2015'!B1373</f>
        <v>0</v>
      </c>
      <c r="C1374" s="180">
        <f>'רשימת מכשור 2015'!C1373</f>
        <v>0</v>
      </c>
      <c r="D1374" s="233">
        <f>'רשימת מכשור 2015'!D1373</f>
        <v>0</v>
      </c>
      <c r="E1374" s="180">
        <f>'רשימת מכשור 2015'!E1373</f>
        <v>0</v>
      </c>
      <c r="F1374" s="180">
        <f>'רשימת מכשור 2015'!F1373</f>
        <v>0</v>
      </c>
      <c r="G1374" s="195"/>
      <c r="H1374" s="195"/>
      <c r="I1374" s="196"/>
      <c r="J1374" s="195"/>
      <c r="K1374" s="195"/>
      <c r="L1374" s="195"/>
      <c r="M1374" s="195"/>
      <c r="N1374" s="197"/>
      <c r="O1374" s="195"/>
      <c r="P1374" s="195"/>
      <c r="Q1374" s="195"/>
    </row>
    <row r="1375" spans="1:17">
      <c r="A1375" s="180">
        <f>'רשימת מכשור 2015'!A1374</f>
        <v>0</v>
      </c>
      <c r="B1375" s="180">
        <f>'רשימת מכשור 2015'!B1374</f>
        <v>0</v>
      </c>
      <c r="C1375" s="180">
        <f>'רשימת מכשור 2015'!C1374</f>
        <v>0</v>
      </c>
      <c r="D1375" s="233">
        <f>'רשימת מכשור 2015'!D1374</f>
        <v>0</v>
      </c>
      <c r="E1375" s="180">
        <f>'רשימת מכשור 2015'!E1374</f>
        <v>0</v>
      </c>
      <c r="F1375" s="180">
        <f>'רשימת מכשור 2015'!F1374</f>
        <v>0</v>
      </c>
      <c r="G1375" s="195"/>
      <c r="H1375" s="195"/>
      <c r="I1375" s="196"/>
      <c r="J1375" s="195"/>
      <c r="K1375" s="195"/>
      <c r="L1375" s="195"/>
      <c r="M1375" s="195"/>
      <c r="N1375" s="197"/>
      <c r="O1375" s="195"/>
      <c r="P1375" s="195"/>
      <c r="Q1375" s="195"/>
    </row>
    <row r="1376" spans="1:17">
      <c r="A1376" s="180">
        <f>'רשימת מכשור 2015'!A1375</f>
        <v>0</v>
      </c>
      <c r="B1376" s="180">
        <f>'רשימת מכשור 2015'!B1375</f>
        <v>0</v>
      </c>
      <c r="C1376" s="180">
        <f>'רשימת מכשור 2015'!C1375</f>
        <v>0</v>
      </c>
      <c r="D1376" s="233">
        <f>'רשימת מכשור 2015'!D1375</f>
        <v>0</v>
      </c>
      <c r="E1376" s="180">
        <f>'רשימת מכשור 2015'!E1375</f>
        <v>0</v>
      </c>
      <c r="F1376" s="180">
        <f>'רשימת מכשור 2015'!F1375</f>
        <v>0</v>
      </c>
      <c r="G1376" s="195"/>
      <c r="H1376" s="195"/>
      <c r="I1376" s="196"/>
      <c r="J1376" s="195"/>
      <c r="K1376" s="195"/>
      <c r="L1376" s="195"/>
      <c r="M1376" s="195"/>
      <c r="N1376" s="197"/>
      <c r="O1376" s="195"/>
      <c r="P1376" s="195"/>
      <c r="Q1376" s="195"/>
    </row>
    <row r="1377" spans="1:17">
      <c r="A1377" s="180">
        <f>'רשימת מכשור 2015'!A1376</f>
        <v>0</v>
      </c>
      <c r="B1377" s="180">
        <f>'רשימת מכשור 2015'!B1376</f>
        <v>0</v>
      </c>
      <c r="C1377" s="180">
        <f>'רשימת מכשור 2015'!C1376</f>
        <v>0</v>
      </c>
      <c r="D1377" s="233">
        <f>'רשימת מכשור 2015'!D1376</f>
        <v>0</v>
      </c>
      <c r="E1377" s="180">
        <f>'רשימת מכשור 2015'!E1376</f>
        <v>0</v>
      </c>
      <c r="F1377" s="180">
        <f>'רשימת מכשור 2015'!F1376</f>
        <v>0</v>
      </c>
      <c r="G1377" s="195"/>
      <c r="H1377" s="195"/>
      <c r="I1377" s="196"/>
      <c r="J1377" s="195"/>
      <c r="K1377" s="195"/>
      <c r="L1377" s="195"/>
      <c r="M1377" s="195"/>
      <c r="N1377" s="197"/>
      <c r="O1377" s="195"/>
      <c r="P1377" s="195"/>
      <c r="Q1377" s="195"/>
    </row>
    <row r="1378" spans="1:17">
      <c r="A1378" s="180">
        <f>'רשימת מכשור 2015'!A1377</f>
        <v>0</v>
      </c>
      <c r="B1378" s="180">
        <f>'רשימת מכשור 2015'!B1377</f>
        <v>0</v>
      </c>
      <c r="C1378" s="180">
        <f>'רשימת מכשור 2015'!C1377</f>
        <v>0</v>
      </c>
      <c r="D1378" s="233">
        <f>'רשימת מכשור 2015'!D1377</f>
        <v>0</v>
      </c>
      <c r="E1378" s="180">
        <f>'רשימת מכשור 2015'!E1377</f>
        <v>0</v>
      </c>
      <c r="F1378" s="180">
        <f>'רשימת מכשור 2015'!F1377</f>
        <v>0</v>
      </c>
      <c r="G1378" s="195"/>
      <c r="H1378" s="195"/>
      <c r="I1378" s="196"/>
      <c r="J1378" s="195"/>
      <c r="K1378" s="195"/>
      <c r="L1378" s="195"/>
      <c r="M1378" s="195"/>
      <c r="N1378" s="197"/>
      <c r="O1378" s="195"/>
      <c r="P1378" s="195"/>
      <c r="Q1378" s="195"/>
    </row>
    <row r="1379" spans="1:17">
      <c r="A1379" s="180">
        <f>'רשימת מכשור 2015'!A1378</f>
        <v>0</v>
      </c>
      <c r="B1379" s="180">
        <f>'רשימת מכשור 2015'!B1378</f>
        <v>0</v>
      </c>
      <c r="C1379" s="180">
        <f>'רשימת מכשור 2015'!C1378</f>
        <v>0</v>
      </c>
      <c r="D1379" s="233">
        <f>'רשימת מכשור 2015'!D1378</f>
        <v>0</v>
      </c>
      <c r="E1379" s="180">
        <f>'רשימת מכשור 2015'!E1378</f>
        <v>0</v>
      </c>
      <c r="F1379" s="180">
        <f>'רשימת מכשור 2015'!F1378</f>
        <v>0</v>
      </c>
      <c r="G1379" s="195"/>
      <c r="H1379" s="195"/>
      <c r="I1379" s="196"/>
      <c r="J1379" s="195"/>
      <c r="K1379" s="195"/>
      <c r="L1379" s="195"/>
      <c r="M1379" s="195"/>
      <c r="N1379" s="197"/>
      <c r="O1379" s="195"/>
      <c r="P1379" s="195"/>
      <c r="Q1379" s="195"/>
    </row>
    <row r="1380" spans="1:17">
      <c r="A1380" s="180">
        <f>'רשימת מכשור 2015'!A1379</f>
        <v>0</v>
      </c>
      <c r="B1380" s="180">
        <f>'רשימת מכשור 2015'!B1379</f>
        <v>0</v>
      </c>
      <c r="C1380" s="180">
        <f>'רשימת מכשור 2015'!C1379</f>
        <v>0</v>
      </c>
      <c r="D1380" s="233">
        <f>'רשימת מכשור 2015'!D1379</f>
        <v>0</v>
      </c>
      <c r="E1380" s="180">
        <f>'רשימת מכשור 2015'!E1379</f>
        <v>0</v>
      </c>
      <c r="F1380" s="180">
        <f>'רשימת מכשור 2015'!F1379</f>
        <v>0</v>
      </c>
      <c r="G1380" s="195"/>
      <c r="H1380" s="195"/>
      <c r="I1380" s="196"/>
      <c r="J1380" s="195"/>
      <c r="K1380" s="195"/>
      <c r="L1380" s="195"/>
      <c r="M1380" s="195"/>
      <c r="N1380" s="197"/>
      <c r="O1380" s="195"/>
      <c r="P1380" s="195"/>
      <c r="Q1380" s="195"/>
    </row>
    <row r="1381" spans="1:17">
      <c r="A1381" s="180">
        <f>'רשימת מכשור 2015'!A1380</f>
        <v>0</v>
      </c>
      <c r="B1381" s="180">
        <f>'רשימת מכשור 2015'!B1380</f>
        <v>0</v>
      </c>
      <c r="C1381" s="180">
        <f>'רשימת מכשור 2015'!C1380</f>
        <v>0</v>
      </c>
      <c r="D1381" s="233">
        <f>'רשימת מכשור 2015'!D1380</f>
        <v>0</v>
      </c>
      <c r="E1381" s="180">
        <f>'רשימת מכשור 2015'!E1380</f>
        <v>0</v>
      </c>
      <c r="F1381" s="180">
        <f>'רשימת מכשור 2015'!F1380</f>
        <v>0</v>
      </c>
      <c r="G1381" s="195"/>
      <c r="H1381" s="195"/>
      <c r="I1381" s="196"/>
      <c r="J1381" s="195"/>
      <c r="K1381" s="195"/>
      <c r="L1381" s="195"/>
      <c r="M1381" s="195"/>
      <c r="N1381" s="197"/>
      <c r="O1381" s="195"/>
      <c r="P1381" s="195"/>
      <c r="Q1381" s="195"/>
    </row>
    <row r="1382" spans="1:17">
      <c r="A1382" s="180">
        <f>'רשימת מכשור 2015'!A1381</f>
        <v>0</v>
      </c>
      <c r="B1382" s="180">
        <f>'רשימת מכשור 2015'!B1381</f>
        <v>0</v>
      </c>
      <c r="C1382" s="180">
        <f>'רשימת מכשור 2015'!C1381</f>
        <v>0</v>
      </c>
      <c r="D1382" s="233">
        <f>'רשימת מכשור 2015'!D1381</f>
        <v>0</v>
      </c>
      <c r="E1382" s="180">
        <f>'רשימת מכשור 2015'!E1381</f>
        <v>0</v>
      </c>
      <c r="F1382" s="180">
        <f>'רשימת מכשור 2015'!F1381</f>
        <v>0</v>
      </c>
      <c r="G1382" s="195"/>
      <c r="H1382" s="195"/>
      <c r="I1382" s="196"/>
      <c r="J1382" s="195"/>
      <c r="K1382" s="195"/>
      <c r="L1382" s="195"/>
      <c r="M1382" s="195"/>
      <c r="N1382" s="197"/>
      <c r="O1382" s="195"/>
      <c r="P1382" s="195"/>
      <c r="Q1382" s="195"/>
    </row>
    <row r="1383" spans="1:17">
      <c r="A1383" s="180">
        <f>'רשימת מכשור 2015'!A1382</f>
        <v>0</v>
      </c>
      <c r="B1383" s="180">
        <f>'רשימת מכשור 2015'!B1382</f>
        <v>0</v>
      </c>
      <c r="C1383" s="180">
        <f>'רשימת מכשור 2015'!C1382</f>
        <v>0</v>
      </c>
      <c r="D1383" s="233">
        <f>'רשימת מכשור 2015'!D1382</f>
        <v>0</v>
      </c>
      <c r="E1383" s="180">
        <f>'רשימת מכשור 2015'!E1382</f>
        <v>0</v>
      </c>
      <c r="F1383" s="180">
        <f>'רשימת מכשור 2015'!F1382</f>
        <v>0</v>
      </c>
      <c r="G1383" s="195"/>
      <c r="H1383" s="195"/>
      <c r="I1383" s="196"/>
      <c r="J1383" s="195"/>
      <c r="K1383" s="195"/>
      <c r="L1383" s="195"/>
      <c r="M1383" s="195"/>
      <c r="N1383" s="197"/>
      <c r="O1383" s="195"/>
      <c r="P1383" s="195"/>
      <c r="Q1383" s="195"/>
    </row>
    <row r="1384" spans="1:17">
      <c r="A1384" s="180">
        <f>'רשימת מכשור 2015'!A1383</f>
        <v>0</v>
      </c>
      <c r="B1384" s="180">
        <f>'רשימת מכשור 2015'!B1383</f>
        <v>0</v>
      </c>
      <c r="C1384" s="180">
        <f>'רשימת מכשור 2015'!C1383</f>
        <v>0</v>
      </c>
      <c r="D1384" s="233">
        <f>'רשימת מכשור 2015'!D1383</f>
        <v>0</v>
      </c>
      <c r="E1384" s="180">
        <f>'רשימת מכשור 2015'!E1383</f>
        <v>0</v>
      </c>
      <c r="F1384" s="180">
        <f>'רשימת מכשור 2015'!F1383</f>
        <v>0</v>
      </c>
      <c r="G1384" s="195"/>
      <c r="H1384" s="195"/>
      <c r="I1384" s="196"/>
      <c r="J1384" s="195"/>
      <c r="K1384" s="195"/>
      <c r="L1384" s="195"/>
      <c r="M1384" s="195"/>
      <c r="N1384" s="197"/>
      <c r="O1384" s="195"/>
      <c r="P1384" s="195"/>
      <c r="Q1384" s="195"/>
    </row>
    <row r="1385" spans="1:17">
      <c r="A1385" s="180">
        <f>'רשימת מכשור 2015'!A1384</f>
        <v>0</v>
      </c>
      <c r="B1385" s="180">
        <f>'רשימת מכשור 2015'!B1384</f>
        <v>0</v>
      </c>
      <c r="C1385" s="180">
        <f>'רשימת מכשור 2015'!C1384</f>
        <v>0</v>
      </c>
      <c r="D1385" s="233">
        <f>'רשימת מכשור 2015'!D1384</f>
        <v>0</v>
      </c>
      <c r="E1385" s="180">
        <f>'רשימת מכשור 2015'!E1384</f>
        <v>0</v>
      </c>
      <c r="F1385" s="180">
        <f>'רשימת מכשור 2015'!F1384</f>
        <v>0</v>
      </c>
      <c r="G1385" s="195"/>
      <c r="H1385" s="195"/>
      <c r="I1385" s="196"/>
      <c r="J1385" s="195"/>
      <c r="K1385" s="195"/>
      <c r="L1385" s="195"/>
      <c r="M1385" s="195"/>
      <c r="N1385" s="197"/>
      <c r="O1385" s="195"/>
      <c r="P1385" s="195"/>
      <c r="Q1385" s="195"/>
    </row>
    <row r="1386" spans="1:17">
      <c r="A1386" s="180">
        <f>'רשימת מכשור 2015'!A1385</f>
        <v>0</v>
      </c>
      <c r="B1386" s="180">
        <f>'רשימת מכשור 2015'!B1385</f>
        <v>0</v>
      </c>
      <c r="C1386" s="180">
        <f>'רשימת מכשור 2015'!C1385</f>
        <v>0</v>
      </c>
      <c r="D1386" s="233">
        <f>'רשימת מכשור 2015'!D1385</f>
        <v>0</v>
      </c>
      <c r="E1386" s="180">
        <f>'רשימת מכשור 2015'!E1385</f>
        <v>0</v>
      </c>
      <c r="F1386" s="180">
        <f>'רשימת מכשור 2015'!F1385</f>
        <v>0</v>
      </c>
      <c r="G1386" s="195"/>
      <c r="H1386" s="195"/>
      <c r="I1386" s="196"/>
      <c r="J1386" s="195"/>
      <c r="K1386" s="195"/>
      <c r="L1386" s="195"/>
      <c r="M1386" s="195"/>
      <c r="N1386" s="197"/>
      <c r="O1386" s="195"/>
      <c r="P1386" s="195"/>
      <c r="Q1386" s="195"/>
    </row>
    <row r="1387" spans="1:17">
      <c r="A1387" s="180">
        <f>'רשימת מכשור 2015'!A1386</f>
        <v>0</v>
      </c>
      <c r="B1387" s="180">
        <f>'רשימת מכשור 2015'!B1386</f>
        <v>0</v>
      </c>
      <c r="C1387" s="180">
        <f>'רשימת מכשור 2015'!C1386</f>
        <v>0</v>
      </c>
      <c r="D1387" s="233">
        <f>'רשימת מכשור 2015'!D1386</f>
        <v>0</v>
      </c>
      <c r="E1387" s="180">
        <f>'רשימת מכשור 2015'!E1386</f>
        <v>0</v>
      </c>
      <c r="F1387" s="180">
        <f>'רשימת מכשור 2015'!F1386</f>
        <v>0</v>
      </c>
      <c r="G1387" s="195"/>
      <c r="H1387" s="195"/>
      <c r="I1387" s="196"/>
      <c r="J1387" s="195"/>
      <c r="K1387" s="195"/>
      <c r="L1387" s="195"/>
      <c r="M1387" s="195"/>
      <c r="N1387" s="197"/>
      <c r="O1387" s="195"/>
      <c r="P1387" s="195"/>
      <c r="Q1387" s="195"/>
    </row>
    <row r="1388" spans="1:17">
      <c r="A1388" s="180">
        <f>'רשימת מכשור 2015'!A1387</f>
        <v>0</v>
      </c>
      <c r="B1388" s="180">
        <f>'רשימת מכשור 2015'!B1387</f>
        <v>0</v>
      </c>
      <c r="C1388" s="180">
        <f>'רשימת מכשור 2015'!C1387</f>
        <v>0</v>
      </c>
      <c r="D1388" s="233">
        <f>'רשימת מכשור 2015'!D1387</f>
        <v>0</v>
      </c>
      <c r="E1388" s="180">
        <f>'רשימת מכשור 2015'!E1387</f>
        <v>0</v>
      </c>
      <c r="F1388" s="180">
        <f>'רשימת מכשור 2015'!F1387</f>
        <v>0</v>
      </c>
      <c r="G1388" s="195"/>
      <c r="H1388" s="195"/>
      <c r="I1388" s="196"/>
      <c r="J1388" s="195"/>
      <c r="K1388" s="195"/>
      <c r="L1388" s="195"/>
      <c r="M1388" s="195"/>
      <c r="N1388" s="197"/>
      <c r="O1388" s="195"/>
      <c r="P1388" s="195"/>
      <c r="Q1388" s="195"/>
    </row>
    <row r="1389" spans="1:17">
      <c r="A1389" s="180">
        <f>'רשימת מכשור 2015'!A1388</f>
        <v>0</v>
      </c>
      <c r="B1389" s="180">
        <f>'רשימת מכשור 2015'!B1388</f>
        <v>0</v>
      </c>
      <c r="C1389" s="180">
        <f>'רשימת מכשור 2015'!C1388</f>
        <v>0</v>
      </c>
      <c r="D1389" s="233">
        <f>'רשימת מכשור 2015'!D1388</f>
        <v>0</v>
      </c>
      <c r="E1389" s="180">
        <f>'רשימת מכשור 2015'!E1388</f>
        <v>0</v>
      </c>
      <c r="F1389" s="180">
        <f>'רשימת מכשור 2015'!F1388</f>
        <v>0</v>
      </c>
      <c r="G1389" s="195"/>
      <c r="H1389" s="195"/>
      <c r="I1389" s="196"/>
      <c r="J1389" s="195"/>
      <c r="K1389" s="195"/>
      <c r="L1389" s="195"/>
      <c r="M1389" s="195"/>
      <c r="N1389" s="197"/>
      <c r="O1389" s="195"/>
      <c r="P1389" s="195"/>
      <c r="Q1389" s="195"/>
    </row>
    <row r="1390" spans="1:17">
      <c r="A1390" s="180">
        <f>'רשימת מכשור 2015'!A1389</f>
        <v>0</v>
      </c>
      <c r="B1390" s="180">
        <f>'רשימת מכשור 2015'!B1389</f>
        <v>0</v>
      </c>
      <c r="C1390" s="180">
        <f>'רשימת מכשור 2015'!C1389</f>
        <v>0</v>
      </c>
      <c r="D1390" s="233">
        <f>'רשימת מכשור 2015'!D1389</f>
        <v>0</v>
      </c>
      <c r="E1390" s="180">
        <f>'רשימת מכשור 2015'!E1389</f>
        <v>0</v>
      </c>
      <c r="F1390" s="180">
        <f>'רשימת מכשור 2015'!F1389</f>
        <v>0</v>
      </c>
      <c r="G1390" s="195"/>
      <c r="H1390" s="195"/>
      <c r="I1390" s="196"/>
      <c r="J1390" s="195"/>
      <c r="K1390" s="195"/>
      <c r="L1390" s="195"/>
      <c r="M1390" s="195"/>
      <c r="N1390" s="197"/>
      <c r="O1390" s="195"/>
      <c r="P1390" s="195"/>
      <c r="Q1390" s="195"/>
    </row>
    <row r="1391" spans="1:17">
      <c r="A1391" s="180">
        <f>'רשימת מכשור 2015'!A1390</f>
        <v>0</v>
      </c>
      <c r="B1391" s="180">
        <f>'רשימת מכשור 2015'!B1390</f>
        <v>0</v>
      </c>
      <c r="C1391" s="180">
        <f>'רשימת מכשור 2015'!C1390</f>
        <v>0</v>
      </c>
      <c r="D1391" s="233">
        <f>'רשימת מכשור 2015'!D1390</f>
        <v>0</v>
      </c>
      <c r="E1391" s="180">
        <f>'רשימת מכשור 2015'!E1390</f>
        <v>0</v>
      </c>
      <c r="F1391" s="180">
        <f>'רשימת מכשור 2015'!F1390</f>
        <v>0</v>
      </c>
      <c r="G1391" s="195"/>
      <c r="H1391" s="195"/>
      <c r="I1391" s="196"/>
      <c r="J1391" s="195"/>
      <c r="K1391" s="195"/>
      <c r="L1391" s="195"/>
      <c r="M1391" s="195"/>
      <c r="N1391" s="197"/>
      <c r="O1391" s="195"/>
      <c r="P1391" s="195"/>
      <c r="Q1391" s="195"/>
    </row>
    <row r="1392" spans="1:17">
      <c r="A1392" s="180">
        <f>'רשימת מכשור 2015'!A1391</f>
        <v>0</v>
      </c>
      <c r="B1392" s="180">
        <f>'רשימת מכשור 2015'!B1391</f>
        <v>0</v>
      </c>
      <c r="C1392" s="180">
        <f>'רשימת מכשור 2015'!C1391</f>
        <v>0</v>
      </c>
      <c r="D1392" s="233">
        <f>'רשימת מכשור 2015'!D1391</f>
        <v>0</v>
      </c>
      <c r="E1392" s="180">
        <f>'רשימת מכשור 2015'!E1391</f>
        <v>0</v>
      </c>
      <c r="F1392" s="180">
        <f>'רשימת מכשור 2015'!F1391</f>
        <v>0</v>
      </c>
      <c r="G1392" s="195"/>
      <c r="H1392" s="195"/>
      <c r="I1392" s="196"/>
      <c r="J1392" s="195"/>
      <c r="K1392" s="195"/>
      <c r="L1392" s="195"/>
      <c r="M1392" s="195"/>
      <c r="N1392" s="197"/>
      <c r="O1392" s="195"/>
      <c r="P1392" s="195"/>
      <c r="Q1392" s="195"/>
    </row>
    <row r="1393" spans="1:17">
      <c r="A1393" s="180">
        <f>'רשימת מכשור 2015'!A1392</f>
        <v>0</v>
      </c>
      <c r="B1393" s="180">
        <f>'רשימת מכשור 2015'!B1392</f>
        <v>0</v>
      </c>
      <c r="C1393" s="180">
        <f>'רשימת מכשור 2015'!C1392</f>
        <v>0</v>
      </c>
      <c r="D1393" s="233">
        <f>'רשימת מכשור 2015'!D1392</f>
        <v>0</v>
      </c>
      <c r="E1393" s="180">
        <f>'רשימת מכשור 2015'!E1392</f>
        <v>0</v>
      </c>
      <c r="F1393" s="180">
        <f>'רשימת מכשור 2015'!F1392</f>
        <v>0</v>
      </c>
      <c r="G1393" s="195"/>
      <c r="H1393" s="195"/>
      <c r="I1393" s="196"/>
      <c r="J1393" s="195"/>
      <c r="K1393" s="195"/>
      <c r="L1393" s="195"/>
      <c r="M1393" s="195"/>
      <c r="N1393" s="197"/>
      <c r="O1393" s="195"/>
      <c r="P1393" s="195"/>
      <c r="Q1393" s="195"/>
    </row>
    <row r="1394" spans="1:17">
      <c r="A1394" s="180">
        <f>'רשימת מכשור 2015'!A1393</f>
        <v>0</v>
      </c>
      <c r="B1394" s="180">
        <f>'רשימת מכשור 2015'!B1393</f>
        <v>0</v>
      </c>
      <c r="C1394" s="180">
        <f>'רשימת מכשור 2015'!C1393</f>
        <v>0</v>
      </c>
      <c r="D1394" s="233">
        <f>'רשימת מכשור 2015'!D1393</f>
        <v>0</v>
      </c>
      <c r="E1394" s="180">
        <f>'רשימת מכשור 2015'!E1393</f>
        <v>0</v>
      </c>
      <c r="F1394" s="180">
        <f>'רשימת מכשור 2015'!F1393</f>
        <v>0</v>
      </c>
      <c r="G1394" s="195"/>
      <c r="H1394" s="195"/>
      <c r="I1394" s="196"/>
      <c r="J1394" s="195"/>
      <c r="K1394" s="195"/>
      <c r="L1394" s="195"/>
      <c r="M1394" s="195"/>
      <c r="N1394" s="197"/>
      <c r="O1394" s="195"/>
      <c r="P1394" s="195"/>
      <c r="Q1394" s="195"/>
    </row>
    <row r="1395" spans="1:17">
      <c r="A1395" s="180">
        <f>'רשימת מכשור 2015'!A1394</f>
        <v>0</v>
      </c>
      <c r="B1395" s="180">
        <f>'רשימת מכשור 2015'!B1394</f>
        <v>0</v>
      </c>
      <c r="C1395" s="180">
        <f>'רשימת מכשור 2015'!C1394</f>
        <v>0</v>
      </c>
      <c r="D1395" s="233">
        <f>'רשימת מכשור 2015'!D1394</f>
        <v>0</v>
      </c>
      <c r="E1395" s="180">
        <f>'רשימת מכשור 2015'!E1394</f>
        <v>0</v>
      </c>
      <c r="F1395" s="180">
        <f>'רשימת מכשור 2015'!F1394</f>
        <v>0</v>
      </c>
      <c r="G1395" s="195"/>
      <c r="H1395" s="195"/>
      <c r="I1395" s="196"/>
      <c r="J1395" s="195"/>
      <c r="K1395" s="195"/>
      <c r="L1395" s="195"/>
      <c r="M1395" s="195"/>
      <c r="N1395" s="197"/>
      <c r="O1395" s="195"/>
      <c r="P1395" s="195"/>
      <c r="Q1395" s="195"/>
    </row>
    <row r="1396" spans="1:17">
      <c r="A1396" s="180">
        <f>'רשימת מכשור 2015'!A1395</f>
        <v>0</v>
      </c>
      <c r="B1396" s="180">
        <f>'רשימת מכשור 2015'!B1395</f>
        <v>0</v>
      </c>
      <c r="C1396" s="180">
        <f>'רשימת מכשור 2015'!C1395</f>
        <v>0</v>
      </c>
      <c r="D1396" s="233">
        <f>'רשימת מכשור 2015'!D1395</f>
        <v>0</v>
      </c>
      <c r="E1396" s="180">
        <f>'רשימת מכשור 2015'!E1395</f>
        <v>0</v>
      </c>
      <c r="F1396" s="180">
        <f>'רשימת מכשור 2015'!F1395</f>
        <v>0</v>
      </c>
      <c r="G1396" s="195"/>
      <c r="H1396" s="195"/>
      <c r="I1396" s="196"/>
      <c r="J1396" s="195"/>
      <c r="K1396" s="195"/>
      <c r="L1396" s="195"/>
      <c r="M1396" s="195"/>
      <c r="N1396" s="197"/>
      <c r="O1396" s="195"/>
      <c r="P1396" s="195"/>
      <c r="Q1396" s="195"/>
    </row>
    <row r="1397" spans="1:17">
      <c r="A1397" s="180">
        <f>'רשימת מכשור 2015'!A1396</f>
        <v>0</v>
      </c>
      <c r="B1397" s="180">
        <f>'רשימת מכשור 2015'!B1396</f>
        <v>0</v>
      </c>
      <c r="C1397" s="180">
        <f>'רשימת מכשור 2015'!C1396</f>
        <v>0</v>
      </c>
      <c r="D1397" s="233">
        <f>'רשימת מכשור 2015'!D1396</f>
        <v>0</v>
      </c>
      <c r="E1397" s="180">
        <f>'רשימת מכשור 2015'!E1396</f>
        <v>0</v>
      </c>
      <c r="F1397" s="180">
        <f>'רשימת מכשור 2015'!F1396</f>
        <v>0</v>
      </c>
      <c r="G1397" s="195"/>
      <c r="H1397" s="195"/>
      <c r="I1397" s="196"/>
      <c r="J1397" s="195"/>
      <c r="K1397" s="195"/>
      <c r="L1397" s="195"/>
      <c r="M1397" s="195"/>
      <c r="N1397" s="197"/>
      <c r="O1397" s="195"/>
      <c r="P1397" s="195"/>
      <c r="Q1397" s="195"/>
    </row>
    <row r="1398" spans="1:17">
      <c r="A1398" s="180">
        <f>'רשימת מכשור 2015'!A1397</f>
        <v>0</v>
      </c>
      <c r="B1398" s="180">
        <f>'רשימת מכשור 2015'!B1397</f>
        <v>0</v>
      </c>
      <c r="C1398" s="180">
        <f>'רשימת מכשור 2015'!C1397</f>
        <v>0</v>
      </c>
      <c r="D1398" s="233">
        <f>'רשימת מכשור 2015'!D1397</f>
        <v>0</v>
      </c>
      <c r="E1398" s="180">
        <f>'רשימת מכשור 2015'!E1397</f>
        <v>0</v>
      </c>
      <c r="F1398" s="180">
        <f>'רשימת מכשור 2015'!F1397</f>
        <v>0</v>
      </c>
      <c r="G1398" s="195"/>
      <c r="H1398" s="195"/>
      <c r="I1398" s="196"/>
      <c r="J1398" s="195"/>
      <c r="K1398" s="195"/>
      <c r="L1398" s="195"/>
      <c r="M1398" s="195"/>
      <c r="N1398" s="197"/>
      <c r="O1398" s="195"/>
      <c r="P1398" s="195"/>
      <c r="Q1398" s="195"/>
    </row>
    <row r="1399" spans="1:17">
      <c r="A1399" s="180">
        <f>'רשימת מכשור 2015'!A1398</f>
        <v>0</v>
      </c>
      <c r="B1399" s="180">
        <f>'רשימת מכשור 2015'!B1398</f>
        <v>0</v>
      </c>
      <c r="C1399" s="180">
        <f>'רשימת מכשור 2015'!C1398</f>
        <v>0</v>
      </c>
      <c r="D1399" s="233">
        <f>'רשימת מכשור 2015'!D1398</f>
        <v>0</v>
      </c>
      <c r="E1399" s="180">
        <f>'רשימת מכשור 2015'!E1398</f>
        <v>0</v>
      </c>
      <c r="F1399" s="180">
        <f>'רשימת מכשור 2015'!F1398</f>
        <v>0</v>
      </c>
      <c r="G1399" s="195"/>
      <c r="H1399" s="195"/>
      <c r="I1399" s="196"/>
      <c r="J1399" s="195"/>
      <c r="K1399" s="195"/>
      <c r="L1399" s="195"/>
      <c r="M1399" s="195"/>
      <c r="N1399" s="197"/>
      <c r="O1399" s="195"/>
      <c r="P1399" s="195"/>
      <c r="Q1399" s="195"/>
    </row>
    <row r="1400" spans="1:17">
      <c r="A1400" s="180">
        <f>'רשימת מכשור 2015'!A1399</f>
        <v>0</v>
      </c>
      <c r="B1400" s="180">
        <f>'רשימת מכשור 2015'!B1399</f>
        <v>0</v>
      </c>
      <c r="C1400" s="180">
        <f>'רשימת מכשור 2015'!C1399</f>
        <v>0</v>
      </c>
      <c r="D1400" s="233">
        <f>'רשימת מכשור 2015'!D1399</f>
        <v>0</v>
      </c>
      <c r="E1400" s="180">
        <f>'רשימת מכשור 2015'!E1399</f>
        <v>0</v>
      </c>
      <c r="F1400" s="180">
        <f>'רשימת מכשור 2015'!F1399</f>
        <v>0</v>
      </c>
      <c r="G1400" s="195"/>
      <c r="H1400" s="195"/>
      <c r="I1400" s="196"/>
      <c r="J1400" s="195"/>
      <c r="K1400" s="195"/>
      <c r="L1400" s="195"/>
      <c r="M1400" s="195"/>
      <c r="N1400" s="197"/>
      <c r="O1400" s="195"/>
      <c r="P1400" s="195"/>
      <c r="Q1400" s="195"/>
    </row>
    <row r="1401" spans="1:17">
      <c r="A1401" s="180">
        <f>'רשימת מכשור 2015'!A1400</f>
        <v>0</v>
      </c>
      <c r="B1401" s="180">
        <f>'רשימת מכשור 2015'!B1400</f>
        <v>0</v>
      </c>
      <c r="C1401" s="180">
        <f>'רשימת מכשור 2015'!C1400</f>
        <v>0</v>
      </c>
      <c r="D1401" s="233">
        <f>'רשימת מכשור 2015'!D1400</f>
        <v>0</v>
      </c>
      <c r="E1401" s="180">
        <f>'רשימת מכשור 2015'!E1400</f>
        <v>0</v>
      </c>
      <c r="F1401" s="180">
        <f>'רשימת מכשור 2015'!F1400</f>
        <v>0</v>
      </c>
      <c r="G1401" s="195"/>
      <c r="H1401" s="195"/>
      <c r="I1401" s="196"/>
      <c r="J1401" s="195"/>
      <c r="K1401" s="195"/>
      <c r="L1401" s="195"/>
      <c r="M1401" s="195"/>
      <c r="N1401" s="197"/>
      <c r="O1401" s="195"/>
      <c r="P1401" s="195"/>
      <c r="Q1401" s="195"/>
    </row>
    <row r="1402" spans="1:17">
      <c r="A1402" s="180">
        <f>'רשימת מכשור 2015'!A1401</f>
        <v>0</v>
      </c>
      <c r="B1402" s="180">
        <f>'רשימת מכשור 2015'!B1401</f>
        <v>0</v>
      </c>
      <c r="C1402" s="180">
        <f>'רשימת מכשור 2015'!C1401</f>
        <v>0</v>
      </c>
      <c r="D1402" s="233">
        <f>'רשימת מכשור 2015'!D1401</f>
        <v>0</v>
      </c>
      <c r="E1402" s="180">
        <f>'רשימת מכשור 2015'!E1401</f>
        <v>0</v>
      </c>
      <c r="F1402" s="180">
        <f>'רשימת מכשור 2015'!F1401</f>
        <v>0</v>
      </c>
      <c r="G1402" s="195"/>
      <c r="H1402" s="195"/>
      <c r="I1402" s="196"/>
      <c r="J1402" s="195"/>
      <c r="K1402" s="195"/>
      <c r="L1402" s="195"/>
      <c r="M1402" s="195"/>
      <c r="N1402" s="197"/>
      <c r="O1402" s="195"/>
      <c r="P1402" s="195"/>
      <c r="Q1402" s="195"/>
    </row>
    <row r="1403" spans="1:17">
      <c r="A1403" s="180">
        <f>'רשימת מכשור 2015'!A1402</f>
        <v>0</v>
      </c>
      <c r="B1403" s="180">
        <f>'רשימת מכשור 2015'!B1402</f>
        <v>0</v>
      </c>
      <c r="C1403" s="180">
        <f>'רשימת מכשור 2015'!C1402</f>
        <v>0</v>
      </c>
      <c r="D1403" s="233">
        <f>'רשימת מכשור 2015'!D1402</f>
        <v>0</v>
      </c>
      <c r="E1403" s="180">
        <f>'רשימת מכשור 2015'!E1402</f>
        <v>0</v>
      </c>
      <c r="F1403" s="180">
        <f>'רשימת מכשור 2015'!F1402</f>
        <v>0</v>
      </c>
      <c r="G1403" s="195"/>
      <c r="H1403" s="195"/>
      <c r="I1403" s="196"/>
      <c r="J1403" s="195"/>
      <c r="K1403" s="195"/>
      <c r="L1403" s="195"/>
      <c r="M1403" s="195"/>
      <c r="N1403" s="197"/>
      <c r="O1403" s="195"/>
      <c r="P1403" s="195"/>
      <c r="Q1403" s="195"/>
    </row>
    <row r="1404" spans="1:17">
      <c r="A1404" s="180">
        <f>'רשימת מכשור 2015'!A1403</f>
        <v>0</v>
      </c>
      <c r="B1404" s="180">
        <f>'רשימת מכשור 2015'!B1403</f>
        <v>0</v>
      </c>
      <c r="C1404" s="180">
        <f>'רשימת מכשור 2015'!C1403</f>
        <v>0</v>
      </c>
      <c r="D1404" s="233">
        <f>'רשימת מכשור 2015'!D1403</f>
        <v>0</v>
      </c>
      <c r="E1404" s="180">
        <f>'רשימת מכשור 2015'!E1403</f>
        <v>0</v>
      </c>
      <c r="F1404" s="180">
        <f>'רשימת מכשור 2015'!F1403</f>
        <v>0</v>
      </c>
      <c r="G1404" s="195"/>
      <c r="H1404" s="195"/>
      <c r="I1404" s="196"/>
      <c r="J1404" s="195"/>
      <c r="K1404" s="195"/>
      <c r="L1404" s="195"/>
      <c r="M1404" s="195"/>
      <c r="N1404" s="197"/>
      <c r="O1404" s="195"/>
      <c r="P1404" s="195"/>
      <c r="Q1404" s="195"/>
    </row>
    <row r="1405" spans="1:17">
      <c r="A1405" s="180">
        <f>'רשימת מכשור 2015'!A1404</f>
        <v>0</v>
      </c>
      <c r="B1405" s="180">
        <f>'רשימת מכשור 2015'!B1404</f>
        <v>0</v>
      </c>
      <c r="C1405" s="180">
        <f>'רשימת מכשור 2015'!C1404</f>
        <v>0</v>
      </c>
      <c r="D1405" s="233">
        <f>'רשימת מכשור 2015'!D1404</f>
        <v>0</v>
      </c>
      <c r="E1405" s="180">
        <f>'רשימת מכשור 2015'!E1404</f>
        <v>0</v>
      </c>
      <c r="F1405" s="180">
        <f>'רשימת מכשור 2015'!F1404</f>
        <v>0</v>
      </c>
      <c r="G1405" s="195"/>
      <c r="H1405" s="195"/>
      <c r="I1405" s="196"/>
      <c r="J1405" s="195"/>
      <c r="K1405" s="195"/>
      <c r="L1405" s="195"/>
      <c r="M1405" s="195"/>
      <c r="N1405" s="197"/>
      <c r="O1405" s="195"/>
      <c r="P1405" s="195"/>
      <c r="Q1405" s="195"/>
    </row>
    <row r="1406" spans="1:17">
      <c r="A1406" s="180">
        <f>'רשימת מכשור 2015'!A1405</f>
        <v>0</v>
      </c>
      <c r="B1406" s="180">
        <f>'רשימת מכשור 2015'!B1405</f>
        <v>0</v>
      </c>
      <c r="C1406" s="180">
        <f>'רשימת מכשור 2015'!C1405</f>
        <v>0</v>
      </c>
      <c r="D1406" s="233">
        <f>'רשימת מכשור 2015'!D1405</f>
        <v>0</v>
      </c>
      <c r="E1406" s="180">
        <f>'רשימת מכשור 2015'!E1405</f>
        <v>0</v>
      </c>
      <c r="F1406" s="180">
        <f>'רשימת מכשור 2015'!F1405</f>
        <v>0</v>
      </c>
      <c r="G1406" s="195"/>
      <c r="H1406" s="195"/>
      <c r="I1406" s="196"/>
      <c r="J1406" s="195"/>
      <c r="K1406" s="195"/>
      <c r="L1406" s="195"/>
      <c r="M1406" s="195"/>
      <c r="N1406" s="197"/>
      <c r="O1406" s="195"/>
      <c r="P1406" s="195"/>
      <c r="Q1406" s="195"/>
    </row>
    <row r="1407" spans="1:17">
      <c r="A1407" s="180">
        <f>'רשימת מכשור 2015'!A1406</f>
        <v>0</v>
      </c>
      <c r="B1407" s="180">
        <f>'רשימת מכשור 2015'!B1406</f>
        <v>0</v>
      </c>
      <c r="C1407" s="180">
        <f>'רשימת מכשור 2015'!C1406</f>
        <v>0</v>
      </c>
      <c r="D1407" s="233">
        <f>'רשימת מכשור 2015'!D1406</f>
        <v>0</v>
      </c>
      <c r="E1407" s="180">
        <f>'רשימת מכשור 2015'!E1406</f>
        <v>0</v>
      </c>
      <c r="F1407" s="180">
        <f>'רשימת מכשור 2015'!F1406</f>
        <v>0</v>
      </c>
      <c r="G1407" s="195"/>
      <c r="H1407" s="195"/>
      <c r="I1407" s="196"/>
      <c r="J1407" s="195"/>
      <c r="K1407" s="195"/>
      <c r="L1407" s="195"/>
      <c r="M1407" s="195"/>
      <c r="N1407" s="197"/>
      <c r="O1407" s="195"/>
      <c r="P1407" s="195"/>
      <c r="Q1407" s="195"/>
    </row>
    <row r="1408" spans="1:17">
      <c r="A1408" s="180">
        <f>'רשימת מכשור 2015'!A1407</f>
        <v>0</v>
      </c>
      <c r="B1408" s="180">
        <f>'רשימת מכשור 2015'!B1407</f>
        <v>0</v>
      </c>
      <c r="C1408" s="180">
        <f>'רשימת מכשור 2015'!C1407</f>
        <v>0</v>
      </c>
      <c r="D1408" s="233">
        <f>'רשימת מכשור 2015'!D1407</f>
        <v>0</v>
      </c>
      <c r="E1408" s="180">
        <f>'רשימת מכשור 2015'!E1407</f>
        <v>0</v>
      </c>
      <c r="F1408" s="180">
        <f>'רשימת מכשור 2015'!F1407</f>
        <v>0</v>
      </c>
      <c r="G1408" s="195"/>
      <c r="H1408" s="195"/>
      <c r="I1408" s="196"/>
      <c r="J1408" s="195"/>
      <c r="K1408" s="195"/>
      <c r="L1408" s="195"/>
      <c r="M1408" s="195"/>
      <c r="N1408" s="197"/>
      <c r="O1408" s="195"/>
      <c r="P1408" s="195"/>
      <c r="Q1408" s="195"/>
    </row>
    <row r="1409" spans="1:17">
      <c r="A1409" s="180">
        <f>'רשימת מכשור 2015'!A1408</f>
        <v>0</v>
      </c>
      <c r="B1409" s="180">
        <f>'רשימת מכשור 2015'!B1408</f>
        <v>0</v>
      </c>
      <c r="C1409" s="180">
        <f>'רשימת מכשור 2015'!C1408</f>
        <v>0</v>
      </c>
      <c r="D1409" s="233">
        <f>'רשימת מכשור 2015'!D1408</f>
        <v>0</v>
      </c>
      <c r="E1409" s="180">
        <f>'רשימת מכשור 2015'!E1408</f>
        <v>0</v>
      </c>
      <c r="F1409" s="180">
        <f>'רשימת מכשור 2015'!F1408</f>
        <v>0</v>
      </c>
      <c r="G1409" s="195"/>
      <c r="H1409" s="195"/>
      <c r="I1409" s="196"/>
      <c r="J1409" s="195"/>
      <c r="K1409" s="195"/>
      <c r="L1409" s="195"/>
      <c r="M1409" s="195"/>
      <c r="N1409" s="197"/>
      <c r="O1409" s="195"/>
      <c r="P1409" s="195"/>
      <c r="Q1409" s="195"/>
    </row>
    <row r="1410" spans="1:17">
      <c r="A1410" s="180">
        <f>'רשימת מכשור 2015'!A1409</f>
        <v>0</v>
      </c>
      <c r="B1410" s="180">
        <f>'רשימת מכשור 2015'!B1409</f>
        <v>0</v>
      </c>
      <c r="C1410" s="180">
        <f>'רשימת מכשור 2015'!C1409</f>
        <v>0</v>
      </c>
      <c r="D1410" s="233">
        <f>'רשימת מכשור 2015'!D1409</f>
        <v>0</v>
      </c>
      <c r="E1410" s="180">
        <f>'רשימת מכשור 2015'!E1409</f>
        <v>0</v>
      </c>
      <c r="F1410" s="180">
        <f>'רשימת מכשור 2015'!F1409</f>
        <v>0</v>
      </c>
      <c r="G1410" s="195"/>
      <c r="H1410" s="195"/>
      <c r="I1410" s="196"/>
      <c r="J1410" s="195"/>
      <c r="K1410" s="195"/>
      <c r="L1410" s="195"/>
      <c r="M1410" s="195"/>
      <c r="N1410" s="197"/>
      <c r="O1410" s="195"/>
      <c r="P1410" s="195"/>
      <c r="Q1410" s="195"/>
    </row>
    <row r="1411" spans="1:17">
      <c r="A1411" s="180">
        <f>'רשימת מכשור 2015'!A1410</f>
        <v>0</v>
      </c>
      <c r="B1411" s="180">
        <f>'רשימת מכשור 2015'!B1410</f>
        <v>0</v>
      </c>
      <c r="C1411" s="180">
        <f>'רשימת מכשור 2015'!C1410</f>
        <v>0</v>
      </c>
      <c r="D1411" s="233">
        <f>'רשימת מכשור 2015'!D1410</f>
        <v>0</v>
      </c>
      <c r="E1411" s="180">
        <f>'רשימת מכשור 2015'!E1410</f>
        <v>0</v>
      </c>
      <c r="F1411" s="180">
        <f>'רשימת מכשור 2015'!F1410</f>
        <v>0</v>
      </c>
      <c r="G1411" s="195"/>
      <c r="H1411" s="195"/>
      <c r="I1411" s="196"/>
      <c r="J1411" s="195"/>
      <c r="K1411" s="195"/>
      <c r="L1411" s="195"/>
      <c r="M1411" s="195"/>
      <c r="N1411" s="197"/>
      <c r="O1411" s="195"/>
      <c r="P1411" s="195"/>
      <c r="Q1411" s="195"/>
    </row>
    <row r="1412" spans="1:17">
      <c r="A1412" s="180">
        <f>'רשימת מכשור 2015'!A1411</f>
        <v>0</v>
      </c>
      <c r="B1412" s="180">
        <f>'רשימת מכשור 2015'!B1411</f>
        <v>0</v>
      </c>
      <c r="C1412" s="180">
        <f>'רשימת מכשור 2015'!C1411</f>
        <v>0</v>
      </c>
      <c r="D1412" s="233">
        <f>'רשימת מכשור 2015'!D1411</f>
        <v>0</v>
      </c>
      <c r="E1412" s="180">
        <f>'רשימת מכשור 2015'!E1411</f>
        <v>0</v>
      </c>
      <c r="F1412" s="180">
        <f>'רשימת מכשור 2015'!F1411</f>
        <v>0</v>
      </c>
      <c r="G1412" s="195"/>
      <c r="H1412" s="195"/>
      <c r="I1412" s="196"/>
      <c r="J1412" s="195"/>
      <c r="K1412" s="195"/>
      <c r="L1412" s="195"/>
      <c r="M1412" s="195"/>
      <c r="N1412" s="197"/>
      <c r="O1412" s="195"/>
      <c r="P1412" s="195"/>
      <c r="Q1412" s="195"/>
    </row>
    <row r="1413" spans="1:17">
      <c r="A1413" s="180">
        <f>'רשימת מכשור 2015'!A1412</f>
        <v>0</v>
      </c>
      <c r="B1413" s="180">
        <f>'רשימת מכשור 2015'!B1412</f>
        <v>0</v>
      </c>
      <c r="C1413" s="180">
        <f>'רשימת מכשור 2015'!C1412</f>
        <v>0</v>
      </c>
      <c r="D1413" s="233">
        <f>'רשימת מכשור 2015'!D1412</f>
        <v>0</v>
      </c>
      <c r="E1413" s="180">
        <f>'רשימת מכשור 2015'!E1412</f>
        <v>0</v>
      </c>
      <c r="F1413" s="180">
        <f>'רשימת מכשור 2015'!F1412</f>
        <v>0</v>
      </c>
      <c r="G1413" s="195"/>
      <c r="H1413" s="195"/>
      <c r="I1413" s="196"/>
      <c r="J1413" s="195"/>
      <c r="K1413" s="195"/>
      <c r="L1413" s="195"/>
      <c r="M1413" s="195"/>
      <c r="N1413" s="197"/>
      <c r="O1413" s="195"/>
      <c r="P1413" s="195"/>
      <c r="Q1413" s="195"/>
    </row>
    <row r="1414" spans="1:17">
      <c r="A1414" s="180">
        <f>'רשימת מכשור 2015'!A1413</f>
        <v>0</v>
      </c>
      <c r="B1414" s="180">
        <f>'רשימת מכשור 2015'!B1413</f>
        <v>0</v>
      </c>
      <c r="C1414" s="180">
        <f>'רשימת מכשור 2015'!C1413</f>
        <v>0</v>
      </c>
      <c r="D1414" s="233">
        <f>'רשימת מכשור 2015'!D1413</f>
        <v>0</v>
      </c>
      <c r="E1414" s="180">
        <f>'רשימת מכשור 2015'!E1413</f>
        <v>0</v>
      </c>
      <c r="F1414" s="180">
        <f>'רשימת מכשור 2015'!F1413</f>
        <v>0</v>
      </c>
      <c r="G1414" s="195"/>
      <c r="H1414" s="195"/>
      <c r="I1414" s="196"/>
      <c r="J1414" s="195"/>
      <c r="K1414" s="195"/>
      <c r="L1414" s="195"/>
      <c r="M1414" s="195"/>
      <c r="N1414" s="197"/>
      <c r="O1414" s="195"/>
      <c r="P1414" s="195"/>
      <c r="Q1414" s="195"/>
    </row>
    <row r="1415" spans="1:17">
      <c r="A1415" s="180">
        <f>'רשימת מכשור 2015'!A1414</f>
        <v>0</v>
      </c>
      <c r="B1415" s="180">
        <f>'רשימת מכשור 2015'!B1414</f>
        <v>0</v>
      </c>
      <c r="C1415" s="180">
        <f>'רשימת מכשור 2015'!C1414</f>
        <v>0</v>
      </c>
      <c r="D1415" s="233">
        <f>'רשימת מכשור 2015'!D1414</f>
        <v>0</v>
      </c>
      <c r="E1415" s="180">
        <f>'רשימת מכשור 2015'!E1414</f>
        <v>0</v>
      </c>
      <c r="F1415" s="180">
        <f>'רשימת מכשור 2015'!F1414</f>
        <v>0</v>
      </c>
      <c r="G1415" s="195"/>
      <c r="H1415" s="195"/>
      <c r="I1415" s="196"/>
      <c r="J1415" s="195"/>
      <c r="K1415" s="195"/>
      <c r="L1415" s="195"/>
      <c r="M1415" s="195"/>
      <c r="N1415" s="197"/>
      <c r="O1415" s="195"/>
      <c r="P1415" s="195"/>
      <c r="Q1415" s="195"/>
    </row>
    <row r="1416" spans="1:17">
      <c r="A1416" s="180">
        <f>'רשימת מכשור 2015'!A1415</f>
        <v>0</v>
      </c>
      <c r="B1416" s="180">
        <f>'רשימת מכשור 2015'!B1415</f>
        <v>0</v>
      </c>
      <c r="C1416" s="180">
        <f>'רשימת מכשור 2015'!C1415</f>
        <v>0</v>
      </c>
      <c r="D1416" s="233">
        <f>'רשימת מכשור 2015'!D1415</f>
        <v>0</v>
      </c>
      <c r="E1416" s="180">
        <f>'רשימת מכשור 2015'!E1415</f>
        <v>0</v>
      </c>
      <c r="F1416" s="180">
        <f>'רשימת מכשור 2015'!F1415</f>
        <v>0</v>
      </c>
      <c r="G1416" s="195"/>
      <c r="H1416" s="195"/>
      <c r="I1416" s="196"/>
      <c r="J1416" s="195"/>
      <c r="K1416" s="195"/>
      <c r="L1416" s="195"/>
      <c r="M1416" s="195"/>
      <c r="N1416" s="197"/>
      <c r="O1416" s="195"/>
      <c r="P1416" s="195"/>
      <c r="Q1416" s="195"/>
    </row>
    <row r="1417" spans="1:17">
      <c r="A1417" s="180">
        <f>'רשימת מכשור 2015'!A1416</f>
        <v>0</v>
      </c>
      <c r="B1417" s="180">
        <f>'רשימת מכשור 2015'!B1416</f>
        <v>0</v>
      </c>
      <c r="C1417" s="180">
        <f>'רשימת מכשור 2015'!C1416</f>
        <v>0</v>
      </c>
      <c r="D1417" s="233">
        <f>'רשימת מכשור 2015'!D1416</f>
        <v>0</v>
      </c>
      <c r="E1417" s="180">
        <f>'רשימת מכשור 2015'!E1416</f>
        <v>0</v>
      </c>
      <c r="F1417" s="180">
        <f>'רשימת מכשור 2015'!F1416</f>
        <v>0</v>
      </c>
      <c r="G1417" s="195"/>
      <c r="H1417" s="195"/>
      <c r="I1417" s="196"/>
      <c r="J1417" s="195"/>
      <c r="K1417" s="195"/>
      <c r="L1417" s="195"/>
      <c r="M1417" s="195"/>
      <c r="N1417" s="197"/>
      <c r="O1417" s="195"/>
      <c r="P1417" s="195"/>
      <c r="Q1417" s="195"/>
    </row>
    <row r="1418" spans="1:17">
      <c r="A1418" s="180">
        <f>'רשימת מכשור 2015'!A1417</f>
        <v>0</v>
      </c>
      <c r="B1418" s="180">
        <f>'רשימת מכשור 2015'!B1417</f>
        <v>0</v>
      </c>
      <c r="C1418" s="180">
        <f>'רשימת מכשור 2015'!C1417</f>
        <v>0</v>
      </c>
      <c r="D1418" s="233">
        <f>'רשימת מכשור 2015'!D1417</f>
        <v>0</v>
      </c>
      <c r="E1418" s="180">
        <f>'רשימת מכשור 2015'!E1417</f>
        <v>0</v>
      </c>
      <c r="F1418" s="180">
        <f>'רשימת מכשור 2015'!F1417</f>
        <v>0</v>
      </c>
      <c r="G1418" s="195"/>
      <c r="H1418" s="195"/>
      <c r="I1418" s="196"/>
      <c r="J1418" s="195"/>
      <c r="K1418" s="195"/>
      <c r="L1418" s="195"/>
      <c r="M1418" s="195"/>
      <c r="N1418" s="197"/>
      <c r="O1418" s="195"/>
      <c r="P1418" s="195"/>
      <c r="Q1418" s="195"/>
    </row>
    <row r="1419" spans="1:17">
      <c r="A1419" s="180">
        <f>'רשימת מכשור 2015'!A1418</f>
        <v>0</v>
      </c>
      <c r="B1419" s="180">
        <f>'רשימת מכשור 2015'!B1418</f>
        <v>0</v>
      </c>
      <c r="C1419" s="180">
        <f>'רשימת מכשור 2015'!C1418</f>
        <v>0</v>
      </c>
      <c r="D1419" s="233">
        <f>'רשימת מכשור 2015'!D1418</f>
        <v>0</v>
      </c>
      <c r="E1419" s="180">
        <f>'רשימת מכשור 2015'!E1418</f>
        <v>0</v>
      </c>
      <c r="F1419" s="180">
        <f>'רשימת מכשור 2015'!F1418</f>
        <v>0</v>
      </c>
      <c r="G1419" s="195"/>
      <c r="H1419" s="195"/>
      <c r="I1419" s="196"/>
      <c r="J1419" s="195"/>
      <c r="K1419" s="195"/>
      <c r="L1419" s="195"/>
      <c r="M1419" s="195"/>
      <c r="N1419" s="197"/>
      <c r="O1419" s="195"/>
      <c r="P1419" s="195"/>
      <c r="Q1419" s="195"/>
    </row>
    <row r="1420" spans="1:17">
      <c r="A1420" s="180">
        <f>'רשימת מכשור 2015'!A1419</f>
        <v>0</v>
      </c>
      <c r="B1420" s="180">
        <f>'רשימת מכשור 2015'!B1419</f>
        <v>0</v>
      </c>
      <c r="C1420" s="180">
        <f>'רשימת מכשור 2015'!C1419</f>
        <v>0</v>
      </c>
      <c r="D1420" s="233">
        <f>'רשימת מכשור 2015'!D1419</f>
        <v>0</v>
      </c>
      <c r="E1420" s="180">
        <f>'רשימת מכשור 2015'!E1419</f>
        <v>0</v>
      </c>
      <c r="F1420" s="180">
        <f>'רשימת מכשור 2015'!F1419</f>
        <v>0</v>
      </c>
      <c r="G1420" s="195"/>
      <c r="H1420" s="195"/>
      <c r="I1420" s="196"/>
      <c r="J1420" s="195"/>
      <c r="K1420" s="195"/>
      <c r="L1420" s="195"/>
      <c r="M1420" s="195"/>
      <c r="N1420" s="197"/>
      <c r="O1420" s="195"/>
      <c r="P1420" s="195"/>
      <c r="Q1420" s="195"/>
    </row>
    <row r="1421" spans="1:17">
      <c r="A1421" s="180">
        <f>'רשימת מכשור 2015'!A1420</f>
        <v>0</v>
      </c>
      <c r="B1421" s="180">
        <f>'רשימת מכשור 2015'!B1420</f>
        <v>0</v>
      </c>
      <c r="C1421" s="180">
        <f>'רשימת מכשור 2015'!C1420</f>
        <v>0</v>
      </c>
      <c r="D1421" s="233">
        <f>'רשימת מכשור 2015'!D1420</f>
        <v>0</v>
      </c>
      <c r="E1421" s="180">
        <f>'רשימת מכשור 2015'!E1420</f>
        <v>0</v>
      </c>
      <c r="F1421" s="180">
        <f>'רשימת מכשור 2015'!F1420</f>
        <v>0</v>
      </c>
      <c r="G1421" s="195"/>
      <c r="H1421" s="195"/>
      <c r="I1421" s="196"/>
      <c r="J1421" s="195"/>
      <c r="K1421" s="195"/>
      <c r="L1421" s="195"/>
      <c r="M1421" s="195"/>
      <c r="N1421" s="197"/>
      <c r="O1421" s="195"/>
      <c r="P1421" s="195"/>
      <c r="Q1421" s="195"/>
    </row>
    <row r="1422" spans="1:17">
      <c r="A1422" s="180">
        <f>'רשימת מכשור 2015'!A1421</f>
        <v>0</v>
      </c>
      <c r="B1422" s="180">
        <f>'רשימת מכשור 2015'!B1421</f>
        <v>0</v>
      </c>
      <c r="C1422" s="180">
        <f>'רשימת מכשור 2015'!C1421</f>
        <v>0</v>
      </c>
      <c r="D1422" s="233">
        <f>'רשימת מכשור 2015'!D1421</f>
        <v>0</v>
      </c>
      <c r="E1422" s="180">
        <f>'רשימת מכשור 2015'!E1421</f>
        <v>0</v>
      </c>
      <c r="F1422" s="180">
        <f>'רשימת מכשור 2015'!F1421</f>
        <v>0</v>
      </c>
      <c r="G1422" s="195"/>
      <c r="H1422" s="195"/>
      <c r="I1422" s="196"/>
      <c r="J1422" s="195"/>
      <c r="K1422" s="195"/>
      <c r="L1422" s="195"/>
      <c r="M1422" s="195"/>
      <c r="N1422" s="197"/>
      <c r="O1422" s="195"/>
      <c r="P1422" s="195"/>
      <c r="Q1422" s="195"/>
    </row>
    <row r="1423" spans="1:17">
      <c r="A1423" s="180">
        <f>'רשימת מכשור 2015'!A1422</f>
        <v>0</v>
      </c>
      <c r="B1423" s="180">
        <f>'רשימת מכשור 2015'!B1422</f>
        <v>0</v>
      </c>
      <c r="C1423" s="180">
        <f>'רשימת מכשור 2015'!C1422</f>
        <v>0</v>
      </c>
      <c r="D1423" s="233">
        <f>'רשימת מכשור 2015'!D1422</f>
        <v>0</v>
      </c>
      <c r="E1423" s="180">
        <f>'רשימת מכשור 2015'!E1422</f>
        <v>0</v>
      </c>
      <c r="F1423" s="180">
        <f>'רשימת מכשור 2015'!F1422</f>
        <v>0</v>
      </c>
      <c r="G1423" s="195"/>
      <c r="H1423" s="195"/>
      <c r="I1423" s="196"/>
      <c r="J1423" s="195"/>
      <c r="K1423" s="195"/>
      <c r="L1423" s="195"/>
      <c r="M1423" s="195"/>
      <c r="N1423" s="197"/>
      <c r="O1423" s="195"/>
      <c r="P1423" s="195"/>
      <c r="Q1423" s="195"/>
    </row>
    <row r="1424" spans="1:17">
      <c r="A1424" s="180">
        <f>'רשימת מכשור 2015'!A1423</f>
        <v>0</v>
      </c>
      <c r="B1424" s="180">
        <f>'רשימת מכשור 2015'!B1423</f>
        <v>0</v>
      </c>
      <c r="C1424" s="180">
        <f>'רשימת מכשור 2015'!C1423</f>
        <v>0</v>
      </c>
      <c r="D1424" s="233">
        <f>'רשימת מכשור 2015'!D1423</f>
        <v>0</v>
      </c>
      <c r="E1424" s="180">
        <f>'רשימת מכשור 2015'!E1423</f>
        <v>0</v>
      </c>
      <c r="F1424" s="180">
        <f>'רשימת מכשור 2015'!F1423</f>
        <v>0</v>
      </c>
      <c r="G1424" s="195"/>
      <c r="H1424" s="195"/>
      <c r="I1424" s="196"/>
      <c r="J1424" s="195"/>
      <c r="K1424" s="195"/>
      <c r="L1424" s="195"/>
      <c r="M1424" s="195"/>
      <c r="N1424" s="197"/>
      <c r="O1424" s="195"/>
      <c r="P1424" s="195"/>
      <c r="Q1424" s="195"/>
    </row>
    <row r="1425" spans="1:17">
      <c r="A1425" s="180">
        <f>'רשימת מכשור 2015'!A1424</f>
        <v>0</v>
      </c>
      <c r="B1425" s="180">
        <f>'רשימת מכשור 2015'!B1424</f>
        <v>0</v>
      </c>
      <c r="C1425" s="180">
        <f>'רשימת מכשור 2015'!C1424</f>
        <v>0</v>
      </c>
      <c r="D1425" s="233">
        <f>'רשימת מכשור 2015'!D1424</f>
        <v>0</v>
      </c>
      <c r="E1425" s="180">
        <f>'רשימת מכשור 2015'!E1424</f>
        <v>0</v>
      </c>
      <c r="F1425" s="180">
        <f>'רשימת מכשור 2015'!F1424</f>
        <v>0</v>
      </c>
      <c r="G1425" s="195"/>
      <c r="H1425" s="195"/>
      <c r="I1425" s="196"/>
      <c r="J1425" s="195"/>
      <c r="K1425" s="195"/>
      <c r="L1425" s="195"/>
      <c r="M1425" s="195"/>
      <c r="N1425" s="197"/>
      <c r="O1425" s="195"/>
      <c r="P1425" s="195"/>
      <c r="Q1425" s="195"/>
    </row>
    <row r="1426" spans="1:17">
      <c r="A1426" s="180">
        <f>'רשימת מכשור 2015'!A1425</f>
        <v>0</v>
      </c>
      <c r="B1426" s="180">
        <f>'רשימת מכשור 2015'!B1425</f>
        <v>0</v>
      </c>
      <c r="C1426" s="180">
        <f>'רשימת מכשור 2015'!C1425</f>
        <v>0</v>
      </c>
      <c r="D1426" s="233">
        <f>'רשימת מכשור 2015'!D1425</f>
        <v>0</v>
      </c>
      <c r="E1426" s="180">
        <f>'רשימת מכשור 2015'!E1425</f>
        <v>0</v>
      </c>
      <c r="F1426" s="180">
        <f>'רשימת מכשור 2015'!F1425</f>
        <v>0</v>
      </c>
      <c r="G1426" s="195"/>
      <c r="H1426" s="195"/>
      <c r="I1426" s="196"/>
      <c r="J1426" s="195"/>
      <c r="K1426" s="195"/>
      <c r="L1426" s="195"/>
      <c r="M1426" s="195"/>
      <c r="N1426" s="197"/>
      <c r="O1426" s="195"/>
      <c r="P1426" s="195"/>
      <c r="Q1426" s="195"/>
    </row>
    <row r="1427" spans="1:17">
      <c r="A1427" s="180">
        <f>'רשימת מכשור 2015'!A1426</f>
        <v>0</v>
      </c>
      <c r="B1427" s="180">
        <f>'רשימת מכשור 2015'!B1426</f>
        <v>0</v>
      </c>
      <c r="C1427" s="180">
        <f>'רשימת מכשור 2015'!C1426</f>
        <v>0</v>
      </c>
      <c r="D1427" s="233">
        <f>'רשימת מכשור 2015'!D1426</f>
        <v>0</v>
      </c>
      <c r="E1427" s="180">
        <f>'רשימת מכשור 2015'!E1426</f>
        <v>0</v>
      </c>
      <c r="F1427" s="180">
        <f>'רשימת מכשור 2015'!F1426</f>
        <v>0</v>
      </c>
      <c r="G1427" s="195"/>
      <c r="H1427" s="195"/>
      <c r="I1427" s="196"/>
      <c r="J1427" s="195"/>
      <c r="K1427" s="195"/>
      <c r="L1427" s="195"/>
      <c r="M1427" s="195"/>
      <c r="N1427" s="197"/>
      <c r="O1427" s="195"/>
      <c r="P1427" s="195"/>
      <c r="Q1427" s="195"/>
    </row>
    <row r="1428" spans="1:17">
      <c r="A1428" s="180">
        <f>'רשימת מכשור 2015'!A1427</f>
        <v>0</v>
      </c>
      <c r="B1428" s="180">
        <f>'רשימת מכשור 2015'!B1427</f>
        <v>0</v>
      </c>
      <c r="C1428" s="180">
        <f>'רשימת מכשור 2015'!C1427</f>
        <v>0</v>
      </c>
      <c r="D1428" s="233">
        <f>'רשימת מכשור 2015'!D1427</f>
        <v>0</v>
      </c>
      <c r="E1428" s="180">
        <f>'רשימת מכשור 2015'!E1427</f>
        <v>0</v>
      </c>
      <c r="F1428" s="180">
        <f>'רשימת מכשור 2015'!F1427</f>
        <v>0</v>
      </c>
      <c r="G1428" s="195"/>
      <c r="H1428" s="195"/>
      <c r="I1428" s="196"/>
      <c r="J1428" s="195"/>
      <c r="K1428" s="195"/>
      <c r="L1428" s="195"/>
      <c r="M1428" s="195"/>
      <c r="N1428" s="197"/>
      <c r="O1428" s="195"/>
      <c r="P1428" s="195"/>
      <c r="Q1428" s="195"/>
    </row>
    <row r="1429" spans="1:17">
      <c r="A1429" s="180">
        <f>'רשימת מכשור 2015'!A1428</f>
        <v>0</v>
      </c>
      <c r="B1429" s="180">
        <f>'רשימת מכשור 2015'!B1428</f>
        <v>0</v>
      </c>
      <c r="C1429" s="180">
        <f>'רשימת מכשור 2015'!C1428</f>
        <v>0</v>
      </c>
      <c r="D1429" s="233">
        <f>'רשימת מכשור 2015'!D1428</f>
        <v>0</v>
      </c>
      <c r="E1429" s="180">
        <f>'רשימת מכשור 2015'!E1428</f>
        <v>0</v>
      </c>
      <c r="F1429" s="180">
        <f>'רשימת מכשור 2015'!F1428</f>
        <v>0</v>
      </c>
      <c r="G1429" s="195"/>
      <c r="H1429" s="195"/>
      <c r="I1429" s="196"/>
      <c r="J1429" s="195"/>
      <c r="K1429" s="195"/>
      <c r="L1429" s="195"/>
      <c r="M1429" s="195"/>
      <c r="N1429" s="197"/>
      <c r="O1429" s="195"/>
      <c r="P1429" s="195"/>
      <c r="Q1429" s="195"/>
    </row>
    <row r="1430" spans="1:17">
      <c r="A1430" s="180">
        <f>'רשימת מכשור 2015'!A1429</f>
        <v>0</v>
      </c>
      <c r="B1430" s="180">
        <f>'רשימת מכשור 2015'!B1429</f>
        <v>0</v>
      </c>
      <c r="C1430" s="180">
        <f>'רשימת מכשור 2015'!C1429</f>
        <v>0</v>
      </c>
      <c r="D1430" s="233">
        <f>'רשימת מכשור 2015'!D1429</f>
        <v>0</v>
      </c>
      <c r="E1430" s="180">
        <f>'רשימת מכשור 2015'!E1429</f>
        <v>0</v>
      </c>
      <c r="F1430" s="180">
        <f>'רשימת מכשור 2015'!F1429</f>
        <v>0</v>
      </c>
      <c r="G1430" s="195"/>
      <c r="H1430" s="195"/>
      <c r="I1430" s="196"/>
      <c r="J1430" s="195"/>
      <c r="K1430" s="195"/>
      <c r="L1430" s="195"/>
      <c r="M1430" s="195"/>
      <c r="N1430" s="197"/>
      <c r="O1430" s="195"/>
      <c r="P1430" s="195"/>
      <c r="Q1430" s="195"/>
    </row>
    <row r="1431" spans="1:17">
      <c r="A1431" s="180">
        <f>'רשימת מכשור 2015'!A1430</f>
        <v>0</v>
      </c>
      <c r="B1431" s="180">
        <f>'רשימת מכשור 2015'!B1430</f>
        <v>0</v>
      </c>
      <c r="C1431" s="180">
        <f>'רשימת מכשור 2015'!C1430</f>
        <v>0</v>
      </c>
      <c r="D1431" s="233">
        <f>'רשימת מכשור 2015'!D1430</f>
        <v>0</v>
      </c>
      <c r="E1431" s="180">
        <f>'רשימת מכשור 2015'!E1430</f>
        <v>0</v>
      </c>
      <c r="F1431" s="180">
        <f>'רשימת מכשור 2015'!F1430</f>
        <v>0</v>
      </c>
      <c r="G1431" s="195"/>
      <c r="H1431" s="195"/>
      <c r="I1431" s="196"/>
      <c r="J1431" s="195"/>
      <c r="K1431" s="195"/>
      <c r="L1431" s="195"/>
      <c r="M1431" s="195"/>
      <c r="N1431" s="197"/>
      <c r="O1431" s="195"/>
      <c r="P1431" s="195"/>
      <c r="Q1431" s="195"/>
    </row>
    <row r="1432" spans="1:17">
      <c r="A1432" s="180">
        <f>'רשימת מכשור 2015'!A1431</f>
        <v>0</v>
      </c>
      <c r="B1432" s="180">
        <f>'רשימת מכשור 2015'!B1431</f>
        <v>0</v>
      </c>
      <c r="C1432" s="180">
        <f>'רשימת מכשור 2015'!C1431</f>
        <v>0</v>
      </c>
      <c r="D1432" s="233">
        <f>'רשימת מכשור 2015'!D1431</f>
        <v>0</v>
      </c>
      <c r="E1432" s="180">
        <f>'רשימת מכשור 2015'!E1431</f>
        <v>0</v>
      </c>
      <c r="F1432" s="180">
        <f>'רשימת מכשור 2015'!F1431</f>
        <v>0</v>
      </c>
      <c r="G1432" s="195"/>
      <c r="H1432" s="195"/>
      <c r="I1432" s="196"/>
      <c r="J1432" s="195"/>
      <c r="K1432" s="195"/>
      <c r="L1432" s="195"/>
      <c r="M1432" s="195"/>
      <c r="N1432" s="197"/>
      <c r="O1432" s="195"/>
      <c r="P1432" s="195"/>
      <c r="Q1432" s="195"/>
    </row>
    <row r="1433" spans="1:17">
      <c r="A1433" s="180">
        <f>'רשימת מכשור 2015'!A1432</f>
        <v>0</v>
      </c>
      <c r="B1433" s="180">
        <f>'רשימת מכשור 2015'!B1432</f>
        <v>0</v>
      </c>
      <c r="C1433" s="180">
        <f>'רשימת מכשור 2015'!C1432</f>
        <v>0</v>
      </c>
      <c r="D1433" s="233">
        <f>'רשימת מכשור 2015'!D1432</f>
        <v>0</v>
      </c>
      <c r="E1433" s="180">
        <f>'רשימת מכשור 2015'!E1432</f>
        <v>0</v>
      </c>
      <c r="F1433" s="180">
        <f>'רשימת מכשור 2015'!F1432</f>
        <v>0</v>
      </c>
      <c r="G1433" s="195"/>
      <c r="H1433" s="195"/>
      <c r="I1433" s="196"/>
      <c r="J1433" s="195"/>
      <c r="K1433" s="195"/>
      <c r="L1433" s="195"/>
      <c r="M1433" s="195"/>
      <c r="N1433" s="197"/>
      <c r="O1433" s="195"/>
      <c r="P1433" s="195"/>
      <c r="Q1433" s="195"/>
    </row>
    <row r="1434" spans="1:17">
      <c r="A1434" s="180">
        <f>'רשימת מכשור 2015'!A1433</f>
        <v>0</v>
      </c>
      <c r="B1434" s="180">
        <f>'רשימת מכשור 2015'!B1433</f>
        <v>0</v>
      </c>
      <c r="C1434" s="180">
        <f>'רשימת מכשור 2015'!C1433</f>
        <v>0</v>
      </c>
      <c r="D1434" s="233">
        <f>'רשימת מכשור 2015'!D1433</f>
        <v>0</v>
      </c>
      <c r="E1434" s="180">
        <f>'רשימת מכשור 2015'!E1433</f>
        <v>0</v>
      </c>
      <c r="F1434" s="180">
        <f>'רשימת מכשור 2015'!F1433</f>
        <v>0</v>
      </c>
      <c r="G1434" s="195"/>
      <c r="H1434" s="195"/>
      <c r="I1434" s="196"/>
      <c r="J1434" s="195"/>
      <c r="K1434" s="195"/>
      <c r="L1434" s="195"/>
      <c r="M1434" s="195"/>
      <c r="N1434" s="197"/>
      <c r="O1434" s="195"/>
      <c r="P1434" s="195"/>
      <c r="Q1434" s="195"/>
    </row>
    <row r="1435" spans="1:17">
      <c r="A1435" s="180">
        <f>'רשימת מכשור 2015'!A1434</f>
        <v>0</v>
      </c>
      <c r="B1435" s="180">
        <f>'רשימת מכשור 2015'!B1434</f>
        <v>0</v>
      </c>
      <c r="C1435" s="180">
        <f>'רשימת מכשור 2015'!C1434</f>
        <v>0</v>
      </c>
      <c r="D1435" s="233">
        <f>'רשימת מכשור 2015'!D1434</f>
        <v>0</v>
      </c>
      <c r="E1435" s="180">
        <f>'רשימת מכשור 2015'!E1434</f>
        <v>0</v>
      </c>
      <c r="F1435" s="180">
        <f>'רשימת מכשור 2015'!F1434</f>
        <v>0</v>
      </c>
      <c r="G1435" s="195"/>
      <c r="H1435" s="195"/>
      <c r="I1435" s="196"/>
      <c r="J1435" s="195"/>
      <c r="K1435" s="195"/>
      <c r="L1435" s="195"/>
      <c r="M1435" s="195"/>
      <c r="N1435" s="197"/>
      <c r="O1435" s="195"/>
      <c r="P1435" s="195"/>
      <c r="Q1435" s="195"/>
    </row>
    <row r="1436" spans="1:17">
      <c r="A1436" s="180">
        <f>'רשימת מכשור 2015'!A1435</f>
        <v>0</v>
      </c>
      <c r="B1436" s="180">
        <f>'רשימת מכשור 2015'!B1435</f>
        <v>0</v>
      </c>
      <c r="C1436" s="180">
        <f>'רשימת מכשור 2015'!C1435</f>
        <v>0</v>
      </c>
      <c r="D1436" s="233">
        <f>'רשימת מכשור 2015'!D1435</f>
        <v>0</v>
      </c>
      <c r="E1436" s="180">
        <f>'רשימת מכשור 2015'!E1435</f>
        <v>0</v>
      </c>
      <c r="F1436" s="180">
        <f>'רשימת מכשור 2015'!F1435</f>
        <v>0</v>
      </c>
      <c r="G1436" s="195"/>
      <c r="H1436" s="195"/>
      <c r="I1436" s="196"/>
      <c r="J1436" s="195"/>
      <c r="K1436" s="195"/>
      <c r="L1436" s="195"/>
      <c r="M1436" s="195"/>
      <c r="N1436" s="197"/>
      <c r="O1436" s="195"/>
      <c r="P1436" s="195"/>
      <c r="Q1436" s="195"/>
    </row>
    <row r="1437" spans="1:17">
      <c r="A1437" s="180">
        <f>'רשימת מכשור 2015'!A1436</f>
        <v>0</v>
      </c>
      <c r="B1437" s="180">
        <f>'רשימת מכשור 2015'!B1436</f>
        <v>0</v>
      </c>
      <c r="C1437" s="180">
        <f>'רשימת מכשור 2015'!C1436</f>
        <v>0</v>
      </c>
      <c r="D1437" s="233">
        <f>'רשימת מכשור 2015'!D1436</f>
        <v>0</v>
      </c>
      <c r="E1437" s="180">
        <f>'רשימת מכשור 2015'!E1436</f>
        <v>0</v>
      </c>
      <c r="F1437" s="180">
        <f>'רשימת מכשור 2015'!F1436</f>
        <v>0</v>
      </c>
      <c r="G1437" s="195"/>
      <c r="H1437" s="195"/>
      <c r="I1437" s="196"/>
      <c r="J1437" s="195"/>
      <c r="K1437" s="195"/>
      <c r="L1437" s="195"/>
      <c r="M1437" s="195"/>
      <c r="N1437" s="197"/>
      <c r="O1437" s="195"/>
      <c r="P1437" s="195"/>
      <c r="Q1437" s="195"/>
    </row>
    <row r="1438" spans="1:17">
      <c r="A1438" s="180">
        <f>'רשימת מכשור 2015'!A1437</f>
        <v>0</v>
      </c>
      <c r="B1438" s="180">
        <f>'רשימת מכשור 2015'!B1437</f>
        <v>0</v>
      </c>
      <c r="C1438" s="180">
        <f>'רשימת מכשור 2015'!C1437</f>
        <v>0</v>
      </c>
      <c r="D1438" s="233">
        <f>'רשימת מכשור 2015'!D1437</f>
        <v>0</v>
      </c>
      <c r="E1438" s="180">
        <f>'רשימת מכשור 2015'!E1437</f>
        <v>0</v>
      </c>
      <c r="F1438" s="180">
        <f>'רשימת מכשור 2015'!F1437</f>
        <v>0</v>
      </c>
      <c r="G1438" s="195"/>
      <c r="H1438" s="195"/>
      <c r="I1438" s="196"/>
      <c r="J1438" s="195"/>
      <c r="K1438" s="195"/>
      <c r="L1438" s="195"/>
      <c r="M1438" s="195"/>
      <c r="N1438" s="197"/>
      <c r="O1438" s="195"/>
      <c r="P1438" s="195"/>
      <c r="Q1438" s="195"/>
    </row>
    <row r="1439" spans="1:17">
      <c r="A1439" s="180">
        <f>'רשימת מכשור 2015'!A1438</f>
        <v>0</v>
      </c>
      <c r="B1439" s="180">
        <f>'רשימת מכשור 2015'!B1438</f>
        <v>0</v>
      </c>
      <c r="C1439" s="180">
        <f>'רשימת מכשור 2015'!C1438</f>
        <v>0</v>
      </c>
      <c r="D1439" s="233">
        <f>'רשימת מכשור 2015'!D1438</f>
        <v>0</v>
      </c>
      <c r="E1439" s="180">
        <f>'רשימת מכשור 2015'!E1438</f>
        <v>0</v>
      </c>
      <c r="F1439" s="180">
        <f>'רשימת מכשור 2015'!F1438</f>
        <v>0</v>
      </c>
      <c r="G1439" s="195"/>
      <c r="H1439" s="195"/>
      <c r="I1439" s="196"/>
      <c r="J1439" s="195"/>
      <c r="K1439" s="195"/>
      <c r="L1439" s="195"/>
      <c r="M1439" s="195"/>
      <c r="N1439" s="197"/>
      <c r="O1439" s="195"/>
      <c r="P1439" s="195"/>
      <c r="Q1439" s="195"/>
    </row>
    <row r="1440" spans="1:17">
      <c r="A1440" s="180">
        <f>'רשימת מכשור 2015'!A1439</f>
        <v>0</v>
      </c>
      <c r="B1440" s="180">
        <f>'רשימת מכשור 2015'!B1439</f>
        <v>0</v>
      </c>
      <c r="C1440" s="180">
        <f>'רשימת מכשור 2015'!C1439</f>
        <v>0</v>
      </c>
      <c r="D1440" s="233">
        <f>'רשימת מכשור 2015'!D1439</f>
        <v>0</v>
      </c>
      <c r="E1440" s="180">
        <f>'רשימת מכשור 2015'!E1439</f>
        <v>0</v>
      </c>
      <c r="F1440" s="180">
        <f>'רשימת מכשור 2015'!F1439</f>
        <v>0</v>
      </c>
      <c r="G1440" s="195"/>
      <c r="H1440" s="195"/>
      <c r="I1440" s="196"/>
      <c r="J1440" s="195"/>
      <c r="K1440" s="195"/>
      <c r="L1440" s="195"/>
      <c r="M1440" s="195"/>
      <c r="N1440" s="197"/>
      <c r="O1440" s="195"/>
      <c r="P1440" s="195"/>
      <c r="Q1440" s="195"/>
    </row>
    <row r="1441" spans="1:17">
      <c r="A1441" s="180">
        <f>'רשימת מכשור 2015'!A1440</f>
        <v>0</v>
      </c>
      <c r="B1441" s="180">
        <f>'רשימת מכשור 2015'!B1440</f>
        <v>0</v>
      </c>
      <c r="C1441" s="180">
        <f>'רשימת מכשור 2015'!C1440</f>
        <v>0</v>
      </c>
      <c r="D1441" s="233">
        <f>'רשימת מכשור 2015'!D1440</f>
        <v>0</v>
      </c>
      <c r="E1441" s="180">
        <f>'רשימת מכשור 2015'!E1440</f>
        <v>0</v>
      </c>
      <c r="F1441" s="180">
        <f>'רשימת מכשור 2015'!F1440</f>
        <v>0</v>
      </c>
      <c r="G1441" s="195"/>
      <c r="H1441" s="195"/>
      <c r="I1441" s="196"/>
      <c r="J1441" s="195"/>
      <c r="K1441" s="195"/>
      <c r="L1441" s="195"/>
      <c r="M1441" s="195"/>
      <c r="N1441" s="197"/>
      <c r="O1441" s="195"/>
      <c r="P1441" s="195"/>
      <c r="Q1441" s="195"/>
    </row>
    <row r="1442" spans="1:17">
      <c r="A1442" s="180">
        <f>'רשימת מכשור 2015'!A1441</f>
        <v>0</v>
      </c>
      <c r="B1442" s="180">
        <f>'רשימת מכשור 2015'!B1441</f>
        <v>0</v>
      </c>
      <c r="C1442" s="180">
        <f>'רשימת מכשור 2015'!C1441</f>
        <v>0</v>
      </c>
      <c r="D1442" s="233">
        <f>'רשימת מכשור 2015'!D1441</f>
        <v>0</v>
      </c>
      <c r="E1442" s="180">
        <f>'רשימת מכשור 2015'!E1441</f>
        <v>0</v>
      </c>
      <c r="F1442" s="180">
        <f>'רשימת מכשור 2015'!F1441</f>
        <v>0</v>
      </c>
      <c r="G1442" s="195"/>
      <c r="H1442" s="195"/>
      <c r="I1442" s="196"/>
      <c r="J1442" s="195"/>
      <c r="K1442" s="195"/>
      <c r="L1442" s="195"/>
      <c r="M1442" s="195"/>
      <c r="N1442" s="197"/>
      <c r="O1442" s="195"/>
      <c r="P1442" s="195"/>
      <c r="Q1442" s="195"/>
    </row>
    <row r="1443" spans="1:17">
      <c r="A1443" s="180">
        <f>'רשימת מכשור 2015'!A1442</f>
        <v>0</v>
      </c>
      <c r="B1443" s="180">
        <f>'רשימת מכשור 2015'!B1442</f>
        <v>0</v>
      </c>
      <c r="C1443" s="180">
        <f>'רשימת מכשור 2015'!C1442</f>
        <v>0</v>
      </c>
      <c r="D1443" s="233">
        <f>'רשימת מכשור 2015'!D1442</f>
        <v>0</v>
      </c>
      <c r="E1443" s="180">
        <f>'רשימת מכשור 2015'!E1442</f>
        <v>0</v>
      </c>
      <c r="F1443" s="180">
        <f>'רשימת מכשור 2015'!F1442</f>
        <v>0</v>
      </c>
      <c r="G1443" s="195"/>
      <c r="H1443" s="195"/>
      <c r="I1443" s="196"/>
      <c r="J1443" s="195"/>
      <c r="K1443" s="195"/>
      <c r="L1443" s="195"/>
      <c r="M1443" s="195"/>
      <c r="N1443" s="197"/>
      <c r="O1443" s="195"/>
      <c r="P1443" s="195"/>
      <c r="Q1443" s="195"/>
    </row>
    <row r="1444" spans="1:17">
      <c r="A1444" s="180">
        <f>'רשימת מכשור 2015'!A1443</f>
        <v>0</v>
      </c>
      <c r="B1444" s="180">
        <f>'רשימת מכשור 2015'!B1443</f>
        <v>0</v>
      </c>
      <c r="C1444" s="180">
        <f>'רשימת מכשור 2015'!C1443</f>
        <v>0</v>
      </c>
      <c r="D1444" s="233">
        <f>'רשימת מכשור 2015'!D1443</f>
        <v>0</v>
      </c>
      <c r="E1444" s="180">
        <f>'רשימת מכשור 2015'!E1443</f>
        <v>0</v>
      </c>
      <c r="F1444" s="180">
        <f>'רשימת מכשור 2015'!F1443</f>
        <v>0</v>
      </c>
      <c r="G1444" s="195"/>
      <c r="H1444" s="195"/>
      <c r="I1444" s="196"/>
      <c r="J1444" s="195"/>
      <c r="K1444" s="195"/>
      <c r="L1444" s="195"/>
      <c r="M1444" s="195"/>
      <c r="N1444" s="197"/>
      <c r="O1444" s="195"/>
      <c r="P1444" s="195"/>
      <c r="Q1444" s="195"/>
    </row>
    <row r="1445" spans="1:17">
      <c r="A1445" s="180">
        <f>'רשימת מכשור 2015'!A1444</f>
        <v>0</v>
      </c>
      <c r="B1445" s="180">
        <f>'רשימת מכשור 2015'!B1444</f>
        <v>0</v>
      </c>
      <c r="C1445" s="180">
        <f>'רשימת מכשור 2015'!C1444</f>
        <v>0</v>
      </c>
      <c r="D1445" s="233">
        <f>'רשימת מכשור 2015'!D1444</f>
        <v>0</v>
      </c>
      <c r="E1445" s="180">
        <f>'רשימת מכשור 2015'!E1444</f>
        <v>0</v>
      </c>
      <c r="F1445" s="180">
        <f>'רשימת מכשור 2015'!F1444</f>
        <v>0</v>
      </c>
      <c r="G1445" s="195"/>
      <c r="H1445" s="195"/>
      <c r="I1445" s="196"/>
      <c r="J1445" s="195"/>
      <c r="K1445" s="195"/>
      <c r="L1445" s="195"/>
      <c r="M1445" s="195"/>
      <c r="N1445" s="197"/>
      <c r="O1445" s="195"/>
      <c r="P1445" s="195"/>
      <c r="Q1445" s="195"/>
    </row>
    <row r="1446" spans="1:17">
      <c r="A1446" s="180">
        <f>'רשימת מכשור 2015'!A1445</f>
        <v>0</v>
      </c>
      <c r="B1446" s="180">
        <f>'רשימת מכשור 2015'!B1445</f>
        <v>0</v>
      </c>
      <c r="C1446" s="180">
        <f>'רשימת מכשור 2015'!C1445</f>
        <v>0</v>
      </c>
      <c r="D1446" s="233">
        <f>'רשימת מכשור 2015'!D1445</f>
        <v>0</v>
      </c>
      <c r="E1446" s="180">
        <f>'רשימת מכשור 2015'!E1445</f>
        <v>0</v>
      </c>
      <c r="F1446" s="180">
        <f>'רשימת מכשור 2015'!F1445</f>
        <v>0</v>
      </c>
      <c r="G1446" s="195"/>
      <c r="H1446" s="195"/>
      <c r="I1446" s="196"/>
      <c r="J1446" s="195"/>
      <c r="K1446" s="195"/>
      <c r="L1446" s="195"/>
      <c r="M1446" s="195"/>
      <c r="N1446" s="197"/>
      <c r="O1446" s="195"/>
      <c r="P1446" s="195"/>
      <c r="Q1446" s="195"/>
    </row>
    <row r="1447" spans="1:17">
      <c r="A1447" s="180">
        <f>'רשימת מכשור 2015'!A1446</f>
        <v>0</v>
      </c>
      <c r="B1447" s="180">
        <f>'רשימת מכשור 2015'!B1446</f>
        <v>0</v>
      </c>
      <c r="C1447" s="180">
        <f>'רשימת מכשור 2015'!C1446</f>
        <v>0</v>
      </c>
      <c r="D1447" s="233">
        <f>'רשימת מכשור 2015'!D1446</f>
        <v>0</v>
      </c>
      <c r="E1447" s="180">
        <f>'רשימת מכשור 2015'!E1446</f>
        <v>0</v>
      </c>
      <c r="F1447" s="180">
        <f>'רשימת מכשור 2015'!F1446</f>
        <v>0</v>
      </c>
      <c r="G1447" s="195"/>
      <c r="H1447" s="195"/>
      <c r="I1447" s="196"/>
      <c r="J1447" s="195"/>
      <c r="K1447" s="195"/>
      <c r="L1447" s="195"/>
      <c r="M1447" s="195"/>
      <c r="N1447" s="197"/>
      <c r="O1447" s="195"/>
      <c r="P1447" s="195"/>
      <c r="Q1447" s="195"/>
    </row>
    <row r="1448" spans="1:17">
      <c r="A1448" s="180">
        <f>'רשימת מכשור 2015'!A1447</f>
        <v>0</v>
      </c>
      <c r="B1448" s="180">
        <f>'רשימת מכשור 2015'!B1447</f>
        <v>0</v>
      </c>
      <c r="C1448" s="180">
        <f>'רשימת מכשור 2015'!C1447</f>
        <v>0</v>
      </c>
      <c r="D1448" s="233">
        <f>'רשימת מכשור 2015'!D1447</f>
        <v>0</v>
      </c>
      <c r="E1448" s="180">
        <f>'רשימת מכשור 2015'!E1447</f>
        <v>0</v>
      </c>
      <c r="F1448" s="180">
        <f>'רשימת מכשור 2015'!F1447</f>
        <v>0</v>
      </c>
      <c r="G1448" s="195"/>
      <c r="H1448" s="195"/>
      <c r="I1448" s="196"/>
      <c r="J1448" s="195"/>
      <c r="K1448" s="195"/>
      <c r="L1448" s="195"/>
      <c r="M1448" s="195"/>
      <c r="N1448" s="197"/>
      <c r="O1448" s="195"/>
      <c r="P1448" s="195"/>
      <c r="Q1448" s="195"/>
    </row>
    <row r="1449" spans="1:17">
      <c r="A1449" s="180">
        <f>'רשימת מכשור 2015'!A1448</f>
        <v>0</v>
      </c>
      <c r="B1449" s="180">
        <f>'רשימת מכשור 2015'!B1448</f>
        <v>0</v>
      </c>
      <c r="C1449" s="180">
        <f>'רשימת מכשור 2015'!C1448</f>
        <v>0</v>
      </c>
      <c r="D1449" s="233">
        <f>'רשימת מכשור 2015'!D1448</f>
        <v>0</v>
      </c>
      <c r="E1449" s="180">
        <f>'רשימת מכשור 2015'!E1448</f>
        <v>0</v>
      </c>
      <c r="F1449" s="180">
        <f>'רשימת מכשור 2015'!F1448</f>
        <v>0</v>
      </c>
      <c r="G1449" s="195"/>
      <c r="H1449" s="195"/>
      <c r="I1449" s="196"/>
      <c r="J1449" s="195"/>
      <c r="K1449" s="195"/>
      <c r="L1449" s="195"/>
      <c r="M1449" s="195"/>
      <c r="N1449" s="197"/>
      <c r="O1449" s="195"/>
      <c r="P1449" s="195"/>
      <c r="Q1449" s="195"/>
    </row>
    <row r="1450" spans="1:17">
      <c r="A1450" s="180">
        <f>'רשימת מכשור 2015'!A1449</f>
        <v>0</v>
      </c>
      <c r="B1450" s="180">
        <f>'רשימת מכשור 2015'!B1449</f>
        <v>0</v>
      </c>
      <c r="C1450" s="180">
        <f>'רשימת מכשור 2015'!C1449</f>
        <v>0</v>
      </c>
      <c r="D1450" s="233">
        <f>'רשימת מכשור 2015'!D1449</f>
        <v>0</v>
      </c>
      <c r="E1450" s="180">
        <f>'רשימת מכשור 2015'!E1449</f>
        <v>0</v>
      </c>
      <c r="F1450" s="180">
        <f>'רשימת מכשור 2015'!F1449</f>
        <v>0</v>
      </c>
      <c r="G1450" s="195"/>
      <c r="H1450" s="195"/>
      <c r="I1450" s="196"/>
      <c r="J1450" s="195"/>
      <c r="K1450" s="195"/>
      <c r="L1450" s="195"/>
      <c r="M1450" s="195"/>
      <c r="N1450" s="197"/>
      <c r="O1450" s="195"/>
      <c r="P1450" s="195"/>
      <c r="Q1450" s="195"/>
    </row>
    <row r="1451" spans="1:17">
      <c r="A1451" s="180">
        <f>'רשימת מכשור 2015'!A1450</f>
        <v>0</v>
      </c>
      <c r="B1451" s="180">
        <f>'רשימת מכשור 2015'!B1450</f>
        <v>0</v>
      </c>
      <c r="C1451" s="180">
        <f>'רשימת מכשור 2015'!C1450</f>
        <v>0</v>
      </c>
      <c r="D1451" s="233">
        <f>'רשימת מכשור 2015'!D1450</f>
        <v>0</v>
      </c>
      <c r="E1451" s="180">
        <f>'רשימת מכשור 2015'!E1450</f>
        <v>0</v>
      </c>
      <c r="F1451" s="180">
        <f>'רשימת מכשור 2015'!F1450</f>
        <v>0</v>
      </c>
      <c r="G1451" s="195"/>
      <c r="H1451" s="195"/>
      <c r="I1451" s="196"/>
      <c r="J1451" s="195"/>
      <c r="K1451" s="195"/>
      <c r="L1451" s="195"/>
      <c r="M1451" s="195"/>
      <c r="N1451" s="197"/>
      <c r="O1451" s="195"/>
      <c r="P1451" s="195"/>
      <c r="Q1451" s="195"/>
    </row>
    <row r="1452" spans="1:17">
      <c r="A1452" s="180">
        <f>'רשימת מכשור 2015'!A1451</f>
        <v>0</v>
      </c>
      <c r="B1452" s="180">
        <f>'רשימת מכשור 2015'!B1451</f>
        <v>0</v>
      </c>
      <c r="C1452" s="180">
        <f>'רשימת מכשור 2015'!C1451</f>
        <v>0</v>
      </c>
      <c r="D1452" s="233">
        <f>'רשימת מכשור 2015'!D1451</f>
        <v>0</v>
      </c>
      <c r="E1452" s="180">
        <f>'רשימת מכשור 2015'!E1451</f>
        <v>0</v>
      </c>
      <c r="F1452" s="180">
        <f>'רשימת מכשור 2015'!F1451</f>
        <v>0</v>
      </c>
      <c r="G1452" s="195"/>
      <c r="H1452" s="195"/>
      <c r="I1452" s="196"/>
      <c r="J1452" s="195"/>
      <c r="K1452" s="195"/>
      <c r="L1452" s="195"/>
      <c r="M1452" s="195"/>
      <c r="N1452" s="197"/>
      <c r="O1452" s="195"/>
      <c r="P1452" s="195"/>
      <c r="Q1452" s="195"/>
    </row>
    <row r="1453" spans="1:17">
      <c r="A1453" s="180">
        <f>'רשימת מכשור 2015'!A1452</f>
        <v>0</v>
      </c>
      <c r="B1453" s="180">
        <f>'רשימת מכשור 2015'!B1452</f>
        <v>0</v>
      </c>
      <c r="C1453" s="180">
        <f>'רשימת מכשור 2015'!C1452</f>
        <v>0</v>
      </c>
      <c r="D1453" s="233">
        <f>'רשימת מכשור 2015'!D1452</f>
        <v>0</v>
      </c>
      <c r="E1453" s="180">
        <f>'רשימת מכשור 2015'!E1452</f>
        <v>0</v>
      </c>
      <c r="F1453" s="180">
        <f>'רשימת מכשור 2015'!F1452</f>
        <v>0</v>
      </c>
      <c r="G1453" s="195"/>
      <c r="H1453" s="195"/>
      <c r="I1453" s="196"/>
      <c r="J1453" s="195"/>
      <c r="K1453" s="195"/>
      <c r="L1453" s="195"/>
      <c r="M1453" s="195"/>
      <c r="N1453" s="197"/>
      <c r="O1453" s="195"/>
      <c r="P1453" s="195"/>
      <c r="Q1453" s="195"/>
    </row>
    <row r="1454" spans="1:17">
      <c r="A1454" s="180">
        <f>'רשימת מכשור 2015'!A1453</f>
        <v>0</v>
      </c>
      <c r="B1454" s="180">
        <f>'רשימת מכשור 2015'!B1453</f>
        <v>0</v>
      </c>
      <c r="C1454" s="180">
        <f>'רשימת מכשור 2015'!C1453</f>
        <v>0</v>
      </c>
      <c r="D1454" s="233">
        <f>'רשימת מכשור 2015'!D1453</f>
        <v>0</v>
      </c>
      <c r="E1454" s="180">
        <f>'רשימת מכשור 2015'!E1453</f>
        <v>0</v>
      </c>
      <c r="F1454" s="180">
        <f>'רשימת מכשור 2015'!F1453</f>
        <v>0</v>
      </c>
      <c r="G1454" s="195"/>
      <c r="H1454" s="195"/>
      <c r="I1454" s="196"/>
      <c r="J1454" s="195"/>
      <c r="K1454" s="195"/>
      <c r="L1454" s="195"/>
      <c r="M1454" s="195"/>
      <c r="N1454" s="197"/>
      <c r="O1454" s="195"/>
      <c r="P1454" s="195"/>
      <c r="Q1454" s="195"/>
    </row>
    <row r="1455" spans="1:17">
      <c r="A1455" s="180">
        <f>'רשימת מכשור 2015'!A1454</f>
        <v>0</v>
      </c>
      <c r="B1455" s="180">
        <f>'רשימת מכשור 2015'!B1454</f>
        <v>0</v>
      </c>
      <c r="C1455" s="180">
        <f>'רשימת מכשור 2015'!C1454</f>
        <v>0</v>
      </c>
      <c r="D1455" s="233">
        <f>'רשימת מכשור 2015'!D1454</f>
        <v>0</v>
      </c>
      <c r="E1455" s="180">
        <f>'רשימת מכשור 2015'!E1454</f>
        <v>0</v>
      </c>
      <c r="F1455" s="180">
        <f>'רשימת מכשור 2015'!F1454</f>
        <v>0</v>
      </c>
      <c r="G1455" s="195"/>
      <c r="H1455" s="195"/>
      <c r="I1455" s="196"/>
      <c r="J1455" s="195"/>
      <c r="K1455" s="195"/>
      <c r="L1455" s="195"/>
      <c r="M1455" s="195"/>
      <c r="N1455" s="197"/>
      <c r="O1455" s="195"/>
      <c r="P1455" s="195"/>
      <c r="Q1455" s="195"/>
    </row>
    <row r="1456" spans="1:17">
      <c r="A1456" s="180">
        <f>'רשימת מכשור 2015'!A1455</f>
        <v>0</v>
      </c>
      <c r="B1456" s="180">
        <f>'רשימת מכשור 2015'!B1455</f>
        <v>0</v>
      </c>
      <c r="C1456" s="180">
        <f>'רשימת מכשור 2015'!C1455</f>
        <v>0</v>
      </c>
      <c r="D1456" s="233">
        <f>'רשימת מכשור 2015'!D1455</f>
        <v>0</v>
      </c>
      <c r="E1456" s="180">
        <f>'רשימת מכשור 2015'!E1455</f>
        <v>0</v>
      </c>
      <c r="F1456" s="180">
        <f>'רשימת מכשור 2015'!F1455</f>
        <v>0</v>
      </c>
      <c r="G1456" s="195"/>
      <c r="H1456" s="195"/>
      <c r="I1456" s="196"/>
      <c r="J1456" s="195"/>
      <c r="K1456" s="195"/>
      <c r="L1456" s="195"/>
      <c r="M1456" s="195"/>
      <c r="N1456" s="197"/>
      <c r="O1456" s="195"/>
      <c r="P1456" s="195"/>
      <c r="Q1456" s="195"/>
    </row>
    <row r="1457" spans="1:17">
      <c r="A1457" s="180">
        <f>'רשימת מכשור 2015'!A1456</f>
        <v>0</v>
      </c>
      <c r="B1457" s="180">
        <f>'רשימת מכשור 2015'!B1456</f>
        <v>0</v>
      </c>
      <c r="C1457" s="180">
        <f>'רשימת מכשור 2015'!C1456</f>
        <v>0</v>
      </c>
      <c r="D1457" s="233">
        <f>'רשימת מכשור 2015'!D1456</f>
        <v>0</v>
      </c>
      <c r="E1457" s="180">
        <f>'רשימת מכשור 2015'!E1456</f>
        <v>0</v>
      </c>
      <c r="F1457" s="180">
        <f>'רשימת מכשור 2015'!F1456</f>
        <v>0</v>
      </c>
      <c r="G1457" s="195"/>
      <c r="H1457" s="195"/>
      <c r="I1457" s="196"/>
      <c r="J1457" s="195"/>
      <c r="K1457" s="195"/>
      <c r="L1457" s="195"/>
      <c r="M1457" s="195"/>
      <c r="N1457" s="197"/>
      <c r="O1457" s="195"/>
      <c r="P1457" s="195"/>
      <c r="Q1457" s="195"/>
    </row>
    <row r="1458" spans="1:17">
      <c r="A1458" s="180">
        <f>'רשימת מכשור 2015'!A1457</f>
        <v>0</v>
      </c>
      <c r="B1458" s="180">
        <f>'רשימת מכשור 2015'!B1457</f>
        <v>0</v>
      </c>
      <c r="C1458" s="180">
        <f>'רשימת מכשור 2015'!C1457</f>
        <v>0</v>
      </c>
      <c r="D1458" s="233">
        <f>'רשימת מכשור 2015'!D1457</f>
        <v>0</v>
      </c>
      <c r="E1458" s="180">
        <f>'רשימת מכשור 2015'!E1457</f>
        <v>0</v>
      </c>
      <c r="F1458" s="180">
        <f>'רשימת מכשור 2015'!F1457</f>
        <v>0</v>
      </c>
      <c r="G1458" s="195"/>
      <c r="H1458" s="195"/>
      <c r="I1458" s="196"/>
      <c r="J1458" s="195"/>
      <c r="K1458" s="195"/>
      <c r="L1458" s="195"/>
      <c r="M1458" s="195"/>
      <c r="N1458" s="197"/>
      <c r="O1458" s="195"/>
      <c r="P1458" s="195"/>
      <c r="Q1458" s="195"/>
    </row>
    <row r="1459" spans="1:17">
      <c r="A1459" s="180">
        <f>'רשימת מכשור 2015'!A1458</f>
        <v>0</v>
      </c>
      <c r="B1459" s="180">
        <f>'רשימת מכשור 2015'!B1458</f>
        <v>0</v>
      </c>
      <c r="C1459" s="180">
        <f>'רשימת מכשור 2015'!C1458</f>
        <v>0</v>
      </c>
      <c r="D1459" s="233">
        <f>'רשימת מכשור 2015'!D1458</f>
        <v>0</v>
      </c>
      <c r="E1459" s="180">
        <f>'רשימת מכשור 2015'!E1458</f>
        <v>0</v>
      </c>
      <c r="F1459" s="180">
        <f>'רשימת מכשור 2015'!F1458</f>
        <v>0</v>
      </c>
      <c r="G1459" s="195"/>
      <c r="H1459" s="195"/>
      <c r="I1459" s="196"/>
      <c r="J1459" s="195"/>
      <c r="K1459" s="195"/>
      <c r="L1459" s="195"/>
      <c r="M1459" s="195"/>
      <c r="N1459" s="197"/>
      <c r="O1459" s="195"/>
      <c r="P1459" s="195"/>
      <c r="Q1459" s="195"/>
    </row>
    <row r="1460" spans="1:17">
      <c r="A1460" s="180">
        <f>'רשימת מכשור 2015'!A1459</f>
        <v>0</v>
      </c>
      <c r="B1460" s="180">
        <f>'רשימת מכשור 2015'!B1459</f>
        <v>0</v>
      </c>
      <c r="C1460" s="180">
        <f>'רשימת מכשור 2015'!C1459</f>
        <v>0</v>
      </c>
      <c r="D1460" s="233">
        <f>'רשימת מכשור 2015'!D1459</f>
        <v>0</v>
      </c>
      <c r="E1460" s="180">
        <f>'רשימת מכשור 2015'!E1459</f>
        <v>0</v>
      </c>
      <c r="F1460" s="180">
        <f>'רשימת מכשור 2015'!F1459</f>
        <v>0</v>
      </c>
      <c r="G1460" s="195"/>
      <c r="H1460" s="195"/>
      <c r="I1460" s="196"/>
      <c r="J1460" s="195"/>
      <c r="K1460" s="195"/>
      <c r="L1460" s="195"/>
      <c r="M1460" s="195"/>
      <c r="N1460" s="197"/>
      <c r="O1460" s="195"/>
      <c r="P1460" s="195"/>
      <c r="Q1460" s="195"/>
    </row>
    <row r="1461" spans="1:17">
      <c r="A1461" s="180">
        <f>'רשימת מכשור 2015'!A1460</f>
        <v>0</v>
      </c>
      <c r="B1461" s="180">
        <f>'רשימת מכשור 2015'!B1460</f>
        <v>0</v>
      </c>
      <c r="C1461" s="180">
        <f>'רשימת מכשור 2015'!C1460</f>
        <v>0</v>
      </c>
      <c r="D1461" s="233">
        <f>'רשימת מכשור 2015'!D1460</f>
        <v>0</v>
      </c>
      <c r="E1461" s="180">
        <f>'רשימת מכשור 2015'!E1460</f>
        <v>0</v>
      </c>
      <c r="F1461" s="180">
        <f>'רשימת מכשור 2015'!F1460</f>
        <v>0</v>
      </c>
      <c r="G1461" s="195"/>
      <c r="H1461" s="195"/>
      <c r="I1461" s="196"/>
      <c r="J1461" s="195"/>
      <c r="K1461" s="195"/>
      <c r="L1461" s="195"/>
      <c r="M1461" s="195"/>
      <c r="N1461" s="197"/>
      <c r="O1461" s="195"/>
      <c r="P1461" s="195"/>
      <c r="Q1461" s="195"/>
    </row>
    <row r="1462" spans="1:17">
      <c r="A1462" s="180">
        <f>'רשימת מכשור 2015'!A1461</f>
        <v>0</v>
      </c>
      <c r="B1462" s="180">
        <f>'רשימת מכשור 2015'!B1461</f>
        <v>0</v>
      </c>
      <c r="C1462" s="180">
        <f>'רשימת מכשור 2015'!C1461</f>
        <v>0</v>
      </c>
      <c r="D1462" s="233">
        <f>'רשימת מכשור 2015'!D1461</f>
        <v>0</v>
      </c>
      <c r="E1462" s="180">
        <f>'רשימת מכשור 2015'!E1461</f>
        <v>0</v>
      </c>
      <c r="F1462" s="180">
        <f>'רשימת מכשור 2015'!F1461</f>
        <v>0</v>
      </c>
      <c r="G1462" s="195"/>
      <c r="H1462" s="195"/>
      <c r="I1462" s="196"/>
      <c r="J1462" s="195"/>
      <c r="K1462" s="195"/>
      <c r="L1462" s="195"/>
      <c r="M1462" s="195"/>
      <c r="N1462" s="197"/>
      <c r="O1462" s="195"/>
      <c r="P1462" s="195"/>
      <c r="Q1462" s="195"/>
    </row>
    <row r="1463" spans="1:17">
      <c r="A1463" s="180">
        <f>'רשימת מכשור 2015'!A1462</f>
        <v>0</v>
      </c>
      <c r="B1463" s="180">
        <f>'רשימת מכשור 2015'!B1462</f>
        <v>0</v>
      </c>
      <c r="C1463" s="180">
        <f>'רשימת מכשור 2015'!C1462</f>
        <v>0</v>
      </c>
      <c r="D1463" s="233">
        <f>'רשימת מכשור 2015'!D1462</f>
        <v>0</v>
      </c>
      <c r="E1463" s="180">
        <f>'רשימת מכשור 2015'!E1462</f>
        <v>0</v>
      </c>
      <c r="F1463" s="180">
        <f>'רשימת מכשור 2015'!F1462</f>
        <v>0</v>
      </c>
      <c r="G1463" s="195"/>
      <c r="H1463" s="195"/>
      <c r="I1463" s="196"/>
      <c r="J1463" s="195"/>
      <c r="K1463" s="195"/>
      <c r="L1463" s="195"/>
      <c r="M1463" s="195"/>
      <c r="N1463" s="197"/>
      <c r="O1463" s="195"/>
      <c r="P1463" s="195"/>
      <c r="Q1463" s="195"/>
    </row>
    <row r="1464" spans="1:17">
      <c r="A1464" s="180">
        <f>'רשימת מכשור 2015'!A1463</f>
        <v>0</v>
      </c>
      <c r="B1464" s="180">
        <f>'רשימת מכשור 2015'!B1463</f>
        <v>0</v>
      </c>
      <c r="C1464" s="180">
        <f>'רשימת מכשור 2015'!C1463</f>
        <v>0</v>
      </c>
      <c r="D1464" s="233">
        <f>'רשימת מכשור 2015'!D1463</f>
        <v>0</v>
      </c>
      <c r="E1464" s="180">
        <f>'רשימת מכשור 2015'!E1463</f>
        <v>0</v>
      </c>
      <c r="F1464" s="180">
        <f>'רשימת מכשור 2015'!F1463</f>
        <v>0</v>
      </c>
      <c r="G1464" s="195"/>
      <c r="H1464" s="195"/>
      <c r="I1464" s="196"/>
      <c r="J1464" s="195"/>
      <c r="K1464" s="195"/>
      <c r="L1464" s="195"/>
      <c r="M1464" s="195"/>
      <c r="N1464" s="197"/>
      <c r="O1464" s="195"/>
      <c r="P1464" s="195"/>
      <c r="Q1464" s="195"/>
    </row>
    <row r="1465" spans="1:17">
      <c r="A1465" s="180">
        <f>'רשימת מכשור 2015'!A1464</f>
        <v>0</v>
      </c>
      <c r="B1465" s="180">
        <f>'רשימת מכשור 2015'!B1464</f>
        <v>0</v>
      </c>
      <c r="C1465" s="180">
        <f>'רשימת מכשור 2015'!C1464</f>
        <v>0</v>
      </c>
      <c r="D1465" s="233">
        <f>'רשימת מכשור 2015'!D1464</f>
        <v>0</v>
      </c>
      <c r="E1465" s="180">
        <f>'רשימת מכשור 2015'!E1464</f>
        <v>0</v>
      </c>
      <c r="F1465" s="180">
        <f>'רשימת מכשור 2015'!F1464</f>
        <v>0</v>
      </c>
      <c r="G1465" s="195"/>
      <c r="H1465" s="195"/>
      <c r="I1465" s="196"/>
      <c r="J1465" s="195"/>
      <c r="K1465" s="195"/>
      <c r="L1465" s="195"/>
      <c r="M1465" s="195"/>
      <c r="N1465" s="197"/>
      <c r="O1465" s="195"/>
      <c r="P1465" s="195"/>
      <c r="Q1465" s="195"/>
    </row>
    <row r="1466" spans="1:17">
      <c r="A1466" s="180">
        <f>'רשימת מכשור 2015'!A1465</f>
        <v>0</v>
      </c>
      <c r="B1466" s="180">
        <f>'רשימת מכשור 2015'!B1465</f>
        <v>0</v>
      </c>
      <c r="C1466" s="180">
        <f>'רשימת מכשור 2015'!C1465</f>
        <v>0</v>
      </c>
      <c r="D1466" s="233">
        <f>'רשימת מכשור 2015'!D1465</f>
        <v>0</v>
      </c>
      <c r="E1466" s="180">
        <f>'רשימת מכשור 2015'!E1465</f>
        <v>0</v>
      </c>
      <c r="F1466" s="180">
        <f>'רשימת מכשור 2015'!F1465</f>
        <v>0</v>
      </c>
      <c r="G1466" s="195"/>
      <c r="H1466" s="195"/>
      <c r="I1466" s="196"/>
      <c r="J1466" s="195"/>
      <c r="K1466" s="195"/>
      <c r="L1466" s="195"/>
      <c r="M1466" s="195"/>
      <c r="N1466" s="197"/>
      <c r="O1466" s="195"/>
      <c r="P1466" s="195"/>
      <c r="Q1466" s="195"/>
    </row>
    <row r="1467" spans="1:17">
      <c r="A1467" s="180">
        <f>'רשימת מכשור 2015'!A1466</f>
        <v>0</v>
      </c>
      <c r="B1467" s="180">
        <f>'רשימת מכשור 2015'!B1466</f>
        <v>0</v>
      </c>
      <c r="C1467" s="180">
        <f>'רשימת מכשור 2015'!C1466</f>
        <v>0</v>
      </c>
      <c r="D1467" s="233">
        <f>'רשימת מכשור 2015'!D1466</f>
        <v>0</v>
      </c>
      <c r="E1467" s="180">
        <f>'רשימת מכשור 2015'!E1466</f>
        <v>0</v>
      </c>
      <c r="F1467" s="180">
        <f>'רשימת מכשור 2015'!F1466</f>
        <v>0</v>
      </c>
      <c r="G1467" s="195"/>
      <c r="H1467" s="195"/>
      <c r="I1467" s="196"/>
      <c r="J1467" s="195"/>
      <c r="K1467" s="195"/>
      <c r="L1467" s="195"/>
      <c r="M1467" s="195"/>
      <c r="N1467" s="197"/>
      <c r="O1467" s="195"/>
      <c r="P1467" s="195"/>
      <c r="Q1467" s="195"/>
    </row>
    <row r="1468" spans="1:17">
      <c r="A1468" s="180">
        <f>'רשימת מכשור 2015'!A1467</f>
        <v>0</v>
      </c>
      <c r="B1468" s="180">
        <f>'רשימת מכשור 2015'!B1467</f>
        <v>0</v>
      </c>
      <c r="C1468" s="180">
        <f>'רשימת מכשור 2015'!C1467</f>
        <v>0</v>
      </c>
      <c r="D1468" s="233">
        <f>'רשימת מכשור 2015'!D1467</f>
        <v>0</v>
      </c>
      <c r="E1468" s="180">
        <f>'רשימת מכשור 2015'!E1467</f>
        <v>0</v>
      </c>
      <c r="F1468" s="180">
        <f>'רשימת מכשור 2015'!F1467</f>
        <v>0</v>
      </c>
      <c r="G1468" s="195"/>
      <c r="H1468" s="195"/>
      <c r="I1468" s="196"/>
      <c r="J1468" s="195"/>
      <c r="K1468" s="195"/>
      <c r="L1468" s="195"/>
      <c r="M1468" s="195"/>
      <c r="N1468" s="197"/>
      <c r="O1468" s="195"/>
      <c r="P1468" s="195"/>
      <c r="Q1468" s="195"/>
    </row>
    <row r="1469" spans="1:17">
      <c r="A1469" s="180">
        <f>'רשימת מכשור 2015'!A1468</f>
        <v>0</v>
      </c>
      <c r="B1469" s="180">
        <f>'רשימת מכשור 2015'!B1468</f>
        <v>0</v>
      </c>
      <c r="C1469" s="180">
        <f>'רשימת מכשור 2015'!C1468</f>
        <v>0</v>
      </c>
      <c r="D1469" s="233">
        <f>'רשימת מכשור 2015'!D1468</f>
        <v>0</v>
      </c>
      <c r="E1469" s="180">
        <f>'רשימת מכשור 2015'!E1468</f>
        <v>0</v>
      </c>
      <c r="F1469" s="180">
        <f>'רשימת מכשור 2015'!F1468</f>
        <v>0</v>
      </c>
      <c r="G1469" s="195"/>
      <c r="H1469" s="195"/>
      <c r="I1469" s="196"/>
      <c r="J1469" s="195"/>
      <c r="K1469" s="195"/>
      <c r="L1469" s="195"/>
      <c r="M1469" s="195"/>
      <c r="N1469" s="197"/>
      <c r="O1469" s="195"/>
      <c r="P1469" s="195"/>
      <c r="Q1469" s="195"/>
    </row>
    <row r="1470" spans="1:17">
      <c r="A1470" s="180">
        <f>'רשימת מכשור 2015'!A1469</f>
        <v>0</v>
      </c>
      <c r="B1470" s="180">
        <f>'רשימת מכשור 2015'!B1469</f>
        <v>0</v>
      </c>
      <c r="C1470" s="180">
        <f>'רשימת מכשור 2015'!C1469</f>
        <v>0</v>
      </c>
      <c r="D1470" s="233">
        <f>'רשימת מכשור 2015'!D1469</f>
        <v>0</v>
      </c>
      <c r="E1470" s="180">
        <f>'רשימת מכשור 2015'!E1469</f>
        <v>0</v>
      </c>
      <c r="F1470" s="180">
        <f>'רשימת מכשור 2015'!F1469</f>
        <v>0</v>
      </c>
      <c r="G1470" s="195"/>
      <c r="H1470" s="195"/>
      <c r="I1470" s="196"/>
      <c r="J1470" s="195"/>
      <c r="K1470" s="195"/>
      <c r="L1470" s="195"/>
      <c r="M1470" s="195"/>
      <c r="N1470" s="197"/>
      <c r="O1470" s="195"/>
      <c r="P1470" s="195"/>
      <c r="Q1470" s="195"/>
    </row>
    <row r="1471" spans="1:17">
      <c r="A1471" s="180">
        <f>'רשימת מכשור 2015'!A1470</f>
        <v>0</v>
      </c>
      <c r="B1471" s="180">
        <f>'רשימת מכשור 2015'!B1470</f>
        <v>0</v>
      </c>
      <c r="C1471" s="180">
        <f>'רשימת מכשור 2015'!C1470</f>
        <v>0</v>
      </c>
      <c r="D1471" s="233">
        <f>'רשימת מכשור 2015'!D1470</f>
        <v>0</v>
      </c>
      <c r="E1471" s="180">
        <f>'רשימת מכשור 2015'!E1470</f>
        <v>0</v>
      </c>
      <c r="F1471" s="180">
        <f>'רשימת מכשור 2015'!F1470</f>
        <v>0</v>
      </c>
      <c r="G1471" s="195"/>
      <c r="H1471" s="195"/>
      <c r="I1471" s="196"/>
      <c r="J1471" s="195"/>
      <c r="K1471" s="195"/>
      <c r="L1471" s="195"/>
      <c r="M1471" s="195"/>
      <c r="N1471" s="197"/>
      <c r="O1471" s="195"/>
      <c r="P1471" s="195"/>
      <c r="Q1471" s="195"/>
    </row>
    <row r="1472" spans="1:17">
      <c r="A1472" s="180">
        <f>'רשימת מכשור 2015'!A1471</f>
        <v>0</v>
      </c>
      <c r="B1472" s="180">
        <f>'רשימת מכשור 2015'!B1471</f>
        <v>0</v>
      </c>
      <c r="C1472" s="180">
        <f>'רשימת מכשור 2015'!C1471</f>
        <v>0</v>
      </c>
      <c r="D1472" s="233">
        <f>'רשימת מכשור 2015'!D1471</f>
        <v>0</v>
      </c>
      <c r="E1472" s="180">
        <f>'רשימת מכשור 2015'!E1471</f>
        <v>0</v>
      </c>
      <c r="F1472" s="180">
        <f>'רשימת מכשור 2015'!F1471</f>
        <v>0</v>
      </c>
      <c r="G1472" s="195"/>
      <c r="H1472" s="195"/>
      <c r="I1472" s="196"/>
      <c r="J1472" s="195"/>
      <c r="K1472" s="195"/>
      <c r="L1472" s="195"/>
      <c r="M1472" s="195"/>
      <c r="N1472" s="197"/>
      <c r="O1472" s="195"/>
      <c r="P1472" s="195"/>
      <c r="Q1472" s="195"/>
    </row>
    <row r="1473" spans="1:17">
      <c r="A1473" s="180">
        <f>'רשימת מכשור 2015'!A1472</f>
        <v>0</v>
      </c>
      <c r="B1473" s="180">
        <f>'רשימת מכשור 2015'!B1472</f>
        <v>0</v>
      </c>
      <c r="C1473" s="180">
        <f>'רשימת מכשור 2015'!C1472</f>
        <v>0</v>
      </c>
      <c r="D1473" s="233">
        <f>'רשימת מכשור 2015'!D1472</f>
        <v>0</v>
      </c>
      <c r="E1473" s="180">
        <f>'רשימת מכשור 2015'!E1472</f>
        <v>0</v>
      </c>
      <c r="F1473" s="180">
        <f>'רשימת מכשור 2015'!F1472</f>
        <v>0</v>
      </c>
      <c r="G1473" s="195"/>
      <c r="H1473" s="195"/>
      <c r="I1473" s="196"/>
      <c r="J1473" s="195"/>
      <c r="K1473" s="195"/>
      <c r="L1473" s="195"/>
      <c r="M1473" s="195"/>
      <c r="N1473" s="197"/>
      <c r="O1473" s="195"/>
      <c r="P1473" s="195"/>
      <c r="Q1473" s="195"/>
    </row>
    <row r="1474" spans="1:17">
      <c r="A1474" s="180">
        <f>'רשימת מכשור 2015'!A1473</f>
        <v>0</v>
      </c>
      <c r="B1474" s="180">
        <f>'רשימת מכשור 2015'!B1473</f>
        <v>0</v>
      </c>
      <c r="C1474" s="180">
        <f>'רשימת מכשור 2015'!C1473</f>
        <v>0</v>
      </c>
      <c r="D1474" s="233">
        <f>'רשימת מכשור 2015'!D1473</f>
        <v>0</v>
      </c>
      <c r="E1474" s="180">
        <f>'רשימת מכשור 2015'!E1473</f>
        <v>0</v>
      </c>
      <c r="F1474" s="180">
        <f>'רשימת מכשור 2015'!F1473</f>
        <v>0</v>
      </c>
      <c r="G1474" s="195"/>
      <c r="H1474" s="195"/>
      <c r="I1474" s="196"/>
      <c r="J1474" s="195"/>
      <c r="K1474" s="195"/>
      <c r="L1474" s="195"/>
      <c r="M1474" s="195"/>
      <c r="N1474" s="197"/>
      <c r="O1474" s="195"/>
      <c r="P1474" s="195"/>
      <c r="Q1474" s="195"/>
    </row>
    <row r="1475" spans="1:17">
      <c r="A1475" s="180">
        <f>'רשימת מכשור 2015'!A1474</f>
        <v>0</v>
      </c>
      <c r="B1475" s="180">
        <f>'רשימת מכשור 2015'!B1474</f>
        <v>0</v>
      </c>
      <c r="C1475" s="180">
        <f>'רשימת מכשור 2015'!C1474</f>
        <v>0</v>
      </c>
      <c r="D1475" s="233">
        <f>'רשימת מכשור 2015'!D1474</f>
        <v>0</v>
      </c>
      <c r="E1475" s="180">
        <f>'רשימת מכשור 2015'!E1474</f>
        <v>0</v>
      </c>
      <c r="F1475" s="180">
        <f>'רשימת מכשור 2015'!F1474</f>
        <v>0</v>
      </c>
      <c r="G1475" s="195"/>
      <c r="H1475" s="195"/>
      <c r="I1475" s="196"/>
      <c r="J1475" s="195"/>
      <c r="K1475" s="195"/>
      <c r="L1475" s="195"/>
      <c r="M1475" s="195"/>
      <c r="N1475" s="197"/>
      <c r="O1475" s="195"/>
      <c r="P1475" s="195"/>
      <c r="Q1475" s="195"/>
    </row>
    <row r="1476" spans="1:17">
      <c r="A1476" s="180">
        <f>'רשימת מכשור 2015'!A1475</f>
        <v>0</v>
      </c>
      <c r="B1476" s="180">
        <f>'רשימת מכשור 2015'!B1475</f>
        <v>0</v>
      </c>
      <c r="C1476" s="180">
        <f>'רשימת מכשור 2015'!C1475</f>
        <v>0</v>
      </c>
      <c r="D1476" s="233">
        <f>'רשימת מכשור 2015'!D1475</f>
        <v>0</v>
      </c>
      <c r="E1476" s="180">
        <f>'רשימת מכשור 2015'!E1475</f>
        <v>0</v>
      </c>
      <c r="F1476" s="180">
        <f>'רשימת מכשור 2015'!F1475</f>
        <v>0</v>
      </c>
      <c r="G1476" s="195"/>
      <c r="H1476" s="195"/>
      <c r="I1476" s="196"/>
      <c r="J1476" s="195"/>
      <c r="K1476" s="195"/>
      <c r="L1476" s="195"/>
      <c r="M1476" s="195"/>
      <c r="N1476" s="197"/>
      <c r="O1476" s="195"/>
      <c r="P1476" s="195"/>
      <c r="Q1476" s="195"/>
    </row>
    <row r="1477" spans="1:17">
      <c r="A1477" s="180">
        <f>'רשימת מכשור 2015'!A1476</f>
        <v>0</v>
      </c>
      <c r="B1477" s="180">
        <f>'רשימת מכשור 2015'!B1476</f>
        <v>0</v>
      </c>
      <c r="C1477" s="180">
        <f>'רשימת מכשור 2015'!C1476</f>
        <v>0</v>
      </c>
      <c r="D1477" s="233">
        <f>'רשימת מכשור 2015'!D1476</f>
        <v>0</v>
      </c>
      <c r="E1477" s="180">
        <f>'רשימת מכשור 2015'!E1476</f>
        <v>0</v>
      </c>
      <c r="F1477" s="180">
        <f>'רשימת מכשור 2015'!F1476</f>
        <v>0</v>
      </c>
      <c r="G1477" s="195"/>
      <c r="H1477" s="195"/>
      <c r="I1477" s="196"/>
      <c r="J1477" s="195"/>
      <c r="K1477" s="195"/>
      <c r="L1477" s="195"/>
      <c r="M1477" s="195"/>
      <c r="N1477" s="197"/>
      <c r="O1477" s="195"/>
      <c r="P1477" s="195"/>
      <c r="Q1477" s="195"/>
    </row>
    <row r="1478" spans="1:17">
      <c r="A1478" s="180">
        <f>'רשימת מכשור 2015'!A1477</f>
        <v>0</v>
      </c>
      <c r="B1478" s="180">
        <f>'רשימת מכשור 2015'!B1477</f>
        <v>0</v>
      </c>
      <c r="C1478" s="180">
        <f>'רשימת מכשור 2015'!C1477</f>
        <v>0</v>
      </c>
      <c r="D1478" s="233">
        <f>'רשימת מכשור 2015'!D1477</f>
        <v>0</v>
      </c>
      <c r="E1478" s="180">
        <f>'רשימת מכשור 2015'!E1477</f>
        <v>0</v>
      </c>
      <c r="F1478" s="180">
        <f>'רשימת מכשור 2015'!F1477</f>
        <v>0</v>
      </c>
      <c r="G1478" s="195"/>
      <c r="H1478" s="195"/>
      <c r="I1478" s="196"/>
      <c r="J1478" s="195"/>
      <c r="K1478" s="195"/>
      <c r="L1478" s="195"/>
      <c r="M1478" s="195"/>
      <c r="N1478" s="197"/>
      <c r="O1478" s="195"/>
      <c r="P1478" s="195"/>
      <c r="Q1478" s="195"/>
    </row>
    <row r="1479" spans="1:17">
      <c r="A1479" s="180">
        <f>'רשימת מכשור 2015'!A1478</f>
        <v>0</v>
      </c>
      <c r="B1479" s="180">
        <f>'רשימת מכשור 2015'!B1478</f>
        <v>0</v>
      </c>
      <c r="C1479" s="180">
        <f>'רשימת מכשור 2015'!C1478</f>
        <v>0</v>
      </c>
      <c r="D1479" s="233">
        <f>'רשימת מכשור 2015'!D1478</f>
        <v>0</v>
      </c>
      <c r="E1479" s="180">
        <f>'רשימת מכשור 2015'!E1478</f>
        <v>0</v>
      </c>
      <c r="F1479" s="180">
        <f>'רשימת מכשור 2015'!F1478</f>
        <v>0</v>
      </c>
      <c r="G1479" s="195"/>
      <c r="H1479" s="195"/>
      <c r="I1479" s="196"/>
      <c r="J1479" s="195"/>
      <c r="K1479" s="195"/>
      <c r="L1479" s="195"/>
      <c r="M1479" s="195"/>
      <c r="N1479" s="197"/>
      <c r="O1479" s="195"/>
      <c r="P1479" s="195"/>
      <c r="Q1479" s="195"/>
    </row>
    <row r="1480" spans="1:17">
      <c r="A1480" s="180">
        <f>'רשימת מכשור 2015'!A1479</f>
        <v>0</v>
      </c>
      <c r="B1480" s="180">
        <f>'רשימת מכשור 2015'!B1479</f>
        <v>0</v>
      </c>
      <c r="C1480" s="180">
        <f>'רשימת מכשור 2015'!C1479</f>
        <v>0</v>
      </c>
      <c r="D1480" s="233">
        <f>'רשימת מכשור 2015'!D1479</f>
        <v>0</v>
      </c>
      <c r="E1480" s="180">
        <f>'רשימת מכשור 2015'!E1479</f>
        <v>0</v>
      </c>
      <c r="F1480" s="180">
        <f>'רשימת מכשור 2015'!F1479</f>
        <v>0</v>
      </c>
      <c r="G1480" s="195"/>
      <c r="H1480" s="195"/>
      <c r="I1480" s="196"/>
      <c r="J1480" s="195"/>
      <c r="K1480" s="195"/>
      <c r="L1480" s="195"/>
      <c r="M1480" s="195"/>
      <c r="N1480" s="197"/>
      <c r="O1480" s="195"/>
      <c r="P1480" s="195"/>
      <c r="Q1480" s="195"/>
    </row>
    <row r="1481" spans="1:17">
      <c r="A1481" s="180">
        <f>'רשימת מכשור 2015'!A1480</f>
        <v>0</v>
      </c>
      <c r="B1481" s="180">
        <f>'רשימת מכשור 2015'!B1480</f>
        <v>0</v>
      </c>
      <c r="C1481" s="180">
        <f>'רשימת מכשור 2015'!C1480</f>
        <v>0</v>
      </c>
      <c r="D1481" s="233">
        <f>'רשימת מכשור 2015'!D1480</f>
        <v>0</v>
      </c>
      <c r="E1481" s="180">
        <f>'רשימת מכשור 2015'!E1480</f>
        <v>0</v>
      </c>
      <c r="F1481" s="180">
        <f>'רשימת מכשור 2015'!F1480</f>
        <v>0</v>
      </c>
      <c r="G1481" s="195"/>
      <c r="H1481" s="195"/>
      <c r="I1481" s="196"/>
      <c r="J1481" s="195"/>
      <c r="K1481" s="195"/>
      <c r="L1481" s="195"/>
      <c r="M1481" s="195"/>
      <c r="N1481" s="197"/>
      <c r="O1481" s="195"/>
      <c r="P1481" s="195"/>
      <c r="Q1481" s="195"/>
    </row>
    <row r="1482" spans="1:17">
      <c r="A1482" s="180">
        <f>'רשימת מכשור 2015'!A1481</f>
        <v>0</v>
      </c>
      <c r="B1482" s="180">
        <f>'רשימת מכשור 2015'!B1481</f>
        <v>0</v>
      </c>
      <c r="C1482" s="180">
        <f>'רשימת מכשור 2015'!C1481</f>
        <v>0</v>
      </c>
      <c r="D1482" s="233">
        <f>'רשימת מכשור 2015'!D1481</f>
        <v>0</v>
      </c>
      <c r="E1482" s="180">
        <f>'רשימת מכשור 2015'!E1481</f>
        <v>0</v>
      </c>
      <c r="F1482" s="180">
        <f>'רשימת מכשור 2015'!F1481</f>
        <v>0</v>
      </c>
      <c r="G1482" s="195"/>
      <c r="H1482" s="195"/>
      <c r="I1482" s="196"/>
      <c r="J1482" s="195"/>
      <c r="K1482" s="195"/>
      <c r="L1482" s="195"/>
      <c r="M1482" s="195"/>
      <c r="N1482" s="197"/>
      <c r="O1482" s="195"/>
      <c r="P1482" s="195"/>
      <c r="Q1482" s="195"/>
    </row>
    <row r="1483" spans="1:17">
      <c r="A1483" s="180">
        <f>'רשימת מכשור 2015'!A1482</f>
        <v>0</v>
      </c>
      <c r="B1483" s="180">
        <f>'רשימת מכשור 2015'!B1482</f>
        <v>0</v>
      </c>
      <c r="C1483" s="180">
        <f>'רשימת מכשור 2015'!C1482</f>
        <v>0</v>
      </c>
      <c r="D1483" s="233">
        <f>'רשימת מכשור 2015'!D1482</f>
        <v>0</v>
      </c>
      <c r="E1483" s="180">
        <f>'רשימת מכשור 2015'!E1482</f>
        <v>0</v>
      </c>
      <c r="F1483" s="180">
        <f>'רשימת מכשור 2015'!F1482</f>
        <v>0</v>
      </c>
      <c r="G1483" s="195"/>
      <c r="H1483" s="195"/>
      <c r="I1483" s="196"/>
      <c r="J1483" s="195"/>
      <c r="K1483" s="195"/>
      <c r="L1483" s="195"/>
      <c r="M1483" s="195"/>
      <c r="N1483" s="197"/>
      <c r="O1483" s="195"/>
      <c r="P1483" s="195"/>
      <c r="Q1483" s="195"/>
    </row>
    <row r="1484" spans="1:17">
      <c r="A1484" s="180">
        <f>'רשימת מכשור 2015'!A1483</f>
        <v>0</v>
      </c>
      <c r="B1484" s="180">
        <f>'רשימת מכשור 2015'!B1483</f>
        <v>0</v>
      </c>
      <c r="C1484" s="180">
        <f>'רשימת מכשור 2015'!C1483</f>
        <v>0</v>
      </c>
      <c r="D1484" s="233">
        <f>'רשימת מכשור 2015'!D1483</f>
        <v>0</v>
      </c>
      <c r="E1484" s="180">
        <f>'רשימת מכשור 2015'!E1483</f>
        <v>0</v>
      </c>
      <c r="F1484" s="180">
        <f>'רשימת מכשור 2015'!F1483</f>
        <v>0</v>
      </c>
      <c r="G1484" s="195"/>
      <c r="H1484" s="195"/>
      <c r="I1484" s="196"/>
      <c r="J1484" s="195"/>
      <c r="K1484" s="195"/>
      <c r="L1484" s="195"/>
      <c r="M1484" s="195"/>
      <c r="N1484" s="197"/>
      <c r="O1484" s="195"/>
      <c r="P1484" s="195"/>
      <c r="Q1484" s="195"/>
    </row>
    <row r="1485" spans="1:17">
      <c r="A1485" s="180">
        <f>'רשימת מכשור 2015'!A1484</f>
        <v>0</v>
      </c>
      <c r="B1485" s="180">
        <f>'רשימת מכשור 2015'!B1484</f>
        <v>0</v>
      </c>
      <c r="C1485" s="180">
        <f>'רשימת מכשור 2015'!C1484</f>
        <v>0</v>
      </c>
      <c r="D1485" s="233">
        <f>'רשימת מכשור 2015'!D1484</f>
        <v>0</v>
      </c>
      <c r="E1485" s="180">
        <f>'רשימת מכשור 2015'!E1484</f>
        <v>0</v>
      </c>
      <c r="F1485" s="180">
        <f>'רשימת מכשור 2015'!F1484</f>
        <v>0</v>
      </c>
      <c r="G1485" s="195"/>
      <c r="H1485" s="195"/>
      <c r="I1485" s="196"/>
      <c r="J1485" s="195"/>
      <c r="K1485" s="195"/>
      <c r="L1485" s="195"/>
      <c r="M1485" s="195"/>
      <c r="N1485" s="197"/>
      <c r="O1485" s="195"/>
      <c r="P1485" s="195"/>
      <c r="Q1485" s="195"/>
    </row>
    <row r="1486" spans="1:17">
      <c r="A1486" s="180">
        <f>'רשימת מכשור 2015'!A1485</f>
        <v>0</v>
      </c>
      <c r="B1486" s="180">
        <f>'רשימת מכשור 2015'!B1485</f>
        <v>0</v>
      </c>
      <c r="C1486" s="180">
        <f>'רשימת מכשור 2015'!C1485</f>
        <v>0</v>
      </c>
      <c r="D1486" s="233">
        <f>'רשימת מכשור 2015'!D1485</f>
        <v>0</v>
      </c>
      <c r="E1486" s="180">
        <f>'רשימת מכשור 2015'!E1485</f>
        <v>0</v>
      </c>
      <c r="F1486" s="180">
        <f>'רשימת מכשור 2015'!F1485</f>
        <v>0</v>
      </c>
      <c r="G1486" s="195"/>
      <c r="H1486" s="195"/>
      <c r="I1486" s="196"/>
      <c r="J1486" s="195"/>
      <c r="K1486" s="195"/>
      <c r="L1486" s="195"/>
      <c r="M1486" s="195"/>
      <c r="N1486" s="197"/>
      <c r="O1486" s="195"/>
      <c r="P1486" s="195"/>
      <c r="Q1486" s="195"/>
    </row>
    <row r="1487" spans="1:17">
      <c r="A1487" s="180">
        <f>'רשימת מכשור 2015'!A1486</f>
        <v>0</v>
      </c>
      <c r="B1487" s="180">
        <f>'רשימת מכשור 2015'!B1486</f>
        <v>0</v>
      </c>
      <c r="C1487" s="180">
        <f>'רשימת מכשור 2015'!C1486</f>
        <v>0</v>
      </c>
      <c r="D1487" s="233">
        <f>'רשימת מכשור 2015'!D1486</f>
        <v>0</v>
      </c>
      <c r="E1487" s="180">
        <f>'רשימת מכשור 2015'!E1486</f>
        <v>0</v>
      </c>
      <c r="F1487" s="180">
        <f>'רשימת מכשור 2015'!F1486</f>
        <v>0</v>
      </c>
      <c r="G1487" s="195"/>
      <c r="H1487" s="195"/>
      <c r="I1487" s="196"/>
      <c r="J1487" s="195"/>
      <c r="K1487" s="195"/>
      <c r="L1487" s="195"/>
      <c r="M1487" s="195"/>
      <c r="N1487" s="197"/>
      <c r="O1487" s="195"/>
      <c r="P1487" s="195"/>
      <c r="Q1487" s="195"/>
    </row>
    <row r="1488" spans="1:17">
      <c r="A1488" s="180">
        <f>'רשימת מכשור 2015'!A1487</f>
        <v>0</v>
      </c>
      <c r="B1488" s="180">
        <f>'רשימת מכשור 2015'!B1487</f>
        <v>0</v>
      </c>
      <c r="C1488" s="180">
        <f>'רשימת מכשור 2015'!C1487</f>
        <v>0</v>
      </c>
      <c r="D1488" s="233">
        <f>'רשימת מכשור 2015'!D1487</f>
        <v>0</v>
      </c>
      <c r="E1488" s="180">
        <f>'רשימת מכשור 2015'!E1487</f>
        <v>0</v>
      </c>
      <c r="F1488" s="180">
        <f>'רשימת מכשור 2015'!F1487</f>
        <v>0</v>
      </c>
      <c r="G1488" s="195"/>
      <c r="H1488" s="195"/>
      <c r="I1488" s="196"/>
      <c r="J1488" s="195"/>
      <c r="K1488" s="195"/>
      <c r="L1488" s="195"/>
      <c r="M1488" s="195"/>
      <c r="N1488" s="197"/>
      <c r="O1488" s="195"/>
      <c r="P1488" s="195"/>
      <c r="Q1488" s="195"/>
    </row>
    <row r="1489" spans="1:17">
      <c r="A1489" s="180">
        <f>'רשימת מכשור 2015'!A1488</f>
        <v>0</v>
      </c>
      <c r="B1489" s="180">
        <f>'רשימת מכשור 2015'!B1488</f>
        <v>0</v>
      </c>
      <c r="C1489" s="180">
        <f>'רשימת מכשור 2015'!C1488</f>
        <v>0</v>
      </c>
      <c r="D1489" s="233">
        <f>'רשימת מכשור 2015'!D1488</f>
        <v>0</v>
      </c>
      <c r="E1489" s="180">
        <f>'רשימת מכשור 2015'!E1488</f>
        <v>0</v>
      </c>
      <c r="F1489" s="180">
        <f>'רשימת מכשור 2015'!F1488</f>
        <v>0</v>
      </c>
      <c r="G1489" s="195"/>
      <c r="H1489" s="195"/>
      <c r="I1489" s="196"/>
      <c r="J1489" s="195"/>
      <c r="K1489" s="195"/>
      <c r="L1489" s="195"/>
      <c r="M1489" s="195"/>
      <c r="N1489" s="197"/>
      <c r="O1489" s="195"/>
      <c r="P1489" s="195"/>
      <c r="Q1489" s="195"/>
    </row>
    <row r="1490" spans="1:17">
      <c r="A1490" s="180">
        <f>'רשימת מכשור 2015'!A1489</f>
        <v>0</v>
      </c>
      <c r="B1490" s="180">
        <f>'רשימת מכשור 2015'!B1489</f>
        <v>0</v>
      </c>
      <c r="C1490" s="180">
        <f>'רשימת מכשור 2015'!C1489</f>
        <v>0</v>
      </c>
      <c r="D1490" s="233">
        <f>'רשימת מכשור 2015'!D1489</f>
        <v>0</v>
      </c>
      <c r="E1490" s="180">
        <f>'רשימת מכשור 2015'!E1489</f>
        <v>0</v>
      </c>
      <c r="F1490" s="180">
        <f>'רשימת מכשור 2015'!F1489</f>
        <v>0</v>
      </c>
      <c r="G1490" s="195"/>
      <c r="H1490" s="195"/>
      <c r="I1490" s="196"/>
      <c r="J1490" s="195"/>
      <c r="K1490" s="195"/>
      <c r="L1490" s="195"/>
      <c r="M1490" s="195"/>
      <c r="N1490" s="197"/>
      <c r="O1490" s="195"/>
      <c r="P1490" s="195"/>
      <c r="Q1490" s="195"/>
    </row>
    <row r="1491" spans="1:17">
      <c r="A1491" s="180">
        <f>'רשימת מכשור 2015'!A1490</f>
        <v>0</v>
      </c>
      <c r="B1491" s="180">
        <f>'רשימת מכשור 2015'!B1490</f>
        <v>0</v>
      </c>
      <c r="C1491" s="180">
        <f>'רשימת מכשור 2015'!C1490</f>
        <v>0</v>
      </c>
      <c r="D1491" s="233">
        <f>'רשימת מכשור 2015'!D1490</f>
        <v>0</v>
      </c>
      <c r="E1491" s="180">
        <f>'רשימת מכשור 2015'!E1490</f>
        <v>0</v>
      </c>
      <c r="F1491" s="180">
        <f>'רשימת מכשור 2015'!F1490</f>
        <v>0</v>
      </c>
      <c r="G1491" s="195"/>
      <c r="H1491" s="195"/>
      <c r="I1491" s="196"/>
      <c r="J1491" s="195"/>
      <c r="K1491" s="195"/>
      <c r="L1491" s="195"/>
      <c r="M1491" s="195"/>
      <c r="N1491" s="197"/>
      <c r="O1491" s="195"/>
      <c r="P1491" s="195"/>
      <c r="Q1491" s="195"/>
    </row>
    <row r="1492" spans="1:17">
      <c r="A1492" s="180">
        <f>'רשימת מכשור 2015'!A1491</f>
        <v>0</v>
      </c>
      <c r="B1492" s="180">
        <f>'רשימת מכשור 2015'!B1491</f>
        <v>0</v>
      </c>
      <c r="C1492" s="180">
        <f>'רשימת מכשור 2015'!C1491</f>
        <v>0</v>
      </c>
      <c r="D1492" s="233">
        <f>'רשימת מכשור 2015'!D1491</f>
        <v>0</v>
      </c>
      <c r="E1492" s="180">
        <f>'רשימת מכשור 2015'!E1491</f>
        <v>0</v>
      </c>
      <c r="F1492" s="180">
        <f>'רשימת מכשור 2015'!F1491</f>
        <v>0</v>
      </c>
      <c r="G1492" s="195"/>
      <c r="H1492" s="195"/>
      <c r="I1492" s="196"/>
      <c r="J1492" s="195"/>
      <c r="K1492" s="195"/>
      <c r="L1492" s="195"/>
      <c r="M1492" s="195"/>
      <c r="N1492" s="197"/>
      <c r="O1492" s="195"/>
      <c r="P1492" s="195"/>
      <c r="Q1492" s="195"/>
    </row>
    <row r="1493" spans="1:17">
      <c r="A1493" s="180">
        <f>'רשימת מכשור 2015'!A1492</f>
        <v>0</v>
      </c>
      <c r="B1493" s="180">
        <f>'רשימת מכשור 2015'!B1492</f>
        <v>0</v>
      </c>
      <c r="C1493" s="180">
        <f>'רשימת מכשור 2015'!C1492</f>
        <v>0</v>
      </c>
      <c r="D1493" s="233">
        <f>'רשימת מכשור 2015'!D1492</f>
        <v>0</v>
      </c>
      <c r="E1493" s="180">
        <f>'רשימת מכשור 2015'!E1492</f>
        <v>0</v>
      </c>
      <c r="F1493" s="180">
        <f>'רשימת מכשור 2015'!F1492</f>
        <v>0</v>
      </c>
      <c r="G1493" s="195"/>
      <c r="H1493" s="195"/>
      <c r="I1493" s="196"/>
      <c r="J1493" s="195"/>
      <c r="K1493" s="195"/>
      <c r="L1493" s="195"/>
      <c r="M1493" s="195"/>
      <c r="N1493" s="197"/>
      <c r="O1493" s="195"/>
      <c r="P1493" s="195"/>
      <c r="Q1493" s="195"/>
    </row>
    <row r="1494" spans="1:17">
      <c r="A1494" s="180">
        <f>'רשימת מכשור 2015'!A1493</f>
        <v>0</v>
      </c>
      <c r="B1494" s="180">
        <f>'רשימת מכשור 2015'!B1493</f>
        <v>0</v>
      </c>
      <c r="C1494" s="180">
        <f>'רשימת מכשור 2015'!C1493</f>
        <v>0</v>
      </c>
      <c r="D1494" s="233">
        <f>'רשימת מכשור 2015'!D1493</f>
        <v>0</v>
      </c>
      <c r="E1494" s="180">
        <f>'רשימת מכשור 2015'!E1493</f>
        <v>0</v>
      </c>
      <c r="F1494" s="180">
        <f>'רשימת מכשור 2015'!F1493</f>
        <v>0</v>
      </c>
      <c r="G1494" s="195"/>
      <c r="H1494" s="195"/>
      <c r="I1494" s="196"/>
      <c r="J1494" s="195"/>
      <c r="K1494" s="195"/>
      <c r="L1494" s="195"/>
      <c r="M1494" s="195"/>
      <c r="N1494" s="197"/>
      <c r="O1494" s="195"/>
      <c r="P1494" s="195"/>
      <c r="Q1494" s="195"/>
    </row>
    <row r="1495" spans="1:17">
      <c r="A1495" s="180">
        <f>'רשימת מכשור 2015'!A1494</f>
        <v>0</v>
      </c>
      <c r="B1495" s="180">
        <f>'רשימת מכשור 2015'!B1494</f>
        <v>0</v>
      </c>
      <c r="C1495" s="180">
        <f>'רשימת מכשור 2015'!C1494</f>
        <v>0</v>
      </c>
      <c r="D1495" s="233">
        <f>'רשימת מכשור 2015'!D1494</f>
        <v>0</v>
      </c>
      <c r="E1495" s="180">
        <f>'רשימת מכשור 2015'!E1494</f>
        <v>0</v>
      </c>
      <c r="F1495" s="180">
        <f>'רשימת מכשור 2015'!F1494</f>
        <v>0</v>
      </c>
      <c r="G1495" s="195"/>
      <c r="H1495" s="195"/>
      <c r="I1495" s="196"/>
      <c r="J1495" s="195"/>
      <c r="K1495" s="195"/>
      <c r="L1495" s="195"/>
      <c r="M1495" s="195"/>
      <c r="N1495" s="197"/>
      <c r="O1495" s="195"/>
      <c r="P1495" s="195"/>
      <c r="Q1495" s="195"/>
    </row>
    <row r="1496" spans="1:17">
      <c r="A1496" s="180">
        <f>'רשימת מכשור 2015'!A1495</f>
        <v>0</v>
      </c>
      <c r="B1496" s="180">
        <f>'רשימת מכשור 2015'!B1495</f>
        <v>0</v>
      </c>
      <c r="C1496" s="180">
        <f>'רשימת מכשור 2015'!C1495</f>
        <v>0</v>
      </c>
      <c r="D1496" s="233">
        <f>'רשימת מכשור 2015'!D1495</f>
        <v>0</v>
      </c>
      <c r="E1496" s="180">
        <f>'רשימת מכשור 2015'!E1495</f>
        <v>0</v>
      </c>
      <c r="F1496" s="180">
        <f>'רשימת מכשור 2015'!F1495</f>
        <v>0</v>
      </c>
      <c r="G1496" s="195"/>
      <c r="H1496" s="195"/>
      <c r="I1496" s="196"/>
      <c r="J1496" s="195"/>
      <c r="K1496" s="195"/>
      <c r="L1496" s="195"/>
      <c r="M1496" s="195"/>
      <c r="N1496" s="197"/>
      <c r="O1496" s="195"/>
      <c r="P1496" s="195"/>
      <c r="Q1496" s="195"/>
    </row>
    <row r="1497" spans="1:17">
      <c r="A1497" s="180">
        <f>'רשימת מכשור 2015'!A1496</f>
        <v>0</v>
      </c>
      <c r="B1497" s="180">
        <f>'רשימת מכשור 2015'!B1496</f>
        <v>0</v>
      </c>
      <c r="C1497" s="180">
        <f>'רשימת מכשור 2015'!C1496</f>
        <v>0</v>
      </c>
      <c r="D1497" s="233">
        <f>'רשימת מכשור 2015'!D1496</f>
        <v>0</v>
      </c>
      <c r="E1497" s="180">
        <f>'רשימת מכשור 2015'!E1496</f>
        <v>0</v>
      </c>
      <c r="F1497" s="180">
        <f>'רשימת מכשור 2015'!F1496</f>
        <v>0</v>
      </c>
      <c r="G1497" s="195"/>
      <c r="H1497" s="195"/>
      <c r="I1497" s="196"/>
      <c r="J1497" s="195"/>
      <c r="K1497" s="195"/>
      <c r="L1497" s="195"/>
      <c r="M1497" s="195"/>
      <c r="N1497" s="197"/>
      <c r="O1497" s="195"/>
      <c r="P1497" s="195"/>
      <c r="Q1497" s="195"/>
    </row>
    <row r="1498" spans="1:17">
      <c r="A1498" s="180">
        <f>'רשימת מכשור 2015'!A1497</f>
        <v>0</v>
      </c>
      <c r="B1498" s="180">
        <f>'רשימת מכשור 2015'!B1497</f>
        <v>0</v>
      </c>
      <c r="C1498" s="180">
        <f>'רשימת מכשור 2015'!C1497</f>
        <v>0</v>
      </c>
      <c r="D1498" s="233">
        <f>'רשימת מכשור 2015'!D1497</f>
        <v>0</v>
      </c>
      <c r="E1498" s="180">
        <f>'רשימת מכשור 2015'!E1497</f>
        <v>0</v>
      </c>
      <c r="F1498" s="180">
        <f>'רשימת מכשור 2015'!F1497</f>
        <v>0</v>
      </c>
      <c r="G1498" s="195"/>
      <c r="H1498" s="195"/>
      <c r="I1498" s="196"/>
      <c r="J1498" s="195"/>
      <c r="K1498" s="195"/>
      <c r="L1498" s="195"/>
      <c r="M1498" s="195"/>
      <c r="N1498" s="197"/>
      <c r="O1498" s="195"/>
      <c r="P1498" s="195"/>
      <c r="Q1498" s="195"/>
    </row>
    <row r="1499" spans="1:17">
      <c r="A1499" s="180">
        <f>'רשימת מכשור 2015'!A1498</f>
        <v>0</v>
      </c>
      <c r="B1499" s="180">
        <f>'רשימת מכשור 2015'!B1498</f>
        <v>0</v>
      </c>
      <c r="C1499" s="180">
        <f>'רשימת מכשור 2015'!C1498</f>
        <v>0</v>
      </c>
      <c r="D1499" s="233">
        <f>'רשימת מכשור 2015'!D1498</f>
        <v>0</v>
      </c>
      <c r="E1499" s="180">
        <f>'רשימת מכשור 2015'!E1498</f>
        <v>0</v>
      </c>
      <c r="F1499" s="180">
        <f>'רשימת מכשור 2015'!F1498</f>
        <v>0</v>
      </c>
      <c r="G1499" s="195"/>
      <c r="H1499" s="195"/>
      <c r="I1499" s="196"/>
      <c r="J1499" s="195"/>
      <c r="K1499" s="195"/>
      <c r="L1499" s="195"/>
      <c r="M1499" s="195"/>
      <c r="N1499" s="197"/>
      <c r="O1499" s="195"/>
      <c r="P1499" s="195"/>
      <c r="Q1499" s="195"/>
    </row>
    <row r="1500" spans="1:17">
      <c r="A1500" s="180">
        <f>'רשימת מכשור 2015'!A1499</f>
        <v>0</v>
      </c>
      <c r="B1500" s="180">
        <f>'רשימת מכשור 2015'!B1499</f>
        <v>0</v>
      </c>
      <c r="C1500" s="180">
        <f>'רשימת מכשור 2015'!C1499</f>
        <v>0</v>
      </c>
      <c r="D1500" s="233">
        <f>'רשימת מכשור 2015'!D1499</f>
        <v>0</v>
      </c>
      <c r="E1500" s="180">
        <f>'רשימת מכשור 2015'!E1499</f>
        <v>0</v>
      </c>
      <c r="F1500" s="180">
        <f>'רשימת מכשור 2015'!F1499</f>
        <v>0</v>
      </c>
      <c r="G1500" s="195"/>
      <c r="H1500" s="195"/>
      <c r="I1500" s="196"/>
      <c r="J1500" s="195"/>
      <c r="K1500" s="195"/>
      <c r="L1500" s="195"/>
      <c r="M1500" s="195"/>
      <c r="N1500" s="197"/>
      <c r="O1500" s="195"/>
      <c r="P1500" s="195"/>
      <c r="Q1500" s="195"/>
    </row>
    <row r="1501" spans="1:17">
      <c r="A1501" s="180">
        <f>'רשימת מכשור 2015'!A1500</f>
        <v>0</v>
      </c>
      <c r="B1501" s="180">
        <f>'רשימת מכשור 2015'!B1500</f>
        <v>0</v>
      </c>
      <c r="C1501" s="180">
        <f>'רשימת מכשור 2015'!C1500</f>
        <v>0</v>
      </c>
      <c r="D1501" s="233">
        <f>'רשימת מכשור 2015'!D1500</f>
        <v>0</v>
      </c>
      <c r="E1501" s="180">
        <f>'רשימת מכשור 2015'!E1500</f>
        <v>0</v>
      </c>
      <c r="F1501" s="180">
        <f>'רשימת מכשור 2015'!F1500</f>
        <v>0</v>
      </c>
      <c r="G1501" s="195"/>
      <c r="H1501" s="195"/>
      <c r="I1501" s="196"/>
      <c r="J1501" s="195"/>
      <c r="K1501" s="195"/>
      <c r="L1501" s="195"/>
      <c r="M1501" s="195"/>
      <c r="N1501" s="197"/>
      <c r="O1501" s="195"/>
      <c r="P1501" s="195"/>
      <c r="Q1501" s="195"/>
    </row>
    <row r="1502" spans="1:17">
      <c r="A1502" s="180">
        <f>'רשימת מכשור 2015'!A1501</f>
        <v>0</v>
      </c>
      <c r="B1502" s="180">
        <f>'רשימת מכשור 2015'!B1501</f>
        <v>0</v>
      </c>
      <c r="C1502" s="180">
        <f>'רשימת מכשור 2015'!C1501</f>
        <v>0</v>
      </c>
      <c r="D1502" s="233">
        <f>'רשימת מכשור 2015'!D1501</f>
        <v>0</v>
      </c>
      <c r="E1502" s="180">
        <f>'רשימת מכשור 2015'!E1501</f>
        <v>0</v>
      </c>
      <c r="F1502" s="180">
        <f>'רשימת מכשור 2015'!F1501</f>
        <v>0</v>
      </c>
      <c r="G1502" s="195"/>
      <c r="H1502" s="195"/>
      <c r="I1502" s="196"/>
      <c r="J1502" s="195"/>
      <c r="K1502" s="195"/>
      <c r="L1502" s="195"/>
      <c r="M1502" s="195"/>
      <c r="N1502" s="197"/>
      <c r="O1502" s="195"/>
      <c r="P1502" s="195"/>
      <c r="Q1502" s="195"/>
    </row>
    <row r="1503" spans="1:17">
      <c r="A1503" s="180">
        <f>'רשימת מכשור 2015'!A1502</f>
        <v>0</v>
      </c>
      <c r="B1503" s="180">
        <f>'רשימת מכשור 2015'!B1502</f>
        <v>0</v>
      </c>
      <c r="C1503" s="180">
        <f>'רשימת מכשור 2015'!C1502</f>
        <v>0</v>
      </c>
      <c r="D1503" s="233">
        <f>'רשימת מכשור 2015'!D1502</f>
        <v>0</v>
      </c>
      <c r="E1503" s="180">
        <f>'רשימת מכשור 2015'!E1502</f>
        <v>0</v>
      </c>
      <c r="F1503" s="180">
        <f>'רשימת מכשור 2015'!F1502</f>
        <v>0</v>
      </c>
      <c r="G1503" s="195"/>
      <c r="H1503" s="195"/>
      <c r="I1503" s="196"/>
      <c r="J1503" s="195"/>
      <c r="K1503" s="195"/>
      <c r="L1503" s="195"/>
      <c r="M1503" s="195"/>
      <c r="N1503" s="197"/>
      <c r="O1503" s="195"/>
      <c r="P1503" s="195"/>
      <c r="Q1503" s="195"/>
    </row>
    <row r="1504" spans="1:17">
      <c r="A1504" s="180">
        <f>'רשימת מכשור 2015'!A1503</f>
        <v>0</v>
      </c>
      <c r="B1504" s="180">
        <f>'רשימת מכשור 2015'!B1503</f>
        <v>0</v>
      </c>
      <c r="C1504" s="180">
        <f>'רשימת מכשור 2015'!C1503</f>
        <v>0</v>
      </c>
      <c r="D1504" s="233">
        <f>'רשימת מכשור 2015'!D1503</f>
        <v>0</v>
      </c>
      <c r="E1504" s="180">
        <f>'רשימת מכשור 2015'!E1503</f>
        <v>0</v>
      </c>
      <c r="F1504" s="180">
        <f>'רשימת מכשור 2015'!F1503</f>
        <v>0</v>
      </c>
      <c r="G1504" s="195"/>
      <c r="H1504" s="195"/>
      <c r="I1504" s="196"/>
      <c r="J1504" s="195"/>
      <c r="K1504" s="195"/>
      <c r="L1504" s="195"/>
      <c r="M1504" s="195"/>
      <c r="N1504" s="197"/>
      <c r="O1504" s="195"/>
      <c r="P1504" s="195"/>
      <c r="Q1504" s="195"/>
    </row>
    <row r="1505" spans="1:17">
      <c r="A1505" s="180">
        <f>'רשימת מכשור 2015'!A1504</f>
        <v>0</v>
      </c>
      <c r="B1505" s="180">
        <f>'רשימת מכשור 2015'!B1504</f>
        <v>0</v>
      </c>
      <c r="C1505" s="180">
        <f>'רשימת מכשור 2015'!C1504</f>
        <v>0</v>
      </c>
      <c r="D1505" s="233">
        <f>'רשימת מכשור 2015'!D1504</f>
        <v>0</v>
      </c>
      <c r="E1505" s="180">
        <f>'רשימת מכשור 2015'!E1504</f>
        <v>0</v>
      </c>
      <c r="F1505" s="180">
        <f>'רשימת מכשור 2015'!F1504</f>
        <v>0</v>
      </c>
      <c r="G1505" s="195"/>
      <c r="H1505" s="195"/>
      <c r="I1505" s="196"/>
      <c r="J1505" s="195"/>
      <c r="K1505" s="195"/>
      <c r="L1505" s="195"/>
      <c r="M1505" s="195"/>
      <c r="N1505" s="197"/>
      <c r="O1505" s="195"/>
      <c r="P1505" s="195"/>
      <c r="Q1505" s="195"/>
    </row>
    <row r="1506" spans="1:17">
      <c r="A1506" s="180">
        <f>'רשימת מכשור 2015'!A1505</f>
        <v>0</v>
      </c>
      <c r="B1506" s="180">
        <f>'רשימת מכשור 2015'!B1505</f>
        <v>0</v>
      </c>
      <c r="C1506" s="180">
        <f>'רשימת מכשור 2015'!C1505</f>
        <v>0</v>
      </c>
      <c r="D1506" s="233">
        <f>'רשימת מכשור 2015'!D1505</f>
        <v>0</v>
      </c>
      <c r="E1506" s="180">
        <f>'רשימת מכשור 2015'!E1505</f>
        <v>0</v>
      </c>
      <c r="F1506" s="180">
        <f>'רשימת מכשור 2015'!F1505</f>
        <v>0</v>
      </c>
      <c r="G1506" s="195"/>
      <c r="H1506" s="195"/>
      <c r="I1506" s="196"/>
      <c r="J1506" s="195"/>
      <c r="K1506" s="195"/>
      <c r="L1506" s="195"/>
      <c r="M1506" s="195"/>
      <c r="N1506" s="197"/>
      <c r="O1506" s="195"/>
      <c r="P1506" s="195"/>
      <c r="Q1506" s="195"/>
    </row>
    <row r="1507" spans="1:17">
      <c r="A1507" s="180">
        <f>'רשימת מכשור 2015'!A1506</f>
        <v>0</v>
      </c>
      <c r="B1507" s="180">
        <f>'רשימת מכשור 2015'!B1506</f>
        <v>0</v>
      </c>
      <c r="C1507" s="180">
        <f>'רשימת מכשור 2015'!C1506</f>
        <v>0</v>
      </c>
      <c r="D1507" s="233">
        <f>'רשימת מכשור 2015'!D1506</f>
        <v>0</v>
      </c>
      <c r="E1507" s="180">
        <f>'רשימת מכשור 2015'!E1506</f>
        <v>0</v>
      </c>
      <c r="F1507" s="180">
        <f>'רשימת מכשור 2015'!F1506</f>
        <v>0</v>
      </c>
      <c r="G1507" s="195"/>
      <c r="H1507" s="195"/>
      <c r="I1507" s="196"/>
      <c r="J1507" s="195"/>
      <c r="K1507" s="195"/>
      <c r="L1507" s="195"/>
      <c r="M1507" s="195"/>
      <c r="N1507" s="197"/>
      <c r="O1507" s="195"/>
      <c r="P1507" s="195"/>
      <c r="Q1507" s="195"/>
    </row>
    <row r="1508" spans="1:17">
      <c r="A1508" s="180">
        <f>'רשימת מכשור 2015'!A1507</f>
        <v>0</v>
      </c>
      <c r="B1508" s="180">
        <f>'רשימת מכשור 2015'!B1507</f>
        <v>0</v>
      </c>
      <c r="C1508" s="180">
        <f>'רשימת מכשור 2015'!C1507</f>
        <v>0</v>
      </c>
      <c r="D1508" s="233">
        <f>'רשימת מכשור 2015'!D1507</f>
        <v>0</v>
      </c>
      <c r="E1508" s="180">
        <f>'רשימת מכשור 2015'!E1507</f>
        <v>0</v>
      </c>
      <c r="F1508" s="180">
        <f>'רשימת מכשור 2015'!F1507</f>
        <v>0</v>
      </c>
      <c r="G1508" s="195"/>
      <c r="H1508" s="195"/>
      <c r="I1508" s="196"/>
      <c r="J1508" s="195"/>
      <c r="K1508" s="195"/>
      <c r="L1508" s="195"/>
      <c r="M1508" s="195"/>
      <c r="N1508" s="197"/>
      <c r="O1508" s="195"/>
      <c r="P1508" s="195"/>
      <c r="Q1508" s="195"/>
    </row>
    <row r="1509" spans="1:17">
      <c r="A1509" s="180">
        <f>'רשימת מכשור 2015'!A1508</f>
        <v>0</v>
      </c>
      <c r="B1509" s="180">
        <f>'רשימת מכשור 2015'!B1508</f>
        <v>0</v>
      </c>
      <c r="C1509" s="180">
        <f>'רשימת מכשור 2015'!C1508</f>
        <v>0</v>
      </c>
      <c r="D1509" s="233">
        <f>'רשימת מכשור 2015'!D1508</f>
        <v>0</v>
      </c>
      <c r="E1509" s="180">
        <f>'רשימת מכשור 2015'!E1508</f>
        <v>0</v>
      </c>
      <c r="F1509" s="180">
        <f>'רשימת מכשור 2015'!F1508</f>
        <v>0</v>
      </c>
      <c r="G1509" s="195"/>
      <c r="H1509" s="195"/>
      <c r="I1509" s="196"/>
      <c r="J1509" s="195"/>
      <c r="K1509" s="195"/>
      <c r="L1509" s="195"/>
      <c r="M1509" s="195"/>
      <c r="N1509" s="197"/>
      <c r="O1509" s="195"/>
      <c r="P1509" s="195"/>
      <c r="Q1509" s="195"/>
    </row>
    <row r="1510" spans="1:17">
      <c r="A1510" s="180">
        <f>'רשימת מכשור 2015'!A1509</f>
        <v>0</v>
      </c>
      <c r="B1510" s="180">
        <f>'רשימת מכשור 2015'!B1509</f>
        <v>0</v>
      </c>
      <c r="C1510" s="180">
        <f>'רשימת מכשור 2015'!C1509</f>
        <v>0</v>
      </c>
      <c r="D1510" s="233">
        <f>'רשימת מכשור 2015'!D1509</f>
        <v>0</v>
      </c>
      <c r="E1510" s="180">
        <f>'רשימת מכשור 2015'!E1509</f>
        <v>0</v>
      </c>
      <c r="F1510" s="180">
        <f>'רשימת מכשור 2015'!F1509</f>
        <v>0</v>
      </c>
      <c r="G1510" s="195"/>
      <c r="H1510" s="195"/>
      <c r="I1510" s="196"/>
      <c r="J1510" s="195"/>
      <c r="K1510" s="195"/>
      <c r="L1510" s="195"/>
      <c r="M1510" s="195"/>
      <c r="N1510" s="197"/>
      <c r="O1510" s="195"/>
      <c r="P1510" s="195"/>
      <c r="Q1510" s="195"/>
    </row>
    <row r="1511" spans="1:17">
      <c r="A1511" s="180">
        <f>'רשימת מכשור 2015'!A1510</f>
        <v>0</v>
      </c>
      <c r="B1511" s="180">
        <f>'רשימת מכשור 2015'!B1510</f>
        <v>0</v>
      </c>
      <c r="C1511" s="180">
        <f>'רשימת מכשור 2015'!C1510</f>
        <v>0</v>
      </c>
      <c r="D1511" s="233">
        <f>'רשימת מכשור 2015'!D1510</f>
        <v>0</v>
      </c>
      <c r="E1511" s="180">
        <f>'רשימת מכשור 2015'!E1510</f>
        <v>0</v>
      </c>
      <c r="F1511" s="180">
        <f>'רשימת מכשור 2015'!F1510</f>
        <v>0</v>
      </c>
      <c r="G1511" s="195"/>
      <c r="H1511" s="195"/>
      <c r="I1511" s="196"/>
      <c r="J1511" s="195"/>
      <c r="K1511" s="195"/>
      <c r="L1511" s="195"/>
      <c r="M1511" s="195"/>
      <c r="N1511" s="197"/>
      <c r="O1511" s="195"/>
      <c r="P1511" s="195"/>
      <c r="Q1511" s="195"/>
    </row>
    <row r="1512" spans="1:17">
      <c r="A1512" s="180">
        <f>'רשימת מכשור 2015'!A1511</f>
        <v>0</v>
      </c>
      <c r="B1512" s="180">
        <f>'רשימת מכשור 2015'!B1511</f>
        <v>0</v>
      </c>
      <c r="C1512" s="180">
        <f>'רשימת מכשור 2015'!C1511</f>
        <v>0</v>
      </c>
      <c r="D1512" s="233">
        <f>'רשימת מכשור 2015'!D1511</f>
        <v>0</v>
      </c>
      <c r="E1512" s="180">
        <f>'רשימת מכשור 2015'!E1511</f>
        <v>0</v>
      </c>
      <c r="F1512" s="180">
        <f>'רשימת מכשור 2015'!F1511</f>
        <v>0</v>
      </c>
      <c r="G1512" s="195"/>
      <c r="H1512" s="195"/>
      <c r="I1512" s="196"/>
      <c r="J1512" s="195"/>
      <c r="K1512" s="195"/>
      <c r="L1512" s="195"/>
      <c r="M1512" s="195"/>
      <c r="N1512" s="197"/>
      <c r="O1512" s="195"/>
      <c r="P1512" s="195"/>
      <c r="Q1512" s="195"/>
    </row>
    <row r="1513" spans="1:17">
      <c r="A1513" s="180">
        <f>'רשימת מכשור 2015'!A1512</f>
        <v>0</v>
      </c>
      <c r="B1513" s="180">
        <f>'רשימת מכשור 2015'!B1512</f>
        <v>0</v>
      </c>
      <c r="C1513" s="180">
        <f>'רשימת מכשור 2015'!C1512</f>
        <v>0</v>
      </c>
      <c r="D1513" s="233">
        <f>'רשימת מכשור 2015'!D1512</f>
        <v>0</v>
      </c>
      <c r="E1513" s="180">
        <f>'רשימת מכשור 2015'!E1512</f>
        <v>0</v>
      </c>
      <c r="F1513" s="180">
        <f>'רשימת מכשור 2015'!F1512</f>
        <v>0</v>
      </c>
      <c r="G1513" s="195"/>
      <c r="H1513" s="195"/>
      <c r="I1513" s="196"/>
      <c r="J1513" s="195"/>
      <c r="K1513" s="195"/>
      <c r="L1513" s="195"/>
      <c r="M1513" s="195"/>
      <c r="N1513" s="197"/>
      <c r="O1513" s="195"/>
      <c r="P1513" s="195"/>
      <c r="Q1513" s="195"/>
    </row>
    <row r="1514" spans="1:17">
      <c r="A1514" s="180">
        <f>'רשימת מכשור 2015'!A1513</f>
        <v>0</v>
      </c>
      <c r="B1514" s="180">
        <f>'רשימת מכשור 2015'!B1513</f>
        <v>0</v>
      </c>
      <c r="C1514" s="180">
        <f>'רשימת מכשור 2015'!C1513</f>
        <v>0</v>
      </c>
      <c r="D1514" s="233">
        <f>'רשימת מכשור 2015'!D1513</f>
        <v>0</v>
      </c>
      <c r="E1514" s="180">
        <f>'רשימת מכשור 2015'!E1513</f>
        <v>0</v>
      </c>
      <c r="F1514" s="180">
        <f>'רשימת מכשור 2015'!F1513</f>
        <v>0</v>
      </c>
      <c r="G1514" s="195"/>
      <c r="H1514" s="195"/>
      <c r="I1514" s="196"/>
      <c r="J1514" s="195"/>
      <c r="K1514" s="195"/>
      <c r="L1514" s="195"/>
      <c r="M1514" s="195"/>
      <c r="N1514" s="197"/>
      <c r="O1514" s="195"/>
      <c r="P1514" s="195"/>
      <c r="Q1514" s="195"/>
    </row>
    <row r="1515" spans="1:17">
      <c r="A1515" s="180">
        <f>'רשימת מכשור 2015'!A1514</f>
        <v>0</v>
      </c>
      <c r="B1515" s="180">
        <f>'רשימת מכשור 2015'!B1514</f>
        <v>0</v>
      </c>
      <c r="C1515" s="180">
        <f>'רשימת מכשור 2015'!C1514</f>
        <v>0</v>
      </c>
      <c r="D1515" s="233">
        <f>'רשימת מכשור 2015'!D1514</f>
        <v>0</v>
      </c>
      <c r="E1515" s="180">
        <f>'רשימת מכשור 2015'!E1514</f>
        <v>0</v>
      </c>
      <c r="F1515" s="180">
        <f>'רשימת מכשור 2015'!F1514</f>
        <v>0</v>
      </c>
      <c r="G1515" s="195"/>
      <c r="H1515" s="195"/>
      <c r="I1515" s="196"/>
      <c r="J1515" s="195"/>
      <c r="K1515" s="195"/>
      <c r="L1515" s="195"/>
      <c r="M1515" s="195"/>
      <c r="N1515" s="197"/>
      <c r="O1515" s="195"/>
      <c r="P1515" s="195"/>
      <c r="Q1515" s="195"/>
    </row>
    <row r="1516" spans="1:17">
      <c r="A1516" s="180">
        <f>'רשימת מכשור 2015'!A1515</f>
        <v>0</v>
      </c>
      <c r="B1516" s="180">
        <f>'רשימת מכשור 2015'!B1515</f>
        <v>0</v>
      </c>
      <c r="C1516" s="180">
        <f>'רשימת מכשור 2015'!C1515</f>
        <v>0</v>
      </c>
      <c r="D1516" s="233">
        <f>'רשימת מכשור 2015'!D1515</f>
        <v>0</v>
      </c>
      <c r="E1516" s="180">
        <f>'רשימת מכשור 2015'!E1515</f>
        <v>0</v>
      </c>
      <c r="F1516" s="180">
        <f>'רשימת מכשור 2015'!F1515</f>
        <v>0</v>
      </c>
      <c r="G1516" s="195"/>
      <c r="H1516" s="195"/>
      <c r="I1516" s="196"/>
      <c r="J1516" s="195"/>
      <c r="K1516" s="195"/>
      <c r="L1516" s="195"/>
      <c r="M1516" s="195"/>
      <c r="N1516" s="197"/>
      <c r="O1516" s="195"/>
      <c r="P1516" s="195"/>
      <c r="Q1516" s="195"/>
    </row>
    <row r="1517" spans="1:17">
      <c r="A1517" s="180">
        <f>'רשימת מכשור 2015'!A1516</f>
        <v>0</v>
      </c>
      <c r="B1517" s="180">
        <f>'רשימת מכשור 2015'!B1516</f>
        <v>0</v>
      </c>
      <c r="C1517" s="180">
        <f>'רשימת מכשור 2015'!C1516</f>
        <v>0</v>
      </c>
      <c r="D1517" s="233">
        <f>'רשימת מכשור 2015'!D1516</f>
        <v>0</v>
      </c>
      <c r="E1517" s="180">
        <f>'רשימת מכשור 2015'!E1516</f>
        <v>0</v>
      </c>
      <c r="F1517" s="180">
        <f>'רשימת מכשור 2015'!F1516</f>
        <v>0</v>
      </c>
      <c r="G1517" s="195"/>
      <c r="H1517" s="195"/>
      <c r="I1517" s="196"/>
      <c r="J1517" s="195"/>
      <c r="K1517" s="195"/>
      <c r="L1517" s="195"/>
      <c r="M1517" s="195"/>
      <c r="N1517" s="197"/>
      <c r="O1517" s="195"/>
      <c r="P1517" s="195"/>
      <c r="Q1517" s="195"/>
    </row>
    <row r="1518" spans="1:17">
      <c r="A1518" s="180">
        <f>'רשימת מכשור 2015'!A1517</f>
        <v>0</v>
      </c>
      <c r="B1518" s="180">
        <f>'רשימת מכשור 2015'!B1517</f>
        <v>0</v>
      </c>
      <c r="C1518" s="180">
        <f>'רשימת מכשור 2015'!C1517</f>
        <v>0</v>
      </c>
      <c r="D1518" s="233">
        <f>'רשימת מכשור 2015'!D1517</f>
        <v>0</v>
      </c>
      <c r="E1518" s="180">
        <f>'רשימת מכשור 2015'!E1517</f>
        <v>0</v>
      </c>
      <c r="F1518" s="180">
        <f>'רשימת מכשור 2015'!F1517</f>
        <v>0</v>
      </c>
      <c r="G1518" s="195"/>
      <c r="H1518" s="195"/>
      <c r="I1518" s="196"/>
      <c r="J1518" s="195"/>
      <c r="K1518" s="195"/>
      <c r="L1518" s="195"/>
      <c r="M1518" s="195"/>
      <c r="N1518" s="197"/>
      <c r="O1518" s="195"/>
      <c r="P1518" s="195"/>
      <c r="Q1518" s="195"/>
    </row>
    <row r="1519" spans="1:17">
      <c r="A1519" s="180">
        <f>'רשימת מכשור 2015'!A1518</f>
        <v>0</v>
      </c>
      <c r="B1519" s="180">
        <f>'רשימת מכשור 2015'!B1518</f>
        <v>0</v>
      </c>
      <c r="C1519" s="180">
        <f>'רשימת מכשור 2015'!C1518</f>
        <v>0</v>
      </c>
      <c r="D1519" s="233">
        <f>'רשימת מכשור 2015'!D1518</f>
        <v>0</v>
      </c>
      <c r="E1519" s="180">
        <f>'רשימת מכשור 2015'!E1518</f>
        <v>0</v>
      </c>
      <c r="F1519" s="180">
        <f>'רשימת מכשור 2015'!F1518</f>
        <v>0</v>
      </c>
      <c r="G1519" s="195"/>
      <c r="H1519" s="195"/>
      <c r="I1519" s="196"/>
      <c r="J1519" s="195"/>
      <c r="K1519" s="195"/>
      <c r="L1519" s="195"/>
      <c r="M1519" s="195"/>
      <c r="N1519" s="197"/>
      <c r="O1519" s="195"/>
      <c r="P1519" s="195"/>
      <c r="Q1519" s="195"/>
    </row>
    <row r="1520" spans="1:17">
      <c r="A1520" s="180">
        <f>'רשימת מכשור 2015'!A1519</f>
        <v>0</v>
      </c>
      <c r="B1520" s="180">
        <f>'רשימת מכשור 2015'!B1519</f>
        <v>0</v>
      </c>
      <c r="C1520" s="180">
        <f>'רשימת מכשור 2015'!C1519</f>
        <v>0</v>
      </c>
      <c r="D1520" s="233">
        <f>'רשימת מכשור 2015'!D1519</f>
        <v>0</v>
      </c>
      <c r="E1520" s="180">
        <f>'רשימת מכשור 2015'!E1519</f>
        <v>0</v>
      </c>
      <c r="F1520" s="180">
        <f>'רשימת מכשור 2015'!F1519</f>
        <v>0</v>
      </c>
      <c r="G1520" s="195"/>
      <c r="H1520" s="195"/>
      <c r="I1520" s="196"/>
      <c r="J1520" s="195"/>
      <c r="K1520" s="195"/>
      <c r="L1520" s="195"/>
      <c r="M1520" s="195"/>
      <c r="N1520" s="197"/>
      <c r="O1520" s="195"/>
      <c r="P1520" s="195"/>
      <c r="Q1520" s="195"/>
    </row>
    <row r="1521" spans="1:17">
      <c r="A1521" s="180">
        <f>'רשימת מכשור 2015'!A1520</f>
        <v>0</v>
      </c>
      <c r="B1521" s="180">
        <f>'רשימת מכשור 2015'!B1520</f>
        <v>0</v>
      </c>
      <c r="C1521" s="180">
        <f>'רשימת מכשור 2015'!C1520</f>
        <v>0</v>
      </c>
      <c r="D1521" s="233">
        <f>'רשימת מכשור 2015'!D1520</f>
        <v>0</v>
      </c>
      <c r="E1521" s="180">
        <f>'רשימת מכשור 2015'!E1520</f>
        <v>0</v>
      </c>
      <c r="F1521" s="180">
        <f>'רשימת מכשור 2015'!F1520</f>
        <v>0</v>
      </c>
      <c r="G1521" s="195"/>
      <c r="H1521" s="195"/>
      <c r="I1521" s="196"/>
      <c r="J1521" s="195"/>
      <c r="K1521" s="195"/>
      <c r="L1521" s="195"/>
      <c r="M1521" s="195"/>
      <c r="N1521" s="197"/>
      <c r="O1521" s="195"/>
      <c r="P1521" s="195"/>
      <c r="Q1521" s="195"/>
    </row>
    <row r="1522" spans="1:17">
      <c r="A1522" s="180">
        <f>'רשימת מכשור 2015'!A1521</f>
        <v>0</v>
      </c>
      <c r="B1522" s="180">
        <f>'רשימת מכשור 2015'!B1521</f>
        <v>0</v>
      </c>
      <c r="C1522" s="180">
        <f>'רשימת מכשור 2015'!C1521</f>
        <v>0</v>
      </c>
      <c r="D1522" s="233">
        <f>'רשימת מכשור 2015'!D1521</f>
        <v>0</v>
      </c>
      <c r="E1522" s="180">
        <f>'רשימת מכשור 2015'!E1521</f>
        <v>0</v>
      </c>
      <c r="F1522" s="180">
        <f>'רשימת מכשור 2015'!F1521</f>
        <v>0</v>
      </c>
      <c r="G1522" s="195"/>
      <c r="H1522" s="195"/>
      <c r="I1522" s="196"/>
      <c r="J1522" s="195"/>
      <c r="K1522" s="195"/>
      <c r="L1522" s="195"/>
      <c r="M1522" s="195"/>
      <c r="N1522" s="197"/>
      <c r="O1522" s="195"/>
      <c r="P1522" s="195"/>
      <c r="Q1522" s="195"/>
    </row>
    <row r="1523" spans="1:17">
      <c r="A1523" s="180">
        <f>'רשימת מכשור 2015'!A1522</f>
        <v>0</v>
      </c>
      <c r="B1523" s="180">
        <f>'רשימת מכשור 2015'!B1522</f>
        <v>0</v>
      </c>
      <c r="C1523" s="180">
        <f>'רשימת מכשור 2015'!C1522</f>
        <v>0</v>
      </c>
      <c r="D1523" s="233">
        <f>'רשימת מכשור 2015'!D1522</f>
        <v>0</v>
      </c>
      <c r="E1523" s="180">
        <f>'רשימת מכשור 2015'!E1522</f>
        <v>0</v>
      </c>
      <c r="F1523" s="180">
        <f>'רשימת מכשור 2015'!F1522</f>
        <v>0</v>
      </c>
      <c r="G1523" s="195"/>
      <c r="H1523" s="195"/>
      <c r="I1523" s="196"/>
      <c r="J1523" s="195"/>
      <c r="K1523" s="195"/>
      <c r="L1523" s="195"/>
      <c r="M1523" s="195"/>
      <c r="N1523" s="197"/>
      <c r="O1523" s="195"/>
      <c r="P1523" s="195"/>
      <c r="Q1523" s="195"/>
    </row>
    <row r="1524" spans="1:17">
      <c r="A1524" s="180">
        <f>'רשימת מכשור 2015'!A1523</f>
        <v>0</v>
      </c>
      <c r="B1524" s="180">
        <f>'רשימת מכשור 2015'!B1523</f>
        <v>0</v>
      </c>
      <c r="C1524" s="180">
        <f>'רשימת מכשור 2015'!C1523</f>
        <v>0</v>
      </c>
      <c r="D1524" s="233">
        <f>'רשימת מכשור 2015'!D1523</f>
        <v>0</v>
      </c>
      <c r="E1524" s="180">
        <f>'רשימת מכשור 2015'!E1523</f>
        <v>0</v>
      </c>
      <c r="F1524" s="180">
        <f>'רשימת מכשור 2015'!F1523</f>
        <v>0</v>
      </c>
      <c r="G1524" s="195"/>
      <c r="H1524" s="195"/>
      <c r="I1524" s="196"/>
      <c r="J1524" s="195"/>
      <c r="K1524" s="195"/>
      <c r="L1524" s="195"/>
      <c r="M1524" s="195"/>
      <c r="N1524" s="197"/>
      <c r="O1524" s="195"/>
      <c r="P1524" s="195"/>
      <c r="Q1524" s="195"/>
    </row>
    <row r="1525" spans="1:17">
      <c r="A1525" s="180">
        <f>'רשימת מכשור 2015'!A1524</f>
        <v>0</v>
      </c>
      <c r="B1525" s="180">
        <f>'רשימת מכשור 2015'!B1524</f>
        <v>0</v>
      </c>
      <c r="C1525" s="180">
        <f>'רשימת מכשור 2015'!C1524</f>
        <v>0</v>
      </c>
      <c r="D1525" s="233">
        <f>'רשימת מכשור 2015'!D1524</f>
        <v>0</v>
      </c>
      <c r="E1525" s="180">
        <f>'רשימת מכשור 2015'!E1524</f>
        <v>0</v>
      </c>
      <c r="F1525" s="180">
        <f>'רשימת מכשור 2015'!F1524</f>
        <v>0</v>
      </c>
      <c r="G1525" s="195"/>
      <c r="H1525" s="195"/>
      <c r="I1525" s="196"/>
      <c r="J1525" s="195"/>
      <c r="K1525" s="195"/>
      <c r="L1525" s="195"/>
      <c r="M1525" s="195"/>
      <c r="N1525" s="197"/>
      <c r="O1525" s="195"/>
      <c r="P1525" s="195"/>
      <c r="Q1525" s="195"/>
    </row>
    <row r="1526" spans="1:17">
      <c r="A1526" s="180">
        <f>'רשימת מכשור 2015'!A1525</f>
        <v>0</v>
      </c>
      <c r="B1526" s="180">
        <f>'רשימת מכשור 2015'!B1525</f>
        <v>0</v>
      </c>
      <c r="C1526" s="180">
        <f>'רשימת מכשור 2015'!C1525</f>
        <v>0</v>
      </c>
      <c r="D1526" s="233">
        <f>'רשימת מכשור 2015'!D1525</f>
        <v>0</v>
      </c>
      <c r="E1526" s="180">
        <f>'רשימת מכשור 2015'!E1525</f>
        <v>0</v>
      </c>
      <c r="F1526" s="180">
        <f>'רשימת מכשור 2015'!F1525</f>
        <v>0</v>
      </c>
      <c r="G1526" s="195"/>
      <c r="H1526" s="195"/>
      <c r="I1526" s="196"/>
      <c r="J1526" s="195"/>
      <c r="K1526" s="195"/>
      <c r="L1526" s="195"/>
      <c r="M1526" s="195"/>
      <c r="N1526" s="197"/>
      <c r="O1526" s="195"/>
      <c r="P1526" s="195"/>
      <c r="Q1526" s="195"/>
    </row>
    <row r="1527" spans="1:17">
      <c r="A1527" s="180">
        <f>'רשימת מכשור 2015'!A1526</f>
        <v>0</v>
      </c>
      <c r="B1527" s="180">
        <f>'רשימת מכשור 2015'!B1526</f>
        <v>0</v>
      </c>
      <c r="C1527" s="180">
        <f>'רשימת מכשור 2015'!C1526</f>
        <v>0</v>
      </c>
      <c r="D1527" s="233">
        <f>'רשימת מכשור 2015'!D1526</f>
        <v>0</v>
      </c>
      <c r="E1527" s="180">
        <f>'רשימת מכשור 2015'!E1526</f>
        <v>0</v>
      </c>
      <c r="F1527" s="180">
        <f>'רשימת מכשור 2015'!F1526</f>
        <v>0</v>
      </c>
      <c r="G1527" s="195"/>
      <c r="H1527" s="195"/>
      <c r="I1527" s="196"/>
      <c r="J1527" s="195"/>
      <c r="K1527" s="195"/>
      <c r="L1527" s="195"/>
      <c r="M1527" s="195"/>
      <c r="N1527" s="197"/>
      <c r="O1527" s="195"/>
      <c r="P1527" s="195"/>
      <c r="Q1527" s="195"/>
    </row>
    <row r="1528" spans="1:17">
      <c r="A1528" s="180">
        <f>'רשימת מכשור 2015'!A1527</f>
        <v>0</v>
      </c>
      <c r="B1528" s="180">
        <f>'רשימת מכשור 2015'!B1527</f>
        <v>0</v>
      </c>
      <c r="C1528" s="180">
        <f>'רשימת מכשור 2015'!C1527</f>
        <v>0</v>
      </c>
      <c r="D1528" s="233">
        <f>'רשימת מכשור 2015'!D1527</f>
        <v>0</v>
      </c>
      <c r="E1528" s="180">
        <f>'רשימת מכשור 2015'!E1527</f>
        <v>0</v>
      </c>
      <c r="F1528" s="180">
        <f>'רשימת מכשור 2015'!F1527</f>
        <v>0</v>
      </c>
      <c r="G1528" s="195"/>
      <c r="H1528" s="195"/>
      <c r="I1528" s="196"/>
      <c r="J1528" s="195"/>
      <c r="K1528" s="195"/>
      <c r="L1528" s="195"/>
      <c r="M1528" s="195"/>
      <c r="N1528" s="197"/>
      <c r="O1528" s="195"/>
      <c r="P1528" s="195"/>
      <c r="Q1528" s="195"/>
    </row>
    <row r="1529" spans="1:17">
      <c r="A1529" s="180">
        <f>'רשימת מכשור 2015'!A1528</f>
        <v>0</v>
      </c>
      <c r="B1529" s="180">
        <f>'רשימת מכשור 2015'!B1528</f>
        <v>0</v>
      </c>
      <c r="C1529" s="180">
        <f>'רשימת מכשור 2015'!C1528</f>
        <v>0</v>
      </c>
      <c r="D1529" s="233">
        <f>'רשימת מכשור 2015'!D1528</f>
        <v>0</v>
      </c>
      <c r="E1529" s="180">
        <f>'רשימת מכשור 2015'!E1528</f>
        <v>0</v>
      </c>
      <c r="F1529" s="180">
        <f>'רשימת מכשור 2015'!F1528</f>
        <v>0</v>
      </c>
      <c r="G1529" s="195"/>
      <c r="H1529" s="195"/>
      <c r="I1529" s="196"/>
      <c r="J1529" s="195"/>
      <c r="K1529" s="195"/>
      <c r="L1529" s="195"/>
      <c r="M1529" s="195"/>
      <c r="N1529" s="197"/>
      <c r="O1529" s="195"/>
      <c r="P1529" s="195"/>
      <c r="Q1529" s="195"/>
    </row>
    <row r="1530" spans="1:17">
      <c r="A1530" s="180">
        <f>'רשימת מכשור 2015'!A1529</f>
        <v>0</v>
      </c>
      <c r="B1530" s="180">
        <f>'רשימת מכשור 2015'!B1529</f>
        <v>0</v>
      </c>
      <c r="C1530" s="180">
        <f>'רשימת מכשור 2015'!C1529</f>
        <v>0</v>
      </c>
      <c r="D1530" s="233">
        <f>'רשימת מכשור 2015'!D1529</f>
        <v>0</v>
      </c>
      <c r="E1530" s="180">
        <f>'רשימת מכשור 2015'!E1529</f>
        <v>0</v>
      </c>
      <c r="F1530" s="180">
        <f>'רשימת מכשור 2015'!F1529</f>
        <v>0</v>
      </c>
      <c r="G1530" s="195"/>
      <c r="H1530" s="195"/>
      <c r="I1530" s="196"/>
      <c r="J1530" s="195"/>
      <c r="K1530" s="195"/>
      <c r="L1530" s="195"/>
      <c r="M1530" s="195"/>
      <c r="N1530" s="197"/>
      <c r="O1530" s="195"/>
      <c r="P1530" s="195"/>
      <c r="Q1530" s="195"/>
    </row>
    <row r="1531" spans="1:17">
      <c r="A1531" s="180">
        <f>'רשימת מכשור 2015'!A1530</f>
        <v>0</v>
      </c>
      <c r="B1531" s="180">
        <f>'רשימת מכשור 2015'!B1530</f>
        <v>0</v>
      </c>
      <c r="C1531" s="180">
        <f>'רשימת מכשור 2015'!C1530</f>
        <v>0</v>
      </c>
      <c r="D1531" s="233">
        <f>'רשימת מכשור 2015'!D1530</f>
        <v>0</v>
      </c>
      <c r="E1531" s="180">
        <f>'רשימת מכשור 2015'!E1530</f>
        <v>0</v>
      </c>
      <c r="F1531" s="180">
        <f>'רשימת מכשור 2015'!F1530</f>
        <v>0</v>
      </c>
      <c r="G1531" s="195"/>
      <c r="H1531" s="195"/>
      <c r="I1531" s="196"/>
      <c r="J1531" s="195"/>
      <c r="K1531" s="195"/>
      <c r="L1531" s="195"/>
      <c r="M1531" s="195"/>
      <c r="N1531" s="197"/>
      <c r="O1531" s="195"/>
      <c r="P1531" s="195"/>
      <c r="Q1531" s="195"/>
    </row>
    <row r="1532" spans="1:17">
      <c r="A1532" s="180">
        <f>'רשימת מכשור 2015'!A1531</f>
        <v>0</v>
      </c>
      <c r="B1532" s="180">
        <f>'רשימת מכשור 2015'!B1531</f>
        <v>0</v>
      </c>
      <c r="C1532" s="180">
        <f>'רשימת מכשור 2015'!C1531</f>
        <v>0</v>
      </c>
      <c r="D1532" s="233">
        <f>'רשימת מכשור 2015'!D1531</f>
        <v>0</v>
      </c>
      <c r="E1532" s="180">
        <f>'רשימת מכשור 2015'!E1531</f>
        <v>0</v>
      </c>
      <c r="F1532" s="180">
        <f>'רשימת מכשור 2015'!F1531</f>
        <v>0</v>
      </c>
      <c r="G1532" s="195"/>
      <c r="H1532" s="195"/>
      <c r="I1532" s="196"/>
      <c r="J1532" s="195"/>
      <c r="K1532" s="195"/>
      <c r="L1532" s="195"/>
      <c r="M1532" s="195"/>
      <c r="N1532" s="197"/>
      <c r="O1532" s="195"/>
      <c r="P1532" s="195"/>
      <c r="Q1532" s="195"/>
    </row>
    <row r="1533" spans="1:17">
      <c r="A1533" s="180">
        <f>'רשימת מכשור 2015'!A1532</f>
        <v>0</v>
      </c>
      <c r="B1533" s="180">
        <f>'רשימת מכשור 2015'!B1532</f>
        <v>0</v>
      </c>
      <c r="C1533" s="180">
        <f>'רשימת מכשור 2015'!C1532</f>
        <v>0</v>
      </c>
      <c r="D1533" s="233">
        <f>'רשימת מכשור 2015'!D1532</f>
        <v>0</v>
      </c>
      <c r="E1533" s="180">
        <f>'רשימת מכשור 2015'!E1532</f>
        <v>0</v>
      </c>
      <c r="F1533" s="180">
        <f>'רשימת מכשור 2015'!F1532</f>
        <v>0</v>
      </c>
      <c r="G1533" s="195"/>
      <c r="H1533" s="195"/>
      <c r="I1533" s="196"/>
      <c r="J1533" s="195"/>
      <c r="K1533" s="195"/>
      <c r="L1533" s="195"/>
      <c r="M1533" s="195"/>
      <c r="N1533" s="197"/>
      <c r="O1533" s="195"/>
      <c r="P1533" s="195"/>
      <c r="Q1533" s="195"/>
    </row>
    <row r="1534" spans="1:17">
      <c r="A1534" s="180">
        <f>'רשימת מכשור 2015'!A1533</f>
        <v>0</v>
      </c>
      <c r="B1534" s="180">
        <f>'רשימת מכשור 2015'!B1533</f>
        <v>0</v>
      </c>
      <c r="C1534" s="180">
        <f>'רשימת מכשור 2015'!C1533</f>
        <v>0</v>
      </c>
      <c r="D1534" s="233">
        <f>'רשימת מכשור 2015'!D1533</f>
        <v>0</v>
      </c>
      <c r="E1534" s="180">
        <f>'רשימת מכשור 2015'!E1533</f>
        <v>0</v>
      </c>
      <c r="F1534" s="180">
        <f>'רשימת מכשור 2015'!F1533</f>
        <v>0</v>
      </c>
      <c r="G1534" s="195"/>
      <c r="H1534" s="195"/>
      <c r="I1534" s="196"/>
      <c r="J1534" s="195"/>
      <c r="K1534" s="195"/>
      <c r="L1534" s="195"/>
      <c r="M1534" s="195"/>
      <c r="N1534" s="197"/>
      <c r="O1534" s="195"/>
      <c r="P1534" s="195"/>
      <c r="Q1534" s="195"/>
    </row>
    <row r="1535" spans="1:17">
      <c r="A1535" s="180">
        <f>'רשימת מכשור 2015'!A1534</f>
        <v>0</v>
      </c>
      <c r="B1535" s="180">
        <f>'רשימת מכשור 2015'!B1534</f>
        <v>0</v>
      </c>
      <c r="C1535" s="180">
        <f>'רשימת מכשור 2015'!C1534</f>
        <v>0</v>
      </c>
      <c r="D1535" s="233">
        <f>'רשימת מכשור 2015'!D1534</f>
        <v>0</v>
      </c>
      <c r="E1535" s="180">
        <f>'רשימת מכשור 2015'!E1534</f>
        <v>0</v>
      </c>
      <c r="F1535" s="180">
        <f>'רשימת מכשור 2015'!F1534</f>
        <v>0</v>
      </c>
      <c r="G1535" s="195"/>
      <c r="H1535" s="195"/>
      <c r="I1535" s="196"/>
      <c r="J1535" s="195"/>
      <c r="K1535" s="195"/>
      <c r="L1535" s="195"/>
      <c r="M1535" s="195"/>
      <c r="N1535" s="197"/>
      <c r="O1535" s="195"/>
      <c r="P1535" s="195"/>
      <c r="Q1535" s="195"/>
    </row>
    <row r="1536" spans="1:17">
      <c r="A1536" s="180">
        <f>'רשימת מכשור 2015'!A1535</f>
        <v>0</v>
      </c>
      <c r="B1536" s="180">
        <f>'רשימת מכשור 2015'!B1535</f>
        <v>0</v>
      </c>
      <c r="C1536" s="180">
        <f>'רשימת מכשור 2015'!C1535</f>
        <v>0</v>
      </c>
      <c r="D1536" s="233">
        <f>'רשימת מכשור 2015'!D1535</f>
        <v>0</v>
      </c>
      <c r="E1536" s="180">
        <f>'רשימת מכשור 2015'!E1535</f>
        <v>0</v>
      </c>
      <c r="F1536" s="180">
        <f>'רשימת מכשור 2015'!F1535</f>
        <v>0</v>
      </c>
      <c r="G1536" s="195"/>
      <c r="H1536" s="195"/>
      <c r="I1536" s="196"/>
      <c r="J1536" s="195"/>
      <c r="K1536" s="195"/>
      <c r="L1536" s="195"/>
      <c r="M1536" s="195"/>
      <c r="N1536" s="197"/>
      <c r="O1536" s="195"/>
      <c r="P1536" s="195"/>
      <c r="Q1536" s="195"/>
    </row>
    <row r="1537" spans="1:17">
      <c r="A1537" s="180">
        <f>'רשימת מכשור 2015'!A1536</f>
        <v>0</v>
      </c>
      <c r="B1537" s="180">
        <f>'רשימת מכשור 2015'!B1536</f>
        <v>0</v>
      </c>
      <c r="C1537" s="180">
        <f>'רשימת מכשור 2015'!C1536</f>
        <v>0</v>
      </c>
      <c r="D1537" s="233">
        <f>'רשימת מכשור 2015'!D1536</f>
        <v>0</v>
      </c>
      <c r="E1537" s="180">
        <f>'רשימת מכשור 2015'!E1536</f>
        <v>0</v>
      </c>
      <c r="F1537" s="180">
        <f>'רשימת מכשור 2015'!F1536</f>
        <v>0</v>
      </c>
      <c r="G1537" s="195"/>
      <c r="H1537" s="195"/>
      <c r="I1537" s="196"/>
      <c r="J1537" s="195"/>
      <c r="K1537" s="195"/>
      <c r="L1537" s="195"/>
      <c r="M1537" s="195"/>
      <c r="N1537" s="197"/>
      <c r="O1537" s="195"/>
      <c r="P1537" s="195"/>
      <c r="Q1537" s="195"/>
    </row>
    <row r="1538" spans="1:17">
      <c r="A1538" s="180">
        <f>'רשימת מכשור 2015'!A1537</f>
        <v>0</v>
      </c>
      <c r="B1538" s="180">
        <f>'רשימת מכשור 2015'!B1537</f>
        <v>0</v>
      </c>
      <c r="C1538" s="180">
        <f>'רשימת מכשור 2015'!C1537</f>
        <v>0</v>
      </c>
      <c r="D1538" s="233">
        <f>'רשימת מכשור 2015'!D1537</f>
        <v>0</v>
      </c>
      <c r="E1538" s="180">
        <f>'רשימת מכשור 2015'!E1537</f>
        <v>0</v>
      </c>
      <c r="F1538" s="180">
        <f>'רשימת מכשור 2015'!F1537</f>
        <v>0</v>
      </c>
      <c r="G1538" s="195"/>
      <c r="H1538" s="195"/>
      <c r="I1538" s="196"/>
      <c r="J1538" s="195"/>
      <c r="K1538" s="195"/>
      <c r="L1538" s="195"/>
      <c r="M1538" s="195"/>
      <c r="N1538" s="197"/>
      <c r="O1538" s="195"/>
      <c r="P1538" s="195"/>
      <c r="Q1538" s="195"/>
    </row>
    <row r="1539" spans="1:17">
      <c r="A1539" s="180">
        <f>'רשימת מכשור 2015'!A1538</f>
        <v>0</v>
      </c>
      <c r="B1539" s="180">
        <f>'רשימת מכשור 2015'!B1538</f>
        <v>0</v>
      </c>
      <c r="C1539" s="180">
        <f>'רשימת מכשור 2015'!C1538</f>
        <v>0</v>
      </c>
      <c r="D1539" s="233">
        <f>'רשימת מכשור 2015'!D1538</f>
        <v>0</v>
      </c>
      <c r="E1539" s="180">
        <f>'רשימת מכשור 2015'!E1538</f>
        <v>0</v>
      </c>
      <c r="F1539" s="180">
        <f>'רשימת מכשור 2015'!F1538</f>
        <v>0</v>
      </c>
      <c r="G1539" s="195"/>
      <c r="H1539" s="195"/>
      <c r="I1539" s="196"/>
      <c r="J1539" s="195"/>
      <c r="K1539" s="195"/>
      <c r="L1539" s="195"/>
      <c r="M1539" s="195"/>
      <c r="N1539" s="197"/>
      <c r="O1539" s="195"/>
      <c r="P1539" s="195"/>
      <c r="Q1539" s="195"/>
    </row>
    <row r="1540" spans="1:17">
      <c r="A1540" s="180">
        <f>'רשימת מכשור 2015'!A1539</f>
        <v>0</v>
      </c>
      <c r="B1540" s="180">
        <f>'רשימת מכשור 2015'!B1539</f>
        <v>0</v>
      </c>
      <c r="C1540" s="180">
        <f>'רשימת מכשור 2015'!C1539</f>
        <v>0</v>
      </c>
      <c r="D1540" s="233">
        <f>'רשימת מכשור 2015'!D1539</f>
        <v>0</v>
      </c>
      <c r="E1540" s="180">
        <f>'רשימת מכשור 2015'!E1539</f>
        <v>0</v>
      </c>
      <c r="F1540" s="180">
        <f>'רשימת מכשור 2015'!F1539</f>
        <v>0</v>
      </c>
      <c r="G1540" s="195"/>
      <c r="H1540" s="195"/>
      <c r="I1540" s="196"/>
      <c r="J1540" s="195"/>
      <c r="K1540" s="195"/>
      <c r="L1540" s="195"/>
      <c r="M1540" s="195"/>
      <c r="N1540" s="197"/>
      <c r="O1540" s="195"/>
      <c r="P1540" s="195"/>
      <c r="Q1540" s="195"/>
    </row>
    <row r="1541" spans="1:17">
      <c r="A1541" s="180">
        <f>'רשימת מכשור 2015'!A1540</f>
        <v>0</v>
      </c>
      <c r="B1541" s="180">
        <f>'רשימת מכשור 2015'!B1540</f>
        <v>0</v>
      </c>
      <c r="C1541" s="180">
        <f>'רשימת מכשור 2015'!C1540</f>
        <v>0</v>
      </c>
      <c r="D1541" s="233">
        <f>'רשימת מכשור 2015'!D1540</f>
        <v>0</v>
      </c>
      <c r="E1541" s="180">
        <f>'רשימת מכשור 2015'!E1540</f>
        <v>0</v>
      </c>
      <c r="F1541" s="180">
        <f>'רשימת מכשור 2015'!F1540</f>
        <v>0</v>
      </c>
      <c r="G1541" s="195"/>
      <c r="H1541" s="195"/>
      <c r="I1541" s="196"/>
      <c r="J1541" s="195"/>
      <c r="K1541" s="195"/>
      <c r="L1541" s="195"/>
      <c r="M1541" s="195"/>
      <c r="N1541" s="197"/>
      <c r="O1541" s="195"/>
      <c r="P1541" s="195"/>
      <c r="Q1541" s="195"/>
    </row>
    <row r="1542" spans="1:17">
      <c r="A1542" s="180">
        <f>'רשימת מכשור 2015'!A1541</f>
        <v>0</v>
      </c>
      <c r="B1542" s="180">
        <f>'רשימת מכשור 2015'!B1541</f>
        <v>0</v>
      </c>
      <c r="C1542" s="180">
        <f>'רשימת מכשור 2015'!C1541</f>
        <v>0</v>
      </c>
      <c r="D1542" s="233">
        <f>'רשימת מכשור 2015'!D1541</f>
        <v>0</v>
      </c>
      <c r="E1542" s="180">
        <f>'רשימת מכשור 2015'!E1541</f>
        <v>0</v>
      </c>
      <c r="F1542" s="180">
        <f>'רשימת מכשור 2015'!F1541</f>
        <v>0</v>
      </c>
      <c r="G1542" s="195"/>
      <c r="H1542" s="195"/>
      <c r="I1542" s="196"/>
      <c r="J1542" s="195"/>
      <c r="K1542" s="195"/>
      <c r="L1542" s="195"/>
      <c r="M1542" s="195"/>
      <c r="N1542" s="197"/>
      <c r="O1542" s="195"/>
      <c r="P1542" s="195"/>
      <c r="Q1542" s="195"/>
    </row>
    <row r="1543" spans="1:17">
      <c r="A1543" s="180">
        <f>'רשימת מכשור 2015'!A1542</f>
        <v>0</v>
      </c>
      <c r="B1543" s="180">
        <f>'רשימת מכשור 2015'!B1542</f>
        <v>0</v>
      </c>
      <c r="C1543" s="180">
        <f>'רשימת מכשור 2015'!C1542</f>
        <v>0</v>
      </c>
      <c r="D1543" s="233">
        <f>'רשימת מכשור 2015'!D1542</f>
        <v>0</v>
      </c>
      <c r="E1543" s="180">
        <f>'רשימת מכשור 2015'!E1542</f>
        <v>0</v>
      </c>
      <c r="F1543" s="180">
        <f>'רשימת מכשור 2015'!F1542</f>
        <v>0</v>
      </c>
      <c r="G1543" s="195"/>
      <c r="H1543" s="195"/>
      <c r="I1543" s="196"/>
      <c r="J1543" s="195"/>
      <c r="K1543" s="195"/>
      <c r="L1543" s="195"/>
      <c r="M1543" s="195"/>
      <c r="N1543" s="197"/>
      <c r="O1543" s="195"/>
      <c r="P1543" s="195"/>
      <c r="Q1543" s="195"/>
    </row>
    <row r="1544" spans="1:17">
      <c r="A1544" s="180">
        <f>'רשימת מכשור 2015'!A1543</f>
        <v>0</v>
      </c>
      <c r="B1544" s="180">
        <f>'רשימת מכשור 2015'!B1543</f>
        <v>0</v>
      </c>
      <c r="C1544" s="180">
        <f>'רשימת מכשור 2015'!C1543</f>
        <v>0</v>
      </c>
      <c r="D1544" s="233">
        <f>'רשימת מכשור 2015'!D1543</f>
        <v>0</v>
      </c>
      <c r="E1544" s="180">
        <f>'רשימת מכשור 2015'!E1543</f>
        <v>0</v>
      </c>
      <c r="F1544" s="180">
        <f>'רשימת מכשור 2015'!F1543</f>
        <v>0</v>
      </c>
      <c r="G1544" s="195"/>
      <c r="H1544" s="195"/>
      <c r="I1544" s="196"/>
      <c r="J1544" s="195"/>
      <c r="K1544" s="195"/>
      <c r="L1544" s="195"/>
      <c r="M1544" s="195"/>
      <c r="N1544" s="197"/>
      <c r="O1544" s="195"/>
      <c r="P1544" s="195"/>
      <c r="Q1544" s="195"/>
    </row>
    <row r="1545" spans="1:17">
      <c r="A1545" s="180">
        <f>'רשימת מכשור 2015'!A1544</f>
        <v>0</v>
      </c>
      <c r="B1545" s="180">
        <f>'רשימת מכשור 2015'!B1544</f>
        <v>0</v>
      </c>
      <c r="C1545" s="180">
        <f>'רשימת מכשור 2015'!C1544</f>
        <v>0</v>
      </c>
      <c r="D1545" s="233">
        <f>'רשימת מכשור 2015'!D1544</f>
        <v>0</v>
      </c>
      <c r="E1545" s="180">
        <f>'רשימת מכשור 2015'!E1544</f>
        <v>0</v>
      </c>
      <c r="F1545" s="180">
        <f>'רשימת מכשור 2015'!F1544</f>
        <v>0</v>
      </c>
      <c r="G1545" s="195"/>
      <c r="H1545" s="195"/>
      <c r="I1545" s="196"/>
      <c r="J1545" s="195"/>
      <c r="K1545" s="195"/>
      <c r="L1545" s="195"/>
      <c r="M1545" s="195"/>
      <c r="N1545" s="197"/>
      <c r="O1545" s="195"/>
      <c r="P1545" s="195"/>
      <c r="Q1545" s="195"/>
    </row>
    <row r="1546" spans="1:17">
      <c r="A1546" s="180">
        <f>'רשימת מכשור 2015'!A1545</f>
        <v>0</v>
      </c>
      <c r="B1546" s="180">
        <f>'רשימת מכשור 2015'!B1545</f>
        <v>0</v>
      </c>
      <c r="C1546" s="180">
        <f>'רשימת מכשור 2015'!C1545</f>
        <v>0</v>
      </c>
      <c r="D1546" s="233">
        <f>'רשימת מכשור 2015'!D1545</f>
        <v>0</v>
      </c>
      <c r="E1546" s="180">
        <f>'רשימת מכשור 2015'!E1545</f>
        <v>0</v>
      </c>
      <c r="F1546" s="180">
        <f>'רשימת מכשור 2015'!F1545</f>
        <v>0</v>
      </c>
      <c r="G1546" s="195"/>
      <c r="H1546" s="195"/>
      <c r="I1546" s="196"/>
      <c r="J1546" s="195"/>
      <c r="K1546" s="195"/>
      <c r="L1546" s="195"/>
      <c r="M1546" s="195"/>
      <c r="N1546" s="197"/>
      <c r="O1546" s="195"/>
      <c r="P1546" s="195"/>
      <c r="Q1546" s="195"/>
    </row>
    <row r="1547" spans="1:17">
      <c r="A1547" s="180">
        <f>'רשימת מכשור 2015'!A1546</f>
        <v>0</v>
      </c>
      <c r="B1547" s="180">
        <f>'רשימת מכשור 2015'!B1546</f>
        <v>0</v>
      </c>
      <c r="C1547" s="180">
        <f>'רשימת מכשור 2015'!C1546</f>
        <v>0</v>
      </c>
      <c r="D1547" s="233">
        <f>'רשימת מכשור 2015'!D1546</f>
        <v>0</v>
      </c>
      <c r="E1547" s="180">
        <f>'רשימת מכשור 2015'!E1546</f>
        <v>0</v>
      </c>
      <c r="F1547" s="180">
        <f>'רשימת מכשור 2015'!F1546</f>
        <v>0</v>
      </c>
      <c r="G1547" s="195"/>
      <c r="H1547" s="195"/>
      <c r="I1547" s="196"/>
      <c r="J1547" s="195"/>
      <c r="K1547" s="195"/>
      <c r="L1547" s="195"/>
      <c r="M1547" s="195"/>
      <c r="N1547" s="197"/>
      <c r="O1547" s="195"/>
      <c r="P1547" s="195"/>
      <c r="Q1547" s="195"/>
    </row>
    <row r="1548" spans="1:17">
      <c r="A1548" s="180">
        <f>'רשימת מכשור 2015'!A1547</f>
        <v>0</v>
      </c>
      <c r="B1548" s="180">
        <f>'רשימת מכשור 2015'!B1547</f>
        <v>0</v>
      </c>
      <c r="C1548" s="180">
        <f>'רשימת מכשור 2015'!C1547</f>
        <v>0</v>
      </c>
      <c r="D1548" s="233">
        <f>'רשימת מכשור 2015'!D1547</f>
        <v>0</v>
      </c>
      <c r="E1548" s="180">
        <f>'רשימת מכשור 2015'!E1547</f>
        <v>0</v>
      </c>
      <c r="F1548" s="180">
        <f>'רשימת מכשור 2015'!F1547</f>
        <v>0</v>
      </c>
      <c r="G1548" s="195"/>
      <c r="H1548" s="195"/>
      <c r="I1548" s="196"/>
      <c r="J1548" s="195"/>
      <c r="K1548" s="195"/>
      <c r="L1548" s="195"/>
      <c r="M1548" s="195"/>
      <c r="N1548" s="197"/>
      <c r="O1548" s="195"/>
      <c r="P1548" s="195"/>
      <c r="Q1548" s="195"/>
    </row>
    <row r="1549" spans="1:17">
      <c r="A1549" s="180">
        <f>'רשימת מכשור 2015'!A1548</f>
        <v>0</v>
      </c>
      <c r="B1549" s="180">
        <f>'רשימת מכשור 2015'!B1548</f>
        <v>0</v>
      </c>
      <c r="C1549" s="180">
        <f>'רשימת מכשור 2015'!C1548</f>
        <v>0</v>
      </c>
      <c r="D1549" s="233">
        <f>'רשימת מכשור 2015'!D1548</f>
        <v>0</v>
      </c>
      <c r="E1549" s="180">
        <f>'רשימת מכשור 2015'!E1548</f>
        <v>0</v>
      </c>
      <c r="F1549" s="180">
        <f>'רשימת מכשור 2015'!F1548</f>
        <v>0</v>
      </c>
      <c r="G1549" s="195"/>
      <c r="H1549" s="195"/>
      <c r="I1549" s="196"/>
      <c r="J1549" s="195"/>
      <c r="K1549" s="195"/>
      <c r="L1549" s="195"/>
      <c r="M1549" s="195"/>
      <c r="N1549" s="197"/>
      <c r="O1549" s="195"/>
      <c r="P1549" s="195"/>
      <c r="Q1549" s="195"/>
    </row>
    <row r="1550" spans="1:17">
      <c r="A1550" s="180">
        <f>'רשימת מכשור 2015'!A1549</f>
        <v>0</v>
      </c>
      <c r="B1550" s="180">
        <f>'רשימת מכשור 2015'!B1549</f>
        <v>0</v>
      </c>
      <c r="C1550" s="180">
        <f>'רשימת מכשור 2015'!C1549</f>
        <v>0</v>
      </c>
      <c r="D1550" s="233">
        <f>'רשימת מכשור 2015'!D1549</f>
        <v>0</v>
      </c>
      <c r="E1550" s="180">
        <f>'רשימת מכשור 2015'!E1549</f>
        <v>0</v>
      </c>
      <c r="F1550" s="180">
        <f>'רשימת מכשור 2015'!F1549</f>
        <v>0</v>
      </c>
      <c r="G1550" s="195"/>
      <c r="H1550" s="195"/>
      <c r="I1550" s="196"/>
      <c r="J1550" s="195"/>
      <c r="K1550" s="195"/>
      <c r="L1550" s="195"/>
      <c r="M1550" s="195"/>
      <c r="N1550" s="197"/>
      <c r="O1550" s="195"/>
      <c r="P1550" s="195"/>
      <c r="Q1550" s="195"/>
    </row>
    <row r="1551" spans="1:17">
      <c r="A1551" s="180">
        <f>'רשימת מכשור 2015'!A1550</f>
        <v>0</v>
      </c>
      <c r="B1551" s="180">
        <f>'רשימת מכשור 2015'!B1550</f>
        <v>0</v>
      </c>
      <c r="C1551" s="180">
        <f>'רשימת מכשור 2015'!C1550</f>
        <v>0</v>
      </c>
      <c r="D1551" s="233">
        <f>'רשימת מכשור 2015'!D1550</f>
        <v>0</v>
      </c>
      <c r="E1551" s="180">
        <f>'רשימת מכשור 2015'!E1550</f>
        <v>0</v>
      </c>
      <c r="F1551" s="180">
        <f>'רשימת מכשור 2015'!F1550</f>
        <v>0</v>
      </c>
      <c r="G1551" s="195"/>
      <c r="H1551" s="195"/>
      <c r="I1551" s="196"/>
      <c r="J1551" s="195"/>
      <c r="K1551" s="195"/>
      <c r="L1551" s="195"/>
      <c r="M1551" s="195"/>
      <c r="N1551" s="197"/>
      <c r="O1551" s="195"/>
      <c r="P1551" s="195"/>
      <c r="Q1551" s="195"/>
    </row>
    <row r="1552" spans="1:17">
      <c r="A1552" s="180">
        <f>'רשימת מכשור 2015'!A1551</f>
        <v>0</v>
      </c>
      <c r="B1552" s="180">
        <f>'רשימת מכשור 2015'!B1551</f>
        <v>0</v>
      </c>
      <c r="C1552" s="180">
        <f>'רשימת מכשור 2015'!C1551</f>
        <v>0</v>
      </c>
      <c r="D1552" s="233">
        <f>'רשימת מכשור 2015'!D1551</f>
        <v>0</v>
      </c>
      <c r="E1552" s="180">
        <f>'רשימת מכשור 2015'!E1551</f>
        <v>0</v>
      </c>
      <c r="F1552" s="180">
        <f>'רשימת מכשור 2015'!F1551</f>
        <v>0</v>
      </c>
      <c r="G1552" s="195"/>
      <c r="H1552" s="195"/>
      <c r="I1552" s="196"/>
      <c r="J1552" s="195"/>
      <c r="K1552" s="195"/>
      <c r="L1552" s="195"/>
      <c r="M1552" s="195"/>
      <c r="N1552" s="197"/>
      <c r="O1552" s="195"/>
      <c r="P1552" s="195"/>
      <c r="Q1552" s="195"/>
    </row>
    <row r="1553" spans="1:17">
      <c r="A1553" s="180">
        <f>'רשימת מכשור 2015'!A1552</f>
        <v>0</v>
      </c>
      <c r="B1553" s="180">
        <f>'רשימת מכשור 2015'!B1552</f>
        <v>0</v>
      </c>
      <c r="C1553" s="180">
        <f>'רשימת מכשור 2015'!C1552</f>
        <v>0</v>
      </c>
      <c r="D1553" s="233">
        <f>'רשימת מכשור 2015'!D1552</f>
        <v>0</v>
      </c>
      <c r="E1553" s="180">
        <f>'רשימת מכשור 2015'!E1552</f>
        <v>0</v>
      </c>
      <c r="F1553" s="180">
        <f>'רשימת מכשור 2015'!F1552</f>
        <v>0</v>
      </c>
      <c r="G1553" s="195"/>
      <c r="H1553" s="195"/>
      <c r="I1553" s="196"/>
      <c r="J1553" s="195"/>
      <c r="K1553" s="195"/>
      <c r="L1553" s="195"/>
      <c r="M1553" s="195"/>
      <c r="N1553" s="197"/>
      <c r="O1553" s="195"/>
      <c r="P1553" s="195"/>
      <c r="Q1553" s="195"/>
    </row>
    <row r="1554" spans="1:17">
      <c r="A1554" s="180">
        <f>'רשימת מכשור 2015'!A1553</f>
        <v>0</v>
      </c>
      <c r="B1554" s="180">
        <f>'רשימת מכשור 2015'!B1553</f>
        <v>0</v>
      </c>
      <c r="C1554" s="180">
        <f>'רשימת מכשור 2015'!C1553</f>
        <v>0</v>
      </c>
      <c r="D1554" s="233">
        <f>'רשימת מכשור 2015'!D1553</f>
        <v>0</v>
      </c>
      <c r="E1554" s="180">
        <f>'רשימת מכשור 2015'!E1553</f>
        <v>0</v>
      </c>
      <c r="F1554" s="180">
        <f>'רשימת מכשור 2015'!F1553</f>
        <v>0</v>
      </c>
      <c r="G1554" s="195"/>
      <c r="H1554" s="195"/>
      <c r="I1554" s="196"/>
      <c r="J1554" s="195"/>
      <c r="K1554" s="195"/>
      <c r="L1554" s="195"/>
      <c r="M1554" s="195"/>
      <c r="N1554" s="197"/>
      <c r="O1554" s="195"/>
      <c r="P1554" s="195"/>
      <c r="Q1554" s="195"/>
    </row>
    <row r="1555" spans="1:17">
      <c r="A1555" s="180">
        <f>'רשימת מכשור 2015'!A1554</f>
        <v>0</v>
      </c>
      <c r="B1555" s="180">
        <f>'רשימת מכשור 2015'!B1554</f>
        <v>0</v>
      </c>
      <c r="C1555" s="180">
        <f>'רשימת מכשור 2015'!C1554</f>
        <v>0</v>
      </c>
      <c r="D1555" s="233">
        <f>'רשימת מכשור 2015'!D1554</f>
        <v>0</v>
      </c>
      <c r="E1555" s="180">
        <f>'רשימת מכשור 2015'!E1554</f>
        <v>0</v>
      </c>
      <c r="F1555" s="180">
        <f>'רשימת מכשור 2015'!F1554</f>
        <v>0</v>
      </c>
      <c r="G1555" s="195"/>
      <c r="H1555" s="195"/>
      <c r="I1555" s="196"/>
      <c r="J1555" s="195"/>
      <c r="K1555" s="195"/>
      <c r="L1555" s="195"/>
      <c r="M1555" s="195"/>
      <c r="N1555" s="197"/>
      <c r="O1555" s="195"/>
      <c r="P1555" s="195"/>
      <c r="Q1555" s="195"/>
    </row>
    <row r="1556" spans="1:17">
      <c r="A1556" s="180">
        <f>'רשימת מכשור 2015'!A1555</f>
        <v>0</v>
      </c>
      <c r="B1556" s="180">
        <f>'רשימת מכשור 2015'!B1555</f>
        <v>0</v>
      </c>
      <c r="C1556" s="180">
        <f>'רשימת מכשור 2015'!C1555</f>
        <v>0</v>
      </c>
      <c r="D1556" s="233">
        <f>'רשימת מכשור 2015'!D1555</f>
        <v>0</v>
      </c>
      <c r="E1556" s="180">
        <f>'רשימת מכשור 2015'!E1555</f>
        <v>0</v>
      </c>
      <c r="F1556" s="180">
        <f>'רשימת מכשור 2015'!F1555</f>
        <v>0</v>
      </c>
      <c r="G1556" s="195"/>
      <c r="H1556" s="195"/>
      <c r="I1556" s="196"/>
      <c r="J1556" s="195"/>
      <c r="K1556" s="195"/>
      <c r="L1556" s="195"/>
      <c r="M1556" s="195"/>
      <c r="N1556" s="197"/>
      <c r="O1556" s="195"/>
      <c r="P1556" s="195"/>
      <c r="Q1556" s="195"/>
    </row>
    <row r="1557" spans="1:17">
      <c r="A1557" s="180">
        <f>'רשימת מכשור 2015'!A1556</f>
        <v>0</v>
      </c>
      <c r="B1557" s="180">
        <f>'רשימת מכשור 2015'!B1556</f>
        <v>0</v>
      </c>
      <c r="C1557" s="180">
        <f>'רשימת מכשור 2015'!C1556</f>
        <v>0</v>
      </c>
      <c r="D1557" s="233">
        <f>'רשימת מכשור 2015'!D1556</f>
        <v>0</v>
      </c>
      <c r="E1557" s="180">
        <f>'רשימת מכשור 2015'!E1556</f>
        <v>0</v>
      </c>
      <c r="F1557" s="180">
        <f>'רשימת מכשור 2015'!F1556</f>
        <v>0</v>
      </c>
      <c r="G1557" s="195"/>
      <c r="H1557" s="195"/>
      <c r="I1557" s="196"/>
      <c r="J1557" s="195"/>
      <c r="K1557" s="195"/>
      <c r="L1557" s="195"/>
      <c r="M1557" s="195"/>
      <c r="N1557" s="197"/>
      <c r="O1557" s="195"/>
      <c r="P1557" s="195"/>
      <c r="Q1557" s="195"/>
    </row>
    <row r="1558" spans="1:17">
      <c r="A1558" s="180">
        <f>'רשימת מכשור 2015'!A1557</f>
        <v>0</v>
      </c>
      <c r="B1558" s="180">
        <f>'רשימת מכשור 2015'!B1557</f>
        <v>0</v>
      </c>
      <c r="C1558" s="180">
        <f>'רשימת מכשור 2015'!C1557</f>
        <v>0</v>
      </c>
      <c r="D1558" s="233">
        <f>'רשימת מכשור 2015'!D1557</f>
        <v>0</v>
      </c>
      <c r="E1558" s="180">
        <f>'רשימת מכשור 2015'!E1557</f>
        <v>0</v>
      </c>
      <c r="F1558" s="180">
        <f>'רשימת מכשור 2015'!F1557</f>
        <v>0</v>
      </c>
      <c r="G1558" s="195"/>
      <c r="H1558" s="195"/>
      <c r="I1558" s="196"/>
      <c r="J1558" s="195"/>
      <c r="K1558" s="195"/>
      <c r="L1558" s="195"/>
      <c r="M1558" s="195"/>
      <c r="N1558" s="197"/>
      <c r="O1558" s="195"/>
      <c r="P1558" s="195"/>
      <c r="Q1558" s="195"/>
    </row>
    <row r="1559" spans="1:17">
      <c r="A1559" s="180">
        <f>'רשימת מכשור 2015'!A1558</f>
        <v>0</v>
      </c>
      <c r="B1559" s="180">
        <f>'רשימת מכשור 2015'!B1558</f>
        <v>0</v>
      </c>
      <c r="C1559" s="180">
        <f>'רשימת מכשור 2015'!C1558</f>
        <v>0</v>
      </c>
      <c r="D1559" s="233">
        <f>'רשימת מכשור 2015'!D1558</f>
        <v>0</v>
      </c>
      <c r="E1559" s="180">
        <f>'רשימת מכשור 2015'!E1558</f>
        <v>0</v>
      </c>
      <c r="F1559" s="180">
        <f>'רשימת מכשור 2015'!F1558</f>
        <v>0</v>
      </c>
      <c r="G1559" s="195"/>
      <c r="H1559" s="195"/>
      <c r="I1559" s="196"/>
      <c r="J1559" s="195"/>
      <c r="K1559" s="195"/>
      <c r="L1559" s="195"/>
      <c r="M1559" s="195"/>
      <c r="N1559" s="197"/>
      <c r="O1559" s="195"/>
      <c r="P1559" s="195"/>
      <c r="Q1559" s="195"/>
    </row>
    <row r="1560" spans="1:17">
      <c r="A1560" s="180">
        <f>'רשימת מכשור 2015'!A1559</f>
        <v>0</v>
      </c>
      <c r="B1560" s="180">
        <f>'רשימת מכשור 2015'!B1559</f>
        <v>0</v>
      </c>
      <c r="C1560" s="180">
        <f>'רשימת מכשור 2015'!C1559</f>
        <v>0</v>
      </c>
      <c r="D1560" s="233">
        <f>'רשימת מכשור 2015'!D1559</f>
        <v>0</v>
      </c>
      <c r="E1560" s="180">
        <f>'רשימת מכשור 2015'!E1559</f>
        <v>0</v>
      </c>
      <c r="F1560" s="180">
        <f>'רשימת מכשור 2015'!F1559</f>
        <v>0</v>
      </c>
      <c r="G1560" s="195"/>
      <c r="H1560" s="195"/>
      <c r="I1560" s="196"/>
      <c r="J1560" s="195"/>
      <c r="K1560" s="195"/>
      <c r="L1560" s="195"/>
      <c r="M1560" s="195"/>
      <c r="N1560" s="197"/>
      <c r="O1560" s="195"/>
      <c r="P1560" s="195"/>
      <c r="Q1560" s="195"/>
    </row>
    <row r="1561" spans="1:17">
      <c r="A1561" s="180">
        <f>'רשימת מכשור 2015'!A1560</f>
        <v>0</v>
      </c>
      <c r="B1561" s="180">
        <f>'רשימת מכשור 2015'!B1560</f>
        <v>0</v>
      </c>
      <c r="C1561" s="180">
        <f>'רשימת מכשור 2015'!C1560</f>
        <v>0</v>
      </c>
      <c r="D1561" s="233">
        <f>'רשימת מכשור 2015'!D1560</f>
        <v>0</v>
      </c>
      <c r="E1561" s="180">
        <f>'רשימת מכשור 2015'!E1560</f>
        <v>0</v>
      </c>
      <c r="F1561" s="180">
        <f>'רשימת מכשור 2015'!F1560</f>
        <v>0</v>
      </c>
      <c r="G1561" s="195"/>
      <c r="H1561" s="195"/>
      <c r="I1561" s="196"/>
      <c r="J1561" s="195"/>
      <c r="K1561" s="195"/>
      <c r="L1561" s="195"/>
      <c r="M1561" s="195"/>
      <c r="N1561" s="197"/>
      <c r="O1561" s="195"/>
      <c r="P1561" s="195"/>
      <c r="Q1561" s="195"/>
    </row>
    <row r="1562" spans="1:17">
      <c r="A1562" s="180">
        <f>'רשימת מכשור 2015'!A1561</f>
        <v>0</v>
      </c>
      <c r="B1562" s="180">
        <f>'רשימת מכשור 2015'!B1561</f>
        <v>0</v>
      </c>
      <c r="C1562" s="180">
        <f>'רשימת מכשור 2015'!C1561</f>
        <v>0</v>
      </c>
      <c r="D1562" s="233">
        <f>'רשימת מכשור 2015'!D1561</f>
        <v>0</v>
      </c>
      <c r="E1562" s="180">
        <f>'רשימת מכשור 2015'!E1561</f>
        <v>0</v>
      </c>
      <c r="F1562" s="180">
        <f>'רשימת מכשור 2015'!F1561</f>
        <v>0</v>
      </c>
      <c r="G1562" s="195"/>
      <c r="H1562" s="195"/>
      <c r="I1562" s="196"/>
      <c r="J1562" s="195"/>
      <c r="K1562" s="195"/>
      <c r="L1562" s="195"/>
      <c r="M1562" s="195"/>
      <c r="N1562" s="197"/>
      <c r="O1562" s="195"/>
      <c r="P1562" s="195"/>
      <c r="Q1562" s="195"/>
    </row>
    <row r="1563" spans="1:17">
      <c r="A1563" s="180">
        <f>'רשימת מכשור 2015'!A1562</f>
        <v>0</v>
      </c>
      <c r="B1563" s="180">
        <f>'רשימת מכשור 2015'!B1562</f>
        <v>0</v>
      </c>
      <c r="C1563" s="180">
        <f>'רשימת מכשור 2015'!C1562</f>
        <v>0</v>
      </c>
      <c r="D1563" s="233">
        <f>'רשימת מכשור 2015'!D1562</f>
        <v>0</v>
      </c>
      <c r="E1563" s="180">
        <f>'רשימת מכשור 2015'!E1562</f>
        <v>0</v>
      </c>
      <c r="F1563" s="180">
        <f>'רשימת מכשור 2015'!F1562</f>
        <v>0</v>
      </c>
      <c r="G1563" s="195"/>
      <c r="H1563" s="195"/>
      <c r="I1563" s="196"/>
      <c r="J1563" s="195"/>
      <c r="K1563" s="195"/>
      <c r="L1563" s="195"/>
      <c r="M1563" s="195"/>
      <c r="N1563" s="197"/>
      <c r="O1563" s="195"/>
      <c r="P1563" s="195"/>
      <c r="Q1563" s="195"/>
    </row>
    <row r="1564" spans="1:17">
      <c r="A1564" s="180">
        <f>'רשימת מכשור 2015'!A1563</f>
        <v>0</v>
      </c>
      <c r="B1564" s="180">
        <f>'רשימת מכשור 2015'!B1563</f>
        <v>0</v>
      </c>
      <c r="C1564" s="180">
        <f>'רשימת מכשור 2015'!C1563</f>
        <v>0</v>
      </c>
      <c r="D1564" s="233">
        <f>'רשימת מכשור 2015'!D1563</f>
        <v>0</v>
      </c>
      <c r="E1564" s="180">
        <f>'רשימת מכשור 2015'!E1563</f>
        <v>0</v>
      </c>
      <c r="F1564" s="180">
        <f>'רשימת מכשור 2015'!F1563</f>
        <v>0</v>
      </c>
      <c r="G1564" s="195"/>
      <c r="H1564" s="195"/>
      <c r="I1564" s="196"/>
      <c r="J1564" s="195"/>
      <c r="K1564" s="195"/>
      <c r="L1564" s="195"/>
      <c r="M1564" s="195"/>
      <c r="N1564" s="197"/>
      <c r="O1564" s="195"/>
      <c r="P1564" s="195"/>
      <c r="Q1564" s="195"/>
    </row>
    <row r="1565" spans="1:17">
      <c r="A1565" s="180">
        <f>'רשימת מכשור 2015'!A1564</f>
        <v>0</v>
      </c>
      <c r="B1565" s="180">
        <f>'רשימת מכשור 2015'!B1564</f>
        <v>0</v>
      </c>
      <c r="C1565" s="180">
        <f>'רשימת מכשור 2015'!C1564</f>
        <v>0</v>
      </c>
      <c r="D1565" s="233">
        <f>'רשימת מכשור 2015'!D1564</f>
        <v>0</v>
      </c>
      <c r="E1565" s="180">
        <f>'רשימת מכשור 2015'!E1564</f>
        <v>0</v>
      </c>
      <c r="F1565" s="180">
        <f>'רשימת מכשור 2015'!F1564</f>
        <v>0</v>
      </c>
      <c r="G1565" s="195"/>
      <c r="H1565" s="195"/>
      <c r="I1565" s="196"/>
      <c r="J1565" s="195"/>
      <c r="K1565" s="195"/>
      <c r="L1565" s="195"/>
      <c r="M1565" s="195"/>
      <c r="N1565" s="197"/>
      <c r="O1565" s="195"/>
      <c r="P1565" s="195"/>
      <c r="Q1565" s="195"/>
    </row>
    <row r="1566" spans="1:17">
      <c r="A1566" s="180">
        <f>'רשימת מכשור 2015'!A1565</f>
        <v>0</v>
      </c>
      <c r="B1566" s="180">
        <f>'רשימת מכשור 2015'!B1565</f>
        <v>0</v>
      </c>
      <c r="C1566" s="180">
        <f>'רשימת מכשור 2015'!C1565</f>
        <v>0</v>
      </c>
      <c r="D1566" s="233">
        <f>'רשימת מכשור 2015'!D1565</f>
        <v>0</v>
      </c>
      <c r="E1566" s="180">
        <f>'רשימת מכשור 2015'!E1565</f>
        <v>0</v>
      </c>
      <c r="F1566" s="180">
        <f>'רשימת מכשור 2015'!F1565</f>
        <v>0</v>
      </c>
      <c r="G1566" s="195"/>
      <c r="H1566" s="195"/>
      <c r="I1566" s="196"/>
      <c r="J1566" s="195"/>
      <c r="K1566" s="195"/>
      <c r="L1566" s="195"/>
      <c r="M1566" s="195"/>
      <c r="N1566" s="197"/>
      <c r="O1566" s="195"/>
      <c r="P1566" s="195"/>
      <c r="Q1566" s="195"/>
    </row>
    <row r="1567" spans="1:17">
      <c r="A1567" s="180">
        <f>'רשימת מכשור 2015'!A1566</f>
        <v>0</v>
      </c>
      <c r="B1567" s="180">
        <f>'רשימת מכשור 2015'!B1566</f>
        <v>0</v>
      </c>
      <c r="C1567" s="180">
        <f>'רשימת מכשור 2015'!C1566</f>
        <v>0</v>
      </c>
      <c r="D1567" s="233">
        <f>'רשימת מכשור 2015'!D1566</f>
        <v>0</v>
      </c>
      <c r="E1567" s="180">
        <f>'רשימת מכשור 2015'!E1566</f>
        <v>0</v>
      </c>
      <c r="F1567" s="180">
        <f>'רשימת מכשור 2015'!F1566</f>
        <v>0</v>
      </c>
      <c r="G1567" s="195"/>
      <c r="H1567" s="195"/>
      <c r="I1567" s="196"/>
      <c r="J1567" s="195"/>
      <c r="K1567" s="195"/>
      <c r="L1567" s="195"/>
      <c r="M1567" s="195"/>
      <c r="N1567" s="197"/>
      <c r="O1567" s="195"/>
      <c r="P1567" s="195"/>
      <c r="Q1567" s="195"/>
    </row>
    <row r="1568" spans="1:17">
      <c r="A1568" s="180">
        <f>'רשימת מכשור 2015'!A1567</f>
        <v>0</v>
      </c>
      <c r="B1568" s="180">
        <f>'רשימת מכשור 2015'!B1567</f>
        <v>0</v>
      </c>
      <c r="C1568" s="180">
        <f>'רשימת מכשור 2015'!C1567</f>
        <v>0</v>
      </c>
      <c r="D1568" s="233">
        <f>'רשימת מכשור 2015'!D1567</f>
        <v>0</v>
      </c>
      <c r="E1568" s="180">
        <f>'רשימת מכשור 2015'!E1567</f>
        <v>0</v>
      </c>
      <c r="F1568" s="180">
        <f>'רשימת מכשור 2015'!F1567</f>
        <v>0</v>
      </c>
      <c r="G1568" s="195"/>
      <c r="H1568" s="195"/>
      <c r="I1568" s="196"/>
      <c r="J1568" s="195"/>
      <c r="K1568" s="195"/>
      <c r="L1568" s="195"/>
      <c r="M1568" s="195"/>
      <c r="N1568" s="197"/>
      <c r="O1568" s="195"/>
      <c r="P1568" s="195"/>
      <c r="Q1568" s="195"/>
    </row>
    <row r="1569" spans="1:17">
      <c r="A1569" s="180">
        <f>'רשימת מכשור 2015'!A1568</f>
        <v>0</v>
      </c>
      <c r="B1569" s="180">
        <f>'רשימת מכשור 2015'!B1568</f>
        <v>0</v>
      </c>
      <c r="C1569" s="180">
        <f>'רשימת מכשור 2015'!C1568</f>
        <v>0</v>
      </c>
      <c r="D1569" s="233">
        <f>'רשימת מכשור 2015'!D1568</f>
        <v>0</v>
      </c>
      <c r="E1569" s="180">
        <f>'רשימת מכשור 2015'!E1568</f>
        <v>0</v>
      </c>
      <c r="F1569" s="180">
        <f>'רשימת מכשור 2015'!F1568</f>
        <v>0</v>
      </c>
      <c r="G1569" s="195"/>
      <c r="H1569" s="195"/>
      <c r="I1569" s="196"/>
      <c r="J1569" s="195"/>
      <c r="K1569" s="195"/>
      <c r="L1569" s="195"/>
      <c r="M1569" s="195"/>
      <c r="N1569" s="197"/>
      <c r="O1569" s="195"/>
      <c r="P1569" s="195"/>
      <c r="Q1569" s="195"/>
    </row>
    <row r="1570" spans="1:17">
      <c r="A1570" s="180">
        <f>'רשימת מכשור 2015'!A1569</f>
        <v>0</v>
      </c>
      <c r="B1570" s="180">
        <f>'רשימת מכשור 2015'!B1569</f>
        <v>0</v>
      </c>
      <c r="C1570" s="180">
        <f>'רשימת מכשור 2015'!C1569</f>
        <v>0</v>
      </c>
      <c r="D1570" s="233">
        <f>'רשימת מכשור 2015'!D1569</f>
        <v>0</v>
      </c>
      <c r="E1570" s="180">
        <f>'רשימת מכשור 2015'!E1569</f>
        <v>0</v>
      </c>
      <c r="F1570" s="180">
        <f>'רשימת מכשור 2015'!F1569</f>
        <v>0</v>
      </c>
      <c r="G1570" s="195"/>
      <c r="H1570" s="195"/>
      <c r="I1570" s="196"/>
      <c r="J1570" s="195"/>
      <c r="K1570" s="195"/>
      <c r="L1570" s="195"/>
      <c r="M1570" s="195"/>
      <c r="N1570" s="197"/>
      <c r="O1570" s="195"/>
      <c r="P1570" s="195"/>
      <c r="Q1570" s="195"/>
    </row>
    <row r="1571" spans="1:17">
      <c r="A1571" s="180">
        <f>'רשימת מכשור 2015'!A1570</f>
        <v>0</v>
      </c>
      <c r="B1571" s="180">
        <f>'רשימת מכשור 2015'!B1570</f>
        <v>0</v>
      </c>
      <c r="C1571" s="180">
        <f>'רשימת מכשור 2015'!C1570</f>
        <v>0</v>
      </c>
      <c r="D1571" s="233">
        <f>'רשימת מכשור 2015'!D1570</f>
        <v>0</v>
      </c>
      <c r="E1571" s="180">
        <f>'רשימת מכשור 2015'!E1570</f>
        <v>0</v>
      </c>
      <c r="F1571" s="180">
        <f>'רשימת מכשור 2015'!F1570</f>
        <v>0</v>
      </c>
      <c r="G1571" s="195"/>
      <c r="H1571" s="195"/>
      <c r="I1571" s="196"/>
      <c r="J1571" s="195"/>
      <c r="K1571" s="195"/>
      <c r="L1571" s="195"/>
      <c r="M1571" s="195"/>
      <c r="N1571" s="197"/>
      <c r="O1571" s="195"/>
      <c r="P1571" s="195"/>
      <c r="Q1571" s="195"/>
    </row>
    <row r="1572" spans="1:17">
      <c r="A1572" s="180">
        <f>'רשימת מכשור 2015'!A1571</f>
        <v>0</v>
      </c>
      <c r="B1572" s="180">
        <f>'רשימת מכשור 2015'!B1571</f>
        <v>0</v>
      </c>
      <c r="C1572" s="180">
        <f>'רשימת מכשור 2015'!C1571</f>
        <v>0</v>
      </c>
      <c r="D1572" s="233">
        <f>'רשימת מכשור 2015'!D1571</f>
        <v>0</v>
      </c>
      <c r="E1572" s="180">
        <f>'רשימת מכשור 2015'!E1571</f>
        <v>0</v>
      </c>
      <c r="F1572" s="180">
        <f>'רשימת מכשור 2015'!F1571</f>
        <v>0</v>
      </c>
      <c r="G1572" s="195"/>
      <c r="H1572" s="195"/>
      <c r="I1572" s="196"/>
      <c r="J1572" s="195"/>
      <c r="K1572" s="195"/>
      <c r="L1572" s="195"/>
      <c r="M1572" s="195"/>
      <c r="N1572" s="197"/>
      <c r="O1572" s="195"/>
      <c r="P1572" s="195"/>
      <c r="Q1572" s="195"/>
    </row>
    <row r="1573" spans="1:17">
      <c r="A1573" s="180">
        <f>'רשימת מכשור 2015'!A1572</f>
        <v>0</v>
      </c>
      <c r="B1573" s="180">
        <f>'רשימת מכשור 2015'!B1572</f>
        <v>0</v>
      </c>
      <c r="C1573" s="180">
        <f>'רשימת מכשור 2015'!C1572</f>
        <v>0</v>
      </c>
      <c r="D1573" s="233">
        <f>'רשימת מכשור 2015'!D1572</f>
        <v>0</v>
      </c>
      <c r="E1573" s="180">
        <f>'רשימת מכשור 2015'!E1572</f>
        <v>0</v>
      </c>
      <c r="F1573" s="180">
        <f>'רשימת מכשור 2015'!F1572</f>
        <v>0</v>
      </c>
      <c r="G1573" s="195"/>
      <c r="H1573" s="195"/>
      <c r="I1573" s="196"/>
      <c r="J1573" s="195"/>
      <c r="K1573" s="195"/>
      <c r="L1573" s="195"/>
      <c r="M1573" s="195"/>
      <c r="N1573" s="197"/>
      <c r="O1573" s="195"/>
      <c r="P1573" s="195"/>
      <c r="Q1573" s="195"/>
    </row>
    <row r="1574" spans="1:17">
      <c r="A1574" s="180">
        <f>'רשימת מכשור 2015'!A1573</f>
        <v>0</v>
      </c>
      <c r="B1574" s="180">
        <f>'רשימת מכשור 2015'!B1573</f>
        <v>0</v>
      </c>
      <c r="C1574" s="180">
        <f>'רשימת מכשור 2015'!C1573</f>
        <v>0</v>
      </c>
      <c r="D1574" s="233">
        <f>'רשימת מכשור 2015'!D1573</f>
        <v>0</v>
      </c>
      <c r="E1574" s="180">
        <f>'רשימת מכשור 2015'!E1573</f>
        <v>0</v>
      </c>
      <c r="F1574" s="180">
        <f>'רשימת מכשור 2015'!F1573</f>
        <v>0</v>
      </c>
      <c r="G1574" s="195"/>
      <c r="H1574" s="195"/>
      <c r="I1574" s="196"/>
      <c r="J1574" s="195"/>
      <c r="K1574" s="195"/>
      <c r="L1574" s="195"/>
      <c r="M1574" s="195"/>
      <c r="N1574" s="197"/>
      <c r="O1574" s="195"/>
      <c r="P1574" s="195"/>
      <c r="Q1574" s="195"/>
    </row>
    <row r="1575" spans="1:17">
      <c r="A1575" s="180">
        <f>'רשימת מכשור 2015'!A1574</f>
        <v>0</v>
      </c>
      <c r="B1575" s="180">
        <f>'רשימת מכשור 2015'!B1574</f>
        <v>0</v>
      </c>
      <c r="C1575" s="180">
        <f>'רשימת מכשור 2015'!C1574</f>
        <v>0</v>
      </c>
      <c r="D1575" s="233">
        <f>'רשימת מכשור 2015'!D1574</f>
        <v>0</v>
      </c>
      <c r="E1575" s="180">
        <f>'רשימת מכשור 2015'!E1574</f>
        <v>0</v>
      </c>
      <c r="F1575" s="180">
        <f>'רשימת מכשור 2015'!F1574</f>
        <v>0</v>
      </c>
      <c r="G1575" s="195"/>
      <c r="H1575" s="195"/>
      <c r="I1575" s="196"/>
      <c r="J1575" s="195"/>
      <c r="K1575" s="195"/>
      <c r="L1575" s="195"/>
      <c r="M1575" s="195"/>
      <c r="N1575" s="197"/>
      <c r="O1575" s="195"/>
      <c r="P1575" s="195"/>
      <c r="Q1575" s="195"/>
    </row>
    <row r="1576" spans="1:17">
      <c r="A1576" s="180">
        <f>'רשימת מכשור 2015'!A1575</f>
        <v>0</v>
      </c>
      <c r="B1576" s="180">
        <f>'רשימת מכשור 2015'!B1575</f>
        <v>0</v>
      </c>
      <c r="C1576" s="180">
        <f>'רשימת מכשור 2015'!C1575</f>
        <v>0</v>
      </c>
      <c r="D1576" s="233">
        <f>'רשימת מכשור 2015'!D1575</f>
        <v>0</v>
      </c>
      <c r="E1576" s="180">
        <f>'רשימת מכשור 2015'!E1575</f>
        <v>0</v>
      </c>
      <c r="F1576" s="180">
        <f>'רשימת מכשור 2015'!F1575</f>
        <v>0</v>
      </c>
      <c r="G1576" s="195"/>
      <c r="H1576" s="195"/>
      <c r="I1576" s="196"/>
      <c r="J1576" s="195"/>
      <c r="K1576" s="195"/>
      <c r="L1576" s="195"/>
      <c r="M1576" s="195"/>
      <c r="N1576" s="197"/>
      <c r="O1576" s="195"/>
      <c r="P1576" s="195"/>
      <c r="Q1576" s="195"/>
    </row>
    <row r="1577" spans="1:17">
      <c r="A1577" s="180">
        <f>'רשימת מכשור 2015'!A1576</f>
        <v>0</v>
      </c>
      <c r="B1577" s="180">
        <f>'רשימת מכשור 2015'!B1576</f>
        <v>0</v>
      </c>
      <c r="C1577" s="180">
        <f>'רשימת מכשור 2015'!C1576</f>
        <v>0</v>
      </c>
      <c r="D1577" s="233">
        <f>'רשימת מכשור 2015'!D1576</f>
        <v>0</v>
      </c>
      <c r="E1577" s="180">
        <f>'רשימת מכשור 2015'!E1576</f>
        <v>0</v>
      </c>
      <c r="F1577" s="180">
        <f>'רשימת מכשור 2015'!F1576</f>
        <v>0</v>
      </c>
      <c r="G1577" s="195"/>
      <c r="H1577" s="195"/>
      <c r="I1577" s="196"/>
      <c r="J1577" s="195"/>
      <c r="K1577" s="195"/>
      <c r="L1577" s="195"/>
      <c r="M1577" s="195"/>
      <c r="N1577" s="197"/>
      <c r="O1577" s="195"/>
      <c r="P1577" s="195"/>
      <c r="Q1577" s="195"/>
    </row>
    <row r="1578" spans="1:17">
      <c r="A1578" s="180">
        <f>'רשימת מכשור 2015'!A1577</f>
        <v>0</v>
      </c>
      <c r="B1578" s="180">
        <f>'רשימת מכשור 2015'!B1577</f>
        <v>0</v>
      </c>
      <c r="C1578" s="180">
        <f>'רשימת מכשור 2015'!C1577</f>
        <v>0</v>
      </c>
      <c r="D1578" s="233">
        <f>'רשימת מכשור 2015'!D1577</f>
        <v>0</v>
      </c>
      <c r="E1578" s="180">
        <f>'רשימת מכשור 2015'!E1577</f>
        <v>0</v>
      </c>
      <c r="F1578" s="180">
        <f>'רשימת מכשור 2015'!F1577</f>
        <v>0</v>
      </c>
      <c r="G1578" s="195"/>
      <c r="H1578" s="195"/>
      <c r="I1578" s="196"/>
      <c r="J1578" s="195"/>
      <c r="K1578" s="195"/>
      <c r="L1578" s="195"/>
      <c r="M1578" s="195"/>
      <c r="N1578" s="197"/>
      <c r="O1578" s="195"/>
      <c r="P1578" s="195"/>
      <c r="Q1578" s="195"/>
    </row>
    <row r="1579" spans="1:17">
      <c r="A1579" s="180">
        <f>'רשימת מכשור 2015'!A1578</f>
        <v>0</v>
      </c>
      <c r="B1579" s="180">
        <f>'רשימת מכשור 2015'!B1578</f>
        <v>0</v>
      </c>
      <c r="C1579" s="180">
        <f>'רשימת מכשור 2015'!C1578</f>
        <v>0</v>
      </c>
      <c r="D1579" s="233">
        <f>'רשימת מכשור 2015'!D1578</f>
        <v>0</v>
      </c>
      <c r="E1579" s="180">
        <f>'רשימת מכשור 2015'!E1578</f>
        <v>0</v>
      </c>
      <c r="F1579" s="180">
        <f>'רשימת מכשור 2015'!F1578</f>
        <v>0</v>
      </c>
      <c r="G1579" s="195"/>
      <c r="H1579" s="195"/>
      <c r="I1579" s="196"/>
      <c r="J1579" s="195"/>
      <c r="K1579" s="195"/>
      <c r="L1579" s="195"/>
      <c r="M1579" s="195"/>
      <c r="N1579" s="197"/>
      <c r="O1579" s="195"/>
      <c r="P1579" s="195"/>
      <c r="Q1579" s="195"/>
    </row>
    <row r="1580" spans="1:17">
      <c r="A1580" s="180">
        <f>'רשימת מכשור 2015'!A1579</f>
        <v>0</v>
      </c>
      <c r="B1580" s="180">
        <f>'רשימת מכשור 2015'!B1579</f>
        <v>0</v>
      </c>
      <c r="C1580" s="180">
        <f>'רשימת מכשור 2015'!C1579</f>
        <v>0</v>
      </c>
      <c r="D1580" s="233">
        <f>'רשימת מכשור 2015'!D1579</f>
        <v>0</v>
      </c>
      <c r="E1580" s="180">
        <f>'רשימת מכשור 2015'!E1579</f>
        <v>0</v>
      </c>
      <c r="F1580" s="180">
        <f>'רשימת מכשור 2015'!F1579</f>
        <v>0</v>
      </c>
      <c r="G1580" s="195"/>
      <c r="H1580" s="195"/>
      <c r="I1580" s="196"/>
      <c r="J1580" s="195"/>
      <c r="K1580" s="195"/>
      <c r="L1580" s="195"/>
      <c r="M1580" s="195"/>
      <c r="N1580" s="197"/>
      <c r="O1580" s="195"/>
      <c r="P1580" s="195"/>
      <c r="Q1580" s="195"/>
    </row>
    <row r="1581" spans="1:17">
      <c r="A1581" s="180">
        <f>'רשימת מכשור 2015'!A1580</f>
        <v>0</v>
      </c>
      <c r="B1581" s="180">
        <f>'רשימת מכשור 2015'!B1580</f>
        <v>0</v>
      </c>
      <c r="C1581" s="180">
        <f>'רשימת מכשור 2015'!C1580</f>
        <v>0</v>
      </c>
      <c r="D1581" s="233">
        <f>'רשימת מכשור 2015'!D1580</f>
        <v>0</v>
      </c>
      <c r="E1581" s="180">
        <f>'רשימת מכשור 2015'!E1580</f>
        <v>0</v>
      </c>
      <c r="F1581" s="180">
        <f>'רשימת מכשור 2015'!F1580</f>
        <v>0</v>
      </c>
      <c r="G1581" s="195"/>
      <c r="H1581" s="195"/>
      <c r="I1581" s="196"/>
      <c r="J1581" s="195"/>
      <c r="K1581" s="195"/>
      <c r="L1581" s="195"/>
      <c r="M1581" s="195"/>
      <c r="N1581" s="197"/>
      <c r="O1581" s="195"/>
      <c r="P1581" s="195"/>
      <c r="Q1581" s="195"/>
    </row>
    <row r="1582" spans="1:17">
      <c r="A1582" s="180">
        <f>'רשימת מכשור 2015'!A1581</f>
        <v>0</v>
      </c>
      <c r="B1582" s="180">
        <f>'רשימת מכשור 2015'!B1581</f>
        <v>0</v>
      </c>
      <c r="C1582" s="180">
        <f>'רשימת מכשור 2015'!C1581</f>
        <v>0</v>
      </c>
      <c r="D1582" s="233">
        <f>'רשימת מכשור 2015'!D1581</f>
        <v>0</v>
      </c>
      <c r="E1582" s="180">
        <f>'רשימת מכשור 2015'!E1581</f>
        <v>0</v>
      </c>
      <c r="F1582" s="180">
        <f>'רשימת מכשור 2015'!F1581</f>
        <v>0</v>
      </c>
      <c r="G1582" s="195"/>
      <c r="H1582" s="195"/>
      <c r="I1582" s="196"/>
      <c r="J1582" s="195"/>
      <c r="K1582" s="195"/>
      <c r="L1582" s="195"/>
      <c r="M1582" s="195"/>
      <c r="N1582" s="197"/>
      <c r="O1582" s="195"/>
      <c r="P1582" s="195"/>
      <c r="Q1582" s="195"/>
    </row>
    <row r="1583" spans="1:17">
      <c r="A1583" s="180">
        <f>'רשימת מכשור 2015'!A1582</f>
        <v>0</v>
      </c>
      <c r="B1583" s="180">
        <f>'רשימת מכשור 2015'!B1582</f>
        <v>0</v>
      </c>
      <c r="C1583" s="180">
        <f>'רשימת מכשור 2015'!C1582</f>
        <v>0</v>
      </c>
      <c r="D1583" s="233">
        <f>'רשימת מכשור 2015'!D1582</f>
        <v>0</v>
      </c>
      <c r="E1583" s="180">
        <f>'רשימת מכשור 2015'!E1582</f>
        <v>0</v>
      </c>
      <c r="F1583" s="180">
        <f>'רשימת מכשור 2015'!F1582</f>
        <v>0</v>
      </c>
      <c r="G1583" s="195"/>
      <c r="H1583" s="195"/>
      <c r="I1583" s="196"/>
      <c r="J1583" s="195"/>
      <c r="K1583" s="195"/>
      <c r="L1583" s="195"/>
      <c r="M1583" s="195"/>
      <c r="N1583" s="197"/>
      <c r="O1583" s="195"/>
      <c r="P1583" s="195"/>
      <c r="Q1583" s="195"/>
    </row>
    <row r="1584" spans="1:17">
      <c r="A1584" s="180">
        <f>'רשימת מכשור 2015'!A1583</f>
        <v>0</v>
      </c>
      <c r="B1584" s="180">
        <f>'רשימת מכשור 2015'!B1583</f>
        <v>0</v>
      </c>
      <c r="C1584" s="180">
        <f>'רשימת מכשור 2015'!C1583</f>
        <v>0</v>
      </c>
      <c r="D1584" s="233">
        <f>'רשימת מכשור 2015'!D1583</f>
        <v>0</v>
      </c>
      <c r="E1584" s="180">
        <f>'רשימת מכשור 2015'!E1583</f>
        <v>0</v>
      </c>
      <c r="F1584" s="180">
        <f>'רשימת מכשור 2015'!F1583</f>
        <v>0</v>
      </c>
      <c r="G1584" s="195"/>
      <c r="H1584" s="195"/>
      <c r="I1584" s="196"/>
      <c r="J1584" s="195"/>
      <c r="K1584" s="195"/>
      <c r="L1584" s="195"/>
      <c r="M1584" s="195"/>
      <c r="N1584" s="197"/>
      <c r="O1584" s="195"/>
      <c r="P1584" s="195"/>
      <c r="Q1584" s="195"/>
    </row>
    <row r="1585" spans="1:17">
      <c r="A1585" s="180">
        <f>'רשימת מכשור 2015'!A1584</f>
        <v>0</v>
      </c>
      <c r="B1585" s="180">
        <f>'רשימת מכשור 2015'!B1584</f>
        <v>0</v>
      </c>
      <c r="C1585" s="180">
        <f>'רשימת מכשור 2015'!C1584</f>
        <v>0</v>
      </c>
      <c r="D1585" s="233">
        <f>'רשימת מכשור 2015'!D1584</f>
        <v>0</v>
      </c>
      <c r="E1585" s="180">
        <f>'רשימת מכשור 2015'!E1584</f>
        <v>0</v>
      </c>
      <c r="F1585" s="180">
        <f>'רשימת מכשור 2015'!F1584</f>
        <v>0</v>
      </c>
      <c r="G1585" s="195"/>
      <c r="H1585" s="195"/>
      <c r="I1585" s="196"/>
      <c r="J1585" s="195"/>
      <c r="K1585" s="195"/>
      <c r="L1585" s="195"/>
      <c r="M1585" s="195"/>
      <c r="N1585" s="197"/>
      <c r="O1585" s="195"/>
      <c r="P1585" s="195"/>
      <c r="Q1585" s="195"/>
    </row>
    <row r="1586" spans="1:17">
      <c r="A1586" s="180">
        <f>'רשימת מכשור 2015'!A1585</f>
        <v>0</v>
      </c>
      <c r="B1586" s="180">
        <f>'רשימת מכשור 2015'!B1585</f>
        <v>0</v>
      </c>
      <c r="C1586" s="180">
        <f>'רשימת מכשור 2015'!C1585</f>
        <v>0</v>
      </c>
      <c r="D1586" s="233">
        <f>'רשימת מכשור 2015'!D1585</f>
        <v>0</v>
      </c>
      <c r="E1586" s="180">
        <f>'רשימת מכשור 2015'!E1585</f>
        <v>0</v>
      </c>
      <c r="F1586" s="180">
        <f>'רשימת מכשור 2015'!F1585</f>
        <v>0</v>
      </c>
      <c r="G1586" s="195"/>
      <c r="H1586" s="195"/>
      <c r="I1586" s="196"/>
      <c r="J1586" s="195"/>
      <c r="K1586" s="195"/>
      <c r="L1586" s="195"/>
      <c r="M1586" s="195"/>
      <c r="N1586" s="197"/>
      <c r="O1586" s="195"/>
      <c r="P1586" s="195"/>
      <c r="Q1586" s="195"/>
    </row>
    <row r="1587" spans="1:17">
      <c r="A1587" s="180">
        <f>'רשימת מכשור 2015'!A1586</f>
        <v>0</v>
      </c>
      <c r="B1587" s="180">
        <f>'רשימת מכשור 2015'!B1586</f>
        <v>0</v>
      </c>
      <c r="C1587" s="180">
        <f>'רשימת מכשור 2015'!C1586</f>
        <v>0</v>
      </c>
      <c r="D1587" s="233">
        <f>'רשימת מכשור 2015'!D1586</f>
        <v>0</v>
      </c>
      <c r="E1587" s="180">
        <f>'רשימת מכשור 2015'!E1586</f>
        <v>0</v>
      </c>
      <c r="F1587" s="180">
        <f>'רשימת מכשור 2015'!F1586</f>
        <v>0</v>
      </c>
      <c r="G1587" s="195"/>
      <c r="H1587" s="195"/>
      <c r="I1587" s="196"/>
      <c r="J1587" s="195"/>
      <c r="K1587" s="195"/>
      <c r="L1587" s="195"/>
      <c r="M1587" s="195"/>
      <c r="N1587" s="197"/>
      <c r="O1587" s="195"/>
      <c r="P1587" s="195"/>
      <c r="Q1587" s="195"/>
    </row>
    <row r="1588" spans="1:17">
      <c r="A1588" s="180">
        <f>'רשימת מכשור 2015'!A1587</f>
        <v>0</v>
      </c>
      <c r="B1588" s="180">
        <f>'רשימת מכשור 2015'!B1587</f>
        <v>0</v>
      </c>
      <c r="C1588" s="180">
        <f>'רשימת מכשור 2015'!C1587</f>
        <v>0</v>
      </c>
      <c r="D1588" s="233">
        <f>'רשימת מכשור 2015'!D1587</f>
        <v>0</v>
      </c>
      <c r="E1588" s="180">
        <f>'רשימת מכשור 2015'!E1587</f>
        <v>0</v>
      </c>
      <c r="F1588" s="180">
        <f>'רשימת מכשור 2015'!F1587</f>
        <v>0</v>
      </c>
      <c r="G1588" s="195"/>
      <c r="H1588" s="195"/>
      <c r="I1588" s="196"/>
      <c r="J1588" s="195"/>
      <c r="K1588" s="195"/>
      <c r="L1588" s="195"/>
      <c r="M1588" s="195"/>
      <c r="N1588" s="197"/>
      <c r="O1588" s="195"/>
      <c r="P1588" s="195"/>
      <c r="Q1588" s="195"/>
    </row>
    <row r="1589" spans="1:17">
      <c r="A1589" s="180">
        <f>'רשימת מכשור 2015'!A1588</f>
        <v>0</v>
      </c>
      <c r="B1589" s="180">
        <f>'רשימת מכשור 2015'!B1588</f>
        <v>0</v>
      </c>
      <c r="C1589" s="180">
        <f>'רשימת מכשור 2015'!C1588</f>
        <v>0</v>
      </c>
      <c r="D1589" s="233">
        <f>'רשימת מכשור 2015'!D1588</f>
        <v>0</v>
      </c>
      <c r="E1589" s="180">
        <f>'רשימת מכשור 2015'!E1588</f>
        <v>0</v>
      </c>
      <c r="F1589" s="180">
        <f>'רשימת מכשור 2015'!F1588</f>
        <v>0</v>
      </c>
      <c r="G1589" s="195"/>
      <c r="H1589" s="195"/>
      <c r="I1589" s="196"/>
      <c r="J1589" s="195"/>
      <c r="K1589" s="195"/>
      <c r="L1589" s="195"/>
      <c r="M1589" s="195"/>
      <c r="N1589" s="197"/>
      <c r="O1589" s="195"/>
      <c r="P1589" s="195"/>
      <c r="Q1589" s="195"/>
    </row>
    <row r="1590" spans="1:17">
      <c r="A1590" s="180">
        <f>'רשימת מכשור 2015'!A1589</f>
        <v>0</v>
      </c>
      <c r="B1590" s="180">
        <f>'רשימת מכשור 2015'!B1589</f>
        <v>0</v>
      </c>
      <c r="C1590" s="180">
        <f>'רשימת מכשור 2015'!C1589</f>
        <v>0</v>
      </c>
      <c r="D1590" s="233">
        <f>'רשימת מכשור 2015'!D1589</f>
        <v>0</v>
      </c>
      <c r="E1590" s="180">
        <f>'רשימת מכשור 2015'!E1589</f>
        <v>0</v>
      </c>
      <c r="F1590" s="180">
        <f>'רשימת מכשור 2015'!F1589</f>
        <v>0</v>
      </c>
      <c r="G1590" s="195"/>
      <c r="H1590" s="195"/>
      <c r="I1590" s="196"/>
      <c r="J1590" s="195"/>
      <c r="K1590" s="195"/>
      <c r="L1590" s="195"/>
      <c r="M1590" s="195"/>
      <c r="N1590" s="197"/>
      <c r="O1590" s="195"/>
      <c r="P1590" s="195"/>
      <c r="Q1590" s="195"/>
    </row>
    <row r="1591" spans="1:17">
      <c r="A1591" s="180">
        <f>'רשימת מכשור 2015'!A1590</f>
        <v>0</v>
      </c>
      <c r="B1591" s="180">
        <f>'רשימת מכשור 2015'!B1590</f>
        <v>0</v>
      </c>
      <c r="C1591" s="180">
        <f>'רשימת מכשור 2015'!C1590</f>
        <v>0</v>
      </c>
      <c r="D1591" s="233">
        <f>'רשימת מכשור 2015'!D1590</f>
        <v>0</v>
      </c>
      <c r="E1591" s="180">
        <f>'רשימת מכשור 2015'!E1590</f>
        <v>0</v>
      </c>
      <c r="F1591" s="180">
        <f>'רשימת מכשור 2015'!F1590</f>
        <v>0</v>
      </c>
      <c r="G1591" s="195"/>
      <c r="H1591" s="195"/>
      <c r="I1591" s="196"/>
      <c r="J1591" s="195"/>
      <c r="K1591" s="195"/>
      <c r="L1591" s="195"/>
      <c r="M1591" s="195"/>
      <c r="N1591" s="197"/>
      <c r="O1591" s="195"/>
      <c r="P1591" s="195"/>
      <c r="Q1591" s="195"/>
    </row>
    <row r="1592" spans="1:17">
      <c r="A1592" s="180">
        <f>'רשימת מכשור 2015'!A1591</f>
        <v>0</v>
      </c>
      <c r="B1592" s="180">
        <f>'רשימת מכשור 2015'!B1591</f>
        <v>0</v>
      </c>
      <c r="C1592" s="180">
        <f>'רשימת מכשור 2015'!C1591</f>
        <v>0</v>
      </c>
      <c r="D1592" s="233">
        <f>'רשימת מכשור 2015'!D1591</f>
        <v>0</v>
      </c>
      <c r="E1592" s="180">
        <f>'רשימת מכשור 2015'!E1591</f>
        <v>0</v>
      </c>
      <c r="F1592" s="180">
        <f>'רשימת מכשור 2015'!F1591</f>
        <v>0</v>
      </c>
      <c r="G1592" s="195"/>
      <c r="H1592" s="195"/>
      <c r="I1592" s="196"/>
      <c r="J1592" s="195"/>
      <c r="K1592" s="195"/>
      <c r="L1592" s="195"/>
      <c r="M1592" s="195"/>
      <c r="N1592" s="197"/>
      <c r="O1592" s="195"/>
      <c r="P1592" s="195"/>
      <c r="Q1592" s="195"/>
    </row>
    <row r="1593" spans="1:17">
      <c r="A1593" s="180">
        <f>'רשימת מכשור 2015'!A1592</f>
        <v>0</v>
      </c>
      <c r="B1593" s="180">
        <f>'רשימת מכשור 2015'!B1592</f>
        <v>0</v>
      </c>
      <c r="C1593" s="180">
        <f>'רשימת מכשור 2015'!C1592</f>
        <v>0</v>
      </c>
      <c r="D1593" s="233">
        <f>'רשימת מכשור 2015'!D1592</f>
        <v>0</v>
      </c>
      <c r="E1593" s="180">
        <f>'רשימת מכשור 2015'!E1592</f>
        <v>0</v>
      </c>
      <c r="F1593" s="180">
        <f>'רשימת מכשור 2015'!F1592</f>
        <v>0</v>
      </c>
      <c r="G1593" s="195"/>
      <c r="H1593" s="195"/>
      <c r="I1593" s="196"/>
      <c r="J1593" s="195"/>
      <c r="K1593" s="195"/>
      <c r="L1593" s="195"/>
      <c r="M1593" s="195"/>
      <c r="N1593" s="197"/>
      <c r="O1593" s="195"/>
      <c r="P1593" s="195"/>
      <c r="Q1593" s="195"/>
    </row>
    <row r="1594" spans="1:17">
      <c r="A1594" s="180">
        <f>'רשימת מכשור 2015'!A1593</f>
        <v>0</v>
      </c>
      <c r="B1594" s="180">
        <f>'רשימת מכשור 2015'!B1593</f>
        <v>0</v>
      </c>
      <c r="C1594" s="180">
        <f>'רשימת מכשור 2015'!C1593</f>
        <v>0</v>
      </c>
      <c r="D1594" s="233">
        <f>'רשימת מכשור 2015'!D1593</f>
        <v>0</v>
      </c>
      <c r="E1594" s="180">
        <f>'רשימת מכשור 2015'!E1593</f>
        <v>0</v>
      </c>
      <c r="F1594" s="180">
        <f>'רשימת מכשור 2015'!F1593</f>
        <v>0</v>
      </c>
      <c r="G1594" s="195"/>
      <c r="H1594" s="195"/>
      <c r="I1594" s="196"/>
      <c r="J1594" s="195"/>
      <c r="K1594" s="195"/>
      <c r="L1594" s="195"/>
      <c r="M1594" s="195"/>
      <c r="N1594" s="197"/>
      <c r="O1594" s="195"/>
      <c r="P1594" s="195"/>
      <c r="Q1594" s="195"/>
    </row>
    <row r="1595" spans="1:17">
      <c r="A1595" s="180">
        <f>'רשימת מכשור 2015'!A1594</f>
        <v>0</v>
      </c>
      <c r="B1595" s="180">
        <f>'רשימת מכשור 2015'!B1594</f>
        <v>0</v>
      </c>
      <c r="C1595" s="180">
        <f>'רשימת מכשור 2015'!C1594</f>
        <v>0</v>
      </c>
      <c r="D1595" s="233">
        <f>'רשימת מכשור 2015'!D1594</f>
        <v>0</v>
      </c>
      <c r="E1595" s="180">
        <f>'רשימת מכשור 2015'!E1594</f>
        <v>0</v>
      </c>
      <c r="F1595" s="180">
        <f>'רשימת מכשור 2015'!F1594</f>
        <v>0</v>
      </c>
      <c r="G1595" s="195"/>
      <c r="H1595" s="195"/>
      <c r="I1595" s="196"/>
      <c r="J1595" s="195"/>
      <c r="K1595" s="195"/>
      <c r="L1595" s="195"/>
      <c r="M1595" s="195"/>
      <c r="N1595" s="197"/>
      <c r="O1595" s="195"/>
      <c r="P1595" s="195"/>
      <c r="Q1595" s="195"/>
    </row>
    <row r="1596" spans="1:17">
      <c r="A1596" s="180">
        <f>'רשימת מכשור 2015'!A1595</f>
        <v>0</v>
      </c>
      <c r="B1596" s="180">
        <f>'רשימת מכשור 2015'!B1595</f>
        <v>0</v>
      </c>
      <c r="C1596" s="180">
        <f>'רשימת מכשור 2015'!C1595</f>
        <v>0</v>
      </c>
      <c r="D1596" s="233">
        <f>'רשימת מכשור 2015'!D1595</f>
        <v>0</v>
      </c>
      <c r="E1596" s="180">
        <f>'רשימת מכשור 2015'!E1595</f>
        <v>0</v>
      </c>
      <c r="F1596" s="180">
        <f>'רשימת מכשור 2015'!F1595</f>
        <v>0</v>
      </c>
      <c r="G1596" s="195"/>
      <c r="H1596" s="195"/>
      <c r="I1596" s="196"/>
      <c r="J1596" s="195"/>
      <c r="K1596" s="195"/>
      <c r="L1596" s="195"/>
      <c r="M1596" s="195"/>
      <c r="N1596" s="197"/>
      <c r="O1596" s="195"/>
      <c r="P1596" s="195"/>
      <c r="Q1596" s="195"/>
    </row>
    <row r="1597" spans="1:17">
      <c r="A1597" s="180">
        <f>'רשימת מכשור 2015'!A1596</f>
        <v>0</v>
      </c>
      <c r="B1597" s="180">
        <f>'רשימת מכשור 2015'!B1596</f>
        <v>0</v>
      </c>
      <c r="C1597" s="180">
        <f>'רשימת מכשור 2015'!C1596</f>
        <v>0</v>
      </c>
      <c r="D1597" s="233">
        <f>'רשימת מכשור 2015'!D1596</f>
        <v>0</v>
      </c>
      <c r="E1597" s="180">
        <f>'רשימת מכשור 2015'!E1596</f>
        <v>0</v>
      </c>
      <c r="F1597" s="180">
        <f>'רשימת מכשור 2015'!F1596</f>
        <v>0</v>
      </c>
      <c r="G1597" s="195"/>
      <c r="H1597" s="195"/>
      <c r="I1597" s="196"/>
      <c r="J1597" s="195"/>
      <c r="K1597" s="195"/>
      <c r="L1597" s="195"/>
      <c r="M1597" s="195"/>
      <c r="N1597" s="197"/>
      <c r="O1597" s="195"/>
      <c r="P1597" s="195"/>
      <c r="Q1597" s="195"/>
    </row>
    <row r="1598" spans="1:17">
      <c r="A1598" s="180">
        <f>'רשימת מכשור 2015'!A1597</f>
        <v>0</v>
      </c>
      <c r="B1598" s="180">
        <f>'רשימת מכשור 2015'!B1597</f>
        <v>0</v>
      </c>
      <c r="C1598" s="180">
        <f>'רשימת מכשור 2015'!C1597</f>
        <v>0</v>
      </c>
      <c r="D1598" s="233">
        <f>'רשימת מכשור 2015'!D1597</f>
        <v>0</v>
      </c>
      <c r="E1598" s="180">
        <f>'רשימת מכשור 2015'!E1597</f>
        <v>0</v>
      </c>
      <c r="F1598" s="180">
        <f>'רשימת מכשור 2015'!F1597</f>
        <v>0</v>
      </c>
      <c r="G1598" s="195"/>
      <c r="H1598" s="195"/>
      <c r="I1598" s="196"/>
      <c r="J1598" s="195"/>
      <c r="K1598" s="195"/>
      <c r="L1598" s="195"/>
      <c r="M1598" s="195"/>
      <c r="N1598" s="197"/>
      <c r="O1598" s="195"/>
      <c r="P1598" s="195"/>
      <c r="Q1598" s="195"/>
    </row>
    <row r="1599" spans="1:17">
      <c r="A1599" s="180">
        <f>'רשימת מכשור 2015'!A1598</f>
        <v>0</v>
      </c>
      <c r="B1599" s="180">
        <f>'רשימת מכשור 2015'!B1598</f>
        <v>0</v>
      </c>
      <c r="C1599" s="180">
        <f>'רשימת מכשור 2015'!C1598</f>
        <v>0</v>
      </c>
      <c r="D1599" s="233">
        <f>'רשימת מכשור 2015'!D1598</f>
        <v>0</v>
      </c>
      <c r="E1599" s="180">
        <f>'רשימת מכשור 2015'!E1598</f>
        <v>0</v>
      </c>
      <c r="F1599" s="180">
        <f>'רשימת מכשור 2015'!F1598</f>
        <v>0</v>
      </c>
      <c r="G1599" s="195"/>
      <c r="H1599" s="195"/>
      <c r="I1599" s="196"/>
      <c r="J1599" s="195"/>
      <c r="K1599" s="195"/>
      <c r="L1599" s="195"/>
      <c r="M1599" s="195"/>
      <c r="N1599" s="197"/>
      <c r="O1599" s="195"/>
      <c r="P1599" s="195"/>
      <c r="Q1599" s="195"/>
    </row>
    <row r="1600" spans="1:17">
      <c r="A1600" s="180">
        <f>'רשימת מכשור 2015'!A1599</f>
        <v>0</v>
      </c>
      <c r="B1600" s="180">
        <f>'רשימת מכשור 2015'!B1599</f>
        <v>0</v>
      </c>
      <c r="C1600" s="180">
        <f>'רשימת מכשור 2015'!C1599</f>
        <v>0</v>
      </c>
      <c r="D1600" s="233">
        <f>'רשימת מכשור 2015'!D1599</f>
        <v>0</v>
      </c>
      <c r="E1600" s="180">
        <f>'רשימת מכשור 2015'!E1599</f>
        <v>0</v>
      </c>
      <c r="F1600" s="180">
        <f>'רשימת מכשור 2015'!F1599</f>
        <v>0</v>
      </c>
      <c r="G1600" s="195"/>
      <c r="H1600" s="195"/>
      <c r="I1600" s="196"/>
      <c r="J1600" s="195"/>
      <c r="K1600" s="195"/>
      <c r="L1600" s="195"/>
      <c r="M1600" s="195"/>
      <c r="N1600" s="197"/>
      <c r="O1600" s="195"/>
      <c r="P1600" s="195"/>
      <c r="Q1600" s="195"/>
    </row>
    <row r="1601" spans="1:17">
      <c r="A1601" s="180">
        <f>'רשימת מכשור 2015'!A1600</f>
        <v>0</v>
      </c>
      <c r="B1601" s="180">
        <f>'רשימת מכשור 2015'!B1600</f>
        <v>0</v>
      </c>
      <c r="C1601" s="180">
        <f>'רשימת מכשור 2015'!C1600</f>
        <v>0</v>
      </c>
      <c r="D1601" s="233">
        <f>'רשימת מכשור 2015'!D1600</f>
        <v>0</v>
      </c>
      <c r="E1601" s="180">
        <f>'רשימת מכשור 2015'!E1600</f>
        <v>0</v>
      </c>
      <c r="F1601" s="180">
        <f>'רשימת מכשור 2015'!F1600</f>
        <v>0</v>
      </c>
      <c r="G1601" s="195"/>
      <c r="H1601" s="195"/>
      <c r="I1601" s="196"/>
      <c r="J1601" s="195"/>
      <c r="K1601" s="195"/>
      <c r="L1601" s="195"/>
      <c r="M1601" s="195"/>
      <c r="N1601" s="197"/>
      <c r="O1601" s="195"/>
      <c r="P1601" s="195"/>
      <c r="Q1601" s="195"/>
    </row>
    <row r="1602" spans="1:17">
      <c r="A1602" s="180">
        <f>'רשימת מכשור 2015'!A1601</f>
        <v>0</v>
      </c>
      <c r="B1602" s="180">
        <f>'רשימת מכשור 2015'!B1601</f>
        <v>0</v>
      </c>
      <c r="C1602" s="180">
        <f>'רשימת מכשור 2015'!C1601</f>
        <v>0</v>
      </c>
      <c r="D1602" s="233">
        <f>'רשימת מכשור 2015'!D1601</f>
        <v>0</v>
      </c>
      <c r="E1602" s="180">
        <f>'רשימת מכשור 2015'!E1601</f>
        <v>0</v>
      </c>
      <c r="F1602" s="180">
        <f>'רשימת מכשור 2015'!F1601</f>
        <v>0</v>
      </c>
      <c r="G1602" s="195"/>
      <c r="H1602" s="195"/>
      <c r="I1602" s="196"/>
      <c r="J1602" s="195"/>
      <c r="K1602" s="195"/>
      <c r="L1602" s="195"/>
      <c r="M1602" s="195"/>
      <c r="N1602" s="197"/>
      <c r="O1602" s="195"/>
      <c r="P1602" s="195"/>
      <c r="Q1602" s="195"/>
    </row>
    <row r="1603" spans="1:17">
      <c r="A1603" s="180">
        <f>'רשימת מכשור 2015'!A1602</f>
        <v>0</v>
      </c>
      <c r="B1603" s="180">
        <f>'רשימת מכשור 2015'!B1602</f>
        <v>0</v>
      </c>
      <c r="C1603" s="180">
        <f>'רשימת מכשור 2015'!C1602</f>
        <v>0</v>
      </c>
      <c r="D1603" s="233">
        <f>'רשימת מכשור 2015'!D1602</f>
        <v>0</v>
      </c>
      <c r="E1603" s="180">
        <f>'רשימת מכשור 2015'!E1602</f>
        <v>0</v>
      </c>
      <c r="F1603" s="180">
        <f>'רשימת מכשור 2015'!F1602</f>
        <v>0</v>
      </c>
      <c r="G1603" s="195"/>
      <c r="H1603" s="195"/>
      <c r="I1603" s="196"/>
      <c r="J1603" s="195"/>
      <c r="K1603" s="195"/>
      <c r="L1603" s="195"/>
      <c r="M1603" s="195"/>
      <c r="N1603" s="197"/>
      <c r="O1603" s="195"/>
      <c r="P1603" s="195"/>
      <c r="Q1603" s="195"/>
    </row>
    <row r="1604" spans="1:17">
      <c r="A1604" s="180">
        <f>'רשימת מכשור 2015'!A1603</f>
        <v>0</v>
      </c>
      <c r="B1604" s="180">
        <f>'רשימת מכשור 2015'!B1603</f>
        <v>0</v>
      </c>
      <c r="C1604" s="180">
        <f>'רשימת מכשור 2015'!C1603</f>
        <v>0</v>
      </c>
      <c r="D1604" s="233">
        <f>'רשימת מכשור 2015'!D1603</f>
        <v>0</v>
      </c>
      <c r="E1604" s="180">
        <f>'רשימת מכשור 2015'!E1603</f>
        <v>0</v>
      </c>
      <c r="F1604" s="180">
        <f>'רשימת מכשור 2015'!F1603</f>
        <v>0</v>
      </c>
      <c r="G1604" s="195"/>
      <c r="H1604" s="195"/>
      <c r="I1604" s="196"/>
      <c r="J1604" s="195"/>
      <c r="K1604" s="195"/>
      <c r="L1604" s="195"/>
      <c r="M1604" s="195"/>
      <c r="N1604" s="197"/>
      <c r="O1604" s="195"/>
      <c r="P1604" s="195"/>
      <c r="Q1604" s="195"/>
    </row>
    <row r="1605" spans="1:17">
      <c r="A1605" s="180">
        <f>'רשימת מכשור 2015'!A1604</f>
        <v>0</v>
      </c>
      <c r="B1605" s="180">
        <f>'רשימת מכשור 2015'!B1604</f>
        <v>0</v>
      </c>
      <c r="C1605" s="180">
        <f>'רשימת מכשור 2015'!C1604</f>
        <v>0</v>
      </c>
      <c r="D1605" s="233">
        <f>'רשימת מכשור 2015'!D1604</f>
        <v>0</v>
      </c>
      <c r="E1605" s="180">
        <f>'רשימת מכשור 2015'!E1604</f>
        <v>0</v>
      </c>
      <c r="F1605" s="180">
        <f>'רשימת מכשור 2015'!F1604</f>
        <v>0</v>
      </c>
      <c r="G1605" s="195"/>
      <c r="H1605" s="195"/>
      <c r="I1605" s="196"/>
      <c r="J1605" s="195"/>
      <c r="K1605" s="195"/>
      <c r="L1605" s="195"/>
      <c r="M1605" s="195"/>
      <c r="N1605" s="197"/>
      <c r="O1605" s="195"/>
      <c r="P1605" s="195"/>
      <c r="Q1605" s="195"/>
    </row>
    <row r="1606" spans="1:17">
      <c r="A1606" s="180">
        <f>'רשימת מכשור 2015'!A1605</f>
        <v>0</v>
      </c>
      <c r="B1606" s="180">
        <f>'רשימת מכשור 2015'!B1605</f>
        <v>0</v>
      </c>
      <c r="C1606" s="180">
        <f>'רשימת מכשור 2015'!C1605</f>
        <v>0</v>
      </c>
      <c r="D1606" s="233">
        <f>'רשימת מכשור 2015'!D1605</f>
        <v>0</v>
      </c>
      <c r="E1606" s="180">
        <f>'רשימת מכשור 2015'!E1605</f>
        <v>0</v>
      </c>
      <c r="F1606" s="180">
        <f>'רשימת מכשור 2015'!F1605</f>
        <v>0</v>
      </c>
      <c r="G1606" s="195"/>
      <c r="H1606" s="195"/>
      <c r="I1606" s="196"/>
      <c r="J1606" s="195"/>
      <c r="K1606" s="195"/>
      <c r="L1606" s="195"/>
      <c r="M1606" s="195"/>
      <c r="N1606" s="197"/>
      <c r="O1606" s="195"/>
      <c r="P1606" s="195"/>
      <c r="Q1606" s="195"/>
    </row>
    <row r="1607" spans="1:17">
      <c r="A1607" s="180">
        <f>'רשימת מכשור 2015'!A1606</f>
        <v>0</v>
      </c>
      <c r="B1607" s="180">
        <f>'רשימת מכשור 2015'!B1606</f>
        <v>0</v>
      </c>
      <c r="C1607" s="180">
        <f>'רשימת מכשור 2015'!C1606</f>
        <v>0</v>
      </c>
      <c r="D1607" s="233">
        <f>'רשימת מכשור 2015'!D1606</f>
        <v>0</v>
      </c>
      <c r="E1607" s="180">
        <f>'רשימת מכשור 2015'!E1606</f>
        <v>0</v>
      </c>
      <c r="F1607" s="180">
        <f>'רשימת מכשור 2015'!F1606</f>
        <v>0</v>
      </c>
      <c r="G1607" s="195"/>
      <c r="H1607" s="195"/>
      <c r="I1607" s="196"/>
      <c r="J1607" s="195"/>
      <c r="K1607" s="195"/>
      <c r="L1607" s="195"/>
      <c r="M1607" s="195"/>
      <c r="N1607" s="197"/>
      <c r="O1607" s="195"/>
      <c r="P1607" s="195"/>
      <c r="Q1607" s="195"/>
    </row>
    <row r="1608" spans="1:17">
      <c r="A1608" s="180">
        <f>'רשימת מכשור 2015'!A1607</f>
        <v>0</v>
      </c>
      <c r="B1608" s="180">
        <f>'רשימת מכשור 2015'!B1607</f>
        <v>0</v>
      </c>
      <c r="C1608" s="180">
        <f>'רשימת מכשור 2015'!C1607</f>
        <v>0</v>
      </c>
      <c r="D1608" s="233">
        <f>'רשימת מכשור 2015'!D1607</f>
        <v>0</v>
      </c>
      <c r="E1608" s="180">
        <f>'רשימת מכשור 2015'!E1607</f>
        <v>0</v>
      </c>
      <c r="F1608" s="180">
        <f>'רשימת מכשור 2015'!F1607</f>
        <v>0</v>
      </c>
      <c r="G1608" s="195"/>
      <c r="H1608" s="195"/>
      <c r="I1608" s="196"/>
      <c r="J1608" s="195"/>
      <c r="K1608" s="195"/>
      <c r="L1608" s="195"/>
      <c r="M1608" s="195"/>
      <c r="N1608" s="197"/>
      <c r="O1608" s="195"/>
      <c r="P1608" s="195"/>
      <c r="Q1608" s="195"/>
    </row>
    <row r="1609" spans="1:17">
      <c r="A1609" s="180">
        <f>'רשימת מכשור 2015'!A1608</f>
        <v>0</v>
      </c>
      <c r="B1609" s="180">
        <f>'רשימת מכשור 2015'!B1608</f>
        <v>0</v>
      </c>
      <c r="C1609" s="180">
        <f>'רשימת מכשור 2015'!C1608</f>
        <v>0</v>
      </c>
      <c r="D1609" s="233">
        <f>'רשימת מכשור 2015'!D1608</f>
        <v>0</v>
      </c>
      <c r="E1609" s="180">
        <f>'רשימת מכשור 2015'!E1608</f>
        <v>0</v>
      </c>
      <c r="F1609" s="180">
        <f>'רשימת מכשור 2015'!F1608</f>
        <v>0</v>
      </c>
      <c r="G1609" s="195"/>
      <c r="H1609" s="195"/>
      <c r="I1609" s="196"/>
      <c r="J1609" s="195"/>
      <c r="K1609" s="195"/>
      <c r="L1609" s="195"/>
      <c r="M1609" s="195"/>
      <c r="N1609" s="197"/>
      <c r="O1609" s="195"/>
      <c r="P1609" s="195"/>
      <c r="Q1609" s="195"/>
    </row>
    <row r="1610" spans="1:17">
      <c r="A1610" s="180">
        <f>'רשימת מכשור 2015'!A1609</f>
        <v>0</v>
      </c>
      <c r="B1610" s="180">
        <f>'רשימת מכשור 2015'!B1609</f>
        <v>0</v>
      </c>
      <c r="C1610" s="180">
        <f>'רשימת מכשור 2015'!C1609</f>
        <v>0</v>
      </c>
      <c r="D1610" s="233">
        <f>'רשימת מכשור 2015'!D1609</f>
        <v>0</v>
      </c>
      <c r="E1610" s="180">
        <f>'רשימת מכשור 2015'!E1609</f>
        <v>0</v>
      </c>
      <c r="F1610" s="180">
        <f>'רשימת מכשור 2015'!F1609</f>
        <v>0</v>
      </c>
      <c r="G1610" s="195"/>
      <c r="H1610" s="195"/>
      <c r="I1610" s="196"/>
      <c r="J1610" s="195"/>
      <c r="K1610" s="195"/>
      <c r="L1610" s="195"/>
      <c r="M1610" s="195"/>
      <c r="N1610" s="197"/>
      <c r="O1610" s="195"/>
      <c r="P1610" s="195"/>
      <c r="Q1610" s="195"/>
    </row>
    <row r="1611" spans="1:17">
      <c r="A1611" s="180">
        <f>'רשימת מכשור 2015'!A1610</f>
        <v>0</v>
      </c>
      <c r="B1611" s="180">
        <f>'רשימת מכשור 2015'!B1610</f>
        <v>0</v>
      </c>
      <c r="C1611" s="180">
        <f>'רשימת מכשור 2015'!C1610</f>
        <v>0</v>
      </c>
      <c r="D1611" s="233">
        <f>'רשימת מכשור 2015'!D1610</f>
        <v>0</v>
      </c>
      <c r="E1611" s="180">
        <f>'רשימת מכשור 2015'!E1610</f>
        <v>0</v>
      </c>
      <c r="F1611" s="180">
        <f>'רשימת מכשור 2015'!F1610</f>
        <v>0</v>
      </c>
      <c r="G1611" s="195"/>
      <c r="H1611" s="195"/>
      <c r="I1611" s="196"/>
      <c r="J1611" s="195"/>
      <c r="K1611" s="195"/>
      <c r="L1611" s="195"/>
      <c r="M1611" s="195"/>
      <c r="N1611" s="197"/>
      <c r="O1611" s="195"/>
      <c r="P1611" s="195"/>
      <c r="Q1611" s="195"/>
    </row>
    <row r="1612" spans="1:17">
      <c r="A1612" s="180">
        <f>'רשימת מכשור 2015'!A1611</f>
        <v>0</v>
      </c>
      <c r="B1612" s="180">
        <f>'רשימת מכשור 2015'!B1611</f>
        <v>0</v>
      </c>
      <c r="C1612" s="180">
        <f>'רשימת מכשור 2015'!C1611</f>
        <v>0</v>
      </c>
      <c r="D1612" s="233">
        <f>'רשימת מכשור 2015'!D1611</f>
        <v>0</v>
      </c>
      <c r="E1612" s="180">
        <f>'רשימת מכשור 2015'!E1611</f>
        <v>0</v>
      </c>
      <c r="F1612" s="180">
        <f>'רשימת מכשור 2015'!F1611</f>
        <v>0</v>
      </c>
      <c r="G1612" s="195"/>
      <c r="H1612" s="195"/>
      <c r="I1612" s="196"/>
      <c r="J1612" s="195"/>
      <c r="K1612" s="195"/>
      <c r="L1612" s="195"/>
      <c r="M1612" s="195"/>
      <c r="N1612" s="197"/>
      <c r="O1612" s="195"/>
      <c r="P1612" s="195"/>
      <c r="Q1612" s="195"/>
    </row>
    <row r="1613" spans="1:17">
      <c r="A1613" s="180">
        <f>'רשימת מכשור 2015'!A1612</f>
        <v>0</v>
      </c>
      <c r="B1613" s="180">
        <f>'רשימת מכשור 2015'!B1612</f>
        <v>0</v>
      </c>
      <c r="C1613" s="180">
        <f>'רשימת מכשור 2015'!C1612</f>
        <v>0</v>
      </c>
      <c r="D1613" s="233">
        <f>'רשימת מכשור 2015'!D1612</f>
        <v>0</v>
      </c>
      <c r="E1613" s="180">
        <f>'רשימת מכשור 2015'!E1612</f>
        <v>0</v>
      </c>
      <c r="F1613" s="180">
        <f>'רשימת מכשור 2015'!F1612</f>
        <v>0</v>
      </c>
      <c r="G1613" s="195"/>
      <c r="H1613" s="195"/>
      <c r="I1613" s="196"/>
      <c r="J1613" s="195"/>
      <c r="K1613" s="195"/>
      <c r="L1613" s="195"/>
      <c r="M1613" s="195"/>
      <c r="N1613" s="197"/>
      <c r="O1613" s="195"/>
      <c r="P1613" s="195"/>
      <c r="Q1613" s="195"/>
    </row>
    <row r="1614" spans="1:17">
      <c r="A1614" s="180">
        <f>'רשימת מכשור 2015'!A1613</f>
        <v>0</v>
      </c>
      <c r="B1614" s="180">
        <f>'רשימת מכשור 2015'!B1613</f>
        <v>0</v>
      </c>
      <c r="C1614" s="180">
        <f>'רשימת מכשור 2015'!C1613</f>
        <v>0</v>
      </c>
      <c r="D1614" s="233">
        <f>'רשימת מכשור 2015'!D1613</f>
        <v>0</v>
      </c>
      <c r="E1614" s="180">
        <f>'רשימת מכשור 2015'!E1613</f>
        <v>0</v>
      </c>
      <c r="F1614" s="180">
        <f>'רשימת מכשור 2015'!F1613</f>
        <v>0</v>
      </c>
      <c r="G1614" s="195"/>
      <c r="H1614" s="195"/>
      <c r="I1614" s="196"/>
      <c r="J1614" s="195"/>
      <c r="K1614" s="195"/>
      <c r="L1614" s="195"/>
      <c r="M1614" s="195"/>
      <c r="N1614" s="197"/>
      <c r="O1614" s="195"/>
      <c r="P1614" s="195"/>
      <c r="Q1614" s="195"/>
    </row>
    <row r="1615" spans="1:17">
      <c r="A1615" s="180">
        <f>'רשימת מכשור 2015'!A1614</f>
        <v>0</v>
      </c>
      <c r="B1615" s="180">
        <f>'רשימת מכשור 2015'!B1614</f>
        <v>0</v>
      </c>
      <c r="C1615" s="180">
        <f>'רשימת מכשור 2015'!C1614</f>
        <v>0</v>
      </c>
      <c r="D1615" s="233">
        <f>'רשימת מכשור 2015'!D1614</f>
        <v>0</v>
      </c>
      <c r="E1615" s="180">
        <f>'רשימת מכשור 2015'!E1614</f>
        <v>0</v>
      </c>
      <c r="F1615" s="180">
        <f>'רשימת מכשור 2015'!F1614</f>
        <v>0</v>
      </c>
      <c r="G1615" s="195"/>
      <c r="H1615" s="195"/>
      <c r="I1615" s="196"/>
      <c r="J1615" s="195"/>
      <c r="K1615" s="195"/>
      <c r="L1615" s="195"/>
      <c r="M1615" s="195"/>
      <c r="N1615" s="197"/>
      <c r="O1615" s="195"/>
      <c r="P1615" s="195"/>
      <c r="Q1615" s="195"/>
    </row>
    <row r="1616" spans="1:17">
      <c r="A1616" s="180">
        <f>'רשימת מכשור 2015'!A1615</f>
        <v>0</v>
      </c>
      <c r="B1616" s="180">
        <f>'רשימת מכשור 2015'!B1615</f>
        <v>0</v>
      </c>
      <c r="C1616" s="180">
        <f>'רשימת מכשור 2015'!C1615</f>
        <v>0</v>
      </c>
      <c r="D1616" s="233">
        <f>'רשימת מכשור 2015'!D1615</f>
        <v>0</v>
      </c>
      <c r="E1616" s="180">
        <f>'רשימת מכשור 2015'!E1615</f>
        <v>0</v>
      </c>
      <c r="F1616" s="180">
        <f>'רשימת מכשור 2015'!F1615</f>
        <v>0</v>
      </c>
      <c r="G1616" s="195"/>
      <c r="H1616" s="195"/>
      <c r="I1616" s="196"/>
      <c r="J1616" s="195"/>
      <c r="K1616" s="195"/>
      <c r="L1616" s="195"/>
      <c r="M1616" s="195"/>
      <c r="N1616" s="197"/>
      <c r="O1616" s="195"/>
      <c r="P1616" s="195"/>
      <c r="Q1616" s="195"/>
    </row>
    <row r="1617" spans="1:17">
      <c r="A1617" s="180">
        <f>'רשימת מכשור 2015'!A1616</f>
        <v>0</v>
      </c>
      <c r="B1617" s="180">
        <f>'רשימת מכשור 2015'!B1616</f>
        <v>0</v>
      </c>
      <c r="C1617" s="180">
        <f>'רשימת מכשור 2015'!C1616</f>
        <v>0</v>
      </c>
      <c r="D1617" s="233">
        <f>'רשימת מכשור 2015'!D1616</f>
        <v>0</v>
      </c>
      <c r="E1617" s="180">
        <f>'רשימת מכשור 2015'!E1616</f>
        <v>0</v>
      </c>
      <c r="F1617" s="180">
        <f>'רשימת מכשור 2015'!F1616</f>
        <v>0</v>
      </c>
      <c r="G1617" s="195"/>
      <c r="H1617" s="195"/>
      <c r="I1617" s="196"/>
      <c r="J1617" s="195"/>
      <c r="K1617" s="195"/>
      <c r="L1617" s="195"/>
      <c r="M1617" s="195"/>
      <c r="N1617" s="197"/>
      <c r="O1617" s="195"/>
      <c r="P1617" s="195"/>
      <c r="Q1617" s="195"/>
    </row>
    <row r="1618" spans="1:17">
      <c r="A1618" s="180">
        <f>'רשימת מכשור 2015'!A1617</f>
        <v>0</v>
      </c>
      <c r="B1618" s="180">
        <f>'רשימת מכשור 2015'!B1617</f>
        <v>0</v>
      </c>
      <c r="C1618" s="180">
        <f>'רשימת מכשור 2015'!C1617</f>
        <v>0</v>
      </c>
      <c r="D1618" s="233">
        <f>'רשימת מכשור 2015'!D1617</f>
        <v>0</v>
      </c>
      <c r="E1618" s="180">
        <f>'רשימת מכשור 2015'!E1617</f>
        <v>0</v>
      </c>
      <c r="F1618" s="180">
        <f>'רשימת מכשור 2015'!F1617</f>
        <v>0</v>
      </c>
      <c r="G1618" s="195"/>
      <c r="H1618" s="195"/>
      <c r="I1618" s="196"/>
      <c r="J1618" s="195"/>
      <c r="K1618" s="195"/>
      <c r="L1618" s="195"/>
      <c r="M1618" s="195"/>
      <c r="N1618" s="197"/>
      <c r="O1618" s="195"/>
      <c r="P1618" s="195"/>
      <c r="Q1618" s="195"/>
    </row>
    <row r="1619" spans="1:17">
      <c r="A1619" s="180">
        <f>'רשימת מכשור 2015'!A1618</f>
        <v>0</v>
      </c>
      <c r="B1619" s="180">
        <f>'רשימת מכשור 2015'!B1618</f>
        <v>0</v>
      </c>
      <c r="C1619" s="180">
        <f>'רשימת מכשור 2015'!C1618</f>
        <v>0</v>
      </c>
      <c r="D1619" s="233">
        <f>'רשימת מכשור 2015'!D1618</f>
        <v>0</v>
      </c>
      <c r="E1619" s="180">
        <f>'רשימת מכשור 2015'!E1618</f>
        <v>0</v>
      </c>
      <c r="F1619" s="180">
        <f>'רשימת מכשור 2015'!F1618</f>
        <v>0</v>
      </c>
      <c r="G1619" s="195"/>
      <c r="H1619" s="195"/>
      <c r="I1619" s="196"/>
      <c r="J1619" s="195"/>
      <c r="K1619" s="195"/>
      <c r="L1619" s="195"/>
      <c r="M1619" s="195"/>
      <c r="N1619" s="197"/>
      <c r="O1619" s="195"/>
      <c r="P1619" s="195"/>
      <c r="Q1619" s="195"/>
    </row>
    <row r="1620" spans="1:17">
      <c r="A1620" s="180">
        <f>'רשימת מכשור 2015'!A1619</f>
        <v>0</v>
      </c>
      <c r="B1620" s="180">
        <f>'רשימת מכשור 2015'!B1619</f>
        <v>0</v>
      </c>
      <c r="C1620" s="180">
        <f>'רשימת מכשור 2015'!C1619</f>
        <v>0</v>
      </c>
      <c r="D1620" s="233">
        <f>'רשימת מכשור 2015'!D1619</f>
        <v>0</v>
      </c>
      <c r="E1620" s="180">
        <f>'רשימת מכשור 2015'!E1619</f>
        <v>0</v>
      </c>
      <c r="F1620" s="180">
        <f>'רשימת מכשור 2015'!F1619</f>
        <v>0</v>
      </c>
      <c r="G1620" s="195"/>
      <c r="H1620" s="195"/>
      <c r="I1620" s="196"/>
      <c r="J1620" s="195"/>
      <c r="K1620" s="195"/>
      <c r="L1620" s="195"/>
      <c r="M1620" s="195"/>
      <c r="N1620" s="197"/>
      <c r="O1620" s="195"/>
      <c r="P1620" s="195"/>
      <c r="Q1620" s="195"/>
    </row>
    <row r="1621" spans="1:17">
      <c r="A1621" s="180">
        <f>'רשימת מכשור 2015'!A1620</f>
        <v>0</v>
      </c>
      <c r="B1621" s="180">
        <f>'רשימת מכשור 2015'!B1620</f>
        <v>0</v>
      </c>
      <c r="C1621" s="180">
        <f>'רשימת מכשור 2015'!C1620</f>
        <v>0</v>
      </c>
      <c r="D1621" s="233">
        <f>'רשימת מכשור 2015'!D1620</f>
        <v>0</v>
      </c>
      <c r="E1621" s="180">
        <f>'רשימת מכשור 2015'!E1620</f>
        <v>0</v>
      </c>
      <c r="F1621" s="180">
        <f>'רשימת מכשור 2015'!F1620</f>
        <v>0</v>
      </c>
      <c r="G1621" s="195"/>
      <c r="H1621" s="195"/>
      <c r="I1621" s="196"/>
      <c r="J1621" s="195"/>
      <c r="K1621" s="195"/>
      <c r="L1621" s="195"/>
      <c r="M1621" s="195"/>
      <c r="N1621" s="197"/>
      <c r="O1621" s="195"/>
      <c r="P1621" s="195"/>
      <c r="Q1621" s="195"/>
    </row>
    <row r="1622" spans="1:17">
      <c r="A1622" s="180">
        <f>'רשימת מכשור 2015'!A1621</f>
        <v>0</v>
      </c>
      <c r="B1622" s="180">
        <f>'רשימת מכשור 2015'!B1621</f>
        <v>0</v>
      </c>
      <c r="C1622" s="180">
        <f>'רשימת מכשור 2015'!C1621</f>
        <v>0</v>
      </c>
      <c r="D1622" s="233">
        <f>'רשימת מכשור 2015'!D1621</f>
        <v>0</v>
      </c>
      <c r="E1622" s="180">
        <f>'רשימת מכשור 2015'!E1621</f>
        <v>0</v>
      </c>
      <c r="F1622" s="180">
        <f>'רשימת מכשור 2015'!F1621</f>
        <v>0</v>
      </c>
      <c r="G1622" s="195"/>
      <c r="H1622" s="195"/>
      <c r="I1622" s="196"/>
      <c r="J1622" s="195"/>
      <c r="K1622" s="195"/>
      <c r="L1622" s="195"/>
      <c r="M1622" s="195"/>
      <c r="N1622" s="197"/>
      <c r="O1622" s="195"/>
      <c r="P1622" s="195"/>
      <c r="Q1622" s="195"/>
    </row>
    <row r="1623" spans="1:17">
      <c r="A1623" s="180">
        <f>'רשימת מכשור 2015'!A1622</f>
        <v>0</v>
      </c>
      <c r="B1623" s="180">
        <f>'רשימת מכשור 2015'!B1622</f>
        <v>0</v>
      </c>
      <c r="C1623" s="180">
        <f>'רשימת מכשור 2015'!C1622</f>
        <v>0</v>
      </c>
      <c r="D1623" s="233">
        <f>'רשימת מכשור 2015'!D1622</f>
        <v>0</v>
      </c>
      <c r="E1623" s="180">
        <f>'רשימת מכשור 2015'!E1622</f>
        <v>0</v>
      </c>
      <c r="F1623" s="180">
        <f>'רשימת מכשור 2015'!F1622</f>
        <v>0</v>
      </c>
      <c r="G1623" s="195"/>
      <c r="H1623" s="195"/>
      <c r="I1623" s="196"/>
      <c r="J1623" s="195"/>
      <c r="K1623" s="195"/>
      <c r="L1623" s="195"/>
      <c r="M1623" s="195"/>
      <c r="N1623" s="197"/>
      <c r="O1623" s="195"/>
      <c r="P1623" s="195"/>
      <c r="Q1623" s="195"/>
    </row>
    <row r="1624" spans="1:17">
      <c r="A1624" s="180">
        <f>'רשימת מכשור 2015'!A1623</f>
        <v>0</v>
      </c>
      <c r="B1624" s="180">
        <f>'רשימת מכשור 2015'!B1623</f>
        <v>0</v>
      </c>
      <c r="C1624" s="180">
        <f>'רשימת מכשור 2015'!C1623</f>
        <v>0</v>
      </c>
      <c r="D1624" s="233">
        <f>'רשימת מכשור 2015'!D1623</f>
        <v>0</v>
      </c>
      <c r="E1624" s="180">
        <f>'רשימת מכשור 2015'!E1623</f>
        <v>0</v>
      </c>
      <c r="F1624" s="180">
        <f>'רשימת מכשור 2015'!F1623</f>
        <v>0</v>
      </c>
      <c r="G1624" s="195"/>
      <c r="H1624" s="195"/>
      <c r="I1624" s="196"/>
      <c r="J1624" s="195"/>
      <c r="K1624" s="195"/>
      <c r="L1624" s="195"/>
      <c r="M1624" s="195"/>
      <c r="N1624" s="197"/>
      <c r="O1624" s="195"/>
      <c r="P1624" s="195"/>
      <c r="Q1624" s="195"/>
    </row>
    <row r="1625" spans="1:17">
      <c r="A1625" s="180">
        <f>'רשימת מכשור 2015'!A1624</f>
        <v>0</v>
      </c>
      <c r="B1625" s="180">
        <f>'רשימת מכשור 2015'!B1624</f>
        <v>0</v>
      </c>
      <c r="C1625" s="180">
        <f>'רשימת מכשור 2015'!C1624</f>
        <v>0</v>
      </c>
      <c r="D1625" s="233">
        <f>'רשימת מכשור 2015'!D1624</f>
        <v>0</v>
      </c>
      <c r="E1625" s="180">
        <f>'רשימת מכשור 2015'!E1624</f>
        <v>0</v>
      </c>
      <c r="F1625" s="180">
        <f>'רשימת מכשור 2015'!F1624</f>
        <v>0</v>
      </c>
      <c r="G1625" s="195"/>
      <c r="H1625" s="195"/>
      <c r="I1625" s="196"/>
      <c r="J1625" s="195"/>
      <c r="K1625" s="195"/>
      <c r="L1625" s="195"/>
      <c r="M1625" s="195"/>
      <c r="N1625" s="197"/>
      <c r="O1625" s="195"/>
      <c r="P1625" s="195"/>
      <c r="Q1625" s="195"/>
    </row>
    <row r="1626" spans="1:17">
      <c r="A1626" s="180">
        <f>'רשימת מכשור 2015'!A1625</f>
        <v>0</v>
      </c>
      <c r="B1626" s="180">
        <f>'רשימת מכשור 2015'!B1625</f>
        <v>0</v>
      </c>
      <c r="C1626" s="180">
        <f>'רשימת מכשור 2015'!C1625</f>
        <v>0</v>
      </c>
      <c r="D1626" s="233">
        <f>'רשימת מכשור 2015'!D1625</f>
        <v>0</v>
      </c>
      <c r="E1626" s="180">
        <f>'רשימת מכשור 2015'!E1625</f>
        <v>0</v>
      </c>
      <c r="F1626" s="180">
        <f>'רשימת מכשור 2015'!F1625</f>
        <v>0</v>
      </c>
      <c r="G1626" s="195"/>
      <c r="H1626" s="195"/>
      <c r="I1626" s="196"/>
      <c r="J1626" s="195"/>
      <c r="K1626" s="195"/>
      <c r="L1626" s="195"/>
      <c r="M1626" s="195"/>
      <c r="N1626" s="197"/>
      <c r="O1626" s="195"/>
      <c r="P1626" s="195"/>
      <c r="Q1626" s="195"/>
    </row>
    <row r="1627" spans="1:17">
      <c r="A1627" s="180">
        <f>'רשימת מכשור 2015'!A1626</f>
        <v>0</v>
      </c>
      <c r="B1627" s="180">
        <f>'רשימת מכשור 2015'!B1626</f>
        <v>0</v>
      </c>
      <c r="C1627" s="180">
        <f>'רשימת מכשור 2015'!C1626</f>
        <v>0</v>
      </c>
      <c r="D1627" s="233">
        <f>'רשימת מכשור 2015'!D1626</f>
        <v>0</v>
      </c>
      <c r="E1627" s="180">
        <f>'רשימת מכשור 2015'!E1626</f>
        <v>0</v>
      </c>
      <c r="F1627" s="180">
        <f>'רשימת מכשור 2015'!F1626</f>
        <v>0</v>
      </c>
      <c r="G1627" s="195"/>
      <c r="H1627" s="195"/>
      <c r="I1627" s="196"/>
      <c r="J1627" s="195"/>
      <c r="K1627" s="195"/>
      <c r="L1627" s="195"/>
      <c r="M1627" s="195"/>
      <c r="N1627" s="197"/>
      <c r="O1627" s="195"/>
      <c r="P1627" s="195"/>
      <c r="Q1627" s="195"/>
    </row>
    <row r="1628" spans="1:17">
      <c r="A1628" s="180">
        <f>'רשימת מכשור 2015'!A1627</f>
        <v>0</v>
      </c>
      <c r="B1628" s="180">
        <f>'רשימת מכשור 2015'!B1627</f>
        <v>0</v>
      </c>
      <c r="C1628" s="180">
        <f>'רשימת מכשור 2015'!C1627</f>
        <v>0</v>
      </c>
      <c r="D1628" s="233">
        <f>'רשימת מכשור 2015'!D1627</f>
        <v>0</v>
      </c>
      <c r="E1628" s="180">
        <f>'רשימת מכשור 2015'!E1627</f>
        <v>0</v>
      </c>
      <c r="F1628" s="180">
        <f>'רשימת מכשור 2015'!F1627</f>
        <v>0</v>
      </c>
      <c r="G1628" s="195"/>
      <c r="H1628" s="195"/>
      <c r="I1628" s="196"/>
      <c r="J1628" s="195"/>
      <c r="K1628" s="195"/>
      <c r="L1628" s="195"/>
      <c r="M1628" s="195"/>
      <c r="N1628" s="197"/>
      <c r="O1628" s="195"/>
      <c r="P1628" s="195"/>
      <c r="Q1628" s="195"/>
    </row>
    <row r="1629" spans="1:17">
      <c r="A1629" s="180">
        <f>'רשימת מכשור 2015'!A1628</f>
        <v>0</v>
      </c>
      <c r="B1629" s="180">
        <f>'רשימת מכשור 2015'!B1628</f>
        <v>0</v>
      </c>
      <c r="C1629" s="180">
        <f>'רשימת מכשור 2015'!C1628</f>
        <v>0</v>
      </c>
      <c r="D1629" s="233">
        <f>'רשימת מכשור 2015'!D1628</f>
        <v>0</v>
      </c>
      <c r="E1629" s="180">
        <f>'רשימת מכשור 2015'!E1628</f>
        <v>0</v>
      </c>
      <c r="F1629" s="180">
        <f>'רשימת מכשור 2015'!F1628</f>
        <v>0</v>
      </c>
      <c r="G1629" s="195"/>
      <c r="H1629" s="195"/>
      <c r="I1629" s="196"/>
      <c r="J1629" s="195"/>
      <c r="K1629" s="195"/>
      <c r="L1629" s="195"/>
      <c r="M1629" s="195"/>
      <c r="N1629" s="197"/>
      <c r="O1629" s="195"/>
      <c r="P1629" s="195"/>
      <c r="Q1629" s="195"/>
    </row>
    <row r="1630" spans="1:17">
      <c r="A1630" s="180">
        <f>'רשימת מכשור 2015'!A1629</f>
        <v>0</v>
      </c>
      <c r="B1630" s="180">
        <f>'רשימת מכשור 2015'!B1629</f>
        <v>0</v>
      </c>
      <c r="C1630" s="180">
        <f>'רשימת מכשור 2015'!C1629</f>
        <v>0</v>
      </c>
      <c r="D1630" s="233">
        <f>'רשימת מכשור 2015'!D1629</f>
        <v>0</v>
      </c>
      <c r="E1630" s="180">
        <f>'רשימת מכשור 2015'!E1629</f>
        <v>0</v>
      </c>
      <c r="F1630" s="180">
        <f>'רשימת מכשור 2015'!F1629</f>
        <v>0</v>
      </c>
      <c r="G1630" s="195"/>
      <c r="H1630" s="195"/>
      <c r="I1630" s="196"/>
      <c r="J1630" s="195"/>
      <c r="K1630" s="195"/>
      <c r="L1630" s="195"/>
      <c r="M1630" s="195"/>
      <c r="N1630" s="197"/>
      <c r="O1630" s="195"/>
      <c r="P1630" s="195"/>
      <c r="Q1630" s="195"/>
    </row>
    <row r="1631" spans="1:17">
      <c r="A1631" s="180">
        <f>'רשימת מכשור 2015'!A1630</f>
        <v>0</v>
      </c>
      <c r="B1631" s="180">
        <f>'רשימת מכשור 2015'!B1630</f>
        <v>0</v>
      </c>
      <c r="C1631" s="180">
        <f>'רשימת מכשור 2015'!C1630</f>
        <v>0</v>
      </c>
      <c r="D1631" s="233">
        <f>'רשימת מכשור 2015'!D1630</f>
        <v>0</v>
      </c>
      <c r="E1631" s="180">
        <f>'רשימת מכשור 2015'!E1630</f>
        <v>0</v>
      </c>
      <c r="F1631" s="180">
        <f>'רשימת מכשור 2015'!F1630</f>
        <v>0</v>
      </c>
      <c r="G1631" s="195"/>
      <c r="H1631" s="195"/>
      <c r="I1631" s="196"/>
      <c r="J1631" s="195"/>
      <c r="K1631" s="195"/>
      <c r="L1631" s="195"/>
      <c r="M1631" s="195"/>
      <c r="N1631" s="197"/>
      <c r="O1631" s="195"/>
      <c r="P1631" s="195"/>
      <c r="Q1631" s="195"/>
    </row>
    <row r="1632" spans="1:17">
      <c r="A1632" s="180">
        <f>'רשימת מכשור 2015'!A1631</f>
        <v>0</v>
      </c>
      <c r="B1632" s="180">
        <f>'רשימת מכשור 2015'!B1631</f>
        <v>0</v>
      </c>
      <c r="C1632" s="180">
        <f>'רשימת מכשור 2015'!C1631</f>
        <v>0</v>
      </c>
      <c r="D1632" s="233">
        <f>'רשימת מכשור 2015'!D1631</f>
        <v>0</v>
      </c>
      <c r="E1632" s="180">
        <f>'רשימת מכשור 2015'!E1631</f>
        <v>0</v>
      </c>
      <c r="F1632" s="180">
        <f>'רשימת מכשור 2015'!F1631</f>
        <v>0</v>
      </c>
      <c r="G1632" s="195"/>
      <c r="H1632" s="195"/>
      <c r="I1632" s="196"/>
      <c r="J1632" s="195"/>
      <c r="K1632" s="195"/>
      <c r="L1632" s="195"/>
      <c r="M1632" s="195"/>
      <c r="N1632" s="197"/>
      <c r="O1632" s="195"/>
      <c r="P1632" s="195"/>
      <c r="Q1632" s="195"/>
    </row>
    <row r="1633" spans="1:17">
      <c r="A1633" s="180">
        <f>'רשימת מכשור 2015'!A1632</f>
        <v>0</v>
      </c>
      <c r="B1633" s="180">
        <f>'רשימת מכשור 2015'!B1632</f>
        <v>0</v>
      </c>
      <c r="C1633" s="180">
        <f>'רשימת מכשור 2015'!C1632</f>
        <v>0</v>
      </c>
      <c r="D1633" s="233">
        <f>'רשימת מכשור 2015'!D1632</f>
        <v>0</v>
      </c>
      <c r="E1633" s="180">
        <f>'רשימת מכשור 2015'!E1632</f>
        <v>0</v>
      </c>
      <c r="F1633" s="180">
        <f>'רשימת מכשור 2015'!F1632</f>
        <v>0</v>
      </c>
      <c r="G1633" s="195"/>
      <c r="H1633" s="195"/>
      <c r="I1633" s="196"/>
      <c r="J1633" s="195"/>
      <c r="K1633" s="195"/>
      <c r="L1633" s="195"/>
      <c r="M1633" s="195"/>
      <c r="N1633" s="197"/>
      <c r="O1633" s="195"/>
      <c r="P1633" s="195"/>
      <c r="Q1633" s="195"/>
    </row>
    <row r="1634" spans="1:17">
      <c r="A1634" s="180">
        <f>'רשימת מכשור 2015'!A1633</f>
        <v>0</v>
      </c>
      <c r="B1634" s="180">
        <f>'רשימת מכשור 2015'!B1633</f>
        <v>0</v>
      </c>
      <c r="C1634" s="180">
        <f>'רשימת מכשור 2015'!C1633</f>
        <v>0</v>
      </c>
      <c r="D1634" s="233">
        <f>'רשימת מכשור 2015'!D1633</f>
        <v>0</v>
      </c>
      <c r="E1634" s="180">
        <f>'רשימת מכשור 2015'!E1633</f>
        <v>0</v>
      </c>
      <c r="F1634" s="180">
        <f>'רשימת מכשור 2015'!F1633</f>
        <v>0</v>
      </c>
      <c r="G1634" s="195"/>
      <c r="H1634" s="195"/>
      <c r="I1634" s="196"/>
      <c r="J1634" s="195"/>
      <c r="K1634" s="195"/>
      <c r="L1634" s="195"/>
      <c r="M1634" s="195"/>
      <c r="N1634" s="197"/>
      <c r="O1634" s="195"/>
      <c r="P1634" s="195"/>
      <c r="Q1634" s="195"/>
    </row>
    <row r="1635" spans="1:17">
      <c r="A1635" s="180">
        <f>'רשימת מכשור 2015'!A1634</f>
        <v>0</v>
      </c>
      <c r="B1635" s="180">
        <f>'רשימת מכשור 2015'!B1634</f>
        <v>0</v>
      </c>
      <c r="C1635" s="180">
        <f>'רשימת מכשור 2015'!C1634</f>
        <v>0</v>
      </c>
      <c r="D1635" s="233">
        <f>'רשימת מכשור 2015'!D1634</f>
        <v>0</v>
      </c>
      <c r="E1635" s="180">
        <f>'רשימת מכשור 2015'!E1634</f>
        <v>0</v>
      </c>
      <c r="F1635" s="180">
        <f>'רשימת מכשור 2015'!F1634</f>
        <v>0</v>
      </c>
      <c r="G1635" s="195"/>
      <c r="H1635" s="195"/>
      <c r="I1635" s="196"/>
      <c r="J1635" s="195"/>
      <c r="K1635" s="195"/>
      <c r="L1635" s="195"/>
      <c r="M1635" s="195"/>
      <c r="N1635" s="197"/>
      <c r="O1635" s="195"/>
      <c r="P1635" s="195"/>
      <c r="Q1635" s="195"/>
    </row>
    <row r="1636" spans="1:17">
      <c r="A1636" s="180">
        <f>'רשימת מכשור 2015'!A1635</f>
        <v>0</v>
      </c>
      <c r="B1636" s="180">
        <f>'רשימת מכשור 2015'!B1635</f>
        <v>0</v>
      </c>
      <c r="C1636" s="180">
        <f>'רשימת מכשור 2015'!C1635</f>
        <v>0</v>
      </c>
      <c r="D1636" s="233">
        <f>'רשימת מכשור 2015'!D1635</f>
        <v>0</v>
      </c>
      <c r="E1636" s="180">
        <f>'רשימת מכשור 2015'!E1635</f>
        <v>0</v>
      </c>
      <c r="F1636" s="180">
        <f>'רשימת מכשור 2015'!F1635</f>
        <v>0</v>
      </c>
      <c r="G1636" s="195"/>
      <c r="H1636" s="195"/>
      <c r="I1636" s="196"/>
      <c r="J1636" s="195"/>
      <c r="K1636" s="195"/>
      <c r="L1636" s="195"/>
      <c r="M1636" s="195"/>
      <c r="N1636" s="197"/>
      <c r="O1636" s="195"/>
      <c r="P1636" s="195"/>
      <c r="Q1636" s="195"/>
    </row>
    <row r="1637" spans="1:17">
      <c r="A1637" s="180">
        <f>'רשימת מכשור 2015'!A1636</f>
        <v>0</v>
      </c>
      <c r="B1637" s="180">
        <f>'רשימת מכשור 2015'!B1636</f>
        <v>0</v>
      </c>
      <c r="C1637" s="180">
        <f>'רשימת מכשור 2015'!C1636</f>
        <v>0</v>
      </c>
      <c r="D1637" s="233">
        <f>'רשימת מכשור 2015'!D1636</f>
        <v>0</v>
      </c>
      <c r="E1637" s="180">
        <f>'רשימת מכשור 2015'!E1636</f>
        <v>0</v>
      </c>
      <c r="F1637" s="180">
        <f>'רשימת מכשור 2015'!F1636</f>
        <v>0</v>
      </c>
      <c r="G1637" s="195"/>
      <c r="H1637" s="195"/>
      <c r="I1637" s="196"/>
      <c r="J1637" s="195"/>
      <c r="K1637" s="195"/>
      <c r="L1637" s="195"/>
      <c r="M1637" s="195"/>
      <c r="N1637" s="197"/>
      <c r="O1637" s="195"/>
      <c r="P1637" s="195"/>
      <c r="Q1637" s="195"/>
    </row>
    <row r="1638" spans="1:17">
      <c r="A1638" s="180">
        <f>'רשימת מכשור 2015'!A1637</f>
        <v>0</v>
      </c>
      <c r="B1638" s="180">
        <f>'רשימת מכשור 2015'!B1637</f>
        <v>0</v>
      </c>
      <c r="C1638" s="180">
        <f>'רשימת מכשור 2015'!C1637</f>
        <v>0</v>
      </c>
      <c r="D1638" s="233">
        <f>'רשימת מכשור 2015'!D1637</f>
        <v>0</v>
      </c>
      <c r="E1638" s="180">
        <f>'רשימת מכשור 2015'!E1637</f>
        <v>0</v>
      </c>
      <c r="F1638" s="180">
        <f>'רשימת מכשור 2015'!F1637</f>
        <v>0</v>
      </c>
      <c r="G1638" s="195"/>
      <c r="H1638" s="195"/>
      <c r="I1638" s="196"/>
      <c r="J1638" s="195"/>
      <c r="K1638" s="195"/>
      <c r="L1638" s="195"/>
      <c r="M1638" s="195"/>
      <c r="N1638" s="197"/>
      <c r="O1638" s="195"/>
      <c r="P1638" s="195"/>
      <c r="Q1638" s="195"/>
    </row>
    <row r="1639" spans="1:17">
      <c r="A1639" s="180">
        <f>'רשימת מכשור 2015'!A1638</f>
        <v>0</v>
      </c>
      <c r="B1639" s="180">
        <f>'רשימת מכשור 2015'!B1638</f>
        <v>0</v>
      </c>
      <c r="C1639" s="180">
        <f>'רשימת מכשור 2015'!C1638</f>
        <v>0</v>
      </c>
      <c r="D1639" s="233">
        <f>'רשימת מכשור 2015'!D1638</f>
        <v>0</v>
      </c>
      <c r="E1639" s="180">
        <f>'רשימת מכשור 2015'!E1638</f>
        <v>0</v>
      </c>
      <c r="F1639" s="180">
        <f>'רשימת מכשור 2015'!F1638</f>
        <v>0</v>
      </c>
      <c r="G1639" s="195"/>
      <c r="H1639" s="195"/>
      <c r="I1639" s="196"/>
      <c r="J1639" s="195"/>
      <c r="K1639" s="195"/>
      <c r="L1639" s="195"/>
      <c r="M1639" s="195"/>
      <c r="N1639" s="197"/>
      <c r="O1639" s="195"/>
      <c r="P1639" s="195"/>
      <c r="Q1639" s="195"/>
    </row>
    <row r="1640" spans="1:17">
      <c r="A1640" s="180">
        <f>'רשימת מכשור 2015'!A1639</f>
        <v>0</v>
      </c>
      <c r="B1640" s="180">
        <f>'רשימת מכשור 2015'!B1639</f>
        <v>0</v>
      </c>
      <c r="C1640" s="180">
        <f>'רשימת מכשור 2015'!C1639</f>
        <v>0</v>
      </c>
      <c r="D1640" s="233">
        <f>'רשימת מכשור 2015'!D1639</f>
        <v>0</v>
      </c>
      <c r="E1640" s="180">
        <f>'רשימת מכשור 2015'!E1639</f>
        <v>0</v>
      </c>
      <c r="F1640" s="180">
        <f>'רשימת מכשור 2015'!F1639</f>
        <v>0</v>
      </c>
      <c r="G1640" s="195"/>
      <c r="H1640" s="195"/>
      <c r="I1640" s="196"/>
      <c r="J1640" s="195"/>
      <c r="K1640" s="195"/>
      <c r="L1640" s="195"/>
      <c r="M1640" s="195"/>
      <c r="N1640" s="197"/>
      <c r="O1640" s="195"/>
      <c r="P1640" s="195"/>
      <c r="Q1640" s="195"/>
    </row>
    <row r="1641" spans="1:17">
      <c r="A1641" s="180">
        <f>'רשימת מכשור 2015'!A1640</f>
        <v>0</v>
      </c>
      <c r="B1641" s="180">
        <f>'רשימת מכשור 2015'!B1640</f>
        <v>0</v>
      </c>
      <c r="C1641" s="180">
        <f>'רשימת מכשור 2015'!C1640</f>
        <v>0</v>
      </c>
      <c r="D1641" s="233">
        <f>'רשימת מכשור 2015'!D1640</f>
        <v>0</v>
      </c>
      <c r="E1641" s="180">
        <f>'רשימת מכשור 2015'!E1640</f>
        <v>0</v>
      </c>
      <c r="F1641" s="180">
        <f>'רשימת מכשור 2015'!F1640</f>
        <v>0</v>
      </c>
      <c r="G1641" s="195"/>
      <c r="H1641" s="195"/>
      <c r="I1641" s="196"/>
      <c r="J1641" s="195"/>
      <c r="K1641" s="195"/>
      <c r="L1641" s="195"/>
      <c r="M1641" s="195"/>
      <c r="N1641" s="197"/>
      <c r="O1641" s="195"/>
      <c r="P1641" s="195"/>
      <c r="Q1641" s="195"/>
    </row>
    <row r="1642" spans="1:17">
      <c r="A1642" s="180">
        <f>'רשימת מכשור 2015'!A1641</f>
        <v>0</v>
      </c>
      <c r="B1642" s="180">
        <f>'רשימת מכשור 2015'!B1641</f>
        <v>0</v>
      </c>
      <c r="C1642" s="180">
        <f>'רשימת מכשור 2015'!C1641</f>
        <v>0</v>
      </c>
      <c r="D1642" s="233">
        <f>'רשימת מכשור 2015'!D1641</f>
        <v>0</v>
      </c>
      <c r="E1642" s="180">
        <f>'רשימת מכשור 2015'!E1641</f>
        <v>0</v>
      </c>
      <c r="F1642" s="180">
        <f>'רשימת מכשור 2015'!F1641</f>
        <v>0</v>
      </c>
      <c r="G1642" s="195"/>
      <c r="H1642" s="195"/>
      <c r="I1642" s="196"/>
      <c r="J1642" s="195"/>
      <c r="K1642" s="195"/>
      <c r="L1642" s="195"/>
      <c r="M1642" s="195"/>
      <c r="N1642" s="197"/>
      <c r="O1642" s="195"/>
      <c r="P1642" s="195"/>
      <c r="Q1642" s="195"/>
    </row>
    <row r="1643" spans="1:17">
      <c r="A1643" s="180">
        <f>'רשימת מכשור 2015'!A1642</f>
        <v>0</v>
      </c>
      <c r="B1643" s="180">
        <f>'רשימת מכשור 2015'!B1642</f>
        <v>0</v>
      </c>
      <c r="C1643" s="180">
        <f>'רשימת מכשור 2015'!C1642</f>
        <v>0</v>
      </c>
      <c r="D1643" s="233">
        <f>'רשימת מכשור 2015'!D1642</f>
        <v>0</v>
      </c>
      <c r="E1643" s="180">
        <f>'רשימת מכשור 2015'!E1642</f>
        <v>0</v>
      </c>
      <c r="F1643" s="180">
        <f>'רשימת מכשור 2015'!F1642</f>
        <v>0</v>
      </c>
      <c r="G1643" s="195"/>
      <c r="H1643" s="195"/>
      <c r="I1643" s="196"/>
      <c r="J1643" s="195"/>
      <c r="K1643" s="195"/>
      <c r="L1643" s="195"/>
      <c r="M1643" s="195"/>
      <c r="N1643" s="197"/>
      <c r="O1643" s="195"/>
      <c r="P1643" s="195"/>
      <c r="Q1643" s="195"/>
    </row>
    <row r="1644" spans="1:17">
      <c r="A1644" s="180">
        <f>'רשימת מכשור 2015'!A1643</f>
        <v>0</v>
      </c>
      <c r="B1644" s="180">
        <f>'רשימת מכשור 2015'!B1643</f>
        <v>0</v>
      </c>
      <c r="C1644" s="180">
        <f>'רשימת מכשור 2015'!C1643</f>
        <v>0</v>
      </c>
      <c r="D1644" s="233">
        <f>'רשימת מכשור 2015'!D1643</f>
        <v>0</v>
      </c>
      <c r="E1644" s="180">
        <f>'רשימת מכשור 2015'!E1643</f>
        <v>0</v>
      </c>
      <c r="F1644" s="180">
        <f>'רשימת מכשור 2015'!F1643</f>
        <v>0</v>
      </c>
      <c r="G1644" s="195"/>
      <c r="H1644" s="195"/>
      <c r="I1644" s="196"/>
      <c r="J1644" s="195"/>
      <c r="K1644" s="195"/>
      <c r="L1644" s="195"/>
      <c r="M1644" s="195"/>
      <c r="N1644" s="197"/>
      <c r="O1644" s="195"/>
      <c r="P1644" s="195"/>
      <c r="Q1644" s="195"/>
    </row>
    <row r="1645" spans="1:17">
      <c r="A1645" s="180">
        <f>'רשימת מכשור 2015'!A1644</f>
        <v>0</v>
      </c>
      <c r="B1645" s="180">
        <f>'רשימת מכשור 2015'!B1644</f>
        <v>0</v>
      </c>
      <c r="C1645" s="180">
        <f>'רשימת מכשור 2015'!C1644</f>
        <v>0</v>
      </c>
      <c r="D1645" s="233">
        <f>'רשימת מכשור 2015'!D1644</f>
        <v>0</v>
      </c>
      <c r="E1645" s="180">
        <f>'רשימת מכשור 2015'!E1644</f>
        <v>0</v>
      </c>
      <c r="F1645" s="180">
        <f>'רשימת מכשור 2015'!F1644</f>
        <v>0</v>
      </c>
      <c r="G1645" s="195"/>
      <c r="H1645" s="195"/>
      <c r="I1645" s="196"/>
      <c r="J1645" s="195"/>
      <c r="K1645" s="195"/>
      <c r="L1645" s="195"/>
      <c r="M1645" s="195"/>
      <c r="N1645" s="197"/>
      <c r="O1645" s="195"/>
      <c r="P1645" s="195"/>
      <c r="Q1645" s="195"/>
    </row>
    <row r="1646" spans="1:17">
      <c r="A1646" s="180">
        <f>'רשימת מכשור 2015'!A1645</f>
        <v>0</v>
      </c>
      <c r="B1646" s="180">
        <f>'רשימת מכשור 2015'!B1645</f>
        <v>0</v>
      </c>
      <c r="C1646" s="180">
        <f>'רשימת מכשור 2015'!C1645</f>
        <v>0</v>
      </c>
      <c r="D1646" s="233">
        <f>'רשימת מכשור 2015'!D1645</f>
        <v>0</v>
      </c>
      <c r="E1646" s="180">
        <f>'רשימת מכשור 2015'!E1645</f>
        <v>0</v>
      </c>
      <c r="F1646" s="180">
        <f>'רשימת מכשור 2015'!F1645</f>
        <v>0</v>
      </c>
      <c r="G1646" s="195"/>
      <c r="H1646" s="195"/>
      <c r="I1646" s="196"/>
      <c r="J1646" s="195"/>
      <c r="K1646" s="195"/>
      <c r="L1646" s="195"/>
      <c r="M1646" s="195"/>
      <c r="N1646" s="197"/>
      <c r="O1646" s="195"/>
      <c r="P1646" s="195"/>
      <c r="Q1646" s="195"/>
    </row>
    <row r="1647" spans="1:17">
      <c r="A1647" s="180">
        <f>'רשימת מכשור 2015'!A1646</f>
        <v>0</v>
      </c>
      <c r="B1647" s="180">
        <f>'רשימת מכשור 2015'!B1646</f>
        <v>0</v>
      </c>
      <c r="C1647" s="180">
        <f>'רשימת מכשור 2015'!C1646</f>
        <v>0</v>
      </c>
      <c r="D1647" s="233">
        <f>'רשימת מכשור 2015'!D1646</f>
        <v>0</v>
      </c>
      <c r="E1647" s="180">
        <f>'רשימת מכשור 2015'!E1646</f>
        <v>0</v>
      </c>
      <c r="F1647" s="180">
        <f>'רשימת מכשור 2015'!F1646</f>
        <v>0</v>
      </c>
      <c r="G1647" s="195"/>
      <c r="H1647" s="195"/>
      <c r="I1647" s="196"/>
      <c r="J1647" s="195"/>
      <c r="K1647" s="195"/>
      <c r="L1647" s="195"/>
      <c r="M1647" s="195"/>
      <c r="N1647" s="197"/>
      <c r="O1647" s="195"/>
      <c r="P1647" s="195"/>
      <c r="Q1647" s="195"/>
    </row>
    <row r="1648" spans="1:17">
      <c r="A1648" s="180">
        <f>'רשימת מכשור 2015'!A1647</f>
        <v>0</v>
      </c>
      <c r="B1648" s="180">
        <f>'רשימת מכשור 2015'!B1647</f>
        <v>0</v>
      </c>
      <c r="C1648" s="180">
        <f>'רשימת מכשור 2015'!C1647</f>
        <v>0</v>
      </c>
      <c r="D1648" s="233">
        <f>'רשימת מכשור 2015'!D1647</f>
        <v>0</v>
      </c>
      <c r="E1648" s="180">
        <f>'רשימת מכשור 2015'!E1647</f>
        <v>0</v>
      </c>
      <c r="F1648" s="180">
        <f>'רשימת מכשור 2015'!F1647</f>
        <v>0</v>
      </c>
      <c r="G1648" s="195"/>
      <c r="H1648" s="195"/>
      <c r="I1648" s="196"/>
      <c r="J1648" s="195"/>
      <c r="K1648" s="195"/>
      <c r="L1648" s="195"/>
      <c r="M1648" s="195"/>
      <c r="N1648" s="197"/>
      <c r="O1648" s="195"/>
      <c r="P1648" s="195"/>
      <c r="Q1648" s="195"/>
    </row>
    <row r="1649" spans="1:17">
      <c r="A1649" s="180">
        <f>'רשימת מכשור 2015'!A1648</f>
        <v>0</v>
      </c>
      <c r="B1649" s="180">
        <f>'רשימת מכשור 2015'!B1648</f>
        <v>0</v>
      </c>
      <c r="C1649" s="180">
        <f>'רשימת מכשור 2015'!C1648</f>
        <v>0</v>
      </c>
      <c r="D1649" s="233">
        <f>'רשימת מכשור 2015'!D1648</f>
        <v>0</v>
      </c>
      <c r="E1649" s="180">
        <f>'רשימת מכשור 2015'!E1648</f>
        <v>0</v>
      </c>
      <c r="F1649" s="180">
        <f>'רשימת מכשור 2015'!F1648</f>
        <v>0</v>
      </c>
      <c r="G1649" s="195"/>
      <c r="H1649" s="195"/>
      <c r="I1649" s="196"/>
      <c r="J1649" s="195"/>
      <c r="K1649" s="195"/>
      <c r="L1649" s="195"/>
      <c r="M1649" s="195"/>
      <c r="N1649" s="197"/>
      <c r="O1649" s="195"/>
      <c r="P1649" s="195"/>
      <c r="Q1649" s="195"/>
    </row>
    <row r="1650" spans="1:17">
      <c r="A1650" s="180">
        <f>'רשימת מכשור 2015'!A1649</f>
        <v>0</v>
      </c>
      <c r="B1650" s="180">
        <f>'רשימת מכשור 2015'!B1649</f>
        <v>0</v>
      </c>
      <c r="C1650" s="180">
        <f>'רשימת מכשור 2015'!C1649</f>
        <v>0</v>
      </c>
      <c r="D1650" s="233">
        <f>'רשימת מכשור 2015'!D1649</f>
        <v>0</v>
      </c>
      <c r="E1650" s="180">
        <f>'רשימת מכשור 2015'!E1649</f>
        <v>0</v>
      </c>
      <c r="F1650" s="180">
        <f>'רשימת מכשור 2015'!F1649</f>
        <v>0</v>
      </c>
      <c r="G1650" s="195"/>
      <c r="H1650" s="195"/>
      <c r="I1650" s="196"/>
      <c r="J1650" s="195"/>
      <c r="K1650" s="195"/>
      <c r="L1650" s="195"/>
      <c r="M1650" s="195"/>
      <c r="N1650" s="197"/>
      <c r="O1650" s="195"/>
      <c r="P1650" s="195"/>
      <c r="Q1650" s="195"/>
    </row>
    <row r="1651" spans="1:17">
      <c r="A1651" s="180">
        <f>'רשימת מכשור 2015'!A1650</f>
        <v>0</v>
      </c>
      <c r="B1651" s="180">
        <f>'רשימת מכשור 2015'!B1650</f>
        <v>0</v>
      </c>
      <c r="C1651" s="180">
        <f>'רשימת מכשור 2015'!C1650</f>
        <v>0</v>
      </c>
      <c r="D1651" s="233">
        <f>'רשימת מכשור 2015'!D1650</f>
        <v>0</v>
      </c>
      <c r="E1651" s="180">
        <f>'רשימת מכשור 2015'!E1650</f>
        <v>0</v>
      </c>
      <c r="F1651" s="180">
        <f>'רשימת מכשור 2015'!F1650</f>
        <v>0</v>
      </c>
      <c r="G1651" s="195"/>
      <c r="H1651" s="195"/>
      <c r="I1651" s="196"/>
      <c r="J1651" s="195"/>
      <c r="K1651" s="195"/>
      <c r="L1651" s="195"/>
      <c r="M1651" s="195"/>
      <c r="N1651" s="197"/>
      <c r="O1651" s="195"/>
      <c r="P1651" s="195"/>
      <c r="Q1651" s="195"/>
    </row>
    <row r="1652" spans="1:17">
      <c r="A1652" s="180">
        <f>'רשימת מכשור 2015'!A1651</f>
        <v>0</v>
      </c>
      <c r="B1652" s="180">
        <f>'רשימת מכשור 2015'!B1651</f>
        <v>0</v>
      </c>
      <c r="C1652" s="180">
        <f>'רשימת מכשור 2015'!C1651</f>
        <v>0</v>
      </c>
      <c r="D1652" s="233">
        <f>'רשימת מכשור 2015'!D1651</f>
        <v>0</v>
      </c>
      <c r="E1652" s="180">
        <f>'רשימת מכשור 2015'!E1651</f>
        <v>0</v>
      </c>
      <c r="F1652" s="180">
        <f>'רשימת מכשור 2015'!F1651</f>
        <v>0</v>
      </c>
      <c r="G1652" s="195"/>
      <c r="H1652" s="195"/>
      <c r="I1652" s="196"/>
      <c r="J1652" s="195"/>
      <c r="K1652" s="195"/>
      <c r="L1652" s="195"/>
      <c r="M1652" s="195"/>
      <c r="N1652" s="197"/>
      <c r="O1652" s="195"/>
      <c r="P1652" s="195"/>
      <c r="Q1652" s="195"/>
    </row>
    <row r="1653" spans="1:17">
      <c r="A1653" s="180">
        <f>'רשימת מכשור 2015'!A1652</f>
        <v>0</v>
      </c>
      <c r="B1653" s="180">
        <f>'רשימת מכשור 2015'!B1652</f>
        <v>0</v>
      </c>
      <c r="C1653" s="180">
        <f>'רשימת מכשור 2015'!C1652</f>
        <v>0</v>
      </c>
      <c r="D1653" s="233">
        <f>'רשימת מכשור 2015'!D1652</f>
        <v>0</v>
      </c>
      <c r="E1653" s="180">
        <f>'רשימת מכשור 2015'!E1652</f>
        <v>0</v>
      </c>
      <c r="F1653" s="180">
        <f>'רשימת מכשור 2015'!F1652</f>
        <v>0</v>
      </c>
      <c r="G1653" s="195"/>
      <c r="H1653" s="195"/>
      <c r="I1653" s="196"/>
      <c r="J1653" s="195"/>
      <c r="K1653" s="195"/>
      <c r="L1653" s="195"/>
      <c r="M1653" s="195"/>
      <c r="N1653" s="197"/>
      <c r="O1653" s="195"/>
      <c r="P1653" s="195"/>
      <c r="Q1653" s="195"/>
    </row>
    <row r="1654" spans="1:17">
      <c r="A1654" s="180">
        <f>'רשימת מכשור 2015'!A1653</f>
        <v>0</v>
      </c>
      <c r="B1654" s="180">
        <f>'רשימת מכשור 2015'!B1653</f>
        <v>0</v>
      </c>
      <c r="C1654" s="180">
        <f>'רשימת מכשור 2015'!C1653</f>
        <v>0</v>
      </c>
      <c r="D1654" s="233">
        <f>'רשימת מכשור 2015'!D1653</f>
        <v>0</v>
      </c>
      <c r="E1654" s="180">
        <f>'רשימת מכשור 2015'!E1653</f>
        <v>0</v>
      </c>
      <c r="F1654" s="180">
        <f>'רשימת מכשור 2015'!F1653</f>
        <v>0</v>
      </c>
      <c r="G1654" s="195"/>
      <c r="H1654" s="195"/>
      <c r="I1654" s="196"/>
      <c r="J1654" s="195"/>
      <c r="K1654" s="195"/>
      <c r="L1654" s="195"/>
      <c r="M1654" s="195"/>
      <c r="N1654" s="197"/>
      <c r="O1654" s="195"/>
      <c r="P1654" s="195"/>
      <c r="Q1654" s="195"/>
    </row>
    <row r="1655" spans="1:17">
      <c r="A1655" s="180">
        <f>'רשימת מכשור 2015'!A1654</f>
        <v>0</v>
      </c>
      <c r="B1655" s="180">
        <f>'רשימת מכשור 2015'!B1654</f>
        <v>0</v>
      </c>
      <c r="C1655" s="180">
        <f>'רשימת מכשור 2015'!C1654</f>
        <v>0</v>
      </c>
      <c r="D1655" s="233">
        <f>'רשימת מכשור 2015'!D1654</f>
        <v>0</v>
      </c>
      <c r="E1655" s="180">
        <f>'רשימת מכשור 2015'!E1654</f>
        <v>0</v>
      </c>
      <c r="F1655" s="180">
        <f>'רשימת מכשור 2015'!F1654</f>
        <v>0</v>
      </c>
      <c r="G1655" s="195"/>
      <c r="H1655" s="195"/>
      <c r="I1655" s="196"/>
      <c r="J1655" s="195"/>
      <c r="K1655" s="195"/>
      <c r="L1655" s="195"/>
      <c r="M1655" s="195"/>
      <c r="N1655" s="197"/>
      <c r="O1655" s="195"/>
      <c r="P1655" s="195"/>
      <c r="Q1655" s="195"/>
    </row>
    <row r="1656" spans="1:17">
      <c r="A1656" s="180">
        <f>'רשימת מכשור 2015'!A1655</f>
        <v>0</v>
      </c>
      <c r="B1656" s="180">
        <f>'רשימת מכשור 2015'!B1655</f>
        <v>0</v>
      </c>
      <c r="C1656" s="180">
        <f>'רשימת מכשור 2015'!C1655</f>
        <v>0</v>
      </c>
      <c r="D1656" s="233">
        <f>'רשימת מכשור 2015'!D1655</f>
        <v>0</v>
      </c>
      <c r="E1656" s="180">
        <f>'רשימת מכשור 2015'!E1655</f>
        <v>0</v>
      </c>
      <c r="F1656" s="180">
        <f>'רשימת מכשור 2015'!F1655</f>
        <v>0</v>
      </c>
      <c r="G1656" s="195"/>
      <c r="H1656" s="195"/>
      <c r="I1656" s="196"/>
      <c r="J1656" s="195"/>
      <c r="K1656" s="195"/>
      <c r="L1656" s="195"/>
      <c r="M1656" s="195"/>
      <c r="N1656" s="197"/>
      <c r="O1656" s="195"/>
      <c r="P1656" s="195"/>
      <c r="Q1656" s="195"/>
    </row>
    <row r="1657" spans="1:17">
      <c r="A1657" s="180">
        <f>'רשימת מכשור 2015'!A1656</f>
        <v>0</v>
      </c>
      <c r="B1657" s="180">
        <f>'רשימת מכשור 2015'!B1656</f>
        <v>0</v>
      </c>
      <c r="C1657" s="180">
        <f>'רשימת מכשור 2015'!C1656</f>
        <v>0</v>
      </c>
      <c r="D1657" s="233">
        <f>'רשימת מכשור 2015'!D1656</f>
        <v>0</v>
      </c>
      <c r="E1657" s="180">
        <f>'רשימת מכשור 2015'!E1656</f>
        <v>0</v>
      </c>
      <c r="F1657" s="180">
        <f>'רשימת מכשור 2015'!F1656</f>
        <v>0</v>
      </c>
      <c r="G1657" s="195"/>
      <c r="H1657" s="195"/>
      <c r="I1657" s="196"/>
      <c r="J1657" s="195"/>
      <c r="K1657" s="195"/>
      <c r="L1657" s="195"/>
      <c r="M1657" s="195"/>
      <c r="N1657" s="197"/>
      <c r="O1657" s="195"/>
      <c r="P1657" s="195"/>
      <c r="Q1657" s="195"/>
    </row>
    <row r="1658" spans="1:17">
      <c r="A1658" s="180">
        <f>'רשימת מכשור 2015'!A1657</f>
        <v>0</v>
      </c>
      <c r="B1658" s="180">
        <f>'רשימת מכשור 2015'!B1657</f>
        <v>0</v>
      </c>
      <c r="C1658" s="180">
        <f>'רשימת מכשור 2015'!C1657</f>
        <v>0</v>
      </c>
      <c r="D1658" s="233">
        <f>'רשימת מכשור 2015'!D1657</f>
        <v>0</v>
      </c>
      <c r="E1658" s="180">
        <f>'רשימת מכשור 2015'!E1657</f>
        <v>0</v>
      </c>
      <c r="F1658" s="180">
        <f>'רשימת מכשור 2015'!F1657</f>
        <v>0</v>
      </c>
      <c r="G1658" s="195"/>
      <c r="H1658" s="195"/>
      <c r="I1658" s="196"/>
      <c r="J1658" s="195"/>
      <c r="K1658" s="195"/>
      <c r="L1658" s="195"/>
      <c r="M1658" s="195"/>
      <c r="N1658" s="197"/>
      <c r="O1658" s="195"/>
      <c r="P1658" s="195"/>
      <c r="Q1658" s="195"/>
    </row>
    <row r="1659" spans="1:17">
      <c r="A1659" s="180">
        <f>'רשימת מכשור 2015'!A1658</f>
        <v>0</v>
      </c>
      <c r="B1659" s="180">
        <f>'רשימת מכשור 2015'!B1658</f>
        <v>0</v>
      </c>
      <c r="C1659" s="180">
        <f>'רשימת מכשור 2015'!C1658</f>
        <v>0</v>
      </c>
      <c r="D1659" s="233">
        <f>'רשימת מכשור 2015'!D1658</f>
        <v>0</v>
      </c>
      <c r="E1659" s="180">
        <f>'רשימת מכשור 2015'!E1658</f>
        <v>0</v>
      </c>
      <c r="F1659" s="180">
        <f>'רשימת מכשור 2015'!F1658</f>
        <v>0</v>
      </c>
      <c r="G1659" s="195"/>
      <c r="H1659" s="195"/>
      <c r="I1659" s="196"/>
      <c r="J1659" s="195"/>
      <c r="K1659" s="195"/>
      <c r="L1659" s="195"/>
      <c r="M1659" s="195"/>
      <c r="N1659" s="197"/>
      <c r="O1659" s="195"/>
      <c r="P1659" s="195"/>
      <c r="Q1659" s="195"/>
    </row>
    <row r="1660" spans="1:17">
      <c r="A1660" s="180">
        <f>'רשימת מכשור 2015'!A1659</f>
        <v>0</v>
      </c>
      <c r="B1660" s="180">
        <f>'רשימת מכשור 2015'!B1659</f>
        <v>0</v>
      </c>
      <c r="C1660" s="180">
        <f>'רשימת מכשור 2015'!C1659</f>
        <v>0</v>
      </c>
      <c r="D1660" s="233">
        <f>'רשימת מכשור 2015'!D1659</f>
        <v>0</v>
      </c>
      <c r="E1660" s="180">
        <f>'רשימת מכשור 2015'!E1659</f>
        <v>0</v>
      </c>
      <c r="F1660" s="180">
        <f>'רשימת מכשור 2015'!F1659</f>
        <v>0</v>
      </c>
      <c r="G1660" s="195"/>
      <c r="H1660" s="195"/>
      <c r="I1660" s="196"/>
      <c r="J1660" s="195"/>
      <c r="K1660" s="195"/>
      <c r="L1660" s="195"/>
      <c r="M1660" s="195"/>
      <c r="N1660" s="197"/>
      <c r="O1660" s="195"/>
      <c r="P1660" s="195"/>
      <c r="Q1660" s="195"/>
    </row>
    <row r="1661" spans="1:17">
      <c r="A1661" s="180">
        <f>'רשימת מכשור 2015'!A1660</f>
        <v>0</v>
      </c>
      <c r="B1661" s="180">
        <f>'רשימת מכשור 2015'!B1660</f>
        <v>0</v>
      </c>
      <c r="C1661" s="180">
        <f>'רשימת מכשור 2015'!C1660</f>
        <v>0</v>
      </c>
      <c r="D1661" s="233">
        <f>'רשימת מכשור 2015'!D1660</f>
        <v>0</v>
      </c>
      <c r="E1661" s="180">
        <f>'רשימת מכשור 2015'!E1660</f>
        <v>0</v>
      </c>
      <c r="F1661" s="180">
        <f>'רשימת מכשור 2015'!F1660</f>
        <v>0</v>
      </c>
      <c r="G1661" s="195"/>
      <c r="H1661" s="195"/>
      <c r="I1661" s="196"/>
      <c r="J1661" s="195"/>
      <c r="K1661" s="195"/>
      <c r="L1661" s="195"/>
      <c r="M1661" s="195"/>
      <c r="N1661" s="197"/>
      <c r="O1661" s="195"/>
      <c r="P1661" s="195"/>
      <c r="Q1661" s="195"/>
    </row>
    <row r="1662" spans="1:17">
      <c r="A1662" s="180">
        <f>'רשימת מכשור 2015'!A1661</f>
        <v>0</v>
      </c>
      <c r="B1662" s="180">
        <f>'רשימת מכשור 2015'!B1661</f>
        <v>0</v>
      </c>
      <c r="C1662" s="180">
        <f>'רשימת מכשור 2015'!C1661</f>
        <v>0</v>
      </c>
      <c r="D1662" s="233">
        <f>'רשימת מכשור 2015'!D1661</f>
        <v>0</v>
      </c>
      <c r="E1662" s="180">
        <f>'רשימת מכשור 2015'!E1661</f>
        <v>0</v>
      </c>
      <c r="F1662" s="180">
        <f>'רשימת מכשור 2015'!F1661</f>
        <v>0</v>
      </c>
      <c r="G1662" s="195"/>
      <c r="H1662" s="195"/>
      <c r="I1662" s="196"/>
      <c r="J1662" s="195"/>
      <c r="K1662" s="195"/>
      <c r="L1662" s="195"/>
      <c r="M1662" s="195"/>
      <c r="N1662" s="197"/>
      <c r="O1662" s="195"/>
      <c r="P1662" s="195"/>
      <c r="Q1662" s="195"/>
    </row>
    <row r="1663" spans="1:17">
      <c r="A1663" s="180">
        <f>'רשימת מכשור 2015'!A1662</f>
        <v>0</v>
      </c>
      <c r="B1663" s="180">
        <f>'רשימת מכשור 2015'!B1662</f>
        <v>0</v>
      </c>
      <c r="C1663" s="180">
        <f>'רשימת מכשור 2015'!C1662</f>
        <v>0</v>
      </c>
      <c r="D1663" s="233">
        <f>'רשימת מכשור 2015'!D1662</f>
        <v>0</v>
      </c>
      <c r="E1663" s="180">
        <f>'רשימת מכשור 2015'!E1662</f>
        <v>0</v>
      </c>
      <c r="F1663" s="180">
        <f>'רשימת מכשור 2015'!F1662</f>
        <v>0</v>
      </c>
      <c r="G1663" s="195"/>
      <c r="H1663" s="195"/>
      <c r="I1663" s="196"/>
      <c r="J1663" s="195"/>
      <c r="K1663" s="195"/>
      <c r="L1663" s="195"/>
      <c r="M1663" s="195"/>
      <c r="N1663" s="197"/>
      <c r="O1663" s="195"/>
      <c r="P1663" s="195"/>
      <c r="Q1663" s="195"/>
    </row>
    <row r="1664" spans="1:17">
      <c r="A1664" s="180">
        <f>'רשימת מכשור 2015'!A1663</f>
        <v>0</v>
      </c>
      <c r="B1664" s="180">
        <f>'רשימת מכשור 2015'!B1663</f>
        <v>0</v>
      </c>
      <c r="C1664" s="180">
        <f>'רשימת מכשור 2015'!C1663</f>
        <v>0</v>
      </c>
      <c r="D1664" s="233">
        <f>'רשימת מכשור 2015'!D1663</f>
        <v>0</v>
      </c>
      <c r="E1664" s="180">
        <f>'רשימת מכשור 2015'!E1663</f>
        <v>0</v>
      </c>
      <c r="F1664" s="180">
        <f>'רשימת מכשור 2015'!F1663</f>
        <v>0</v>
      </c>
      <c r="G1664" s="195"/>
      <c r="H1664" s="195"/>
      <c r="I1664" s="196"/>
      <c r="J1664" s="195"/>
      <c r="K1664" s="195"/>
      <c r="L1664" s="195"/>
      <c r="M1664" s="195"/>
      <c r="N1664" s="197"/>
      <c r="O1664" s="195"/>
      <c r="P1664" s="195"/>
      <c r="Q1664" s="195"/>
    </row>
    <row r="1665" spans="1:17">
      <c r="A1665" s="180">
        <f>'רשימת מכשור 2015'!A1664</f>
        <v>0</v>
      </c>
      <c r="B1665" s="180">
        <f>'רשימת מכשור 2015'!B1664</f>
        <v>0</v>
      </c>
      <c r="C1665" s="180">
        <f>'רשימת מכשור 2015'!C1664</f>
        <v>0</v>
      </c>
      <c r="D1665" s="233">
        <f>'רשימת מכשור 2015'!D1664</f>
        <v>0</v>
      </c>
      <c r="E1665" s="180">
        <f>'רשימת מכשור 2015'!E1664</f>
        <v>0</v>
      </c>
      <c r="F1665" s="180">
        <f>'רשימת מכשור 2015'!F1664</f>
        <v>0</v>
      </c>
      <c r="G1665" s="195"/>
      <c r="H1665" s="195"/>
      <c r="I1665" s="196"/>
      <c r="J1665" s="195"/>
      <c r="K1665" s="195"/>
      <c r="L1665" s="195"/>
      <c r="M1665" s="195"/>
      <c r="N1665" s="197"/>
      <c r="O1665" s="195"/>
      <c r="P1665" s="195"/>
      <c r="Q1665" s="195"/>
    </row>
    <row r="1666" spans="1:17">
      <c r="A1666" s="180">
        <f>'רשימת מכשור 2015'!A1665</f>
        <v>0</v>
      </c>
      <c r="B1666" s="180">
        <f>'רשימת מכשור 2015'!B1665</f>
        <v>0</v>
      </c>
      <c r="C1666" s="180">
        <f>'רשימת מכשור 2015'!C1665</f>
        <v>0</v>
      </c>
      <c r="D1666" s="233">
        <f>'רשימת מכשור 2015'!D1665</f>
        <v>0</v>
      </c>
      <c r="E1666" s="180">
        <f>'רשימת מכשור 2015'!E1665</f>
        <v>0</v>
      </c>
      <c r="F1666" s="180">
        <f>'רשימת מכשור 2015'!F1665</f>
        <v>0</v>
      </c>
      <c r="G1666" s="195"/>
      <c r="H1666" s="195"/>
      <c r="I1666" s="196"/>
      <c r="J1666" s="195"/>
      <c r="K1666" s="195"/>
      <c r="L1666" s="195"/>
      <c r="M1666" s="195"/>
      <c r="N1666" s="197"/>
      <c r="O1666" s="195"/>
      <c r="P1666" s="195"/>
      <c r="Q1666" s="195"/>
    </row>
    <row r="1667" spans="1:17">
      <c r="A1667" s="180">
        <f>'רשימת מכשור 2015'!A1666</f>
        <v>0</v>
      </c>
      <c r="B1667" s="180">
        <f>'רשימת מכשור 2015'!B1666</f>
        <v>0</v>
      </c>
      <c r="C1667" s="180">
        <f>'רשימת מכשור 2015'!C1666</f>
        <v>0</v>
      </c>
      <c r="D1667" s="233">
        <f>'רשימת מכשור 2015'!D1666</f>
        <v>0</v>
      </c>
      <c r="E1667" s="180">
        <f>'רשימת מכשור 2015'!E1666</f>
        <v>0</v>
      </c>
      <c r="F1667" s="180">
        <f>'רשימת מכשור 2015'!F1666</f>
        <v>0</v>
      </c>
      <c r="G1667" s="195"/>
      <c r="H1667" s="195"/>
      <c r="I1667" s="196"/>
      <c r="J1667" s="195"/>
      <c r="K1667" s="195"/>
      <c r="L1667" s="195"/>
      <c r="M1667" s="195"/>
      <c r="N1667" s="197"/>
      <c r="O1667" s="195"/>
      <c r="P1667" s="195"/>
      <c r="Q1667" s="195"/>
    </row>
    <row r="1668" spans="1:17">
      <c r="A1668" s="180">
        <f>'רשימת מכשור 2015'!A1667</f>
        <v>0</v>
      </c>
      <c r="B1668" s="180">
        <f>'רשימת מכשור 2015'!B1667</f>
        <v>0</v>
      </c>
      <c r="C1668" s="180">
        <f>'רשימת מכשור 2015'!C1667</f>
        <v>0</v>
      </c>
      <c r="D1668" s="233">
        <f>'רשימת מכשור 2015'!D1667</f>
        <v>0</v>
      </c>
      <c r="E1668" s="180">
        <f>'רשימת מכשור 2015'!E1667</f>
        <v>0</v>
      </c>
      <c r="F1668" s="180">
        <f>'רשימת מכשור 2015'!F1667</f>
        <v>0</v>
      </c>
      <c r="G1668" s="195"/>
      <c r="H1668" s="195"/>
      <c r="I1668" s="196"/>
      <c r="J1668" s="195"/>
      <c r="K1668" s="195"/>
      <c r="L1668" s="195"/>
      <c r="M1668" s="195"/>
      <c r="N1668" s="197"/>
      <c r="O1668" s="195"/>
      <c r="P1668" s="195"/>
      <c r="Q1668" s="195"/>
    </row>
    <row r="1669" spans="1:17">
      <c r="A1669" s="180">
        <f>'רשימת מכשור 2015'!A1668</f>
        <v>0</v>
      </c>
      <c r="B1669" s="180">
        <f>'רשימת מכשור 2015'!B1668</f>
        <v>0</v>
      </c>
      <c r="C1669" s="180">
        <f>'רשימת מכשור 2015'!C1668</f>
        <v>0</v>
      </c>
      <c r="D1669" s="233">
        <f>'רשימת מכשור 2015'!D1668</f>
        <v>0</v>
      </c>
      <c r="E1669" s="180">
        <f>'רשימת מכשור 2015'!E1668</f>
        <v>0</v>
      </c>
      <c r="F1669" s="180">
        <f>'רשימת מכשור 2015'!F1668</f>
        <v>0</v>
      </c>
      <c r="G1669" s="195"/>
      <c r="H1669" s="195"/>
      <c r="I1669" s="196"/>
      <c r="J1669" s="195"/>
      <c r="K1669" s="195"/>
      <c r="L1669" s="195"/>
      <c r="M1669" s="195"/>
      <c r="N1669" s="197"/>
      <c r="O1669" s="195"/>
      <c r="P1669" s="195"/>
      <c r="Q1669" s="195"/>
    </row>
    <row r="1670" spans="1:17">
      <c r="A1670" s="180">
        <f>'רשימת מכשור 2015'!A1669</f>
        <v>0</v>
      </c>
      <c r="B1670" s="180">
        <f>'רשימת מכשור 2015'!B1669</f>
        <v>0</v>
      </c>
      <c r="C1670" s="180">
        <f>'רשימת מכשור 2015'!C1669</f>
        <v>0</v>
      </c>
      <c r="D1670" s="233">
        <f>'רשימת מכשור 2015'!D1669</f>
        <v>0</v>
      </c>
      <c r="E1670" s="180">
        <f>'רשימת מכשור 2015'!E1669</f>
        <v>0</v>
      </c>
      <c r="F1670" s="180">
        <f>'רשימת מכשור 2015'!F1669</f>
        <v>0</v>
      </c>
      <c r="G1670" s="195"/>
      <c r="H1670" s="195"/>
      <c r="I1670" s="196"/>
      <c r="J1670" s="195"/>
      <c r="K1670" s="195"/>
      <c r="L1670" s="195"/>
      <c r="M1670" s="195"/>
      <c r="N1670" s="197"/>
      <c r="O1670" s="195"/>
      <c r="P1670" s="195"/>
      <c r="Q1670" s="195"/>
    </row>
    <row r="1671" spans="1:17">
      <c r="A1671" s="180">
        <f>'רשימת מכשור 2015'!A1670</f>
        <v>0</v>
      </c>
      <c r="B1671" s="180">
        <f>'רשימת מכשור 2015'!B1670</f>
        <v>0</v>
      </c>
      <c r="C1671" s="180">
        <f>'רשימת מכשור 2015'!C1670</f>
        <v>0</v>
      </c>
      <c r="D1671" s="233">
        <f>'רשימת מכשור 2015'!D1670</f>
        <v>0</v>
      </c>
      <c r="E1671" s="180">
        <f>'רשימת מכשור 2015'!E1670</f>
        <v>0</v>
      </c>
      <c r="F1671" s="180">
        <f>'רשימת מכשור 2015'!F1670</f>
        <v>0</v>
      </c>
      <c r="G1671" s="195"/>
      <c r="H1671" s="195"/>
      <c r="I1671" s="196"/>
      <c r="J1671" s="195"/>
      <c r="K1671" s="195"/>
      <c r="L1671" s="195"/>
      <c r="M1671" s="195"/>
      <c r="N1671" s="197"/>
      <c r="O1671" s="195"/>
      <c r="P1671" s="195"/>
      <c r="Q1671" s="195"/>
    </row>
    <row r="1672" spans="1:17">
      <c r="A1672" s="180">
        <f>'רשימת מכשור 2015'!A1671</f>
        <v>0</v>
      </c>
      <c r="B1672" s="180">
        <f>'רשימת מכשור 2015'!B1671</f>
        <v>0</v>
      </c>
      <c r="C1672" s="180">
        <f>'רשימת מכשור 2015'!C1671</f>
        <v>0</v>
      </c>
      <c r="D1672" s="233">
        <f>'רשימת מכשור 2015'!D1671</f>
        <v>0</v>
      </c>
      <c r="E1672" s="180">
        <f>'רשימת מכשור 2015'!E1671</f>
        <v>0</v>
      </c>
      <c r="F1672" s="180">
        <f>'רשימת מכשור 2015'!F1671</f>
        <v>0</v>
      </c>
      <c r="G1672" s="195"/>
      <c r="H1672" s="195"/>
      <c r="I1672" s="196"/>
      <c r="J1672" s="195"/>
      <c r="K1672" s="195"/>
      <c r="L1672" s="195"/>
      <c r="M1672" s="195"/>
      <c r="N1672" s="197"/>
      <c r="O1672" s="195"/>
      <c r="P1672" s="195"/>
      <c r="Q1672" s="195"/>
    </row>
    <row r="1673" spans="1:17">
      <c r="A1673" s="180">
        <f>'רשימת מכשור 2015'!A1672</f>
        <v>0</v>
      </c>
      <c r="B1673" s="180">
        <f>'רשימת מכשור 2015'!B1672</f>
        <v>0</v>
      </c>
      <c r="C1673" s="180">
        <f>'רשימת מכשור 2015'!C1672</f>
        <v>0</v>
      </c>
      <c r="D1673" s="233">
        <f>'רשימת מכשור 2015'!D1672</f>
        <v>0</v>
      </c>
      <c r="E1673" s="180">
        <f>'רשימת מכשור 2015'!E1672</f>
        <v>0</v>
      </c>
      <c r="F1673" s="180">
        <f>'רשימת מכשור 2015'!F1672</f>
        <v>0</v>
      </c>
      <c r="G1673" s="195"/>
      <c r="H1673" s="195"/>
      <c r="I1673" s="196"/>
      <c r="J1673" s="195"/>
      <c r="K1673" s="195"/>
      <c r="L1673" s="195"/>
      <c r="M1673" s="195"/>
      <c r="N1673" s="197"/>
      <c r="O1673" s="195"/>
      <c r="P1673" s="195"/>
      <c r="Q1673" s="195"/>
    </row>
    <row r="1674" spans="1:17">
      <c r="A1674" s="180">
        <f>'רשימת מכשור 2015'!A1673</f>
        <v>0</v>
      </c>
      <c r="B1674" s="180">
        <f>'רשימת מכשור 2015'!B1673</f>
        <v>0</v>
      </c>
      <c r="C1674" s="180">
        <f>'רשימת מכשור 2015'!C1673</f>
        <v>0</v>
      </c>
      <c r="D1674" s="233">
        <f>'רשימת מכשור 2015'!D1673</f>
        <v>0</v>
      </c>
      <c r="E1674" s="180">
        <f>'רשימת מכשור 2015'!E1673</f>
        <v>0</v>
      </c>
      <c r="F1674" s="180">
        <f>'רשימת מכשור 2015'!F1673</f>
        <v>0</v>
      </c>
      <c r="G1674" s="195"/>
      <c r="H1674" s="195"/>
      <c r="I1674" s="196"/>
      <c r="J1674" s="195"/>
      <c r="K1674" s="195"/>
      <c r="L1674" s="195"/>
      <c r="M1674" s="195"/>
      <c r="N1674" s="197"/>
      <c r="O1674" s="195"/>
      <c r="P1674" s="195"/>
      <c r="Q1674" s="195"/>
    </row>
    <row r="1675" spans="1:17">
      <c r="A1675" s="180">
        <f>'רשימת מכשור 2015'!A1674</f>
        <v>0</v>
      </c>
      <c r="B1675" s="180">
        <f>'רשימת מכשור 2015'!B1674</f>
        <v>0</v>
      </c>
      <c r="C1675" s="180">
        <f>'רשימת מכשור 2015'!C1674</f>
        <v>0</v>
      </c>
      <c r="D1675" s="233">
        <f>'רשימת מכשור 2015'!D1674</f>
        <v>0</v>
      </c>
      <c r="E1675" s="180">
        <f>'רשימת מכשור 2015'!E1674</f>
        <v>0</v>
      </c>
      <c r="F1675" s="180">
        <f>'רשימת מכשור 2015'!F1674</f>
        <v>0</v>
      </c>
      <c r="G1675" s="195"/>
      <c r="H1675" s="195"/>
      <c r="I1675" s="196"/>
      <c r="J1675" s="195"/>
      <c r="K1675" s="195"/>
      <c r="L1675" s="195"/>
      <c r="M1675" s="195"/>
      <c r="N1675" s="197"/>
      <c r="O1675" s="195"/>
      <c r="P1675" s="195"/>
      <c r="Q1675" s="195"/>
    </row>
    <row r="1676" spans="1:17">
      <c r="A1676" s="180">
        <f>'רשימת מכשור 2015'!A1675</f>
        <v>0</v>
      </c>
      <c r="B1676" s="180">
        <f>'רשימת מכשור 2015'!B1675</f>
        <v>0</v>
      </c>
      <c r="C1676" s="180">
        <f>'רשימת מכשור 2015'!C1675</f>
        <v>0</v>
      </c>
      <c r="D1676" s="233">
        <f>'רשימת מכשור 2015'!D1675</f>
        <v>0</v>
      </c>
      <c r="E1676" s="180">
        <f>'רשימת מכשור 2015'!E1675</f>
        <v>0</v>
      </c>
      <c r="F1676" s="180">
        <f>'רשימת מכשור 2015'!F1675</f>
        <v>0</v>
      </c>
      <c r="G1676" s="195"/>
      <c r="H1676" s="195"/>
      <c r="I1676" s="196"/>
      <c r="J1676" s="195"/>
      <c r="K1676" s="195"/>
      <c r="L1676" s="195"/>
      <c r="M1676" s="195"/>
      <c r="N1676" s="197"/>
      <c r="O1676" s="195"/>
      <c r="P1676" s="195"/>
      <c r="Q1676" s="195"/>
    </row>
    <row r="1677" spans="1:17">
      <c r="A1677" s="180">
        <f>'רשימת מכשור 2015'!A1676</f>
        <v>0</v>
      </c>
      <c r="B1677" s="180">
        <f>'רשימת מכשור 2015'!B1676</f>
        <v>0</v>
      </c>
      <c r="C1677" s="180">
        <f>'רשימת מכשור 2015'!C1676</f>
        <v>0</v>
      </c>
      <c r="D1677" s="233">
        <f>'רשימת מכשור 2015'!D1676</f>
        <v>0</v>
      </c>
      <c r="E1677" s="180">
        <f>'רשימת מכשור 2015'!E1676</f>
        <v>0</v>
      </c>
      <c r="F1677" s="180">
        <f>'רשימת מכשור 2015'!F1676</f>
        <v>0</v>
      </c>
      <c r="G1677" s="195"/>
      <c r="H1677" s="195"/>
      <c r="I1677" s="196"/>
      <c r="J1677" s="195"/>
      <c r="K1677" s="195"/>
      <c r="L1677" s="195"/>
      <c r="M1677" s="195"/>
      <c r="N1677" s="197"/>
      <c r="O1677" s="195"/>
      <c r="P1677" s="195"/>
      <c r="Q1677" s="195"/>
    </row>
    <row r="1678" spans="1:17">
      <c r="A1678" s="180">
        <f>'רשימת מכשור 2015'!A1677</f>
        <v>0</v>
      </c>
      <c r="B1678" s="180">
        <f>'רשימת מכשור 2015'!B1677</f>
        <v>0</v>
      </c>
      <c r="C1678" s="180">
        <f>'רשימת מכשור 2015'!C1677</f>
        <v>0</v>
      </c>
      <c r="D1678" s="233">
        <f>'רשימת מכשור 2015'!D1677</f>
        <v>0</v>
      </c>
      <c r="E1678" s="180">
        <f>'רשימת מכשור 2015'!E1677</f>
        <v>0</v>
      </c>
      <c r="F1678" s="180">
        <f>'רשימת מכשור 2015'!F1677</f>
        <v>0</v>
      </c>
      <c r="G1678" s="195"/>
      <c r="H1678" s="195"/>
      <c r="I1678" s="196"/>
      <c r="J1678" s="195"/>
      <c r="K1678" s="195"/>
      <c r="L1678" s="195"/>
      <c r="M1678" s="195"/>
      <c r="N1678" s="197"/>
      <c r="O1678" s="195"/>
      <c r="P1678" s="195"/>
      <c r="Q1678" s="195"/>
    </row>
    <row r="1679" spans="1:17">
      <c r="A1679" s="180">
        <f>'רשימת מכשור 2015'!A1678</f>
        <v>0</v>
      </c>
      <c r="B1679" s="180">
        <f>'רשימת מכשור 2015'!B1678</f>
        <v>0</v>
      </c>
      <c r="C1679" s="180">
        <f>'רשימת מכשור 2015'!C1678</f>
        <v>0</v>
      </c>
      <c r="D1679" s="233">
        <f>'רשימת מכשור 2015'!D1678</f>
        <v>0</v>
      </c>
      <c r="E1679" s="180">
        <f>'רשימת מכשור 2015'!E1678</f>
        <v>0</v>
      </c>
      <c r="F1679" s="180">
        <f>'רשימת מכשור 2015'!F1678</f>
        <v>0</v>
      </c>
      <c r="G1679" s="195"/>
      <c r="H1679" s="195"/>
      <c r="I1679" s="196"/>
      <c r="J1679" s="195"/>
      <c r="K1679" s="195"/>
      <c r="L1679" s="195"/>
      <c r="M1679" s="195"/>
      <c r="N1679" s="197"/>
      <c r="O1679" s="195"/>
      <c r="P1679" s="195"/>
      <c r="Q1679" s="195"/>
    </row>
    <row r="1680" spans="1:17">
      <c r="A1680" s="180">
        <f>'רשימת מכשור 2015'!A1679</f>
        <v>0</v>
      </c>
      <c r="B1680" s="180">
        <f>'רשימת מכשור 2015'!B1679</f>
        <v>0</v>
      </c>
      <c r="C1680" s="180">
        <f>'רשימת מכשור 2015'!C1679</f>
        <v>0</v>
      </c>
      <c r="D1680" s="233">
        <f>'רשימת מכשור 2015'!D1679</f>
        <v>0</v>
      </c>
      <c r="E1680" s="180">
        <f>'רשימת מכשור 2015'!E1679</f>
        <v>0</v>
      </c>
      <c r="F1680" s="180">
        <f>'רשימת מכשור 2015'!F1679</f>
        <v>0</v>
      </c>
      <c r="G1680" s="195"/>
      <c r="H1680" s="195"/>
      <c r="I1680" s="196"/>
      <c r="J1680" s="195"/>
      <c r="K1680" s="195"/>
      <c r="L1680" s="195"/>
      <c r="M1680" s="195"/>
      <c r="N1680" s="197"/>
      <c r="O1680" s="195"/>
      <c r="P1680" s="195"/>
      <c r="Q1680" s="195"/>
    </row>
    <row r="1681" spans="1:17">
      <c r="A1681" s="180">
        <f>'רשימת מכשור 2015'!A1680</f>
        <v>0</v>
      </c>
      <c r="B1681" s="180">
        <f>'רשימת מכשור 2015'!B1680</f>
        <v>0</v>
      </c>
      <c r="C1681" s="180">
        <f>'רשימת מכשור 2015'!C1680</f>
        <v>0</v>
      </c>
      <c r="D1681" s="233">
        <f>'רשימת מכשור 2015'!D1680</f>
        <v>0</v>
      </c>
      <c r="E1681" s="180">
        <f>'רשימת מכשור 2015'!E1680</f>
        <v>0</v>
      </c>
      <c r="F1681" s="180">
        <f>'רשימת מכשור 2015'!F1680</f>
        <v>0</v>
      </c>
      <c r="G1681" s="195"/>
      <c r="H1681" s="195"/>
      <c r="I1681" s="196"/>
      <c r="J1681" s="195"/>
      <c r="K1681" s="195"/>
      <c r="L1681" s="195"/>
      <c r="M1681" s="195"/>
      <c r="N1681" s="197"/>
      <c r="O1681" s="195"/>
      <c r="P1681" s="195"/>
      <c r="Q1681" s="195"/>
    </row>
    <row r="1682" spans="1:17">
      <c r="A1682" s="180">
        <f>'רשימת מכשור 2015'!A1681</f>
        <v>0</v>
      </c>
      <c r="B1682" s="180">
        <f>'רשימת מכשור 2015'!B1681</f>
        <v>0</v>
      </c>
      <c r="C1682" s="180">
        <f>'רשימת מכשור 2015'!C1681</f>
        <v>0</v>
      </c>
      <c r="D1682" s="233">
        <f>'רשימת מכשור 2015'!D1681</f>
        <v>0</v>
      </c>
      <c r="E1682" s="180">
        <f>'רשימת מכשור 2015'!E1681</f>
        <v>0</v>
      </c>
      <c r="F1682" s="180">
        <f>'רשימת מכשור 2015'!F1681</f>
        <v>0</v>
      </c>
      <c r="G1682" s="195"/>
      <c r="H1682" s="195"/>
      <c r="I1682" s="196"/>
      <c r="J1682" s="195"/>
      <c r="K1682" s="195"/>
      <c r="L1682" s="195"/>
      <c r="M1682" s="195"/>
      <c r="N1682" s="197"/>
      <c r="O1682" s="195"/>
      <c r="P1682" s="195"/>
      <c r="Q1682" s="195"/>
    </row>
    <row r="1683" spans="1:17">
      <c r="A1683" s="180">
        <f>'רשימת מכשור 2015'!A1682</f>
        <v>0</v>
      </c>
      <c r="B1683" s="180">
        <f>'רשימת מכשור 2015'!B1682</f>
        <v>0</v>
      </c>
      <c r="C1683" s="180">
        <f>'רשימת מכשור 2015'!C1682</f>
        <v>0</v>
      </c>
      <c r="D1683" s="233">
        <f>'רשימת מכשור 2015'!D1682</f>
        <v>0</v>
      </c>
      <c r="E1683" s="180">
        <f>'רשימת מכשור 2015'!E1682</f>
        <v>0</v>
      </c>
      <c r="F1683" s="180">
        <f>'רשימת מכשור 2015'!F1682</f>
        <v>0</v>
      </c>
      <c r="G1683" s="195"/>
      <c r="H1683" s="195"/>
      <c r="I1683" s="196"/>
      <c r="J1683" s="195"/>
      <c r="K1683" s="195"/>
      <c r="L1683" s="195"/>
      <c r="M1683" s="195"/>
      <c r="N1683" s="197"/>
      <c r="O1683" s="195"/>
      <c r="P1683" s="195"/>
      <c r="Q1683" s="195"/>
    </row>
    <row r="1684" spans="1:17">
      <c r="A1684" s="180">
        <f>'רשימת מכשור 2015'!A1683</f>
        <v>0</v>
      </c>
      <c r="B1684" s="180">
        <f>'רשימת מכשור 2015'!B1683</f>
        <v>0</v>
      </c>
      <c r="C1684" s="180">
        <f>'רשימת מכשור 2015'!C1683</f>
        <v>0</v>
      </c>
      <c r="D1684" s="233">
        <f>'רשימת מכשור 2015'!D1683</f>
        <v>0</v>
      </c>
      <c r="E1684" s="180">
        <f>'רשימת מכשור 2015'!E1683</f>
        <v>0</v>
      </c>
      <c r="F1684" s="180">
        <f>'רשימת מכשור 2015'!F1683</f>
        <v>0</v>
      </c>
      <c r="G1684" s="195"/>
      <c r="H1684" s="195"/>
      <c r="I1684" s="196"/>
      <c r="J1684" s="195"/>
      <c r="K1684" s="195"/>
      <c r="L1684" s="195"/>
      <c r="M1684" s="195"/>
      <c r="N1684" s="197"/>
      <c r="O1684" s="195"/>
      <c r="P1684" s="195"/>
      <c r="Q1684" s="195"/>
    </row>
    <row r="1685" spans="1:17">
      <c r="A1685" s="180">
        <f>'רשימת מכשור 2015'!A1684</f>
        <v>0</v>
      </c>
      <c r="B1685" s="180">
        <f>'רשימת מכשור 2015'!B1684</f>
        <v>0</v>
      </c>
      <c r="C1685" s="180">
        <f>'רשימת מכשור 2015'!C1684</f>
        <v>0</v>
      </c>
      <c r="D1685" s="233">
        <f>'רשימת מכשור 2015'!D1684</f>
        <v>0</v>
      </c>
      <c r="E1685" s="180">
        <f>'רשימת מכשור 2015'!E1684</f>
        <v>0</v>
      </c>
      <c r="F1685" s="180">
        <f>'רשימת מכשור 2015'!F1684</f>
        <v>0</v>
      </c>
      <c r="G1685" s="195"/>
      <c r="H1685" s="195"/>
      <c r="I1685" s="196"/>
      <c r="J1685" s="195"/>
      <c r="K1685" s="195"/>
      <c r="L1685" s="195"/>
      <c r="M1685" s="195"/>
      <c r="N1685" s="197"/>
      <c r="O1685" s="195"/>
      <c r="P1685" s="195"/>
      <c r="Q1685" s="195"/>
    </row>
    <row r="1686" spans="1:17">
      <c r="A1686" s="180">
        <f>'רשימת מכשור 2015'!A1685</f>
        <v>0</v>
      </c>
      <c r="B1686" s="180">
        <f>'רשימת מכשור 2015'!B1685</f>
        <v>0</v>
      </c>
      <c r="C1686" s="180">
        <f>'רשימת מכשור 2015'!C1685</f>
        <v>0</v>
      </c>
      <c r="D1686" s="233">
        <f>'רשימת מכשור 2015'!D1685</f>
        <v>0</v>
      </c>
      <c r="E1686" s="180">
        <f>'רשימת מכשור 2015'!E1685</f>
        <v>0</v>
      </c>
      <c r="F1686" s="180">
        <f>'רשימת מכשור 2015'!F1685</f>
        <v>0</v>
      </c>
      <c r="G1686" s="195"/>
      <c r="H1686" s="195"/>
      <c r="I1686" s="196"/>
      <c r="J1686" s="195"/>
      <c r="K1686" s="195"/>
      <c r="L1686" s="195"/>
      <c r="M1686" s="195"/>
      <c r="N1686" s="197"/>
      <c r="O1686" s="195"/>
      <c r="P1686" s="195"/>
      <c r="Q1686" s="195"/>
    </row>
    <row r="1687" spans="1:17">
      <c r="A1687" s="180">
        <f>'רשימת מכשור 2015'!A1686</f>
        <v>0</v>
      </c>
      <c r="B1687" s="180">
        <f>'רשימת מכשור 2015'!B1686</f>
        <v>0</v>
      </c>
      <c r="C1687" s="180">
        <f>'רשימת מכשור 2015'!C1686</f>
        <v>0</v>
      </c>
      <c r="D1687" s="233">
        <f>'רשימת מכשור 2015'!D1686</f>
        <v>0</v>
      </c>
      <c r="E1687" s="180">
        <f>'רשימת מכשור 2015'!E1686</f>
        <v>0</v>
      </c>
      <c r="F1687" s="180">
        <f>'רשימת מכשור 2015'!F1686</f>
        <v>0</v>
      </c>
      <c r="G1687" s="195"/>
      <c r="H1687" s="195"/>
      <c r="I1687" s="196"/>
      <c r="J1687" s="195"/>
      <c r="K1687" s="195"/>
      <c r="L1687" s="195"/>
      <c r="M1687" s="195"/>
      <c r="N1687" s="197"/>
      <c r="O1687" s="195"/>
      <c r="P1687" s="195"/>
      <c r="Q1687" s="195"/>
    </row>
    <row r="1688" spans="1:17">
      <c r="A1688" s="180">
        <f>'רשימת מכשור 2015'!A1687</f>
        <v>0</v>
      </c>
      <c r="B1688" s="180">
        <f>'רשימת מכשור 2015'!B1687</f>
        <v>0</v>
      </c>
      <c r="C1688" s="180">
        <f>'רשימת מכשור 2015'!C1687</f>
        <v>0</v>
      </c>
      <c r="D1688" s="233">
        <f>'רשימת מכשור 2015'!D1687</f>
        <v>0</v>
      </c>
      <c r="E1688" s="180">
        <f>'רשימת מכשור 2015'!E1687</f>
        <v>0</v>
      </c>
      <c r="F1688" s="180">
        <f>'רשימת מכשור 2015'!F1687</f>
        <v>0</v>
      </c>
      <c r="G1688" s="195"/>
      <c r="H1688" s="195"/>
      <c r="I1688" s="196"/>
      <c r="J1688" s="195"/>
      <c r="K1688" s="195"/>
      <c r="L1688" s="195"/>
      <c r="M1688" s="195"/>
      <c r="N1688" s="197"/>
      <c r="O1688" s="195"/>
      <c r="P1688" s="195"/>
      <c r="Q1688" s="195"/>
    </row>
    <row r="1689" spans="1:17">
      <c r="A1689" s="180">
        <f>'רשימת מכשור 2015'!A1688</f>
        <v>0</v>
      </c>
      <c r="B1689" s="180">
        <f>'רשימת מכשור 2015'!B1688</f>
        <v>0</v>
      </c>
      <c r="C1689" s="180">
        <f>'רשימת מכשור 2015'!C1688</f>
        <v>0</v>
      </c>
      <c r="D1689" s="233">
        <f>'רשימת מכשור 2015'!D1688</f>
        <v>0</v>
      </c>
      <c r="E1689" s="180">
        <f>'רשימת מכשור 2015'!E1688</f>
        <v>0</v>
      </c>
      <c r="F1689" s="180">
        <f>'רשימת מכשור 2015'!F1688</f>
        <v>0</v>
      </c>
      <c r="G1689" s="195"/>
      <c r="H1689" s="195"/>
      <c r="I1689" s="196"/>
      <c r="J1689" s="195"/>
      <c r="K1689" s="195"/>
      <c r="L1689" s="195"/>
      <c r="M1689" s="195"/>
      <c r="N1689" s="197"/>
      <c r="O1689" s="195"/>
      <c r="P1689" s="195"/>
      <c r="Q1689" s="195"/>
    </row>
    <row r="1690" spans="1:17">
      <c r="A1690" s="180">
        <f>'רשימת מכשור 2015'!A1689</f>
        <v>0</v>
      </c>
      <c r="B1690" s="180">
        <f>'רשימת מכשור 2015'!B1689</f>
        <v>0</v>
      </c>
      <c r="C1690" s="180">
        <f>'רשימת מכשור 2015'!C1689</f>
        <v>0</v>
      </c>
      <c r="D1690" s="233">
        <f>'רשימת מכשור 2015'!D1689</f>
        <v>0</v>
      </c>
      <c r="E1690" s="180">
        <f>'רשימת מכשור 2015'!E1689</f>
        <v>0</v>
      </c>
      <c r="F1690" s="180">
        <f>'רשימת מכשור 2015'!F1689</f>
        <v>0</v>
      </c>
      <c r="G1690" s="195"/>
      <c r="H1690" s="195"/>
      <c r="I1690" s="196"/>
      <c r="J1690" s="195"/>
      <c r="K1690" s="195"/>
      <c r="L1690" s="195"/>
      <c r="M1690" s="195"/>
      <c r="N1690" s="197"/>
      <c r="O1690" s="195"/>
      <c r="P1690" s="195"/>
      <c r="Q1690" s="195"/>
    </row>
    <row r="1691" spans="1:17">
      <c r="A1691" s="180">
        <f>'רשימת מכשור 2015'!A1690</f>
        <v>0</v>
      </c>
      <c r="B1691" s="180">
        <f>'רשימת מכשור 2015'!B1690</f>
        <v>0</v>
      </c>
      <c r="C1691" s="180">
        <f>'רשימת מכשור 2015'!C1690</f>
        <v>0</v>
      </c>
      <c r="D1691" s="233">
        <f>'רשימת מכשור 2015'!D1690</f>
        <v>0</v>
      </c>
      <c r="E1691" s="180">
        <f>'רשימת מכשור 2015'!E1690</f>
        <v>0</v>
      </c>
      <c r="F1691" s="180">
        <f>'רשימת מכשור 2015'!F1690</f>
        <v>0</v>
      </c>
      <c r="G1691" s="195"/>
      <c r="H1691" s="195"/>
      <c r="I1691" s="196"/>
      <c r="J1691" s="195"/>
      <c r="K1691" s="195"/>
      <c r="L1691" s="195"/>
      <c r="M1691" s="195"/>
      <c r="N1691" s="197"/>
      <c r="O1691" s="195"/>
      <c r="P1691" s="195"/>
      <c r="Q1691" s="195"/>
    </row>
    <row r="1692" spans="1:17">
      <c r="A1692" s="180">
        <f>'רשימת מכשור 2015'!A1691</f>
        <v>0</v>
      </c>
      <c r="B1692" s="180">
        <f>'רשימת מכשור 2015'!B1691</f>
        <v>0</v>
      </c>
      <c r="C1692" s="180">
        <f>'רשימת מכשור 2015'!C1691</f>
        <v>0</v>
      </c>
      <c r="D1692" s="233">
        <f>'רשימת מכשור 2015'!D1691</f>
        <v>0</v>
      </c>
      <c r="E1692" s="180">
        <f>'רשימת מכשור 2015'!E1691</f>
        <v>0</v>
      </c>
      <c r="F1692" s="180">
        <f>'רשימת מכשור 2015'!F1691</f>
        <v>0</v>
      </c>
      <c r="G1692" s="195"/>
      <c r="H1692" s="195"/>
      <c r="I1692" s="196"/>
      <c r="J1692" s="195"/>
      <c r="K1692" s="195"/>
      <c r="L1692" s="195"/>
      <c r="M1692" s="195"/>
      <c r="N1692" s="197"/>
      <c r="O1692" s="195"/>
      <c r="P1692" s="195"/>
      <c r="Q1692" s="195"/>
    </row>
    <row r="1693" spans="1:17">
      <c r="A1693" s="180">
        <f>'רשימת מכשור 2015'!A1692</f>
        <v>0</v>
      </c>
      <c r="B1693" s="180">
        <f>'רשימת מכשור 2015'!B1692</f>
        <v>0</v>
      </c>
      <c r="C1693" s="180">
        <f>'רשימת מכשור 2015'!C1692</f>
        <v>0</v>
      </c>
      <c r="D1693" s="233">
        <f>'רשימת מכשור 2015'!D1692</f>
        <v>0</v>
      </c>
      <c r="E1693" s="180">
        <f>'רשימת מכשור 2015'!E1692</f>
        <v>0</v>
      </c>
      <c r="F1693" s="180">
        <f>'רשימת מכשור 2015'!F1692</f>
        <v>0</v>
      </c>
      <c r="G1693" s="195"/>
      <c r="H1693" s="195"/>
      <c r="I1693" s="196"/>
      <c r="J1693" s="195"/>
      <c r="K1693" s="195"/>
      <c r="L1693" s="195"/>
      <c r="M1693" s="195"/>
      <c r="N1693" s="197"/>
      <c r="O1693" s="195"/>
      <c r="P1693" s="195"/>
      <c r="Q1693" s="195"/>
    </row>
    <row r="1694" spans="1:17">
      <c r="A1694" s="180">
        <f>'רשימת מכשור 2015'!A1693</f>
        <v>0</v>
      </c>
      <c r="B1694" s="180">
        <f>'רשימת מכשור 2015'!B1693</f>
        <v>0</v>
      </c>
      <c r="C1694" s="180">
        <f>'רשימת מכשור 2015'!C1693</f>
        <v>0</v>
      </c>
      <c r="D1694" s="233">
        <f>'רשימת מכשור 2015'!D1693</f>
        <v>0</v>
      </c>
      <c r="E1694" s="180">
        <f>'רשימת מכשור 2015'!E1693</f>
        <v>0</v>
      </c>
      <c r="F1694" s="180">
        <f>'רשימת מכשור 2015'!F1693</f>
        <v>0</v>
      </c>
      <c r="G1694" s="195"/>
      <c r="H1694" s="195"/>
      <c r="I1694" s="196"/>
      <c r="J1694" s="195"/>
      <c r="K1694" s="195"/>
      <c r="L1694" s="195"/>
      <c r="M1694" s="195"/>
      <c r="N1694" s="197"/>
      <c r="O1694" s="195"/>
      <c r="P1694" s="195"/>
      <c r="Q1694" s="195"/>
    </row>
    <row r="1695" spans="1:17">
      <c r="A1695" s="180">
        <f>'רשימת מכשור 2015'!A1694</f>
        <v>0</v>
      </c>
      <c r="B1695" s="180">
        <f>'רשימת מכשור 2015'!B1694</f>
        <v>0</v>
      </c>
      <c r="C1695" s="180">
        <f>'רשימת מכשור 2015'!C1694</f>
        <v>0</v>
      </c>
      <c r="D1695" s="233">
        <f>'רשימת מכשור 2015'!D1694</f>
        <v>0</v>
      </c>
      <c r="E1695" s="180">
        <f>'רשימת מכשור 2015'!E1694</f>
        <v>0</v>
      </c>
      <c r="F1695" s="180">
        <f>'רשימת מכשור 2015'!F1694</f>
        <v>0</v>
      </c>
      <c r="G1695" s="195"/>
      <c r="H1695" s="195"/>
      <c r="I1695" s="196"/>
      <c r="J1695" s="195"/>
      <c r="K1695" s="195"/>
      <c r="L1695" s="195"/>
      <c r="M1695" s="195"/>
      <c r="N1695" s="197"/>
      <c r="O1695" s="195"/>
      <c r="P1695" s="195"/>
      <c r="Q1695" s="195"/>
    </row>
    <row r="1696" spans="1:17">
      <c r="A1696" s="180">
        <f>'רשימת מכשור 2015'!A1695</f>
        <v>0</v>
      </c>
      <c r="B1696" s="180">
        <f>'רשימת מכשור 2015'!B1695</f>
        <v>0</v>
      </c>
      <c r="C1696" s="180">
        <f>'רשימת מכשור 2015'!C1695</f>
        <v>0</v>
      </c>
      <c r="D1696" s="233">
        <f>'רשימת מכשור 2015'!D1695</f>
        <v>0</v>
      </c>
      <c r="E1696" s="180">
        <f>'רשימת מכשור 2015'!E1695</f>
        <v>0</v>
      </c>
      <c r="F1696" s="180">
        <f>'רשימת מכשור 2015'!F1695</f>
        <v>0</v>
      </c>
      <c r="G1696" s="195"/>
      <c r="H1696" s="195"/>
      <c r="I1696" s="196"/>
      <c r="J1696" s="195"/>
      <c r="K1696" s="195"/>
      <c r="L1696" s="195"/>
      <c r="M1696" s="195"/>
      <c r="N1696" s="197"/>
      <c r="O1696" s="195"/>
      <c r="P1696" s="195"/>
      <c r="Q1696" s="195"/>
    </row>
    <row r="1697" spans="1:17">
      <c r="A1697" s="180">
        <f>'רשימת מכשור 2015'!A1696</f>
        <v>0</v>
      </c>
      <c r="B1697" s="180">
        <f>'רשימת מכשור 2015'!B1696</f>
        <v>0</v>
      </c>
      <c r="C1697" s="180">
        <f>'רשימת מכשור 2015'!C1696</f>
        <v>0</v>
      </c>
      <c r="D1697" s="233">
        <f>'רשימת מכשור 2015'!D1696</f>
        <v>0</v>
      </c>
      <c r="E1697" s="180">
        <f>'רשימת מכשור 2015'!E1696</f>
        <v>0</v>
      </c>
      <c r="F1697" s="180">
        <f>'רשימת מכשור 2015'!F1696</f>
        <v>0</v>
      </c>
      <c r="G1697" s="195"/>
      <c r="H1697" s="195"/>
      <c r="I1697" s="196"/>
      <c r="J1697" s="195"/>
      <c r="K1697" s="195"/>
      <c r="L1697" s="195"/>
      <c r="M1697" s="195"/>
      <c r="N1697" s="197"/>
      <c r="O1697" s="195"/>
      <c r="P1697" s="195"/>
      <c r="Q1697" s="195"/>
    </row>
    <row r="1698" spans="1:17">
      <c r="A1698" s="180">
        <f>'רשימת מכשור 2015'!A1697</f>
        <v>0</v>
      </c>
      <c r="B1698" s="180">
        <f>'רשימת מכשור 2015'!B1697</f>
        <v>0</v>
      </c>
      <c r="C1698" s="180">
        <f>'רשימת מכשור 2015'!C1697</f>
        <v>0</v>
      </c>
      <c r="D1698" s="233">
        <f>'רשימת מכשור 2015'!D1697</f>
        <v>0</v>
      </c>
      <c r="E1698" s="180">
        <f>'רשימת מכשור 2015'!E1697</f>
        <v>0</v>
      </c>
      <c r="F1698" s="180">
        <f>'רשימת מכשור 2015'!F1697</f>
        <v>0</v>
      </c>
      <c r="G1698" s="195"/>
      <c r="H1698" s="195"/>
      <c r="I1698" s="196"/>
      <c r="J1698" s="195"/>
      <c r="K1698" s="195"/>
      <c r="L1698" s="195"/>
      <c r="M1698" s="195"/>
      <c r="N1698" s="197"/>
      <c r="O1698" s="195"/>
      <c r="P1698" s="195"/>
      <c r="Q1698" s="195"/>
    </row>
    <row r="1699" spans="1:17">
      <c r="A1699" s="180">
        <f>'רשימת מכשור 2015'!A1698</f>
        <v>0</v>
      </c>
      <c r="B1699" s="180">
        <f>'רשימת מכשור 2015'!B1698</f>
        <v>0</v>
      </c>
      <c r="C1699" s="180">
        <f>'רשימת מכשור 2015'!C1698</f>
        <v>0</v>
      </c>
      <c r="D1699" s="233">
        <f>'רשימת מכשור 2015'!D1698</f>
        <v>0</v>
      </c>
      <c r="E1699" s="180">
        <f>'רשימת מכשור 2015'!E1698</f>
        <v>0</v>
      </c>
      <c r="F1699" s="180">
        <f>'רשימת מכשור 2015'!F1698</f>
        <v>0</v>
      </c>
      <c r="G1699" s="195"/>
      <c r="H1699" s="195"/>
      <c r="I1699" s="196"/>
      <c r="J1699" s="195"/>
      <c r="K1699" s="195"/>
      <c r="L1699" s="195"/>
      <c r="M1699" s="195"/>
      <c r="N1699" s="197"/>
      <c r="O1699" s="195"/>
      <c r="P1699" s="195"/>
      <c r="Q1699" s="195"/>
    </row>
    <row r="1700" spans="1:17">
      <c r="A1700" s="180">
        <f>'רשימת מכשור 2015'!A1699</f>
        <v>0</v>
      </c>
      <c r="B1700" s="180">
        <f>'רשימת מכשור 2015'!B1699</f>
        <v>0</v>
      </c>
      <c r="C1700" s="180">
        <f>'רשימת מכשור 2015'!C1699</f>
        <v>0</v>
      </c>
      <c r="D1700" s="233">
        <f>'רשימת מכשור 2015'!D1699</f>
        <v>0</v>
      </c>
      <c r="E1700" s="180">
        <f>'רשימת מכשור 2015'!E1699</f>
        <v>0</v>
      </c>
      <c r="F1700" s="180">
        <f>'רשימת מכשור 2015'!F1699</f>
        <v>0</v>
      </c>
      <c r="G1700" s="195"/>
      <c r="H1700" s="195"/>
      <c r="I1700" s="196"/>
      <c r="J1700" s="195"/>
      <c r="K1700" s="195"/>
      <c r="L1700" s="195"/>
      <c r="M1700" s="195"/>
      <c r="N1700" s="197"/>
      <c r="O1700" s="195"/>
      <c r="P1700" s="195"/>
      <c r="Q1700" s="195"/>
    </row>
    <row r="1701" spans="1:17">
      <c r="A1701" s="180">
        <f>'רשימת מכשור 2015'!A1700</f>
        <v>0</v>
      </c>
      <c r="B1701" s="180">
        <f>'רשימת מכשור 2015'!B1700</f>
        <v>0</v>
      </c>
      <c r="C1701" s="180">
        <f>'רשימת מכשור 2015'!C1700</f>
        <v>0</v>
      </c>
      <c r="D1701" s="233">
        <f>'רשימת מכשור 2015'!D1700</f>
        <v>0</v>
      </c>
      <c r="E1701" s="180">
        <f>'רשימת מכשור 2015'!E1700</f>
        <v>0</v>
      </c>
      <c r="F1701" s="180">
        <f>'רשימת מכשור 2015'!F1700</f>
        <v>0</v>
      </c>
      <c r="G1701" s="195"/>
      <c r="H1701" s="195"/>
      <c r="I1701" s="196"/>
      <c r="J1701" s="195"/>
      <c r="K1701" s="195"/>
      <c r="L1701" s="195"/>
      <c r="M1701" s="195"/>
      <c r="N1701" s="197"/>
      <c r="O1701" s="195"/>
      <c r="P1701" s="195"/>
      <c r="Q1701" s="195"/>
    </row>
    <row r="1702" spans="1:17">
      <c r="A1702" s="180">
        <f>'רשימת מכשור 2015'!A1701</f>
        <v>0</v>
      </c>
      <c r="B1702" s="180">
        <f>'רשימת מכשור 2015'!B1701</f>
        <v>0</v>
      </c>
      <c r="C1702" s="180">
        <f>'רשימת מכשור 2015'!C1701</f>
        <v>0</v>
      </c>
      <c r="D1702" s="233">
        <f>'רשימת מכשור 2015'!D1701</f>
        <v>0</v>
      </c>
      <c r="E1702" s="180">
        <f>'רשימת מכשור 2015'!E1701</f>
        <v>0</v>
      </c>
      <c r="F1702" s="180">
        <f>'רשימת מכשור 2015'!F1701</f>
        <v>0</v>
      </c>
      <c r="G1702" s="195"/>
      <c r="H1702" s="195"/>
      <c r="I1702" s="196"/>
      <c r="J1702" s="195"/>
      <c r="K1702" s="195"/>
      <c r="L1702" s="195"/>
      <c r="M1702" s="195"/>
      <c r="N1702" s="197"/>
      <c r="O1702" s="195"/>
      <c r="P1702" s="195"/>
      <c r="Q1702" s="195"/>
    </row>
    <row r="1703" spans="1:17">
      <c r="A1703" s="180">
        <f>'רשימת מכשור 2015'!A1702</f>
        <v>0</v>
      </c>
      <c r="B1703" s="180">
        <f>'רשימת מכשור 2015'!B1702</f>
        <v>0</v>
      </c>
      <c r="C1703" s="180">
        <f>'רשימת מכשור 2015'!C1702</f>
        <v>0</v>
      </c>
      <c r="D1703" s="233">
        <f>'רשימת מכשור 2015'!D1702</f>
        <v>0</v>
      </c>
      <c r="E1703" s="180">
        <f>'רשימת מכשור 2015'!E1702</f>
        <v>0</v>
      </c>
      <c r="F1703" s="180">
        <f>'רשימת מכשור 2015'!F1702</f>
        <v>0</v>
      </c>
      <c r="G1703" s="195"/>
      <c r="H1703" s="195"/>
      <c r="I1703" s="196"/>
      <c r="J1703" s="195"/>
      <c r="K1703" s="195"/>
      <c r="L1703" s="195"/>
      <c r="M1703" s="195"/>
      <c r="N1703" s="197"/>
      <c r="O1703" s="195"/>
      <c r="P1703" s="195"/>
      <c r="Q1703" s="195"/>
    </row>
    <row r="1704" spans="1:17">
      <c r="A1704" s="180">
        <f>'רשימת מכשור 2015'!A1703</f>
        <v>0</v>
      </c>
      <c r="B1704" s="180">
        <f>'רשימת מכשור 2015'!B1703</f>
        <v>0</v>
      </c>
      <c r="C1704" s="180">
        <f>'רשימת מכשור 2015'!C1703</f>
        <v>0</v>
      </c>
      <c r="D1704" s="233">
        <f>'רשימת מכשור 2015'!D1703</f>
        <v>0</v>
      </c>
      <c r="E1704" s="180">
        <f>'רשימת מכשור 2015'!E1703</f>
        <v>0</v>
      </c>
      <c r="F1704" s="180">
        <f>'רשימת מכשור 2015'!F1703</f>
        <v>0</v>
      </c>
      <c r="G1704" s="195"/>
      <c r="H1704" s="195"/>
      <c r="I1704" s="196"/>
      <c r="J1704" s="195"/>
      <c r="K1704" s="195"/>
      <c r="L1704" s="195"/>
      <c r="M1704" s="195"/>
      <c r="N1704" s="197"/>
      <c r="O1704" s="195"/>
      <c r="P1704" s="195"/>
      <c r="Q1704" s="195"/>
    </row>
    <row r="1705" spans="1:17">
      <c r="A1705" s="180">
        <f>'רשימת מכשור 2015'!A1704</f>
        <v>0</v>
      </c>
      <c r="B1705" s="180">
        <f>'רשימת מכשור 2015'!B1704</f>
        <v>0</v>
      </c>
      <c r="C1705" s="180">
        <f>'רשימת מכשור 2015'!C1704</f>
        <v>0</v>
      </c>
      <c r="D1705" s="233">
        <f>'רשימת מכשור 2015'!D1704</f>
        <v>0</v>
      </c>
      <c r="E1705" s="180">
        <f>'רשימת מכשור 2015'!E1704</f>
        <v>0</v>
      </c>
      <c r="F1705" s="180">
        <f>'רשימת מכשור 2015'!F1704</f>
        <v>0</v>
      </c>
      <c r="G1705" s="195"/>
      <c r="H1705" s="195"/>
      <c r="I1705" s="196"/>
      <c r="J1705" s="195"/>
      <c r="K1705" s="195"/>
      <c r="L1705" s="195"/>
      <c r="M1705" s="195"/>
      <c r="N1705" s="197"/>
      <c r="O1705" s="195"/>
      <c r="P1705" s="195"/>
      <c r="Q1705" s="195"/>
    </row>
    <row r="1706" spans="1:17">
      <c r="A1706" s="180">
        <f>'רשימת מכשור 2015'!A1705</f>
        <v>0</v>
      </c>
      <c r="B1706" s="180">
        <f>'רשימת מכשור 2015'!B1705</f>
        <v>0</v>
      </c>
      <c r="C1706" s="180">
        <f>'רשימת מכשור 2015'!C1705</f>
        <v>0</v>
      </c>
      <c r="D1706" s="233">
        <f>'רשימת מכשור 2015'!D1705</f>
        <v>0</v>
      </c>
      <c r="E1706" s="180">
        <f>'רשימת מכשור 2015'!E1705</f>
        <v>0</v>
      </c>
      <c r="F1706" s="180">
        <f>'רשימת מכשור 2015'!F1705</f>
        <v>0</v>
      </c>
      <c r="G1706" s="195"/>
      <c r="H1706" s="195"/>
      <c r="I1706" s="196"/>
      <c r="J1706" s="195"/>
      <c r="K1706" s="195"/>
      <c r="L1706" s="195"/>
      <c r="M1706" s="195"/>
      <c r="N1706" s="197"/>
      <c r="O1706" s="195"/>
      <c r="P1706" s="195"/>
      <c r="Q1706" s="195"/>
    </row>
    <row r="1707" spans="1:17">
      <c r="A1707" s="180">
        <f>'רשימת מכשור 2015'!A1706</f>
        <v>0</v>
      </c>
      <c r="B1707" s="180">
        <f>'רשימת מכשור 2015'!B1706</f>
        <v>0</v>
      </c>
      <c r="C1707" s="180">
        <f>'רשימת מכשור 2015'!C1706</f>
        <v>0</v>
      </c>
      <c r="D1707" s="233">
        <f>'רשימת מכשור 2015'!D1706</f>
        <v>0</v>
      </c>
      <c r="E1707" s="180">
        <f>'רשימת מכשור 2015'!E1706</f>
        <v>0</v>
      </c>
      <c r="F1707" s="180">
        <f>'רשימת מכשור 2015'!F1706</f>
        <v>0</v>
      </c>
      <c r="G1707" s="195"/>
      <c r="H1707" s="195"/>
      <c r="I1707" s="196"/>
      <c r="J1707" s="195"/>
      <c r="K1707" s="195"/>
      <c r="L1707" s="195"/>
      <c r="M1707" s="195"/>
      <c r="N1707" s="197"/>
      <c r="O1707" s="195"/>
      <c r="P1707" s="195"/>
      <c r="Q1707" s="195"/>
    </row>
    <row r="1708" spans="1:17">
      <c r="A1708" s="180">
        <f>'רשימת מכשור 2015'!A1707</f>
        <v>0</v>
      </c>
      <c r="B1708" s="180">
        <f>'רשימת מכשור 2015'!B1707</f>
        <v>0</v>
      </c>
      <c r="C1708" s="180">
        <f>'רשימת מכשור 2015'!C1707</f>
        <v>0</v>
      </c>
      <c r="D1708" s="233">
        <f>'רשימת מכשור 2015'!D1707</f>
        <v>0</v>
      </c>
      <c r="E1708" s="180">
        <f>'רשימת מכשור 2015'!E1707</f>
        <v>0</v>
      </c>
      <c r="F1708" s="180">
        <f>'רשימת מכשור 2015'!F1707</f>
        <v>0</v>
      </c>
      <c r="G1708" s="195"/>
      <c r="H1708" s="195"/>
      <c r="I1708" s="196"/>
      <c r="J1708" s="195"/>
      <c r="K1708" s="195"/>
      <c r="L1708" s="195"/>
      <c r="M1708" s="195"/>
      <c r="N1708" s="197"/>
      <c r="O1708" s="195"/>
      <c r="P1708" s="195"/>
      <c r="Q1708" s="195"/>
    </row>
    <row r="1709" spans="1:17">
      <c r="A1709" s="180">
        <f>'רשימת מכשור 2015'!A1708</f>
        <v>0</v>
      </c>
      <c r="B1709" s="180">
        <f>'רשימת מכשור 2015'!B1708</f>
        <v>0</v>
      </c>
      <c r="C1709" s="180">
        <f>'רשימת מכשור 2015'!C1708</f>
        <v>0</v>
      </c>
      <c r="D1709" s="233">
        <f>'רשימת מכשור 2015'!D1708</f>
        <v>0</v>
      </c>
      <c r="E1709" s="180">
        <f>'רשימת מכשור 2015'!E1708</f>
        <v>0</v>
      </c>
      <c r="F1709" s="180">
        <f>'רשימת מכשור 2015'!F1708</f>
        <v>0</v>
      </c>
      <c r="G1709" s="195"/>
      <c r="H1709" s="195"/>
      <c r="I1709" s="196"/>
      <c r="J1709" s="195"/>
      <c r="K1709" s="195"/>
      <c r="L1709" s="195"/>
      <c r="M1709" s="195"/>
      <c r="N1709" s="197"/>
      <c r="O1709" s="195"/>
      <c r="P1709" s="195"/>
      <c r="Q1709" s="195"/>
    </row>
    <row r="1710" spans="1:17">
      <c r="A1710" s="180">
        <f>'רשימת מכשור 2015'!A1709</f>
        <v>0</v>
      </c>
      <c r="B1710" s="180">
        <f>'רשימת מכשור 2015'!B1709</f>
        <v>0</v>
      </c>
      <c r="C1710" s="180">
        <f>'רשימת מכשור 2015'!C1709</f>
        <v>0</v>
      </c>
      <c r="D1710" s="233">
        <f>'רשימת מכשור 2015'!D1709</f>
        <v>0</v>
      </c>
      <c r="E1710" s="180">
        <f>'רשימת מכשור 2015'!E1709</f>
        <v>0</v>
      </c>
      <c r="F1710" s="180">
        <f>'רשימת מכשור 2015'!F1709</f>
        <v>0</v>
      </c>
      <c r="G1710" s="195"/>
      <c r="H1710" s="195"/>
      <c r="I1710" s="196"/>
      <c r="J1710" s="195"/>
      <c r="K1710" s="195"/>
      <c r="L1710" s="195"/>
      <c r="M1710" s="195"/>
      <c r="N1710" s="197"/>
      <c r="O1710" s="195"/>
      <c r="P1710" s="195"/>
      <c r="Q1710" s="195"/>
    </row>
    <row r="1711" spans="1:17">
      <c r="A1711" s="180">
        <f>'רשימת מכשור 2015'!A1710</f>
        <v>0</v>
      </c>
      <c r="B1711" s="180">
        <f>'רשימת מכשור 2015'!B1710</f>
        <v>0</v>
      </c>
      <c r="C1711" s="180">
        <f>'רשימת מכשור 2015'!C1710</f>
        <v>0</v>
      </c>
      <c r="D1711" s="233">
        <f>'רשימת מכשור 2015'!D1710</f>
        <v>0</v>
      </c>
      <c r="E1711" s="180">
        <f>'רשימת מכשור 2015'!E1710</f>
        <v>0</v>
      </c>
      <c r="F1711" s="180">
        <f>'רשימת מכשור 2015'!F1710</f>
        <v>0</v>
      </c>
      <c r="G1711" s="195"/>
      <c r="H1711" s="195"/>
      <c r="I1711" s="196"/>
      <c r="J1711" s="195"/>
      <c r="K1711" s="195"/>
      <c r="L1711" s="195"/>
      <c r="M1711" s="195"/>
      <c r="N1711" s="197"/>
      <c r="O1711" s="195"/>
      <c r="P1711" s="195"/>
      <c r="Q1711" s="195"/>
    </row>
    <row r="1712" spans="1:17">
      <c r="A1712" s="180">
        <f>'רשימת מכשור 2015'!A1711</f>
        <v>0</v>
      </c>
      <c r="B1712" s="180">
        <f>'רשימת מכשור 2015'!B1711</f>
        <v>0</v>
      </c>
      <c r="C1712" s="180">
        <f>'רשימת מכשור 2015'!C1711</f>
        <v>0</v>
      </c>
      <c r="D1712" s="233">
        <f>'רשימת מכשור 2015'!D1711</f>
        <v>0</v>
      </c>
      <c r="E1712" s="180">
        <f>'רשימת מכשור 2015'!E1711</f>
        <v>0</v>
      </c>
      <c r="F1712" s="180">
        <f>'רשימת מכשור 2015'!F1711</f>
        <v>0</v>
      </c>
      <c r="G1712" s="195"/>
      <c r="H1712" s="195"/>
      <c r="I1712" s="196"/>
      <c r="J1712" s="195"/>
      <c r="K1712" s="195"/>
      <c r="L1712" s="195"/>
      <c r="M1712" s="195"/>
      <c r="N1712" s="197"/>
      <c r="O1712" s="195"/>
      <c r="P1712" s="195"/>
      <c r="Q1712" s="195"/>
    </row>
    <row r="1713" spans="1:17">
      <c r="A1713" s="180">
        <f>'רשימת מכשור 2015'!A1712</f>
        <v>0</v>
      </c>
      <c r="B1713" s="180">
        <f>'רשימת מכשור 2015'!B1712</f>
        <v>0</v>
      </c>
      <c r="C1713" s="180">
        <f>'רשימת מכשור 2015'!C1712</f>
        <v>0</v>
      </c>
      <c r="D1713" s="233">
        <f>'רשימת מכשור 2015'!D1712</f>
        <v>0</v>
      </c>
      <c r="E1713" s="180">
        <f>'רשימת מכשור 2015'!E1712</f>
        <v>0</v>
      </c>
      <c r="F1713" s="180">
        <f>'רשימת מכשור 2015'!F1712</f>
        <v>0</v>
      </c>
      <c r="G1713" s="195"/>
      <c r="H1713" s="195"/>
      <c r="I1713" s="196"/>
      <c r="J1713" s="195"/>
      <c r="K1713" s="195"/>
      <c r="L1713" s="195"/>
      <c r="M1713" s="195"/>
      <c r="N1713" s="197"/>
      <c r="O1713" s="195"/>
      <c r="P1713" s="195"/>
      <c r="Q1713" s="195"/>
    </row>
    <row r="1714" spans="1:17">
      <c r="A1714" s="180">
        <f>'רשימת מכשור 2015'!A1713</f>
        <v>0</v>
      </c>
      <c r="B1714" s="180">
        <f>'רשימת מכשור 2015'!B1713</f>
        <v>0</v>
      </c>
      <c r="C1714" s="180">
        <f>'רשימת מכשור 2015'!C1713</f>
        <v>0</v>
      </c>
      <c r="D1714" s="233">
        <f>'רשימת מכשור 2015'!D1713</f>
        <v>0</v>
      </c>
      <c r="E1714" s="180">
        <f>'רשימת מכשור 2015'!E1713</f>
        <v>0</v>
      </c>
      <c r="F1714" s="180">
        <f>'רשימת מכשור 2015'!F1713</f>
        <v>0</v>
      </c>
      <c r="G1714" s="195"/>
      <c r="H1714" s="195"/>
      <c r="I1714" s="196"/>
      <c r="J1714" s="195"/>
      <c r="K1714" s="195"/>
      <c r="L1714" s="195"/>
      <c r="M1714" s="195"/>
      <c r="N1714" s="197"/>
      <c r="O1714" s="195"/>
      <c r="P1714" s="195"/>
      <c r="Q1714" s="195"/>
    </row>
    <row r="1715" spans="1:17">
      <c r="A1715" s="180">
        <f>'רשימת מכשור 2015'!A1714</f>
        <v>0</v>
      </c>
      <c r="B1715" s="180">
        <f>'רשימת מכשור 2015'!B1714</f>
        <v>0</v>
      </c>
      <c r="C1715" s="180">
        <f>'רשימת מכשור 2015'!C1714</f>
        <v>0</v>
      </c>
      <c r="D1715" s="233">
        <f>'רשימת מכשור 2015'!D1714</f>
        <v>0</v>
      </c>
      <c r="E1715" s="180">
        <f>'רשימת מכשור 2015'!E1714</f>
        <v>0</v>
      </c>
      <c r="F1715" s="180">
        <f>'רשימת מכשור 2015'!F1714</f>
        <v>0</v>
      </c>
      <c r="G1715" s="195"/>
      <c r="H1715" s="195"/>
      <c r="I1715" s="196"/>
      <c r="J1715" s="195"/>
      <c r="K1715" s="195"/>
      <c r="L1715" s="195"/>
      <c r="M1715" s="195"/>
      <c r="N1715" s="197"/>
      <c r="O1715" s="195"/>
      <c r="P1715" s="195"/>
      <c r="Q1715" s="195"/>
    </row>
    <row r="1716" spans="1:17">
      <c r="A1716" s="180">
        <f>'רשימת מכשור 2015'!A1715</f>
        <v>0</v>
      </c>
      <c r="B1716" s="180">
        <f>'רשימת מכשור 2015'!B1715</f>
        <v>0</v>
      </c>
      <c r="C1716" s="180">
        <f>'רשימת מכשור 2015'!C1715</f>
        <v>0</v>
      </c>
      <c r="D1716" s="233">
        <f>'רשימת מכשור 2015'!D1715</f>
        <v>0</v>
      </c>
      <c r="E1716" s="180">
        <f>'רשימת מכשור 2015'!E1715</f>
        <v>0</v>
      </c>
      <c r="F1716" s="180">
        <f>'רשימת מכשור 2015'!F1715</f>
        <v>0</v>
      </c>
      <c r="G1716" s="195"/>
      <c r="H1716" s="195"/>
      <c r="I1716" s="196"/>
      <c r="J1716" s="195"/>
      <c r="K1716" s="195"/>
      <c r="L1716" s="195"/>
      <c r="M1716" s="195"/>
      <c r="N1716" s="197"/>
      <c r="O1716" s="195"/>
      <c r="P1716" s="195"/>
      <c r="Q1716" s="195"/>
    </row>
    <row r="1717" spans="1:17">
      <c r="A1717" s="180">
        <f>'רשימת מכשור 2015'!A1716</f>
        <v>0</v>
      </c>
      <c r="B1717" s="180">
        <f>'רשימת מכשור 2015'!B1716</f>
        <v>0</v>
      </c>
      <c r="C1717" s="180">
        <f>'רשימת מכשור 2015'!C1716</f>
        <v>0</v>
      </c>
      <c r="D1717" s="233">
        <f>'רשימת מכשור 2015'!D1716</f>
        <v>0</v>
      </c>
      <c r="E1717" s="180">
        <f>'רשימת מכשור 2015'!E1716</f>
        <v>0</v>
      </c>
      <c r="F1717" s="180">
        <f>'רשימת מכשור 2015'!F1716</f>
        <v>0</v>
      </c>
      <c r="G1717" s="195"/>
      <c r="H1717" s="195"/>
      <c r="I1717" s="196"/>
      <c r="J1717" s="195"/>
      <c r="K1717" s="195"/>
      <c r="L1717" s="195"/>
      <c r="M1717" s="195"/>
      <c r="N1717" s="197"/>
      <c r="O1717" s="195"/>
      <c r="P1717" s="195"/>
      <c r="Q1717" s="195"/>
    </row>
    <row r="1718" spans="1:17">
      <c r="A1718" s="180">
        <f>'רשימת מכשור 2015'!A1717</f>
        <v>0</v>
      </c>
      <c r="B1718" s="180">
        <f>'רשימת מכשור 2015'!B1717</f>
        <v>0</v>
      </c>
      <c r="C1718" s="180">
        <f>'רשימת מכשור 2015'!C1717</f>
        <v>0</v>
      </c>
      <c r="D1718" s="233">
        <f>'רשימת מכשור 2015'!D1717</f>
        <v>0</v>
      </c>
      <c r="E1718" s="180">
        <f>'רשימת מכשור 2015'!E1717</f>
        <v>0</v>
      </c>
      <c r="F1718" s="180">
        <f>'רשימת מכשור 2015'!F1717</f>
        <v>0</v>
      </c>
      <c r="G1718" s="195"/>
      <c r="H1718" s="195"/>
      <c r="I1718" s="196"/>
      <c r="J1718" s="195"/>
      <c r="K1718" s="195"/>
      <c r="L1718" s="195"/>
      <c r="M1718" s="195"/>
      <c r="N1718" s="197"/>
      <c r="O1718" s="195"/>
      <c r="P1718" s="195"/>
      <c r="Q1718" s="195"/>
    </row>
    <row r="1719" spans="1:17">
      <c r="A1719" s="180">
        <f>'רשימת מכשור 2015'!A1718</f>
        <v>0</v>
      </c>
      <c r="B1719" s="180">
        <f>'רשימת מכשור 2015'!B1718</f>
        <v>0</v>
      </c>
      <c r="C1719" s="180">
        <f>'רשימת מכשור 2015'!C1718</f>
        <v>0</v>
      </c>
      <c r="D1719" s="233">
        <f>'רשימת מכשור 2015'!D1718</f>
        <v>0</v>
      </c>
      <c r="E1719" s="180">
        <f>'רשימת מכשור 2015'!E1718</f>
        <v>0</v>
      </c>
      <c r="F1719" s="180">
        <f>'רשימת מכשור 2015'!F1718</f>
        <v>0</v>
      </c>
      <c r="G1719" s="195"/>
      <c r="H1719" s="195"/>
      <c r="I1719" s="196"/>
      <c r="J1719" s="195"/>
      <c r="K1719" s="195"/>
      <c r="L1719" s="195"/>
      <c r="M1719" s="195"/>
      <c r="N1719" s="197"/>
      <c r="O1719" s="195"/>
      <c r="P1719" s="195"/>
      <c r="Q1719" s="195"/>
    </row>
    <row r="1720" spans="1:17">
      <c r="A1720" s="180">
        <f>'רשימת מכשור 2015'!A1719</f>
        <v>0</v>
      </c>
      <c r="B1720" s="180">
        <f>'רשימת מכשור 2015'!B1719</f>
        <v>0</v>
      </c>
      <c r="C1720" s="180">
        <f>'רשימת מכשור 2015'!C1719</f>
        <v>0</v>
      </c>
      <c r="D1720" s="233">
        <f>'רשימת מכשור 2015'!D1719</f>
        <v>0</v>
      </c>
      <c r="E1720" s="180">
        <f>'רשימת מכשור 2015'!E1719</f>
        <v>0</v>
      </c>
      <c r="F1720" s="180">
        <f>'רשימת מכשור 2015'!F1719</f>
        <v>0</v>
      </c>
      <c r="G1720" s="195"/>
      <c r="H1720" s="195"/>
      <c r="I1720" s="196"/>
      <c r="J1720" s="195"/>
      <c r="K1720" s="195"/>
      <c r="L1720" s="195"/>
      <c r="M1720" s="195"/>
      <c r="N1720" s="197"/>
      <c r="O1720" s="195"/>
      <c r="P1720" s="195"/>
      <c r="Q1720" s="195"/>
    </row>
    <row r="1721" spans="1:17">
      <c r="A1721" s="180">
        <f>'רשימת מכשור 2015'!A1720</f>
        <v>0</v>
      </c>
      <c r="B1721" s="180">
        <f>'רשימת מכשור 2015'!B1720</f>
        <v>0</v>
      </c>
      <c r="C1721" s="180">
        <f>'רשימת מכשור 2015'!C1720</f>
        <v>0</v>
      </c>
      <c r="D1721" s="233">
        <f>'רשימת מכשור 2015'!D1720</f>
        <v>0</v>
      </c>
      <c r="E1721" s="180">
        <f>'רשימת מכשור 2015'!E1720</f>
        <v>0</v>
      </c>
      <c r="F1721" s="180">
        <f>'רשימת מכשור 2015'!F1720</f>
        <v>0</v>
      </c>
      <c r="G1721" s="195"/>
      <c r="H1721" s="195"/>
      <c r="I1721" s="196"/>
      <c r="J1721" s="195"/>
      <c r="K1721" s="195"/>
      <c r="L1721" s="195"/>
      <c r="M1721" s="195"/>
      <c r="N1721" s="197"/>
      <c r="O1721" s="195"/>
      <c r="P1721" s="195"/>
      <c r="Q1721" s="195"/>
    </row>
    <row r="1722" spans="1:17">
      <c r="A1722" s="180">
        <f>'רשימת מכשור 2015'!A1721</f>
        <v>0</v>
      </c>
      <c r="B1722" s="180">
        <f>'רשימת מכשור 2015'!B1721</f>
        <v>0</v>
      </c>
      <c r="C1722" s="180">
        <f>'רשימת מכשור 2015'!C1721</f>
        <v>0</v>
      </c>
      <c r="D1722" s="233">
        <f>'רשימת מכשור 2015'!D1721</f>
        <v>0</v>
      </c>
      <c r="E1722" s="180">
        <f>'רשימת מכשור 2015'!E1721</f>
        <v>0</v>
      </c>
      <c r="F1722" s="180">
        <f>'רשימת מכשור 2015'!F1721</f>
        <v>0</v>
      </c>
      <c r="G1722" s="195"/>
      <c r="H1722" s="195"/>
      <c r="I1722" s="196"/>
      <c r="J1722" s="195"/>
      <c r="K1722" s="195"/>
      <c r="L1722" s="195"/>
      <c r="M1722" s="195"/>
      <c r="N1722" s="197"/>
      <c r="O1722" s="195"/>
      <c r="P1722" s="195"/>
      <c r="Q1722" s="195"/>
    </row>
    <row r="1723" spans="1:17">
      <c r="A1723" s="180">
        <f>'רשימת מכשור 2015'!A1722</f>
        <v>0</v>
      </c>
      <c r="B1723" s="180">
        <f>'רשימת מכשור 2015'!B1722</f>
        <v>0</v>
      </c>
      <c r="C1723" s="180">
        <f>'רשימת מכשור 2015'!C1722</f>
        <v>0</v>
      </c>
      <c r="D1723" s="233">
        <f>'רשימת מכשור 2015'!D1722</f>
        <v>0</v>
      </c>
      <c r="E1723" s="180">
        <f>'רשימת מכשור 2015'!E1722</f>
        <v>0</v>
      </c>
      <c r="F1723" s="180">
        <f>'רשימת מכשור 2015'!F1722</f>
        <v>0</v>
      </c>
      <c r="G1723" s="195"/>
      <c r="H1723" s="195"/>
      <c r="I1723" s="196"/>
      <c r="J1723" s="195"/>
      <c r="K1723" s="195"/>
      <c r="L1723" s="195"/>
      <c r="M1723" s="195"/>
      <c r="N1723" s="197"/>
      <c r="O1723" s="195"/>
      <c r="P1723" s="195"/>
      <c r="Q1723" s="195"/>
    </row>
    <row r="1724" spans="1:17">
      <c r="A1724" s="180">
        <f>'רשימת מכשור 2015'!A1723</f>
        <v>0</v>
      </c>
      <c r="B1724" s="180">
        <f>'רשימת מכשור 2015'!B1723</f>
        <v>0</v>
      </c>
      <c r="C1724" s="180">
        <f>'רשימת מכשור 2015'!C1723</f>
        <v>0</v>
      </c>
      <c r="D1724" s="233">
        <f>'רשימת מכשור 2015'!D1723</f>
        <v>0</v>
      </c>
      <c r="E1724" s="180">
        <f>'רשימת מכשור 2015'!E1723</f>
        <v>0</v>
      </c>
      <c r="F1724" s="180">
        <f>'רשימת מכשור 2015'!F1723</f>
        <v>0</v>
      </c>
      <c r="G1724" s="195"/>
      <c r="H1724" s="195"/>
      <c r="I1724" s="196"/>
      <c r="J1724" s="195"/>
      <c r="K1724" s="195"/>
      <c r="L1724" s="195"/>
      <c r="M1724" s="195"/>
      <c r="N1724" s="197"/>
      <c r="O1724" s="195"/>
      <c r="P1724" s="195"/>
      <c r="Q1724" s="195"/>
    </row>
    <row r="1725" spans="1:17">
      <c r="A1725" s="180">
        <f>'רשימת מכשור 2015'!A1724</f>
        <v>0</v>
      </c>
      <c r="B1725" s="180">
        <f>'רשימת מכשור 2015'!B1724</f>
        <v>0</v>
      </c>
      <c r="C1725" s="180">
        <f>'רשימת מכשור 2015'!C1724</f>
        <v>0</v>
      </c>
      <c r="D1725" s="233">
        <f>'רשימת מכשור 2015'!D1724</f>
        <v>0</v>
      </c>
      <c r="E1725" s="180">
        <f>'רשימת מכשור 2015'!E1724</f>
        <v>0</v>
      </c>
      <c r="F1725" s="180">
        <f>'רשימת מכשור 2015'!F1724</f>
        <v>0</v>
      </c>
      <c r="G1725" s="195"/>
      <c r="H1725" s="195"/>
      <c r="I1725" s="196"/>
      <c r="J1725" s="195"/>
      <c r="K1725" s="195"/>
      <c r="L1725" s="195"/>
      <c r="M1725" s="195"/>
      <c r="N1725" s="197"/>
      <c r="O1725" s="195"/>
      <c r="P1725" s="195"/>
      <c r="Q1725" s="195"/>
    </row>
    <row r="1726" spans="1:17">
      <c r="A1726" s="180">
        <f>'רשימת מכשור 2015'!A1725</f>
        <v>0</v>
      </c>
      <c r="B1726" s="180">
        <f>'רשימת מכשור 2015'!B1725</f>
        <v>0</v>
      </c>
      <c r="C1726" s="180">
        <f>'רשימת מכשור 2015'!C1725</f>
        <v>0</v>
      </c>
      <c r="D1726" s="233">
        <f>'רשימת מכשור 2015'!D1725</f>
        <v>0</v>
      </c>
      <c r="E1726" s="180">
        <f>'רשימת מכשור 2015'!E1725</f>
        <v>0</v>
      </c>
      <c r="F1726" s="180">
        <f>'רשימת מכשור 2015'!F1725</f>
        <v>0</v>
      </c>
      <c r="G1726" s="195"/>
      <c r="H1726" s="195"/>
      <c r="I1726" s="196"/>
      <c r="J1726" s="195"/>
      <c r="K1726" s="195"/>
      <c r="L1726" s="195"/>
      <c r="M1726" s="195"/>
      <c r="N1726" s="197"/>
      <c r="O1726" s="195"/>
      <c r="P1726" s="195"/>
      <c r="Q1726" s="195"/>
    </row>
    <row r="1727" spans="1:17">
      <c r="A1727" s="180">
        <f>'רשימת מכשור 2015'!A1726</f>
        <v>0</v>
      </c>
      <c r="B1727" s="180">
        <f>'רשימת מכשור 2015'!B1726</f>
        <v>0</v>
      </c>
      <c r="C1727" s="180">
        <f>'רשימת מכשור 2015'!C1726</f>
        <v>0</v>
      </c>
      <c r="D1727" s="233">
        <f>'רשימת מכשור 2015'!D1726</f>
        <v>0</v>
      </c>
      <c r="E1727" s="180">
        <f>'רשימת מכשור 2015'!E1726</f>
        <v>0</v>
      </c>
      <c r="F1727" s="180">
        <f>'רשימת מכשור 2015'!F1726</f>
        <v>0</v>
      </c>
      <c r="G1727" s="195"/>
      <c r="H1727" s="195"/>
      <c r="I1727" s="196"/>
      <c r="J1727" s="195"/>
      <c r="K1727" s="195"/>
      <c r="L1727" s="195"/>
      <c r="M1727" s="195"/>
      <c r="N1727" s="197"/>
      <c r="O1727" s="195"/>
      <c r="P1727" s="195"/>
      <c r="Q1727" s="195"/>
    </row>
    <row r="1728" spans="1:17">
      <c r="A1728" s="180">
        <f>'רשימת מכשור 2015'!A1727</f>
        <v>0</v>
      </c>
      <c r="B1728" s="180">
        <f>'רשימת מכשור 2015'!B1727</f>
        <v>0</v>
      </c>
      <c r="C1728" s="180">
        <f>'רשימת מכשור 2015'!C1727</f>
        <v>0</v>
      </c>
      <c r="D1728" s="233">
        <f>'רשימת מכשור 2015'!D1727</f>
        <v>0</v>
      </c>
      <c r="E1728" s="180">
        <f>'רשימת מכשור 2015'!E1727</f>
        <v>0</v>
      </c>
      <c r="F1728" s="180">
        <f>'רשימת מכשור 2015'!F1727</f>
        <v>0</v>
      </c>
      <c r="G1728" s="195"/>
      <c r="H1728" s="195"/>
      <c r="I1728" s="196"/>
      <c r="J1728" s="195"/>
      <c r="K1728" s="195"/>
      <c r="L1728" s="195"/>
      <c r="M1728" s="195"/>
      <c r="N1728" s="197"/>
      <c r="O1728" s="195"/>
      <c r="P1728" s="195"/>
      <c r="Q1728" s="195"/>
    </row>
    <row r="1729" spans="1:17">
      <c r="A1729" s="180">
        <f>'רשימת מכשור 2015'!A1728</f>
        <v>0</v>
      </c>
      <c r="B1729" s="180">
        <f>'רשימת מכשור 2015'!B1728</f>
        <v>0</v>
      </c>
      <c r="C1729" s="180">
        <f>'רשימת מכשור 2015'!C1728</f>
        <v>0</v>
      </c>
      <c r="D1729" s="233">
        <f>'רשימת מכשור 2015'!D1728</f>
        <v>0</v>
      </c>
      <c r="E1729" s="180">
        <f>'רשימת מכשור 2015'!E1728</f>
        <v>0</v>
      </c>
      <c r="F1729" s="180">
        <f>'רשימת מכשור 2015'!F1728</f>
        <v>0</v>
      </c>
      <c r="G1729" s="195"/>
      <c r="H1729" s="195"/>
      <c r="I1729" s="196"/>
      <c r="J1729" s="195"/>
      <c r="K1729" s="195"/>
      <c r="L1729" s="195"/>
      <c r="M1729" s="195"/>
      <c r="N1729" s="197"/>
      <c r="O1729" s="195"/>
      <c r="P1729" s="195"/>
      <c r="Q1729" s="195"/>
    </row>
    <row r="1730" spans="1:17">
      <c r="A1730" s="180">
        <f>'רשימת מכשור 2015'!A1729</f>
        <v>0</v>
      </c>
      <c r="B1730" s="180">
        <f>'רשימת מכשור 2015'!B1729</f>
        <v>0</v>
      </c>
      <c r="C1730" s="180">
        <f>'רשימת מכשור 2015'!C1729</f>
        <v>0</v>
      </c>
      <c r="D1730" s="233">
        <f>'רשימת מכשור 2015'!D1729</f>
        <v>0</v>
      </c>
      <c r="E1730" s="180">
        <f>'רשימת מכשור 2015'!E1729</f>
        <v>0</v>
      </c>
      <c r="F1730" s="180">
        <f>'רשימת מכשור 2015'!F1729</f>
        <v>0</v>
      </c>
      <c r="G1730" s="195"/>
      <c r="H1730" s="195"/>
      <c r="I1730" s="196"/>
      <c r="J1730" s="195"/>
      <c r="K1730" s="195"/>
      <c r="L1730" s="195"/>
      <c r="M1730" s="195"/>
      <c r="N1730" s="197"/>
      <c r="O1730" s="195"/>
      <c r="P1730" s="195"/>
      <c r="Q1730" s="195"/>
    </row>
    <row r="1731" spans="1:17">
      <c r="A1731" s="180">
        <f>'רשימת מכשור 2015'!A1730</f>
        <v>0</v>
      </c>
      <c r="B1731" s="180">
        <f>'רשימת מכשור 2015'!B1730</f>
        <v>0</v>
      </c>
      <c r="C1731" s="180">
        <f>'רשימת מכשור 2015'!C1730</f>
        <v>0</v>
      </c>
      <c r="D1731" s="233">
        <f>'רשימת מכשור 2015'!D1730</f>
        <v>0</v>
      </c>
      <c r="E1731" s="180">
        <f>'רשימת מכשור 2015'!E1730</f>
        <v>0</v>
      </c>
      <c r="F1731" s="180">
        <f>'רשימת מכשור 2015'!F1730</f>
        <v>0</v>
      </c>
      <c r="G1731" s="195"/>
      <c r="H1731" s="195"/>
      <c r="I1731" s="196"/>
      <c r="J1731" s="195"/>
      <c r="K1731" s="195"/>
      <c r="L1731" s="195"/>
      <c r="M1731" s="195"/>
      <c r="N1731" s="197"/>
      <c r="O1731" s="195"/>
      <c r="P1731" s="195"/>
      <c r="Q1731" s="195"/>
    </row>
    <row r="1732" spans="1:17">
      <c r="A1732" s="180">
        <f>'רשימת מכשור 2015'!A1731</f>
        <v>0</v>
      </c>
      <c r="B1732" s="180">
        <f>'רשימת מכשור 2015'!B1731</f>
        <v>0</v>
      </c>
      <c r="C1732" s="180">
        <f>'רשימת מכשור 2015'!C1731</f>
        <v>0</v>
      </c>
      <c r="D1732" s="233">
        <f>'רשימת מכשור 2015'!D1731</f>
        <v>0</v>
      </c>
      <c r="E1732" s="180">
        <f>'רשימת מכשור 2015'!E1731</f>
        <v>0</v>
      </c>
      <c r="F1732" s="180">
        <f>'רשימת מכשור 2015'!F1731</f>
        <v>0</v>
      </c>
      <c r="G1732" s="195"/>
      <c r="H1732" s="195"/>
      <c r="I1732" s="196"/>
      <c r="J1732" s="195"/>
      <c r="K1732" s="195"/>
      <c r="L1732" s="195"/>
      <c r="M1732" s="195"/>
      <c r="N1732" s="197"/>
      <c r="O1732" s="195"/>
      <c r="P1732" s="195"/>
      <c r="Q1732" s="195"/>
    </row>
    <row r="1733" spans="1:17">
      <c r="A1733" s="180">
        <f>'רשימת מכשור 2015'!A1732</f>
        <v>0</v>
      </c>
      <c r="B1733" s="180">
        <f>'רשימת מכשור 2015'!B1732</f>
        <v>0</v>
      </c>
      <c r="C1733" s="180">
        <f>'רשימת מכשור 2015'!C1732</f>
        <v>0</v>
      </c>
      <c r="D1733" s="233">
        <f>'רשימת מכשור 2015'!D1732</f>
        <v>0</v>
      </c>
      <c r="E1733" s="180">
        <f>'רשימת מכשור 2015'!E1732</f>
        <v>0</v>
      </c>
      <c r="F1733" s="180">
        <f>'רשימת מכשור 2015'!F1732</f>
        <v>0</v>
      </c>
      <c r="G1733" s="195"/>
      <c r="H1733" s="195"/>
      <c r="I1733" s="196"/>
      <c r="J1733" s="195"/>
      <c r="K1733" s="195"/>
      <c r="L1733" s="195"/>
      <c r="M1733" s="195"/>
      <c r="N1733" s="197"/>
      <c r="O1733" s="195"/>
      <c r="P1733" s="195"/>
      <c r="Q1733" s="195"/>
    </row>
    <row r="1734" spans="1:17">
      <c r="A1734" s="180">
        <f>'רשימת מכשור 2015'!A1733</f>
        <v>0</v>
      </c>
      <c r="B1734" s="180">
        <f>'רשימת מכשור 2015'!B1733</f>
        <v>0</v>
      </c>
      <c r="C1734" s="180">
        <f>'רשימת מכשור 2015'!C1733</f>
        <v>0</v>
      </c>
      <c r="D1734" s="233">
        <f>'רשימת מכשור 2015'!D1733</f>
        <v>0</v>
      </c>
      <c r="E1734" s="180">
        <f>'רשימת מכשור 2015'!E1733</f>
        <v>0</v>
      </c>
      <c r="F1734" s="180">
        <f>'רשימת מכשור 2015'!F1733</f>
        <v>0</v>
      </c>
      <c r="G1734" s="195"/>
      <c r="H1734" s="195"/>
      <c r="I1734" s="196"/>
      <c r="J1734" s="195"/>
      <c r="K1734" s="195"/>
      <c r="L1734" s="195"/>
      <c r="M1734" s="195"/>
      <c r="N1734" s="197"/>
      <c r="O1734" s="195"/>
      <c r="P1734" s="195"/>
      <c r="Q1734" s="195"/>
    </row>
    <row r="1735" spans="1:17">
      <c r="A1735" s="180">
        <f>'רשימת מכשור 2015'!A1734</f>
        <v>0</v>
      </c>
      <c r="B1735" s="180">
        <f>'רשימת מכשור 2015'!B1734</f>
        <v>0</v>
      </c>
      <c r="C1735" s="180">
        <f>'רשימת מכשור 2015'!C1734</f>
        <v>0</v>
      </c>
      <c r="D1735" s="233">
        <f>'רשימת מכשור 2015'!D1734</f>
        <v>0</v>
      </c>
      <c r="E1735" s="180">
        <f>'רשימת מכשור 2015'!E1734</f>
        <v>0</v>
      </c>
      <c r="F1735" s="180">
        <f>'רשימת מכשור 2015'!F1734</f>
        <v>0</v>
      </c>
      <c r="G1735" s="195"/>
      <c r="H1735" s="195"/>
      <c r="I1735" s="196"/>
      <c r="J1735" s="195"/>
      <c r="K1735" s="195"/>
      <c r="L1735" s="195"/>
      <c r="M1735" s="195"/>
      <c r="N1735" s="197"/>
      <c r="O1735" s="195"/>
      <c r="P1735" s="195"/>
      <c r="Q1735" s="195"/>
    </row>
    <row r="1736" spans="1:17">
      <c r="A1736" s="180">
        <f>'רשימת מכשור 2015'!A1735</f>
        <v>0</v>
      </c>
      <c r="B1736" s="180">
        <f>'רשימת מכשור 2015'!B1735</f>
        <v>0</v>
      </c>
      <c r="C1736" s="180">
        <f>'רשימת מכשור 2015'!C1735</f>
        <v>0</v>
      </c>
      <c r="D1736" s="233">
        <f>'רשימת מכשור 2015'!D1735</f>
        <v>0</v>
      </c>
      <c r="E1736" s="180">
        <f>'רשימת מכשור 2015'!E1735</f>
        <v>0</v>
      </c>
      <c r="F1736" s="180">
        <f>'רשימת מכשור 2015'!F1735</f>
        <v>0</v>
      </c>
      <c r="G1736" s="195"/>
      <c r="H1736" s="195"/>
      <c r="I1736" s="196"/>
      <c r="J1736" s="195"/>
      <c r="K1736" s="195"/>
      <c r="L1736" s="195"/>
      <c r="M1736" s="195"/>
      <c r="N1736" s="197"/>
      <c r="O1736" s="195"/>
      <c r="P1736" s="195"/>
      <c r="Q1736" s="195"/>
    </row>
    <row r="1737" spans="1:17">
      <c r="A1737" s="180">
        <f>'רשימת מכשור 2015'!A1736</f>
        <v>0</v>
      </c>
      <c r="B1737" s="180">
        <f>'רשימת מכשור 2015'!B1736</f>
        <v>0</v>
      </c>
      <c r="C1737" s="180">
        <f>'רשימת מכשור 2015'!C1736</f>
        <v>0</v>
      </c>
      <c r="D1737" s="233">
        <f>'רשימת מכשור 2015'!D1736</f>
        <v>0</v>
      </c>
      <c r="E1737" s="180">
        <f>'רשימת מכשור 2015'!E1736</f>
        <v>0</v>
      </c>
      <c r="F1737" s="180">
        <f>'רשימת מכשור 2015'!F1736</f>
        <v>0</v>
      </c>
      <c r="G1737" s="195"/>
      <c r="H1737" s="195"/>
      <c r="I1737" s="196"/>
      <c r="J1737" s="195"/>
      <c r="K1737" s="195"/>
      <c r="L1737" s="195"/>
      <c r="M1737" s="195"/>
      <c r="N1737" s="197"/>
      <c r="O1737" s="195"/>
      <c r="P1737" s="195"/>
      <c r="Q1737" s="195"/>
    </row>
    <row r="1738" spans="1:17">
      <c r="A1738" s="180">
        <f>'רשימת מכשור 2015'!A1737</f>
        <v>0</v>
      </c>
      <c r="B1738" s="180">
        <f>'רשימת מכשור 2015'!B1737</f>
        <v>0</v>
      </c>
      <c r="C1738" s="180">
        <f>'רשימת מכשור 2015'!C1737</f>
        <v>0</v>
      </c>
      <c r="D1738" s="233">
        <f>'רשימת מכשור 2015'!D1737</f>
        <v>0</v>
      </c>
      <c r="E1738" s="180">
        <f>'רשימת מכשור 2015'!E1737</f>
        <v>0</v>
      </c>
      <c r="F1738" s="180">
        <f>'רשימת מכשור 2015'!F1737</f>
        <v>0</v>
      </c>
      <c r="G1738" s="195"/>
      <c r="H1738" s="195"/>
      <c r="I1738" s="196"/>
      <c r="J1738" s="195"/>
      <c r="K1738" s="195"/>
      <c r="L1738" s="195"/>
      <c r="M1738" s="195"/>
      <c r="N1738" s="197"/>
      <c r="O1738" s="195"/>
      <c r="P1738" s="195"/>
      <c r="Q1738" s="195"/>
    </row>
    <row r="1739" spans="1:17">
      <c r="A1739" s="180">
        <f>'רשימת מכשור 2015'!A1738</f>
        <v>0</v>
      </c>
      <c r="B1739" s="180">
        <f>'רשימת מכשור 2015'!B1738</f>
        <v>0</v>
      </c>
      <c r="C1739" s="180">
        <f>'רשימת מכשור 2015'!C1738</f>
        <v>0</v>
      </c>
      <c r="D1739" s="233">
        <f>'רשימת מכשור 2015'!D1738</f>
        <v>0</v>
      </c>
      <c r="E1739" s="180">
        <f>'רשימת מכשור 2015'!E1738</f>
        <v>0</v>
      </c>
      <c r="F1739" s="180">
        <f>'רשימת מכשור 2015'!F1738</f>
        <v>0</v>
      </c>
      <c r="G1739" s="195"/>
      <c r="H1739" s="195"/>
      <c r="I1739" s="196"/>
      <c r="J1739" s="195"/>
      <c r="K1739" s="195"/>
      <c r="L1739" s="195"/>
      <c r="M1739" s="195"/>
      <c r="N1739" s="197"/>
      <c r="O1739" s="195"/>
      <c r="P1739" s="195"/>
      <c r="Q1739" s="195"/>
    </row>
    <row r="1740" spans="1:17">
      <c r="A1740" s="180">
        <f>'רשימת מכשור 2015'!A1739</f>
        <v>0</v>
      </c>
      <c r="B1740" s="180">
        <f>'רשימת מכשור 2015'!B1739</f>
        <v>0</v>
      </c>
      <c r="C1740" s="180">
        <f>'רשימת מכשור 2015'!C1739</f>
        <v>0</v>
      </c>
      <c r="D1740" s="233">
        <f>'רשימת מכשור 2015'!D1739</f>
        <v>0</v>
      </c>
      <c r="E1740" s="180">
        <f>'רשימת מכשור 2015'!E1739</f>
        <v>0</v>
      </c>
      <c r="F1740" s="180">
        <f>'רשימת מכשור 2015'!F1739</f>
        <v>0</v>
      </c>
      <c r="G1740" s="195"/>
      <c r="H1740" s="195"/>
      <c r="I1740" s="196"/>
      <c r="J1740" s="195"/>
      <c r="K1740" s="195"/>
      <c r="L1740" s="195"/>
      <c r="M1740" s="195"/>
      <c r="N1740" s="197"/>
      <c r="O1740" s="195"/>
      <c r="P1740" s="195"/>
      <c r="Q1740" s="195"/>
    </row>
    <row r="1741" spans="1:17">
      <c r="A1741" s="180">
        <f>'רשימת מכשור 2015'!A1740</f>
        <v>0</v>
      </c>
      <c r="B1741" s="180">
        <f>'רשימת מכשור 2015'!B1740</f>
        <v>0</v>
      </c>
      <c r="C1741" s="180">
        <f>'רשימת מכשור 2015'!C1740</f>
        <v>0</v>
      </c>
      <c r="D1741" s="233">
        <f>'רשימת מכשור 2015'!D1740</f>
        <v>0</v>
      </c>
      <c r="E1741" s="180">
        <f>'רשימת מכשור 2015'!E1740</f>
        <v>0</v>
      </c>
      <c r="F1741" s="180">
        <f>'רשימת מכשור 2015'!F1740</f>
        <v>0</v>
      </c>
      <c r="G1741" s="195"/>
      <c r="H1741" s="195"/>
      <c r="I1741" s="196"/>
      <c r="J1741" s="195"/>
      <c r="K1741" s="195"/>
      <c r="L1741" s="195"/>
      <c r="M1741" s="195"/>
      <c r="N1741" s="197"/>
      <c r="O1741" s="195"/>
      <c r="P1741" s="195"/>
      <c r="Q1741" s="195"/>
    </row>
    <row r="1742" spans="1:17">
      <c r="A1742" s="180">
        <f>'רשימת מכשור 2015'!A1741</f>
        <v>0</v>
      </c>
      <c r="B1742" s="180">
        <f>'רשימת מכשור 2015'!B1741</f>
        <v>0</v>
      </c>
      <c r="C1742" s="180">
        <f>'רשימת מכשור 2015'!C1741</f>
        <v>0</v>
      </c>
      <c r="D1742" s="233">
        <f>'רשימת מכשור 2015'!D1741</f>
        <v>0</v>
      </c>
      <c r="E1742" s="180">
        <f>'רשימת מכשור 2015'!E1741</f>
        <v>0</v>
      </c>
      <c r="F1742" s="180">
        <f>'רשימת מכשור 2015'!F1741</f>
        <v>0</v>
      </c>
      <c r="G1742" s="195"/>
      <c r="H1742" s="195"/>
      <c r="I1742" s="196"/>
      <c r="J1742" s="195"/>
      <c r="K1742" s="195"/>
      <c r="L1742" s="195"/>
      <c r="M1742" s="195"/>
      <c r="N1742" s="197"/>
      <c r="O1742" s="195"/>
      <c r="P1742" s="195"/>
      <c r="Q1742" s="195"/>
    </row>
    <row r="1743" spans="1:17">
      <c r="A1743" s="180">
        <f>'רשימת מכשור 2015'!A1742</f>
        <v>0</v>
      </c>
      <c r="B1743" s="180">
        <f>'רשימת מכשור 2015'!B1742</f>
        <v>0</v>
      </c>
      <c r="C1743" s="180">
        <f>'רשימת מכשור 2015'!C1742</f>
        <v>0</v>
      </c>
      <c r="D1743" s="233">
        <f>'רשימת מכשור 2015'!D1742</f>
        <v>0</v>
      </c>
      <c r="E1743" s="180">
        <f>'רשימת מכשור 2015'!E1742</f>
        <v>0</v>
      </c>
      <c r="F1743" s="180">
        <f>'רשימת מכשור 2015'!F1742</f>
        <v>0</v>
      </c>
      <c r="G1743" s="195"/>
      <c r="H1743" s="195"/>
      <c r="I1743" s="196"/>
      <c r="J1743" s="195"/>
      <c r="K1743" s="195"/>
      <c r="L1743" s="195"/>
      <c r="M1743" s="195"/>
      <c r="N1743" s="197"/>
      <c r="O1743" s="195"/>
      <c r="P1743" s="195"/>
      <c r="Q1743" s="195"/>
    </row>
    <row r="1744" spans="1:17">
      <c r="A1744" s="180">
        <f>'רשימת מכשור 2015'!A1743</f>
        <v>0</v>
      </c>
      <c r="B1744" s="180">
        <f>'רשימת מכשור 2015'!B1743</f>
        <v>0</v>
      </c>
      <c r="C1744" s="180">
        <f>'רשימת מכשור 2015'!C1743</f>
        <v>0</v>
      </c>
      <c r="D1744" s="233">
        <f>'רשימת מכשור 2015'!D1743</f>
        <v>0</v>
      </c>
      <c r="E1744" s="180">
        <f>'רשימת מכשור 2015'!E1743</f>
        <v>0</v>
      </c>
      <c r="F1744" s="180">
        <f>'רשימת מכשור 2015'!F1743</f>
        <v>0</v>
      </c>
      <c r="G1744" s="195"/>
      <c r="H1744" s="195"/>
      <c r="I1744" s="196"/>
      <c r="J1744" s="195"/>
      <c r="K1744" s="195"/>
      <c r="L1744" s="195"/>
      <c r="M1744" s="195"/>
      <c r="N1744" s="197"/>
      <c r="O1744" s="195"/>
      <c r="P1744" s="195"/>
      <c r="Q1744" s="195"/>
    </row>
    <row r="1745" spans="1:17">
      <c r="A1745" s="180">
        <f>'רשימת מכשור 2015'!A1744</f>
        <v>0</v>
      </c>
      <c r="B1745" s="180">
        <f>'רשימת מכשור 2015'!B1744</f>
        <v>0</v>
      </c>
      <c r="C1745" s="180">
        <f>'רשימת מכשור 2015'!C1744</f>
        <v>0</v>
      </c>
      <c r="D1745" s="233">
        <f>'רשימת מכשור 2015'!D1744</f>
        <v>0</v>
      </c>
      <c r="E1745" s="180">
        <f>'רשימת מכשור 2015'!E1744</f>
        <v>0</v>
      </c>
      <c r="F1745" s="180">
        <f>'רשימת מכשור 2015'!F1744</f>
        <v>0</v>
      </c>
      <c r="G1745" s="195"/>
      <c r="H1745" s="195"/>
      <c r="I1745" s="196"/>
      <c r="J1745" s="195"/>
      <c r="K1745" s="195"/>
      <c r="L1745" s="195"/>
      <c r="M1745" s="195"/>
      <c r="N1745" s="197"/>
      <c r="O1745" s="195"/>
      <c r="P1745" s="195"/>
      <c r="Q1745" s="195"/>
    </row>
    <row r="1746" spans="1:17">
      <c r="A1746" s="180">
        <f>'רשימת מכשור 2015'!A1745</f>
        <v>0</v>
      </c>
      <c r="B1746" s="180">
        <f>'רשימת מכשור 2015'!B1745</f>
        <v>0</v>
      </c>
      <c r="C1746" s="180">
        <f>'רשימת מכשור 2015'!C1745</f>
        <v>0</v>
      </c>
      <c r="D1746" s="233">
        <f>'רשימת מכשור 2015'!D1745</f>
        <v>0</v>
      </c>
      <c r="E1746" s="180">
        <f>'רשימת מכשור 2015'!E1745</f>
        <v>0</v>
      </c>
      <c r="F1746" s="180">
        <f>'רשימת מכשור 2015'!F1745</f>
        <v>0</v>
      </c>
      <c r="G1746" s="195"/>
      <c r="H1746" s="195"/>
      <c r="I1746" s="196"/>
      <c r="J1746" s="195"/>
      <c r="K1746" s="195"/>
      <c r="L1746" s="195"/>
      <c r="M1746" s="195"/>
      <c r="N1746" s="197"/>
      <c r="O1746" s="195"/>
      <c r="P1746" s="195"/>
      <c r="Q1746" s="195"/>
    </row>
    <row r="1747" spans="1:17">
      <c r="A1747" s="180">
        <f>'רשימת מכשור 2015'!A1746</f>
        <v>0</v>
      </c>
      <c r="B1747" s="180">
        <f>'רשימת מכשור 2015'!B1746</f>
        <v>0</v>
      </c>
      <c r="C1747" s="180">
        <f>'רשימת מכשור 2015'!C1746</f>
        <v>0</v>
      </c>
      <c r="D1747" s="233">
        <f>'רשימת מכשור 2015'!D1746</f>
        <v>0</v>
      </c>
      <c r="E1747" s="180">
        <f>'רשימת מכשור 2015'!E1746</f>
        <v>0</v>
      </c>
      <c r="F1747" s="180">
        <f>'רשימת מכשור 2015'!F1746</f>
        <v>0</v>
      </c>
      <c r="G1747" s="195"/>
      <c r="H1747" s="195"/>
      <c r="I1747" s="196"/>
      <c r="J1747" s="195"/>
      <c r="K1747" s="195"/>
      <c r="L1747" s="195"/>
      <c r="M1747" s="195"/>
      <c r="N1747" s="197"/>
      <c r="O1747" s="195"/>
      <c r="P1747" s="195"/>
      <c r="Q1747" s="195"/>
    </row>
    <row r="1748" spans="1:17">
      <c r="A1748" s="180">
        <f>'רשימת מכשור 2015'!A1747</f>
        <v>0</v>
      </c>
      <c r="B1748" s="180">
        <f>'רשימת מכשור 2015'!B1747</f>
        <v>0</v>
      </c>
      <c r="C1748" s="180">
        <f>'רשימת מכשור 2015'!C1747</f>
        <v>0</v>
      </c>
      <c r="D1748" s="233">
        <f>'רשימת מכשור 2015'!D1747</f>
        <v>0</v>
      </c>
      <c r="E1748" s="180">
        <f>'רשימת מכשור 2015'!E1747</f>
        <v>0</v>
      </c>
      <c r="F1748" s="180">
        <f>'רשימת מכשור 2015'!F1747</f>
        <v>0</v>
      </c>
      <c r="G1748" s="195"/>
      <c r="H1748" s="195"/>
      <c r="I1748" s="196"/>
      <c r="J1748" s="195"/>
      <c r="K1748" s="195"/>
      <c r="L1748" s="195"/>
      <c r="M1748" s="195"/>
      <c r="N1748" s="197"/>
      <c r="O1748" s="195"/>
      <c r="P1748" s="195"/>
      <c r="Q1748" s="195"/>
    </row>
    <row r="1749" spans="1:17">
      <c r="A1749" s="180">
        <f>'רשימת מכשור 2015'!A1748</f>
        <v>0</v>
      </c>
      <c r="B1749" s="180">
        <f>'רשימת מכשור 2015'!B1748</f>
        <v>0</v>
      </c>
      <c r="C1749" s="180">
        <f>'רשימת מכשור 2015'!C1748</f>
        <v>0</v>
      </c>
      <c r="D1749" s="233">
        <f>'רשימת מכשור 2015'!D1748</f>
        <v>0</v>
      </c>
      <c r="E1749" s="180">
        <f>'רשימת מכשור 2015'!E1748</f>
        <v>0</v>
      </c>
      <c r="F1749" s="180">
        <f>'רשימת מכשור 2015'!F1748</f>
        <v>0</v>
      </c>
      <c r="G1749" s="195"/>
      <c r="H1749" s="195"/>
      <c r="I1749" s="196"/>
      <c r="J1749" s="195"/>
      <c r="K1749" s="195"/>
      <c r="L1749" s="195"/>
      <c r="M1749" s="195"/>
      <c r="N1749" s="197"/>
      <c r="O1749" s="195"/>
      <c r="P1749" s="195"/>
      <c r="Q1749" s="195"/>
    </row>
    <row r="1750" spans="1:17">
      <c r="A1750" s="180">
        <f>'רשימת מכשור 2015'!A1749</f>
        <v>0</v>
      </c>
      <c r="B1750" s="180">
        <f>'רשימת מכשור 2015'!B1749</f>
        <v>0</v>
      </c>
      <c r="C1750" s="180">
        <f>'רשימת מכשור 2015'!C1749</f>
        <v>0</v>
      </c>
      <c r="D1750" s="233">
        <f>'רשימת מכשור 2015'!D1749</f>
        <v>0</v>
      </c>
      <c r="E1750" s="180">
        <f>'רשימת מכשור 2015'!E1749</f>
        <v>0</v>
      </c>
      <c r="F1750" s="180">
        <f>'רשימת מכשור 2015'!F1749</f>
        <v>0</v>
      </c>
      <c r="G1750" s="195"/>
      <c r="H1750" s="195"/>
      <c r="I1750" s="196"/>
      <c r="J1750" s="195"/>
      <c r="K1750" s="195"/>
      <c r="L1750" s="195"/>
      <c r="M1750" s="195"/>
      <c r="N1750" s="197"/>
      <c r="O1750" s="195"/>
      <c r="P1750" s="195"/>
      <c r="Q1750" s="195"/>
    </row>
    <row r="1751" spans="1:17">
      <c r="A1751" s="180">
        <f>'רשימת מכשור 2015'!A1750</f>
        <v>0</v>
      </c>
      <c r="B1751" s="180">
        <f>'רשימת מכשור 2015'!B1750</f>
        <v>0</v>
      </c>
      <c r="C1751" s="180">
        <f>'רשימת מכשור 2015'!C1750</f>
        <v>0</v>
      </c>
      <c r="D1751" s="233">
        <f>'רשימת מכשור 2015'!D1750</f>
        <v>0</v>
      </c>
      <c r="E1751" s="180">
        <f>'רשימת מכשור 2015'!E1750</f>
        <v>0</v>
      </c>
      <c r="F1751" s="180">
        <f>'רשימת מכשור 2015'!F1750</f>
        <v>0</v>
      </c>
      <c r="G1751" s="195"/>
      <c r="H1751" s="195"/>
      <c r="I1751" s="196"/>
      <c r="J1751" s="195"/>
      <c r="K1751" s="195"/>
      <c r="L1751" s="195"/>
      <c r="M1751" s="195"/>
      <c r="N1751" s="197"/>
      <c r="O1751" s="195"/>
      <c r="P1751" s="195"/>
      <c r="Q1751" s="195"/>
    </row>
    <row r="1752" spans="1:17">
      <c r="A1752" s="180">
        <f>'רשימת מכשור 2015'!A1751</f>
        <v>0</v>
      </c>
      <c r="B1752" s="180">
        <f>'רשימת מכשור 2015'!B1751</f>
        <v>0</v>
      </c>
      <c r="C1752" s="180">
        <f>'רשימת מכשור 2015'!C1751</f>
        <v>0</v>
      </c>
      <c r="D1752" s="233">
        <f>'רשימת מכשור 2015'!D1751</f>
        <v>0</v>
      </c>
      <c r="E1752" s="180">
        <f>'רשימת מכשור 2015'!E1751</f>
        <v>0</v>
      </c>
      <c r="F1752" s="180">
        <f>'רשימת מכשור 2015'!F1751</f>
        <v>0</v>
      </c>
      <c r="G1752" s="195"/>
      <c r="H1752" s="195"/>
      <c r="I1752" s="196"/>
      <c r="J1752" s="195"/>
      <c r="K1752" s="195"/>
      <c r="L1752" s="195"/>
      <c r="M1752" s="195"/>
      <c r="N1752" s="197"/>
      <c r="O1752" s="195"/>
      <c r="P1752" s="195"/>
      <c r="Q1752" s="195"/>
    </row>
    <row r="1753" spans="1:17">
      <c r="A1753" s="180">
        <f>'רשימת מכשור 2015'!A1752</f>
        <v>0</v>
      </c>
      <c r="B1753" s="180">
        <f>'רשימת מכשור 2015'!B1752</f>
        <v>0</v>
      </c>
      <c r="C1753" s="180">
        <f>'רשימת מכשור 2015'!C1752</f>
        <v>0</v>
      </c>
      <c r="D1753" s="233">
        <f>'רשימת מכשור 2015'!D1752</f>
        <v>0</v>
      </c>
      <c r="E1753" s="180">
        <f>'רשימת מכשור 2015'!E1752</f>
        <v>0</v>
      </c>
      <c r="F1753" s="180">
        <f>'רשימת מכשור 2015'!F1752</f>
        <v>0</v>
      </c>
      <c r="G1753" s="195"/>
      <c r="H1753" s="195"/>
      <c r="I1753" s="196"/>
      <c r="J1753" s="195"/>
      <c r="K1753" s="195"/>
      <c r="L1753" s="195"/>
      <c r="M1753" s="195"/>
      <c r="N1753" s="197"/>
      <c r="O1753" s="195"/>
      <c r="P1753" s="195"/>
      <c r="Q1753" s="195"/>
    </row>
    <row r="1754" spans="1:17">
      <c r="A1754" s="180">
        <f>'רשימת מכשור 2015'!A1753</f>
        <v>0</v>
      </c>
      <c r="B1754" s="180">
        <f>'רשימת מכשור 2015'!B1753</f>
        <v>0</v>
      </c>
      <c r="C1754" s="180">
        <f>'רשימת מכשור 2015'!C1753</f>
        <v>0</v>
      </c>
      <c r="D1754" s="233">
        <f>'רשימת מכשור 2015'!D1753</f>
        <v>0</v>
      </c>
      <c r="E1754" s="180">
        <f>'רשימת מכשור 2015'!E1753</f>
        <v>0</v>
      </c>
      <c r="F1754" s="180">
        <f>'רשימת מכשור 2015'!F1753</f>
        <v>0</v>
      </c>
      <c r="G1754" s="195"/>
      <c r="H1754" s="195"/>
      <c r="I1754" s="196"/>
      <c r="J1754" s="195"/>
      <c r="K1754" s="195"/>
      <c r="L1754" s="195"/>
      <c r="M1754" s="195"/>
      <c r="N1754" s="197"/>
      <c r="O1754" s="195"/>
      <c r="P1754" s="195"/>
      <c r="Q1754" s="195"/>
    </row>
    <row r="1755" spans="1:17">
      <c r="A1755" s="180">
        <f>'רשימת מכשור 2015'!A1754</f>
        <v>0</v>
      </c>
      <c r="B1755" s="180">
        <f>'רשימת מכשור 2015'!B1754</f>
        <v>0</v>
      </c>
      <c r="C1755" s="180">
        <f>'רשימת מכשור 2015'!C1754</f>
        <v>0</v>
      </c>
      <c r="D1755" s="233">
        <f>'רשימת מכשור 2015'!D1754</f>
        <v>0</v>
      </c>
      <c r="E1755" s="180">
        <f>'רשימת מכשור 2015'!E1754</f>
        <v>0</v>
      </c>
      <c r="F1755" s="180">
        <f>'רשימת מכשור 2015'!F1754</f>
        <v>0</v>
      </c>
      <c r="G1755" s="195"/>
      <c r="H1755" s="195"/>
      <c r="I1755" s="196"/>
      <c r="J1755" s="195"/>
      <c r="K1755" s="195"/>
      <c r="L1755" s="195"/>
      <c r="M1755" s="195"/>
      <c r="N1755" s="197"/>
      <c r="O1755" s="195"/>
      <c r="P1755" s="195"/>
      <c r="Q1755" s="195"/>
    </row>
    <row r="1756" spans="1:17">
      <c r="A1756" s="180">
        <f>'רשימת מכשור 2015'!A1755</f>
        <v>0</v>
      </c>
      <c r="B1756" s="180">
        <f>'רשימת מכשור 2015'!B1755</f>
        <v>0</v>
      </c>
      <c r="C1756" s="180">
        <f>'רשימת מכשור 2015'!C1755</f>
        <v>0</v>
      </c>
      <c r="D1756" s="233">
        <f>'רשימת מכשור 2015'!D1755</f>
        <v>0</v>
      </c>
      <c r="E1756" s="180">
        <f>'רשימת מכשור 2015'!E1755</f>
        <v>0</v>
      </c>
      <c r="F1756" s="180">
        <f>'רשימת מכשור 2015'!F1755</f>
        <v>0</v>
      </c>
      <c r="G1756" s="195"/>
      <c r="H1756" s="195"/>
      <c r="I1756" s="196"/>
      <c r="J1756" s="195"/>
      <c r="K1756" s="195"/>
      <c r="L1756" s="195"/>
      <c r="M1756" s="195"/>
      <c r="N1756" s="197"/>
      <c r="O1756" s="195"/>
      <c r="P1756" s="195"/>
      <c r="Q1756" s="195"/>
    </row>
    <row r="1757" spans="1:17">
      <c r="A1757" s="180">
        <f>'רשימת מכשור 2015'!A1756</f>
        <v>0</v>
      </c>
      <c r="B1757" s="180">
        <f>'רשימת מכשור 2015'!B1756</f>
        <v>0</v>
      </c>
      <c r="C1757" s="180">
        <f>'רשימת מכשור 2015'!C1756</f>
        <v>0</v>
      </c>
      <c r="D1757" s="233">
        <f>'רשימת מכשור 2015'!D1756</f>
        <v>0</v>
      </c>
      <c r="E1757" s="180">
        <f>'רשימת מכשור 2015'!E1756</f>
        <v>0</v>
      </c>
      <c r="F1757" s="180">
        <f>'רשימת מכשור 2015'!F1756</f>
        <v>0</v>
      </c>
      <c r="G1757" s="195"/>
      <c r="H1757" s="195"/>
      <c r="I1757" s="196"/>
      <c r="J1757" s="195"/>
      <c r="K1757" s="195"/>
      <c r="L1757" s="195"/>
      <c r="M1757" s="195"/>
      <c r="N1757" s="197"/>
      <c r="O1757" s="195"/>
      <c r="P1757" s="195"/>
      <c r="Q1757" s="195"/>
    </row>
    <row r="1758" spans="1:17">
      <c r="A1758" s="180">
        <f>'רשימת מכשור 2015'!A1757</f>
        <v>0</v>
      </c>
      <c r="B1758" s="180">
        <f>'רשימת מכשור 2015'!B1757</f>
        <v>0</v>
      </c>
      <c r="C1758" s="180">
        <f>'רשימת מכשור 2015'!C1757</f>
        <v>0</v>
      </c>
      <c r="D1758" s="233">
        <f>'רשימת מכשור 2015'!D1757</f>
        <v>0</v>
      </c>
      <c r="E1758" s="180">
        <f>'רשימת מכשור 2015'!E1757</f>
        <v>0</v>
      </c>
      <c r="F1758" s="180">
        <f>'רשימת מכשור 2015'!F1757</f>
        <v>0</v>
      </c>
      <c r="G1758" s="195"/>
      <c r="H1758" s="195"/>
      <c r="I1758" s="196"/>
      <c r="J1758" s="195"/>
      <c r="K1758" s="195"/>
      <c r="L1758" s="195"/>
      <c r="M1758" s="195"/>
      <c r="N1758" s="197"/>
      <c r="O1758" s="195"/>
      <c r="P1758" s="195"/>
      <c r="Q1758" s="195"/>
    </row>
    <row r="1759" spans="1:17">
      <c r="A1759" s="180">
        <f>'רשימת מכשור 2015'!A1758</f>
        <v>0</v>
      </c>
      <c r="B1759" s="180">
        <f>'רשימת מכשור 2015'!B1758</f>
        <v>0</v>
      </c>
      <c r="C1759" s="180">
        <f>'רשימת מכשור 2015'!C1758</f>
        <v>0</v>
      </c>
      <c r="D1759" s="233">
        <f>'רשימת מכשור 2015'!D1758</f>
        <v>0</v>
      </c>
      <c r="E1759" s="180">
        <f>'רשימת מכשור 2015'!E1758</f>
        <v>0</v>
      </c>
      <c r="F1759" s="180">
        <f>'רשימת מכשור 2015'!F1758</f>
        <v>0</v>
      </c>
      <c r="G1759" s="195"/>
      <c r="H1759" s="195"/>
      <c r="I1759" s="196"/>
      <c r="J1759" s="195"/>
      <c r="K1759" s="195"/>
      <c r="L1759" s="195"/>
      <c r="M1759" s="195"/>
      <c r="N1759" s="197"/>
      <c r="O1759" s="195"/>
      <c r="P1759" s="195"/>
      <c r="Q1759" s="195"/>
    </row>
    <row r="1760" spans="1:17">
      <c r="A1760" s="180">
        <f>'רשימת מכשור 2015'!A1759</f>
        <v>0</v>
      </c>
      <c r="B1760" s="180">
        <f>'רשימת מכשור 2015'!B1759</f>
        <v>0</v>
      </c>
      <c r="C1760" s="180">
        <f>'רשימת מכשור 2015'!C1759</f>
        <v>0</v>
      </c>
      <c r="D1760" s="233">
        <f>'רשימת מכשור 2015'!D1759</f>
        <v>0</v>
      </c>
      <c r="E1760" s="180">
        <f>'רשימת מכשור 2015'!E1759</f>
        <v>0</v>
      </c>
      <c r="F1760" s="180">
        <f>'רשימת מכשור 2015'!F1759</f>
        <v>0</v>
      </c>
      <c r="G1760" s="195"/>
      <c r="H1760" s="195"/>
      <c r="I1760" s="196"/>
      <c r="J1760" s="195"/>
      <c r="K1760" s="195"/>
      <c r="L1760" s="195"/>
      <c r="M1760" s="195"/>
      <c r="N1760" s="197"/>
      <c r="O1760" s="195"/>
      <c r="P1760" s="195"/>
      <c r="Q1760" s="195"/>
    </row>
    <row r="1761" spans="1:17">
      <c r="A1761" s="180">
        <f>'רשימת מכשור 2015'!A1760</f>
        <v>0</v>
      </c>
      <c r="B1761" s="180">
        <f>'רשימת מכשור 2015'!B1760</f>
        <v>0</v>
      </c>
      <c r="C1761" s="180">
        <f>'רשימת מכשור 2015'!C1760</f>
        <v>0</v>
      </c>
      <c r="D1761" s="233">
        <f>'רשימת מכשור 2015'!D1760</f>
        <v>0</v>
      </c>
      <c r="E1761" s="180">
        <f>'רשימת מכשור 2015'!E1760</f>
        <v>0</v>
      </c>
      <c r="F1761" s="180">
        <f>'רשימת מכשור 2015'!F1760</f>
        <v>0</v>
      </c>
      <c r="G1761" s="195"/>
      <c r="H1761" s="195"/>
      <c r="I1761" s="196"/>
      <c r="J1761" s="195"/>
      <c r="K1761" s="195"/>
      <c r="L1761" s="195"/>
      <c r="M1761" s="195"/>
      <c r="N1761" s="197"/>
      <c r="O1761" s="195"/>
      <c r="P1761" s="195"/>
      <c r="Q1761" s="195"/>
    </row>
    <row r="1762" spans="1:17">
      <c r="A1762" s="180">
        <f>'רשימת מכשור 2015'!A1761</f>
        <v>0</v>
      </c>
      <c r="B1762" s="180">
        <f>'רשימת מכשור 2015'!B1761</f>
        <v>0</v>
      </c>
      <c r="C1762" s="180">
        <f>'רשימת מכשור 2015'!C1761</f>
        <v>0</v>
      </c>
      <c r="D1762" s="233">
        <f>'רשימת מכשור 2015'!D1761</f>
        <v>0</v>
      </c>
      <c r="E1762" s="180">
        <f>'רשימת מכשור 2015'!E1761</f>
        <v>0</v>
      </c>
      <c r="F1762" s="180">
        <f>'רשימת מכשור 2015'!F1761</f>
        <v>0</v>
      </c>
      <c r="G1762" s="195"/>
      <c r="H1762" s="195"/>
      <c r="I1762" s="196"/>
      <c r="J1762" s="195"/>
      <c r="K1762" s="195"/>
      <c r="L1762" s="195"/>
      <c r="M1762" s="195"/>
      <c r="N1762" s="197"/>
      <c r="O1762" s="195"/>
      <c r="P1762" s="195"/>
      <c r="Q1762" s="195"/>
    </row>
    <row r="1763" spans="1:17">
      <c r="A1763" s="180">
        <f>'רשימת מכשור 2015'!A1762</f>
        <v>0</v>
      </c>
      <c r="B1763" s="180">
        <f>'רשימת מכשור 2015'!B1762</f>
        <v>0</v>
      </c>
      <c r="C1763" s="180">
        <f>'רשימת מכשור 2015'!C1762</f>
        <v>0</v>
      </c>
      <c r="D1763" s="233">
        <f>'רשימת מכשור 2015'!D1762</f>
        <v>0</v>
      </c>
      <c r="E1763" s="180">
        <f>'רשימת מכשור 2015'!E1762</f>
        <v>0</v>
      </c>
      <c r="F1763" s="180">
        <f>'רשימת מכשור 2015'!F1762</f>
        <v>0</v>
      </c>
      <c r="G1763" s="195"/>
      <c r="H1763" s="195"/>
      <c r="I1763" s="196"/>
      <c r="J1763" s="195"/>
      <c r="K1763" s="195"/>
      <c r="L1763" s="195"/>
      <c r="M1763" s="195"/>
      <c r="N1763" s="197"/>
      <c r="O1763" s="195"/>
      <c r="P1763" s="195"/>
      <c r="Q1763" s="195"/>
    </row>
    <row r="1764" spans="1:17">
      <c r="A1764" s="180">
        <f>'רשימת מכשור 2015'!A1763</f>
        <v>0</v>
      </c>
      <c r="B1764" s="180">
        <f>'רשימת מכשור 2015'!B1763</f>
        <v>0</v>
      </c>
      <c r="C1764" s="180">
        <f>'רשימת מכשור 2015'!C1763</f>
        <v>0</v>
      </c>
      <c r="D1764" s="233">
        <f>'רשימת מכשור 2015'!D1763</f>
        <v>0</v>
      </c>
      <c r="E1764" s="180">
        <f>'רשימת מכשור 2015'!E1763</f>
        <v>0</v>
      </c>
      <c r="F1764" s="180">
        <f>'רשימת מכשור 2015'!F1763</f>
        <v>0</v>
      </c>
      <c r="G1764" s="195"/>
      <c r="H1764" s="195"/>
      <c r="I1764" s="196"/>
      <c r="J1764" s="195"/>
      <c r="K1764" s="195"/>
      <c r="L1764" s="195"/>
      <c r="M1764" s="195"/>
      <c r="N1764" s="197"/>
      <c r="O1764" s="195"/>
      <c r="P1764" s="195"/>
      <c r="Q1764" s="195"/>
    </row>
    <row r="1765" spans="1:17">
      <c r="A1765" s="180">
        <f>'רשימת מכשור 2015'!A1764</f>
        <v>0</v>
      </c>
      <c r="B1765" s="180">
        <f>'רשימת מכשור 2015'!B1764</f>
        <v>0</v>
      </c>
      <c r="C1765" s="180">
        <f>'רשימת מכשור 2015'!C1764</f>
        <v>0</v>
      </c>
      <c r="D1765" s="233">
        <f>'רשימת מכשור 2015'!D1764</f>
        <v>0</v>
      </c>
      <c r="E1765" s="180">
        <f>'רשימת מכשור 2015'!E1764</f>
        <v>0</v>
      </c>
      <c r="F1765" s="180">
        <f>'רשימת מכשור 2015'!F1764</f>
        <v>0</v>
      </c>
      <c r="G1765" s="195"/>
      <c r="H1765" s="195"/>
      <c r="I1765" s="196"/>
      <c r="J1765" s="195"/>
      <c r="K1765" s="195"/>
      <c r="L1765" s="195"/>
      <c r="M1765" s="195"/>
      <c r="N1765" s="197"/>
      <c r="O1765" s="195"/>
      <c r="P1765" s="195"/>
      <c r="Q1765" s="195"/>
    </row>
    <row r="1766" spans="1:17">
      <c r="A1766" s="180">
        <f>'רשימת מכשור 2015'!A1765</f>
        <v>0</v>
      </c>
      <c r="B1766" s="180">
        <f>'רשימת מכשור 2015'!B1765</f>
        <v>0</v>
      </c>
      <c r="C1766" s="180">
        <f>'רשימת מכשור 2015'!C1765</f>
        <v>0</v>
      </c>
      <c r="D1766" s="233">
        <f>'רשימת מכשור 2015'!D1765</f>
        <v>0</v>
      </c>
      <c r="E1766" s="180">
        <f>'רשימת מכשור 2015'!E1765</f>
        <v>0</v>
      </c>
      <c r="F1766" s="180">
        <f>'רשימת מכשור 2015'!F1765</f>
        <v>0</v>
      </c>
      <c r="G1766" s="195"/>
      <c r="H1766" s="195"/>
      <c r="I1766" s="196"/>
      <c r="J1766" s="195"/>
      <c r="K1766" s="195"/>
      <c r="L1766" s="195"/>
      <c r="M1766" s="195"/>
      <c r="N1766" s="197"/>
      <c r="O1766" s="195"/>
      <c r="P1766" s="195"/>
      <c r="Q1766" s="195"/>
    </row>
    <row r="1767" spans="1:17">
      <c r="A1767" s="180">
        <f>'רשימת מכשור 2015'!A1766</f>
        <v>0</v>
      </c>
      <c r="B1767" s="180">
        <f>'רשימת מכשור 2015'!B1766</f>
        <v>0</v>
      </c>
      <c r="C1767" s="180">
        <f>'רשימת מכשור 2015'!C1766</f>
        <v>0</v>
      </c>
      <c r="D1767" s="233">
        <f>'רשימת מכשור 2015'!D1766</f>
        <v>0</v>
      </c>
      <c r="E1767" s="180">
        <f>'רשימת מכשור 2015'!E1766</f>
        <v>0</v>
      </c>
      <c r="F1767" s="180">
        <f>'רשימת מכשור 2015'!F1766</f>
        <v>0</v>
      </c>
      <c r="G1767" s="195"/>
      <c r="H1767" s="195"/>
      <c r="I1767" s="196"/>
      <c r="J1767" s="195"/>
      <c r="K1767" s="195"/>
      <c r="L1767" s="195"/>
      <c r="M1767" s="195"/>
      <c r="N1767" s="197"/>
      <c r="O1767" s="195"/>
      <c r="P1767" s="195"/>
      <c r="Q1767" s="195"/>
    </row>
    <row r="1768" spans="1:17">
      <c r="A1768" s="180">
        <f>'רשימת מכשור 2015'!A1767</f>
        <v>0</v>
      </c>
      <c r="B1768" s="180">
        <f>'רשימת מכשור 2015'!B1767</f>
        <v>0</v>
      </c>
      <c r="C1768" s="180">
        <f>'רשימת מכשור 2015'!C1767</f>
        <v>0</v>
      </c>
      <c r="D1768" s="233">
        <f>'רשימת מכשור 2015'!D1767</f>
        <v>0</v>
      </c>
      <c r="E1768" s="180">
        <f>'רשימת מכשור 2015'!E1767</f>
        <v>0</v>
      </c>
      <c r="F1768" s="180">
        <f>'רשימת מכשור 2015'!F1767</f>
        <v>0</v>
      </c>
      <c r="G1768" s="195"/>
      <c r="H1768" s="195"/>
      <c r="I1768" s="196"/>
      <c r="J1768" s="195"/>
      <c r="K1768" s="195"/>
      <c r="L1768" s="195"/>
      <c r="M1768" s="195"/>
      <c r="N1768" s="197"/>
      <c r="O1768" s="195"/>
      <c r="P1768" s="195"/>
      <c r="Q1768" s="195"/>
    </row>
    <row r="1769" spans="1:17">
      <c r="A1769" s="180">
        <f>'רשימת מכשור 2015'!A1768</f>
        <v>0</v>
      </c>
      <c r="B1769" s="180">
        <f>'רשימת מכשור 2015'!B1768</f>
        <v>0</v>
      </c>
      <c r="C1769" s="180">
        <f>'רשימת מכשור 2015'!C1768</f>
        <v>0</v>
      </c>
      <c r="D1769" s="233">
        <f>'רשימת מכשור 2015'!D1768</f>
        <v>0</v>
      </c>
      <c r="E1769" s="180">
        <f>'רשימת מכשור 2015'!E1768</f>
        <v>0</v>
      </c>
      <c r="F1769" s="180">
        <f>'רשימת מכשור 2015'!F1768</f>
        <v>0</v>
      </c>
      <c r="G1769" s="195"/>
      <c r="H1769" s="195"/>
      <c r="I1769" s="196"/>
      <c r="J1769" s="195"/>
      <c r="K1769" s="195"/>
      <c r="L1769" s="195"/>
      <c r="M1769" s="195"/>
      <c r="N1769" s="197"/>
      <c r="O1769" s="195"/>
      <c r="P1769" s="195"/>
      <c r="Q1769" s="195"/>
    </row>
    <row r="1770" spans="1:17">
      <c r="A1770" s="180">
        <f>'רשימת מכשור 2015'!A1769</f>
        <v>0</v>
      </c>
      <c r="B1770" s="180">
        <f>'רשימת מכשור 2015'!B1769</f>
        <v>0</v>
      </c>
      <c r="C1770" s="180">
        <f>'רשימת מכשור 2015'!C1769</f>
        <v>0</v>
      </c>
      <c r="D1770" s="233">
        <f>'רשימת מכשור 2015'!D1769</f>
        <v>0</v>
      </c>
      <c r="E1770" s="180">
        <f>'רשימת מכשור 2015'!E1769</f>
        <v>0</v>
      </c>
      <c r="F1770" s="180">
        <f>'רשימת מכשור 2015'!F1769</f>
        <v>0</v>
      </c>
      <c r="G1770" s="195"/>
      <c r="H1770" s="195"/>
      <c r="I1770" s="196"/>
      <c r="J1770" s="195"/>
      <c r="K1770" s="195"/>
      <c r="L1770" s="195"/>
      <c r="M1770" s="195"/>
      <c r="N1770" s="197"/>
      <c r="O1770" s="195"/>
      <c r="P1770" s="195"/>
      <c r="Q1770" s="195"/>
    </row>
    <row r="1771" spans="1:17">
      <c r="A1771" s="180">
        <f>'רשימת מכשור 2015'!A1770</f>
        <v>0</v>
      </c>
      <c r="B1771" s="180">
        <f>'רשימת מכשור 2015'!B1770</f>
        <v>0</v>
      </c>
      <c r="C1771" s="180">
        <f>'רשימת מכשור 2015'!C1770</f>
        <v>0</v>
      </c>
      <c r="D1771" s="233">
        <f>'רשימת מכשור 2015'!D1770</f>
        <v>0</v>
      </c>
      <c r="E1771" s="180">
        <f>'רשימת מכשור 2015'!E1770</f>
        <v>0</v>
      </c>
      <c r="F1771" s="180">
        <f>'רשימת מכשור 2015'!F1770</f>
        <v>0</v>
      </c>
      <c r="G1771" s="195"/>
      <c r="H1771" s="195"/>
      <c r="I1771" s="196"/>
      <c r="J1771" s="195"/>
      <c r="K1771" s="195"/>
      <c r="L1771" s="195"/>
      <c r="M1771" s="195"/>
      <c r="N1771" s="197"/>
      <c r="O1771" s="195"/>
      <c r="P1771" s="195"/>
      <c r="Q1771" s="195"/>
    </row>
    <row r="1772" spans="1:17">
      <c r="A1772" s="180">
        <f>'רשימת מכשור 2015'!A1771</f>
        <v>0</v>
      </c>
      <c r="B1772" s="180">
        <f>'רשימת מכשור 2015'!B1771</f>
        <v>0</v>
      </c>
      <c r="C1772" s="180">
        <f>'רשימת מכשור 2015'!C1771</f>
        <v>0</v>
      </c>
      <c r="D1772" s="233">
        <f>'רשימת מכשור 2015'!D1771</f>
        <v>0</v>
      </c>
      <c r="E1772" s="180">
        <f>'רשימת מכשור 2015'!E1771</f>
        <v>0</v>
      </c>
      <c r="F1772" s="180">
        <f>'רשימת מכשור 2015'!F1771</f>
        <v>0</v>
      </c>
      <c r="G1772" s="195"/>
      <c r="H1772" s="195"/>
      <c r="I1772" s="196"/>
      <c r="J1772" s="195"/>
      <c r="K1772" s="195"/>
      <c r="L1772" s="195"/>
      <c r="M1772" s="195"/>
      <c r="N1772" s="197"/>
      <c r="O1772" s="195"/>
      <c r="P1772" s="195"/>
      <c r="Q1772" s="195"/>
    </row>
    <row r="1773" spans="1:17">
      <c r="A1773" s="180">
        <f>'רשימת מכשור 2015'!A1772</f>
        <v>0</v>
      </c>
      <c r="B1773" s="180">
        <f>'רשימת מכשור 2015'!B1772</f>
        <v>0</v>
      </c>
      <c r="C1773" s="180">
        <f>'רשימת מכשור 2015'!C1772</f>
        <v>0</v>
      </c>
      <c r="D1773" s="233">
        <f>'רשימת מכשור 2015'!D1772</f>
        <v>0</v>
      </c>
      <c r="E1773" s="180">
        <f>'רשימת מכשור 2015'!E1772</f>
        <v>0</v>
      </c>
      <c r="F1773" s="180">
        <f>'רשימת מכשור 2015'!F1772</f>
        <v>0</v>
      </c>
      <c r="G1773" s="195"/>
      <c r="H1773" s="195"/>
      <c r="I1773" s="196"/>
      <c r="J1773" s="195"/>
      <c r="K1773" s="195"/>
      <c r="L1773" s="195"/>
      <c r="M1773" s="195"/>
      <c r="N1773" s="197"/>
      <c r="O1773" s="195"/>
      <c r="P1773" s="195"/>
      <c r="Q1773" s="195"/>
    </row>
    <row r="1774" spans="1:17">
      <c r="A1774" s="180">
        <f>'רשימת מכשור 2015'!A1773</f>
        <v>0</v>
      </c>
      <c r="B1774" s="180">
        <f>'רשימת מכשור 2015'!B1773</f>
        <v>0</v>
      </c>
      <c r="C1774" s="180">
        <f>'רשימת מכשור 2015'!C1773</f>
        <v>0</v>
      </c>
      <c r="D1774" s="233">
        <f>'רשימת מכשור 2015'!D1773</f>
        <v>0</v>
      </c>
      <c r="E1774" s="180">
        <f>'רשימת מכשור 2015'!E1773</f>
        <v>0</v>
      </c>
      <c r="F1774" s="180">
        <f>'רשימת מכשור 2015'!F1773</f>
        <v>0</v>
      </c>
      <c r="G1774" s="195"/>
      <c r="H1774" s="195"/>
      <c r="I1774" s="196"/>
      <c r="J1774" s="195"/>
      <c r="K1774" s="195"/>
      <c r="L1774" s="195"/>
      <c r="M1774" s="195"/>
      <c r="N1774" s="197"/>
      <c r="O1774" s="195"/>
      <c r="P1774" s="195"/>
      <c r="Q1774" s="195"/>
    </row>
    <row r="1775" spans="1:17">
      <c r="A1775" s="180">
        <f>'רשימת מכשור 2015'!A1774</f>
        <v>0</v>
      </c>
      <c r="B1775" s="180">
        <f>'רשימת מכשור 2015'!B1774</f>
        <v>0</v>
      </c>
      <c r="C1775" s="180">
        <f>'רשימת מכשור 2015'!C1774</f>
        <v>0</v>
      </c>
      <c r="D1775" s="233">
        <f>'רשימת מכשור 2015'!D1774</f>
        <v>0</v>
      </c>
      <c r="E1775" s="180">
        <f>'רשימת מכשור 2015'!E1774</f>
        <v>0</v>
      </c>
      <c r="F1775" s="180">
        <f>'רשימת מכשור 2015'!F1774</f>
        <v>0</v>
      </c>
      <c r="G1775" s="195"/>
      <c r="H1775" s="195"/>
      <c r="I1775" s="196"/>
      <c r="J1775" s="195"/>
      <c r="K1775" s="195"/>
      <c r="L1775" s="195"/>
      <c r="M1775" s="195"/>
      <c r="N1775" s="197"/>
      <c r="O1775" s="195"/>
      <c r="P1775" s="195"/>
      <c r="Q1775" s="195"/>
    </row>
    <row r="1776" spans="1:17">
      <c r="A1776" s="180">
        <f>'רשימת מכשור 2015'!A1775</f>
        <v>0</v>
      </c>
      <c r="B1776" s="180">
        <f>'רשימת מכשור 2015'!B1775</f>
        <v>0</v>
      </c>
      <c r="C1776" s="180">
        <f>'רשימת מכשור 2015'!C1775</f>
        <v>0</v>
      </c>
      <c r="D1776" s="233">
        <f>'רשימת מכשור 2015'!D1775</f>
        <v>0</v>
      </c>
      <c r="E1776" s="180">
        <f>'רשימת מכשור 2015'!E1775</f>
        <v>0</v>
      </c>
      <c r="F1776" s="180">
        <f>'רשימת מכשור 2015'!F1775</f>
        <v>0</v>
      </c>
      <c r="G1776" s="195"/>
      <c r="H1776" s="195"/>
      <c r="I1776" s="196"/>
      <c r="J1776" s="195"/>
      <c r="K1776" s="195"/>
      <c r="L1776" s="195"/>
      <c r="M1776" s="195"/>
      <c r="N1776" s="197"/>
      <c r="O1776" s="195"/>
      <c r="P1776" s="195"/>
      <c r="Q1776" s="195"/>
    </row>
    <row r="1777" spans="1:17">
      <c r="A1777" s="180">
        <f>'רשימת מכשור 2015'!A1776</f>
        <v>0</v>
      </c>
      <c r="B1777" s="180">
        <f>'רשימת מכשור 2015'!B1776</f>
        <v>0</v>
      </c>
      <c r="C1777" s="180">
        <f>'רשימת מכשור 2015'!C1776</f>
        <v>0</v>
      </c>
      <c r="D1777" s="233">
        <f>'רשימת מכשור 2015'!D1776</f>
        <v>0</v>
      </c>
      <c r="E1777" s="180">
        <f>'רשימת מכשור 2015'!E1776</f>
        <v>0</v>
      </c>
      <c r="F1777" s="180">
        <f>'רשימת מכשור 2015'!F1776</f>
        <v>0</v>
      </c>
      <c r="G1777" s="195"/>
      <c r="H1777" s="195"/>
      <c r="I1777" s="196"/>
      <c r="J1777" s="195"/>
      <c r="K1777" s="195"/>
      <c r="L1777" s="195"/>
      <c r="M1777" s="195"/>
      <c r="N1777" s="197"/>
      <c r="O1777" s="195"/>
      <c r="P1777" s="195"/>
      <c r="Q1777" s="195"/>
    </row>
    <row r="1778" spans="1:17">
      <c r="A1778" s="180">
        <f>'רשימת מכשור 2015'!A1777</f>
        <v>0</v>
      </c>
      <c r="B1778" s="180">
        <f>'רשימת מכשור 2015'!B1777</f>
        <v>0</v>
      </c>
      <c r="C1778" s="180">
        <f>'רשימת מכשור 2015'!C1777</f>
        <v>0</v>
      </c>
      <c r="D1778" s="233">
        <f>'רשימת מכשור 2015'!D1777</f>
        <v>0</v>
      </c>
      <c r="E1778" s="180">
        <f>'רשימת מכשור 2015'!E1777</f>
        <v>0</v>
      </c>
      <c r="F1778" s="180">
        <f>'רשימת מכשור 2015'!F1777</f>
        <v>0</v>
      </c>
      <c r="G1778" s="195"/>
      <c r="H1778" s="195"/>
      <c r="I1778" s="196"/>
      <c r="J1778" s="195"/>
      <c r="K1778" s="195"/>
      <c r="L1778" s="195"/>
      <c r="M1778" s="195"/>
      <c r="N1778" s="197"/>
      <c r="O1778" s="195"/>
      <c r="P1778" s="195"/>
      <c r="Q1778" s="195"/>
    </row>
    <row r="1779" spans="1:17">
      <c r="A1779" s="180">
        <f>'רשימת מכשור 2015'!A1778</f>
        <v>0</v>
      </c>
      <c r="B1779" s="180">
        <f>'רשימת מכשור 2015'!B1778</f>
        <v>0</v>
      </c>
      <c r="C1779" s="180">
        <f>'רשימת מכשור 2015'!C1778</f>
        <v>0</v>
      </c>
      <c r="D1779" s="233">
        <f>'רשימת מכשור 2015'!D1778</f>
        <v>0</v>
      </c>
      <c r="E1779" s="180">
        <f>'רשימת מכשור 2015'!E1778</f>
        <v>0</v>
      </c>
      <c r="F1779" s="180">
        <f>'רשימת מכשור 2015'!F1778</f>
        <v>0</v>
      </c>
      <c r="G1779" s="195"/>
      <c r="H1779" s="195"/>
      <c r="I1779" s="196"/>
      <c r="J1779" s="195"/>
      <c r="K1779" s="195"/>
      <c r="L1779" s="195"/>
      <c r="M1779" s="195"/>
      <c r="N1779" s="197"/>
      <c r="O1779" s="195"/>
      <c r="P1779" s="195"/>
      <c r="Q1779" s="195"/>
    </row>
    <row r="1780" spans="1:17">
      <c r="A1780" s="180">
        <f>'רשימת מכשור 2015'!A1779</f>
        <v>0</v>
      </c>
      <c r="B1780" s="180">
        <f>'רשימת מכשור 2015'!B1779</f>
        <v>0</v>
      </c>
      <c r="C1780" s="180">
        <f>'רשימת מכשור 2015'!C1779</f>
        <v>0</v>
      </c>
      <c r="D1780" s="233">
        <f>'רשימת מכשור 2015'!D1779</f>
        <v>0</v>
      </c>
      <c r="E1780" s="180">
        <f>'רשימת מכשור 2015'!E1779</f>
        <v>0</v>
      </c>
      <c r="F1780" s="180">
        <f>'רשימת מכשור 2015'!F1779</f>
        <v>0</v>
      </c>
      <c r="G1780" s="195"/>
      <c r="H1780" s="195"/>
      <c r="I1780" s="196"/>
      <c r="J1780" s="195"/>
      <c r="K1780" s="195"/>
      <c r="L1780" s="195"/>
      <c r="M1780" s="195"/>
      <c r="N1780" s="197"/>
      <c r="O1780" s="195"/>
      <c r="P1780" s="195"/>
      <c r="Q1780" s="195"/>
    </row>
    <row r="1781" spans="1:17">
      <c r="A1781" s="180">
        <f>'רשימת מכשור 2015'!A1780</f>
        <v>0</v>
      </c>
      <c r="B1781" s="180">
        <f>'רשימת מכשור 2015'!B1780</f>
        <v>0</v>
      </c>
      <c r="C1781" s="180">
        <f>'רשימת מכשור 2015'!C1780</f>
        <v>0</v>
      </c>
      <c r="D1781" s="233">
        <f>'רשימת מכשור 2015'!D1780</f>
        <v>0</v>
      </c>
      <c r="E1781" s="180">
        <f>'רשימת מכשור 2015'!E1780</f>
        <v>0</v>
      </c>
      <c r="F1781" s="180">
        <f>'רשימת מכשור 2015'!F1780</f>
        <v>0</v>
      </c>
      <c r="G1781" s="195"/>
      <c r="H1781" s="195"/>
      <c r="I1781" s="196"/>
      <c r="J1781" s="195"/>
      <c r="K1781" s="195"/>
      <c r="L1781" s="195"/>
      <c r="M1781" s="195"/>
      <c r="N1781" s="197"/>
      <c r="O1781" s="195"/>
      <c r="P1781" s="195"/>
      <c r="Q1781" s="195"/>
    </row>
    <row r="1782" spans="1:17">
      <c r="A1782" s="180">
        <f>'רשימת מכשור 2015'!A1781</f>
        <v>0</v>
      </c>
      <c r="B1782" s="180">
        <f>'רשימת מכשור 2015'!B1781</f>
        <v>0</v>
      </c>
      <c r="C1782" s="180">
        <f>'רשימת מכשור 2015'!C1781</f>
        <v>0</v>
      </c>
      <c r="D1782" s="233">
        <f>'רשימת מכשור 2015'!D1781</f>
        <v>0</v>
      </c>
      <c r="E1782" s="180">
        <f>'רשימת מכשור 2015'!E1781</f>
        <v>0</v>
      </c>
      <c r="F1782" s="180">
        <f>'רשימת מכשור 2015'!F1781</f>
        <v>0</v>
      </c>
      <c r="G1782" s="195"/>
      <c r="H1782" s="195"/>
      <c r="I1782" s="196"/>
      <c r="J1782" s="195"/>
      <c r="K1782" s="195"/>
      <c r="L1782" s="195"/>
      <c r="M1782" s="195"/>
      <c r="N1782" s="197"/>
      <c r="O1782" s="195"/>
      <c r="P1782" s="195"/>
      <c r="Q1782" s="195"/>
    </row>
    <row r="1783" spans="1:17">
      <c r="A1783" s="180">
        <f>'רשימת מכשור 2015'!A1782</f>
        <v>0</v>
      </c>
      <c r="B1783" s="180">
        <f>'רשימת מכשור 2015'!B1782</f>
        <v>0</v>
      </c>
      <c r="C1783" s="180">
        <f>'רשימת מכשור 2015'!C1782</f>
        <v>0</v>
      </c>
      <c r="D1783" s="233">
        <f>'רשימת מכשור 2015'!D1782</f>
        <v>0</v>
      </c>
      <c r="E1783" s="180">
        <f>'רשימת מכשור 2015'!E1782</f>
        <v>0</v>
      </c>
      <c r="F1783" s="180">
        <f>'רשימת מכשור 2015'!F1782</f>
        <v>0</v>
      </c>
      <c r="G1783" s="195"/>
      <c r="H1783" s="195"/>
      <c r="I1783" s="196"/>
      <c r="J1783" s="195"/>
      <c r="K1783" s="195"/>
      <c r="L1783" s="195"/>
      <c r="M1783" s="195"/>
      <c r="N1783" s="197"/>
      <c r="O1783" s="195"/>
      <c r="P1783" s="195"/>
      <c r="Q1783" s="195"/>
    </row>
    <row r="1784" spans="1:17">
      <c r="A1784" s="180">
        <f>'רשימת מכשור 2015'!A1783</f>
        <v>0</v>
      </c>
      <c r="B1784" s="180">
        <f>'רשימת מכשור 2015'!B1783</f>
        <v>0</v>
      </c>
      <c r="C1784" s="180">
        <f>'רשימת מכשור 2015'!C1783</f>
        <v>0</v>
      </c>
      <c r="D1784" s="233">
        <f>'רשימת מכשור 2015'!D1783</f>
        <v>0</v>
      </c>
      <c r="E1784" s="180">
        <f>'רשימת מכשור 2015'!E1783</f>
        <v>0</v>
      </c>
      <c r="F1784" s="180">
        <f>'רשימת מכשור 2015'!F1783</f>
        <v>0</v>
      </c>
      <c r="G1784" s="195"/>
      <c r="H1784" s="195"/>
      <c r="I1784" s="196"/>
      <c r="J1784" s="195"/>
      <c r="K1784" s="195"/>
      <c r="L1784" s="195"/>
      <c r="M1784" s="195"/>
      <c r="N1784" s="197"/>
      <c r="O1784" s="195"/>
      <c r="P1784" s="195"/>
      <c r="Q1784" s="195"/>
    </row>
    <row r="1785" spans="1:17">
      <c r="A1785" s="180">
        <f>'רשימת מכשור 2015'!A1784</f>
        <v>0</v>
      </c>
      <c r="B1785" s="180">
        <f>'רשימת מכשור 2015'!B1784</f>
        <v>0</v>
      </c>
      <c r="C1785" s="180">
        <f>'רשימת מכשור 2015'!C1784</f>
        <v>0</v>
      </c>
      <c r="D1785" s="233">
        <f>'רשימת מכשור 2015'!D1784</f>
        <v>0</v>
      </c>
      <c r="E1785" s="180">
        <f>'רשימת מכשור 2015'!E1784</f>
        <v>0</v>
      </c>
      <c r="F1785" s="180">
        <f>'רשימת מכשור 2015'!F1784</f>
        <v>0</v>
      </c>
      <c r="G1785" s="195"/>
      <c r="H1785" s="195"/>
      <c r="I1785" s="196"/>
      <c r="J1785" s="195"/>
      <c r="K1785" s="195"/>
      <c r="L1785" s="195"/>
      <c r="M1785" s="195"/>
      <c r="N1785" s="197"/>
      <c r="O1785" s="195"/>
      <c r="P1785" s="195"/>
      <c r="Q1785" s="195"/>
    </row>
    <row r="1786" spans="1:17">
      <c r="A1786" s="180">
        <f>'רשימת מכשור 2015'!A1785</f>
        <v>0</v>
      </c>
      <c r="B1786" s="180">
        <f>'רשימת מכשור 2015'!B1785</f>
        <v>0</v>
      </c>
      <c r="C1786" s="180">
        <f>'רשימת מכשור 2015'!C1785</f>
        <v>0</v>
      </c>
      <c r="D1786" s="233">
        <f>'רשימת מכשור 2015'!D1785</f>
        <v>0</v>
      </c>
      <c r="E1786" s="180">
        <f>'רשימת מכשור 2015'!E1785</f>
        <v>0</v>
      </c>
      <c r="F1786" s="180">
        <f>'רשימת מכשור 2015'!F1785</f>
        <v>0</v>
      </c>
      <c r="G1786" s="195"/>
      <c r="H1786" s="195"/>
      <c r="I1786" s="196"/>
      <c r="J1786" s="195"/>
      <c r="K1786" s="195"/>
      <c r="L1786" s="195"/>
      <c r="M1786" s="195"/>
      <c r="N1786" s="197"/>
      <c r="O1786" s="195"/>
      <c r="P1786" s="195"/>
      <c r="Q1786" s="195"/>
    </row>
    <row r="1787" spans="1:17">
      <c r="A1787" s="180">
        <f>'רשימת מכשור 2015'!A1786</f>
        <v>0</v>
      </c>
      <c r="B1787" s="180">
        <f>'רשימת מכשור 2015'!B1786</f>
        <v>0</v>
      </c>
      <c r="C1787" s="180">
        <f>'רשימת מכשור 2015'!C1786</f>
        <v>0</v>
      </c>
      <c r="D1787" s="233">
        <f>'רשימת מכשור 2015'!D1786</f>
        <v>0</v>
      </c>
      <c r="E1787" s="180">
        <f>'רשימת מכשור 2015'!E1786</f>
        <v>0</v>
      </c>
      <c r="F1787" s="180">
        <f>'רשימת מכשור 2015'!F1786</f>
        <v>0</v>
      </c>
      <c r="G1787" s="195"/>
      <c r="H1787" s="195"/>
      <c r="I1787" s="196"/>
      <c r="J1787" s="195"/>
      <c r="K1787" s="195"/>
      <c r="L1787" s="195"/>
      <c r="M1787" s="195"/>
      <c r="N1787" s="197"/>
      <c r="O1787" s="195"/>
      <c r="P1787" s="195"/>
      <c r="Q1787" s="195"/>
    </row>
    <row r="1788" spans="1:17">
      <c r="A1788" s="180">
        <f>'רשימת מכשור 2015'!A1787</f>
        <v>0</v>
      </c>
      <c r="B1788" s="180">
        <f>'רשימת מכשור 2015'!B1787</f>
        <v>0</v>
      </c>
      <c r="C1788" s="180">
        <f>'רשימת מכשור 2015'!C1787</f>
        <v>0</v>
      </c>
      <c r="D1788" s="233">
        <f>'רשימת מכשור 2015'!D1787</f>
        <v>0</v>
      </c>
      <c r="E1788" s="180">
        <f>'רשימת מכשור 2015'!E1787</f>
        <v>0</v>
      </c>
      <c r="F1788" s="180">
        <f>'רשימת מכשור 2015'!F1787</f>
        <v>0</v>
      </c>
      <c r="G1788" s="195"/>
      <c r="H1788" s="195"/>
      <c r="I1788" s="196"/>
      <c r="J1788" s="195"/>
      <c r="K1788" s="195"/>
      <c r="L1788" s="195"/>
      <c r="M1788" s="195"/>
      <c r="N1788" s="197"/>
      <c r="O1788" s="195"/>
      <c r="P1788" s="195"/>
      <c r="Q1788" s="195"/>
    </row>
    <row r="1789" spans="1:17">
      <c r="A1789" s="180">
        <f>'רשימת מכשור 2015'!A1788</f>
        <v>0</v>
      </c>
      <c r="B1789" s="180">
        <f>'רשימת מכשור 2015'!B1788</f>
        <v>0</v>
      </c>
      <c r="C1789" s="180">
        <f>'רשימת מכשור 2015'!C1788</f>
        <v>0</v>
      </c>
      <c r="D1789" s="233">
        <f>'רשימת מכשור 2015'!D1788</f>
        <v>0</v>
      </c>
      <c r="E1789" s="180">
        <f>'רשימת מכשור 2015'!E1788</f>
        <v>0</v>
      </c>
      <c r="F1789" s="180">
        <f>'רשימת מכשור 2015'!F1788</f>
        <v>0</v>
      </c>
      <c r="G1789" s="195"/>
      <c r="H1789" s="195"/>
      <c r="I1789" s="196"/>
      <c r="J1789" s="195"/>
      <c r="K1789" s="195"/>
      <c r="L1789" s="195"/>
      <c r="M1789" s="195"/>
      <c r="N1789" s="197"/>
      <c r="O1789" s="195"/>
      <c r="P1789" s="195"/>
      <c r="Q1789" s="195"/>
    </row>
    <row r="1790" spans="1:17">
      <c r="A1790" s="180">
        <f>'רשימת מכשור 2015'!A1789</f>
        <v>0</v>
      </c>
      <c r="B1790" s="180">
        <f>'רשימת מכשור 2015'!B1789</f>
        <v>0</v>
      </c>
      <c r="C1790" s="180">
        <f>'רשימת מכשור 2015'!C1789</f>
        <v>0</v>
      </c>
      <c r="D1790" s="233">
        <f>'רשימת מכשור 2015'!D1789</f>
        <v>0</v>
      </c>
      <c r="E1790" s="180">
        <f>'רשימת מכשור 2015'!E1789</f>
        <v>0</v>
      </c>
      <c r="F1790" s="180">
        <f>'רשימת מכשור 2015'!F1789</f>
        <v>0</v>
      </c>
      <c r="G1790" s="195"/>
      <c r="H1790" s="195"/>
      <c r="I1790" s="196"/>
      <c r="J1790" s="195"/>
      <c r="K1790" s="195"/>
      <c r="L1790" s="195"/>
      <c r="M1790" s="195"/>
      <c r="N1790" s="197"/>
      <c r="O1790" s="195"/>
      <c r="P1790" s="195"/>
      <c r="Q1790" s="195"/>
    </row>
    <row r="1791" spans="1:17">
      <c r="A1791" s="180">
        <f>'רשימת מכשור 2015'!A1790</f>
        <v>0</v>
      </c>
      <c r="B1791" s="180">
        <f>'רשימת מכשור 2015'!B1790</f>
        <v>0</v>
      </c>
      <c r="C1791" s="180">
        <f>'רשימת מכשור 2015'!C1790</f>
        <v>0</v>
      </c>
      <c r="D1791" s="233">
        <f>'רשימת מכשור 2015'!D1790</f>
        <v>0</v>
      </c>
      <c r="E1791" s="180">
        <f>'רשימת מכשור 2015'!E1790</f>
        <v>0</v>
      </c>
      <c r="F1791" s="180">
        <f>'רשימת מכשור 2015'!F1790</f>
        <v>0</v>
      </c>
      <c r="G1791" s="195"/>
      <c r="H1791" s="195"/>
      <c r="I1791" s="196"/>
      <c r="J1791" s="195"/>
      <c r="K1791" s="195"/>
      <c r="L1791" s="195"/>
      <c r="M1791" s="195"/>
      <c r="N1791" s="197"/>
      <c r="O1791" s="195"/>
      <c r="P1791" s="195"/>
      <c r="Q1791" s="195"/>
    </row>
    <row r="1792" spans="1:17">
      <c r="A1792" s="180">
        <f>'רשימת מכשור 2015'!A1791</f>
        <v>0</v>
      </c>
      <c r="B1792" s="180">
        <f>'רשימת מכשור 2015'!B1791</f>
        <v>0</v>
      </c>
      <c r="C1792" s="180">
        <f>'רשימת מכשור 2015'!C1791</f>
        <v>0</v>
      </c>
      <c r="D1792" s="233">
        <f>'רשימת מכשור 2015'!D1791</f>
        <v>0</v>
      </c>
      <c r="E1792" s="180">
        <f>'רשימת מכשור 2015'!E1791</f>
        <v>0</v>
      </c>
      <c r="F1792" s="180">
        <f>'רשימת מכשור 2015'!F1791</f>
        <v>0</v>
      </c>
      <c r="G1792" s="195"/>
      <c r="H1792" s="195"/>
      <c r="I1792" s="196"/>
      <c r="J1792" s="195"/>
      <c r="K1792" s="195"/>
      <c r="L1792" s="195"/>
      <c r="M1792" s="195"/>
      <c r="N1792" s="197"/>
      <c r="O1792" s="195"/>
      <c r="P1792" s="195"/>
      <c r="Q1792" s="195"/>
    </row>
    <row r="1793" spans="1:17">
      <c r="A1793" s="180">
        <f>'רשימת מכשור 2015'!A1792</f>
        <v>0</v>
      </c>
      <c r="B1793" s="180">
        <f>'רשימת מכשור 2015'!B1792</f>
        <v>0</v>
      </c>
      <c r="C1793" s="180">
        <f>'רשימת מכשור 2015'!C1792</f>
        <v>0</v>
      </c>
      <c r="D1793" s="233">
        <f>'רשימת מכשור 2015'!D1792</f>
        <v>0</v>
      </c>
      <c r="E1793" s="180">
        <f>'רשימת מכשור 2015'!E1792</f>
        <v>0</v>
      </c>
      <c r="F1793" s="180">
        <f>'רשימת מכשור 2015'!F1792</f>
        <v>0</v>
      </c>
      <c r="G1793" s="195"/>
      <c r="H1793" s="195"/>
      <c r="I1793" s="196"/>
      <c r="J1793" s="195"/>
      <c r="K1793" s="195"/>
      <c r="L1793" s="195"/>
      <c r="M1793" s="195"/>
      <c r="N1793" s="197"/>
      <c r="O1793" s="195"/>
      <c r="P1793" s="195"/>
      <c r="Q1793" s="195"/>
    </row>
    <row r="1794" spans="1:17">
      <c r="A1794" s="180">
        <f>'רשימת מכשור 2015'!A1793</f>
        <v>0</v>
      </c>
      <c r="B1794" s="180">
        <f>'רשימת מכשור 2015'!B1793</f>
        <v>0</v>
      </c>
      <c r="C1794" s="180">
        <f>'רשימת מכשור 2015'!C1793</f>
        <v>0</v>
      </c>
      <c r="D1794" s="233">
        <f>'רשימת מכשור 2015'!D1793</f>
        <v>0</v>
      </c>
      <c r="E1794" s="180">
        <f>'רשימת מכשור 2015'!E1793</f>
        <v>0</v>
      </c>
      <c r="F1794" s="180">
        <f>'רשימת מכשור 2015'!F1793</f>
        <v>0</v>
      </c>
      <c r="G1794" s="195"/>
      <c r="H1794" s="195"/>
      <c r="I1794" s="196"/>
      <c r="J1794" s="195"/>
      <c r="K1794" s="195"/>
      <c r="L1794" s="195"/>
      <c r="M1794" s="195"/>
      <c r="N1794" s="197"/>
      <c r="O1794" s="195"/>
      <c r="P1794" s="195"/>
      <c r="Q1794" s="195"/>
    </row>
    <row r="1795" spans="1:17">
      <c r="A1795" s="180">
        <f>'רשימת מכשור 2015'!A1794</f>
        <v>0</v>
      </c>
      <c r="B1795" s="180">
        <f>'רשימת מכשור 2015'!B1794</f>
        <v>0</v>
      </c>
      <c r="C1795" s="180">
        <f>'רשימת מכשור 2015'!C1794</f>
        <v>0</v>
      </c>
      <c r="D1795" s="233">
        <f>'רשימת מכשור 2015'!D1794</f>
        <v>0</v>
      </c>
      <c r="E1795" s="180">
        <f>'רשימת מכשור 2015'!E1794</f>
        <v>0</v>
      </c>
      <c r="F1795" s="180">
        <f>'רשימת מכשור 2015'!F1794</f>
        <v>0</v>
      </c>
      <c r="G1795" s="195"/>
      <c r="H1795" s="195"/>
      <c r="I1795" s="196"/>
      <c r="J1795" s="195"/>
      <c r="K1795" s="195"/>
      <c r="L1795" s="195"/>
      <c r="M1795" s="195"/>
      <c r="N1795" s="197"/>
      <c r="O1795" s="195"/>
      <c r="P1795" s="195"/>
      <c r="Q1795" s="195"/>
    </row>
    <row r="1796" spans="1:17">
      <c r="A1796" s="180">
        <f>'רשימת מכשור 2015'!A1795</f>
        <v>0</v>
      </c>
      <c r="B1796" s="180">
        <f>'רשימת מכשור 2015'!B1795</f>
        <v>0</v>
      </c>
      <c r="C1796" s="180">
        <f>'רשימת מכשור 2015'!C1795</f>
        <v>0</v>
      </c>
      <c r="D1796" s="233">
        <f>'רשימת מכשור 2015'!D1795</f>
        <v>0</v>
      </c>
      <c r="E1796" s="180">
        <f>'רשימת מכשור 2015'!E1795</f>
        <v>0</v>
      </c>
      <c r="F1796" s="180">
        <f>'רשימת מכשור 2015'!F1795</f>
        <v>0</v>
      </c>
      <c r="G1796" s="195"/>
      <c r="H1796" s="195"/>
      <c r="I1796" s="196"/>
      <c r="J1796" s="195"/>
      <c r="K1796" s="195"/>
      <c r="L1796" s="195"/>
      <c r="M1796" s="195"/>
      <c r="N1796" s="197"/>
      <c r="O1796" s="195"/>
      <c r="P1796" s="195"/>
      <c r="Q1796" s="195"/>
    </row>
    <row r="1797" spans="1:17">
      <c r="A1797" s="180">
        <f>'רשימת מכשור 2015'!A1796</f>
        <v>0</v>
      </c>
      <c r="B1797" s="180">
        <f>'רשימת מכשור 2015'!B1796</f>
        <v>0</v>
      </c>
      <c r="C1797" s="180">
        <f>'רשימת מכשור 2015'!C1796</f>
        <v>0</v>
      </c>
      <c r="D1797" s="233">
        <f>'רשימת מכשור 2015'!D1796</f>
        <v>0</v>
      </c>
      <c r="E1797" s="180">
        <f>'רשימת מכשור 2015'!E1796</f>
        <v>0</v>
      </c>
      <c r="F1797" s="180">
        <f>'רשימת מכשור 2015'!F1796</f>
        <v>0</v>
      </c>
      <c r="G1797" s="195"/>
      <c r="H1797" s="195"/>
      <c r="I1797" s="196"/>
      <c r="J1797" s="195"/>
      <c r="K1797" s="195"/>
      <c r="L1797" s="195"/>
      <c r="M1797" s="195"/>
      <c r="N1797" s="197"/>
      <c r="O1797" s="195"/>
      <c r="P1797" s="195"/>
      <c r="Q1797" s="195"/>
    </row>
    <row r="1798" spans="1:17">
      <c r="A1798" s="180">
        <f>'רשימת מכשור 2015'!A1797</f>
        <v>0</v>
      </c>
      <c r="B1798" s="180">
        <f>'רשימת מכשור 2015'!B1797</f>
        <v>0</v>
      </c>
      <c r="C1798" s="180">
        <f>'רשימת מכשור 2015'!C1797</f>
        <v>0</v>
      </c>
      <c r="D1798" s="233">
        <f>'רשימת מכשור 2015'!D1797</f>
        <v>0</v>
      </c>
      <c r="E1798" s="180">
        <f>'רשימת מכשור 2015'!E1797</f>
        <v>0</v>
      </c>
      <c r="F1798" s="180">
        <f>'רשימת מכשור 2015'!F1797</f>
        <v>0</v>
      </c>
      <c r="G1798" s="195"/>
      <c r="H1798" s="195"/>
      <c r="I1798" s="196"/>
      <c r="J1798" s="195"/>
      <c r="K1798" s="195"/>
      <c r="L1798" s="195"/>
      <c r="M1798" s="195"/>
      <c r="N1798" s="197"/>
      <c r="O1798" s="195"/>
      <c r="P1798" s="195"/>
      <c r="Q1798" s="195"/>
    </row>
    <row r="1799" spans="1:17">
      <c r="A1799" s="180">
        <f>'רשימת מכשור 2015'!A1798</f>
        <v>0</v>
      </c>
      <c r="B1799" s="180">
        <f>'רשימת מכשור 2015'!B1798</f>
        <v>0</v>
      </c>
      <c r="C1799" s="180">
        <f>'רשימת מכשור 2015'!C1798</f>
        <v>0</v>
      </c>
      <c r="D1799" s="233">
        <f>'רשימת מכשור 2015'!D1798</f>
        <v>0</v>
      </c>
      <c r="E1799" s="180">
        <f>'רשימת מכשור 2015'!E1798</f>
        <v>0</v>
      </c>
      <c r="F1799" s="180">
        <f>'רשימת מכשור 2015'!F1798</f>
        <v>0</v>
      </c>
      <c r="G1799" s="195"/>
      <c r="H1799" s="195"/>
      <c r="I1799" s="196"/>
      <c r="J1799" s="195"/>
      <c r="K1799" s="195"/>
      <c r="L1799" s="195"/>
      <c r="M1799" s="195"/>
      <c r="N1799" s="197"/>
      <c r="O1799" s="195"/>
      <c r="P1799" s="195"/>
      <c r="Q1799" s="195"/>
    </row>
    <row r="1800" spans="1:17">
      <c r="A1800" s="180">
        <f>'רשימת מכשור 2015'!A1799</f>
        <v>0</v>
      </c>
      <c r="B1800" s="180">
        <f>'רשימת מכשור 2015'!B1799</f>
        <v>0</v>
      </c>
      <c r="C1800" s="180">
        <f>'רשימת מכשור 2015'!C1799</f>
        <v>0</v>
      </c>
      <c r="D1800" s="233">
        <f>'רשימת מכשור 2015'!D1799</f>
        <v>0</v>
      </c>
      <c r="E1800" s="180">
        <f>'רשימת מכשור 2015'!E1799</f>
        <v>0</v>
      </c>
      <c r="F1800" s="180">
        <f>'רשימת מכשור 2015'!F1799</f>
        <v>0</v>
      </c>
      <c r="G1800" s="195"/>
      <c r="H1800" s="195"/>
      <c r="I1800" s="196"/>
      <c r="J1800" s="195"/>
      <c r="K1800" s="195"/>
      <c r="L1800" s="195"/>
      <c r="M1800" s="195"/>
      <c r="N1800" s="197"/>
      <c r="O1800" s="195"/>
      <c r="P1800" s="195"/>
      <c r="Q1800" s="195"/>
    </row>
    <row r="1801" spans="1:17">
      <c r="A1801" s="180">
        <f>'רשימת מכשור 2015'!A1800</f>
        <v>0</v>
      </c>
      <c r="B1801" s="180">
        <f>'רשימת מכשור 2015'!B1800</f>
        <v>0</v>
      </c>
      <c r="C1801" s="180">
        <f>'רשימת מכשור 2015'!C1800</f>
        <v>0</v>
      </c>
      <c r="D1801" s="233">
        <f>'רשימת מכשור 2015'!D1800</f>
        <v>0</v>
      </c>
      <c r="E1801" s="180">
        <f>'רשימת מכשור 2015'!E1800</f>
        <v>0</v>
      </c>
      <c r="F1801" s="180">
        <f>'רשימת מכשור 2015'!F1800</f>
        <v>0</v>
      </c>
      <c r="G1801" s="195"/>
      <c r="H1801" s="195"/>
      <c r="I1801" s="196"/>
      <c r="J1801" s="195"/>
      <c r="K1801" s="195"/>
      <c r="L1801" s="195"/>
      <c r="M1801" s="195"/>
      <c r="N1801" s="197"/>
      <c r="O1801" s="195"/>
      <c r="P1801" s="195"/>
      <c r="Q1801" s="195"/>
    </row>
    <row r="1802" spans="1:17">
      <c r="A1802" s="180">
        <f>'רשימת מכשור 2015'!A1801</f>
        <v>0</v>
      </c>
      <c r="B1802" s="180">
        <f>'רשימת מכשור 2015'!B1801</f>
        <v>0</v>
      </c>
      <c r="C1802" s="180">
        <f>'רשימת מכשור 2015'!C1801</f>
        <v>0</v>
      </c>
      <c r="D1802" s="233">
        <f>'רשימת מכשור 2015'!D1801</f>
        <v>0</v>
      </c>
      <c r="E1802" s="180">
        <f>'רשימת מכשור 2015'!E1801</f>
        <v>0</v>
      </c>
      <c r="F1802" s="180">
        <f>'רשימת מכשור 2015'!F1801</f>
        <v>0</v>
      </c>
      <c r="G1802" s="195"/>
      <c r="H1802" s="195"/>
      <c r="I1802" s="196"/>
      <c r="J1802" s="195"/>
      <c r="K1802" s="195"/>
      <c r="L1802" s="195"/>
      <c r="M1802" s="195"/>
      <c r="N1802" s="197"/>
      <c r="O1802" s="195"/>
      <c r="P1802" s="195"/>
      <c r="Q1802" s="195"/>
    </row>
    <row r="1803" spans="1:17">
      <c r="A1803" s="180">
        <f>'רשימת מכשור 2015'!A1802</f>
        <v>0</v>
      </c>
      <c r="B1803" s="180">
        <f>'רשימת מכשור 2015'!B1802</f>
        <v>0</v>
      </c>
      <c r="C1803" s="180">
        <f>'רשימת מכשור 2015'!C1802</f>
        <v>0</v>
      </c>
      <c r="D1803" s="233">
        <f>'רשימת מכשור 2015'!D1802</f>
        <v>0</v>
      </c>
      <c r="E1803" s="180">
        <f>'רשימת מכשור 2015'!E1802</f>
        <v>0</v>
      </c>
      <c r="F1803" s="180">
        <f>'רשימת מכשור 2015'!F1802</f>
        <v>0</v>
      </c>
      <c r="G1803" s="195"/>
      <c r="H1803" s="195"/>
      <c r="I1803" s="196"/>
      <c r="J1803" s="195"/>
      <c r="K1803" s="195"/>
      <c r="L1803" s="195"/>
      <c r="M1803" s="195"/>
      <c r="N1803" s="197"/>
      <c r="O1803" s="195"/>
      <c r="P1803" s="195"/>
      <c r="Q1803" s="195"/>
    </row>
    <row r="1804" spans="1:17">
      <c r="A1804" s="180">
        <f>'רשימת מכשור 2015'!A1803</f>
        <v>0</v>
      </c>
      <c r="B1804" s="180">
        <f>'רשימת מכשור 2015'!B1803</f>
        <v>0</v>
      </c>
      <c r="C1804" s="180">
        <f>'רשימת מכשור 2015'!C1803</f>
        <v>0</v>
      </c>
      <c r="D1804" s="233">
        <f>'רשימת מכשור 2015'!D1803</f>
        <v>0</v>
      </c>
      <c r="E1804" s="180">
        <f>'רשימת מכשור 2015'!E1803</f>
        <v>0</v>
      </c>
      <c r="F1804" s="180">
        <f>'רשימת מכשור 2015'!F1803</f>
        <v>0</v>
      </c>
      <c r="G1804" s="195"/>
      <c r="H1804" s="195"/>
      <c r="I1804" s="196"/>
      <c r="J1804" s="195"/>
      <c r="K1804" s="195"/>
      <c r="L1804" s="195"/>
      <c r="M1804" s="195"/>
      <c r="N1804" s="197"/>
      <c r="O1804" s="195"/>
      <c r="P1804" s="195"/>
      <c r="Q1804" s="195"/>
    </row>
    <row r="1805" spans="1:17">
      <c r="A1805" s="180">
        <f>'רשימת מכשור 2015'!A1804</f>
        <v>0</v>
      </c>
      <c r="B1805" s="180">
        <f>'רשימת מכשור 2015'!B1804</f>
        <v>0</v>
      </c>
      <c r="C1805" s="180">
        <f>'רשימת מכשור 2015'!C1804</f>
        <v>0</v>
      </c>
      <c r="D1805" s="233">
        <f>'רשימת מכשור 2015'!D1804</f>
        <v>0</v>
      </c>
      <c r="E1805" s="180">
        <f>'רשימת מכשור 2015'!E1804</f>
        <v>0</v>
      </c>
      <c r="F1805" s="180">
        <f>'רשימת מכשור 2015'!F1804</f>
        <v>0</v>
      </c>
      <c r="G1805" s="195"/>
      <c r="H1805" s="195"/>
      <c r="I1805" s="196"/>
      <c r="J1805" s="195"/>
      <c r="K1805" s="195"/>
      <c r="L1805" s="195"/>
      <c r="M1805" s="195"/>
      <c r="N1805" s="197"/>
      <c r="O1805" s="195"/>
      <c r="P1805" s="195"/>
      <c r="Q1805" s="195"/>
    </row>
    <row r="1806" spans="1:17">
      <c r="A1806" s="180">
        <f>'רשימת מכשור 2015'!A1805</f>
        <v>0</v>
      </c>
      <c r="B1806" s="180">
        <f>'רשימת מכשור 2015'!B1805</f>
        <v>0</v>
      </c>
      <c r="C1806" s="180">
        <f>'רשימת מכשור 2015'!C1805</f>
        <v>0</v>
      </c>
      <c r="D1806" s="233">
        <f>'רשימת מכשור 2015'!D1805</f>
        <v>0</v>
      </c>
      <c r="E1806" s="180">
        <f>'רשימת מכשור 2015'!E1805</f>
        <v>0</v>
      </c>
      <c r="F1806" s="180">
        <f>'רשימת מכשור 2015'!F1805</f>
        <v>0</v>
      </c>
      <c r="G1806" s="195"/>
      <c r="H1806" s="195"/>
      <c r="I1806" s="196"/>
      <c r="J1806" s="195"/>
      <c r="K1806" s="195"/>
      <c r="L1806" s="195"/>
      <c r="M1806" s="195"/>
      <c r="N1806" s="197"/>
      <c r="O1806" s="195"/>
      <c r="P1806" s="195"/>
      <c r="Q1806" s="195"/>
    </row>
    <row r="1807" spans="1:17">
      <c r="A1807" s="180">
        <f>'רשימת מכשור 2015'!A1806</f>
        <v>0</v>
      </c>
      <c r="B1807" s="180">
        <f>'רשימת מכשור 2015'!B1806</f>
        <v>0</v>
      </c>
      <c r="C1807" s="180">
        <f>'רשימת מכשור 2015'!C1806</f>
        <v>0</v>
      </c>
      <c r="D1807" s="233">
        <f>'רשימת מכשור 2015'!D1806</f>
        <v>0</v>
      </c>
      <c r="E1807" s="180">
        <f>'רשימת מכשור 2015'!E1806</f>
        <v>0</v>
      </c>
      <c r="F1807" s="180">
        <f>'רשימת מכשור 2015'!F1806</f>
        <v>0</v>
      </c>
      <c r="G1807" s="195"/>
      <c r="H1807" s="195"/>
      <c r="I1807" s="196"/>
      <c r="J1807" s="195"/>
      <c r="K1807" s="195"/>
      <c r="L1807" s="195"/>
      <c r="M1807" s="195"/>
      <c r="N1807" s="197"/>
      <c r="O1807" s="195"/>
      <c r="P1807" s="195"/>
      <c r="Q1807" s="195"/>
    </row>
    <row r="1808" spans="1:17">
      <c r="A1808" s="180">
        <f>'רשימת מכשור 2015'!A1807</f>
        <v>0</v>
      </c>
      <c r="B1808" s="180">
        <f>'רשימת מכשור 2015'!B1807</f>
        <v>0</v>
      </c>
      <c r="C1808" s="180">
        <f>'רשימת מכשור 2015'!C1807</f>
        <v>0</v>
      </c>
      <c r="D1808" s="233">
        <f>'רשימת מכשור 2015'!D1807</f>
        <v>0</v>
      </c>
      <c r="E1808" s="180">
        <f>'רשימת מכשור 2015'!E1807</f>
        <v>0</v>
      </c>
      <c r="F1808" s="180">
        <f>'רשימת מכשור 2015'!F1807</f>
        <v>0</v>
      </c>
      <c r="G1808" s="195"/>
      <c r="H1808" s="195"/>
      <c r="I1808" s="196"/>
      <c r="J1808" s="195"/>
      <c r="K1808" s="195"/>
      <c r="L1808" s="195"/>
      <c r="M1808" s="195"/>
      <c r="N1808" s="197"/>
      <c r="O1808" s="195"/>
      <c r="P1808" s="195"/>
      <c r="Q1808" s="195"/>
    </row>
    <row r="1809" spans="1:17">
      <c r="A1809" s="180">
        <f>'רשימת מכשור 2015'!A1808</f>
        <v>0</v>
      </c>
      <c r="B1809" s="180">
        <f>'רשימת מכשור 2015'!B1808</f>
        <v>0</v>
      </c>
      <c r="C1809" s="180">
        <f>'רשימת מכשור 2015'!C1808</f>
        <v>0</v>
      </c>
      <c r="D1809" s="233">
        <f>'רשימת מכשור 2015'!D1808</f>
        <v>0</v>
      </c>
      <c r="E1809" s="180">
        <f>'רשימת מכשור 2015'!E1808</f>
        <v>0</v>
      </c>
      <c r="F1809" s="180">
        <f>'רשימת מכשור 2015'!F1808</f>
        <v>0</v>
      </c>
      <c r="G1809" s="195"/>
      <c r="H1809" s="195"/>
      <c r="I1809" s="196"/>
      <c r="J1809" s="195"/>
      <c r="K1809" s="195"/>
      <c r="L1809" s="195"/>
      <c r="M1809" s="195"/>
      <c r="N1809" s="197"/>
      <c r="O1809" s="195"/>
      <c r="P1809" s="195"/>
      <c r="Q1809" s="195"/>
    </row>
    <row r="1810" spans="1:17">
      <c r="A1810" s="180">
        <f>'רשימת מכשור 2015'!A1809</f>
        <v>0</v>
      </c>
      <c r="B1810" s="180">
        <f>'רשימת מכשור 2015'!B1809</f>
        <v>0</v>
      </c>
      <c r="C1810" s="180">
        <f>'רשימת מכשור 2015'!C1809</f>
        <v>0</v>
      </c>
      <c r="D1810" s="233">
        <f>'רשימת מכשור 2015'!D1809</f>
        <v>0</v>
      </c>
      <c r="E1810" s="180">
        <f>'רשימת מכשור 2015'!E1809</f>
        <v>0</v>
      </c>
      <c r="F1810" s="180">
        <f>'רשימת מכשור 2015'!F1809</f>
        <v>0</v>
      </c>
      <c r="G1810" s="195"/>
      <c r="H1810" s="195"/>
      <c r="I1810" s="196"/>
      <c r="J1810" s="195"/>
      <c r="K1810" s="195"/>
      <c r="L1810" s="195"/>
      <c r="M1810" s="195"/>
      <c r="N1810" s="197"/>
      <c r="O1810" s="195"/>
      <c r="P1810" s="195"/>
      <c r="Q1810" s="195"/>
    </row>
    <row r="1811" spans="1:17">
      <c r="A1811" s="180">
        <f>'רשימת מכשור 2015'!A1810</f>
        <v>0</v>
      </c>
      <c r="B1811" s="180">
        <f>'רשימת מכשור 2015'!B1810</f>
        <v>0</v>
      </c>
      <c r="C1811" s="180">
        <f>'רשימת מכשור 2015'!C1810</f>
        <v>0</v>
      </c>
      <c r="D1811" s="233">
        <f>'רשימת מכשור 2015'!D1810</f>
        <v>0</v>
      </c>
      <c r="E1811" s="180">
        <f>'רשימת מכשור 2015'!E1810</f>
        <v>0</v>
      </c>
      <c r="F1811" s="180">
        <f>'רשימת מכשור 2015'!F1810</f>
        <v>0</v>
      </c>
      <c r="G1811" s="195"/>
      <c r="H1811" s="195"/>
      <c r="I1811" s="196"/>
      <c r="J1811" s="195"/>
      <c r="K1811" s="195"/>
      <c r="L1811" s="195"/>
      <c r="M1811" s="195"/>
      <c r="N1811" s="197"/>
      <c r="O1811" s="195"/>
      <c r="P1811" s="195"/>
      <c r="Q1811" s="195"/>
    </row>
    <row r="1812" spans="1:17">
      <c r="A1812" s="180">
        <f>'רשימת מכשור 2015'!A1811</f>
        <v>0</v>
      </c>
      <c r="B1812" s="180">
        <f>'רשימת מכשור 2015'!B1811</f>
        <v>0</v>
      </c>
      <c r="C1812" s="180">
        <f>'רשימת מכשור 2015'!C1811</f>
        <v>0</v>
      </c>
      <c r="D1812" s="233">
        <f>'רשימת מכשור 2015'!D1811</f>
        <v>0</v>
      </c>
      <c r="E1812" s="180">
        <f>'רשימת מכשור 2015'!E1811</f>
        <v>0</v>
      </c>
      <c r="F1812" s="180">
        <f>'רשימת מכשור 2015'!F1811</f>
        <v>0</v>
      </c>
      <c r="G1812" s="195"/>
      <c r="H1812" s="195"/>
      <c r="I1812" s="196"/>
      <c r="J1812" s="195"/>
      <c r="K1812" s="195"/>
      <c r="L1812" s="195"/>
      <c r="M1812" s="195"/>
      <c r="N1812" s="197"/>
      <c r="O1812" s="195"/>
      <c r="P1812" s="195"/>
      <c r="Q1812" s="195"/>
    </row>
    <row r="1813" spans="1:17">
      <c r="A1813" s="180">
        <f>'רשימת מכשור 2015'!A1812</f>
        <v>0</v>
      </c>
      <c r="B1813" s="180">
        <f>'רשימת מכשור 2015'!B1812</f>
        <v>0</v>
      </c>
      <c r="C1813" s="180">
        <f>'רשימת מכשור 2015'!C1812</f>
        <v>0</v>
      </c>
      <c r="D1813" s="233">
        <f>'רשימת מכשור 2015'!D1812</f>
        <v>0</v>
      </c>
      <c r="E1813" s="180">
        <f>'רשימת מכשור 2015'!E1812</f>
        <v>0</v>
      </c>
      <c r="F1813" s="180">
        <f>'רשימת מכשור 2015'!F1812</f>
        <v>0</v>
      </c>
      <c r="G1813" s="195"/>
      <c r="H1813" s="195"/>
      <c r="I1813" s="196"/>
      <c r="J1813" s="195"/>
      <c r="K1813" s="195"/>
      <c r="L1813" s="195"/>
      <c r="M1813" s="195"/>
      <c r="N1813" s="197"/>
      <c r="O1813" s="195"/>
      <c r="P1813" s="195"/>
      <c r="Q1813" s="195"/>
    </row>
    <row r="1814" spans="1:17">
      <c r="A1814" s="180">
        <f>'רשימת מכשור 2015'!A1813</f>
        <v>0</v>
      </c>
      <c r="B1814" s="180">
        <f>'רשימת מכשור 2015'!B1813</f>
        <v>0</v>
      </c>
      <c r="C1814" s="180">
        <f>'רשימת מכשור 2015'!C1813</f>
        <v>0</v>
      </c>
      <c r="D1814" s="233">
        <f>'רשימת מכשור 2015'!D1813</f>
        <v>0</v>
      </c>
      <c r="E1814" s="180">
        <f>'רשימת מכשור 2015'!E1813</f>
        <v>0</v>
      </c>
      <c r="F1814" s="180">
        <f>'רשימת מכשור 2015'!F1813</f>
        <v>0</v>
      </c>
      <c r="G1814" s="195"/>
      <c r="H1814" s="195"/>
      <c r="I1814" s="196"/>
      <c r="J1814" s="195"/>
      <c r="K1814" s="195"/>
      <c r="L1814" s="195"/>
      <c r="M1814" s="195"/>
      <c r="N1814" s="197"/>
      <c r="O1814" s="195"/>
      <c r="P1814" s="195"/>
      <c r="Q1814" s="195"/>
    </row>
    <row r="1815" spans="1:17">
      <c r="A1815" s="180">
        <f>'רשימת מכשור 2015'!A1814</f>
        <v>0</v>
      </c>
      <c r="B1815" s="180">
        <f>'רשימת מכשור 2015'!B1814</f>
        <v>0</v>
      </c>
      <c r="C1815" s="180">
        <f>'רשימת מכשור 2015'!C1814</f>
        <v>0</v>
      </c>
      <c r="D1815" s="233">
        <f>'רשימת מכשור 2015'!D1814</f>
        <v>0</v>
      </c>
      <c r="E1815" s="180">
        <f>'רשימת מכשור 2015'!E1814</f>
        <v>0</v>
      </c>
      <c r="F1815" s="180">
        <f>'רשימת מכשור 2015'!F1814</f>
        <v>0</v>
      </c>
      <c r="G1815" s="195"/>
      <c r="H1815" s="195"/>
      <c r="I1815" s="196"/>
      <c r="J1815" s="195"/>
      <c r="K1815" s="195"/>
      <c r="L1815" s="195"/>
      <c r="M1815" s="195"/>
      <c r="N1815" s="197"/>
      <c r="O1815" s="195"/>
      <c r="P1815" s="195"/>
      <c r="Q1815" s="195"/>
    </row>
    <row r="1816" spans="1:17">
      <c r="A1816" s="180">
        <f>'רשימת מכשור 2015'!A1815</f>
        <v>0</v>
      </c>
      <c r="B1816" s="180">
        <f>'רשימת מכשור 2015'!B1815</f>
        <v>0</v>
      </c>
      <c r="C1816" s="180">
        <f>'רשימת מכשור 2015'!C1815</f>
        <v>0</v>
      </c>
      <c r="D1816" s="233">
        <f>'רשימת מכשור 2015'!D1815</f>
        <v>0</v>
      </c>
      <c r="E1816" s="180">
        <f>'רשימת מכשור 2015'!E1815</f>
        <v>0</v>
      </c>
      <c r="F1816" s="180">
        <f>'רשימת מכשור 2015'!F1815</f>
        <v>0</v>
      </c>
      <c r="G1816" s="195"/>
      <c r="H1816" s="195"/>
      <c r="I1816" s="196"/>
      <c r="J1816" s="195"/>
      <c r="K1816" s="195"/>
      <c r="L1816" s="195"/>
      <c r="M1816" s="195"/>
      <c r="N1816" s="197"/>
      <c r="O1816" s="195"/>
      <c r="P1816" s="195"/>
      <c r="Q1816" s="195"/>
    </row>
    <row r="1817" spans="1:17">
      <c r="A1817" s="180">
        <f>'רשימת מכשור 2015'!A1816</f>
        <v>0</v>
      </c>
      <c r="B1817" s="180">
        <f>'רשימת מכשור 2015'!B1816</f>
        <v>0</v>
      </c>
      <c r="C1817" s="180">
        <f>'רשימת מכשור 2015'!C1816</f>
        <v>0</v>
      </c>
      <c r="D1817" s="233">
        <f>'רשימת מכשור 2015'!D1816</f>
        <v>0</v>
      </c>
      <c r="E1817" s="180">
        <f>'רשימת מכשור 2015'!E1816</f>
        <v>0</v>
      </c>
      <c r="F1817" s="180">
        <f>'רשימת מכשור 2015'!F1816</f>
        <v>0</v>
      </c>
      <c r="G1817" s="195"/>
      <c r="H1817" s="195"/>
      <c r="I1817" s="196"/>
      <c r="J1817" s="195"/>
      <c r="K1817" s="195"/>
      <c r="L1817" s="195"/>
      <c r="M1817" s="195"/>
      <c r="N1817" s="197"/>
      <c r="O1817" s="195"/>
      <c r="P1817" s="195"/>
      <c r="Q1817" s="195"/>
    </row>
    <row r="1818" spans="1:17">
      <c r="A1818" s="180">
        <f>'רשימת מכשור 2015'!A1817</f>
        <v>0</v>
      </c>
      <c r="B1818" s="180">
        <f>'רשימת מכשור 2015'!B1817</f>
        <v>0</v>
      </c>
      <c r="C1818" s="180">
        <f>'רשימת מכשור 2015'!C1817</f>
        <v>0</v>
      </c>
      <c r="D1818" s="233">
        <f>'רשימת מכשור 2015'!D1817</f>
        <v>0</v>
      </c>
      <c r="E1818" s="180">
        <f>'רשימת מכשור 2015'!E1817</f>
        <v>0</v>
      </c>
      <c r="F1818" s="180">
        <f>'רשימת מכשור 2015'!F1817</f>
        <v>0</v>
      </c>
      <c r="G1818" s="195"/>
      <c r="H1818" s="195"/>
      <c r="I1818" s="196"/>
      <c r="J1818" s="195"/>
      <c r="K1818" s="195"/>
      <c r="L1818" s="195"/>
      <c r="M1818" s="195"/>
      <c r="N1818" s="197"/>
      <c r="O1818" s="195"/>
      <c r="P1818" s="195"/>
      <c r="Q1818" s="195"/>
    </row>
    <row r="1819" spans="1:17">
      <c r="A1819" s="180">
        <f>'רשימת מכשור 2015'!A1818</f>
        <v>0</v>
      </c>
      <c r="B1819" s="180">
        <f>'רשימת מכשור 2015'!B1818</f>
        <v>0</v>
      </c>
      <c r="C1819" s="180">
        <f>'רשימת מכשור 2015'!C1818</f>
        <v>0</v>
      </c>
      <c r="D1819" s="233">
        <f>'רשימת מכשור 2015'!D1818</f>
        <v>0</v>
      </c>
      <c r="E1819" s="180">
        <f>'רשימת מכשור 2015'!E1818</f>
        <v>0</v>
      </c>
      <c r="F1819" s="180">
        <f>'רשימת מכשור 2015'!F1818</f>
        <v>0</v>
      </c>
      <c r="G1819" s="195"/>
      <c r="H1819" s="195"/>
      <c r="I1819" s="196"/>
      <c r="J1819" s="195"/>
      <c r="K1819" s="195"/>
      <c r="L1819" s="195"/>
      <c r="M1819" s="195"/>
      <c r="N1819" s="197"/>
      <c r="O1819" s="195"/>
      <c r="P1819" s="195"/>
      <c r="Q1819" s="195"/>
    </row>
    <row r="1820" spans="1:17">
      <c r="A1820" s="180">
        <f>'רשימת מכשור 2015'!A1819</f>
        <v>0</v>
      </c>
      <c r="B1820" s="180">
        <f>'רשימת מכשור 2015'!B1819</f>
        <v>0</v>
      </c>
      <c r="C1820" s="180">
        <f>'רשימת מכשור 2015'!C1819</f>
        <v>0</v>
      </c>
      <c r="D1820" s="233">
        <f>'רשימת מכשור 2015'!D1819</f>
        <v>0</v>
      </c>
      <c r="E1820" s="180">
        <f>'רשימת מכשור 2015'!E1819</f>
        <v>0</v>
      </c>
      <c r="F1820" s="180">
        <f>'רשימת מכשור 2015'!F1819</f>
        <v>0</v>
      </c>
      <c r="G1820" s="195"/>
      <c r="H1820" s="195"/>
      <c r="I1820" s="196"/>
      <c r="J1820" s="195"/>
      <c r="K1820" s="195"/>
      <c r="L1820" s="195"/>
      <c r="M1820" s="195"/>
      <c r="N1820" s="197"/>
      <c r="O1820" s="195"/>
      <c r="P1820" s="195"/>
      <c r="Q1820" s="195"/>
    </row>
    <row r="1821" spans="1:17">
      <c r="A1821" s="180">
        <f>'רשימת מכשור 2015'!A1820</f>
        <v>0</v>
      </c>
      <c r="B1821" s="180">
        <f>'רשימת מכשור 2015'!B1820</f>
        <v>0</v>
      </c>
      <c r="C1821" s="180">
        <f>'רשימת מכשור 2015'!C1820</f>
        <v>0</v>
      </c>
      <c r="D1821" s="233">
        <f>'רשימת מכשור 2015'!D1820</f>
        <v>0</v>
      </c>
      <c r="E1821" s="180">
        <f>'רשימת מכשור 2015'!E1820</f>
        <v>0</v>
      </c>
      <c r="F1821" s="180">
        <f>'רשימת מכשור 2015'!F1820</f>
        <v>0</v>
      </c>
      <c r="G1821" s="195"/>
      <c r="H1821" s="195"/>
      <c r="I1821" s="196"/>
      <c r="J1821" s="195"/>
      <c r="K1821" s="195"/>
      <c r="L1821" s="195"/>
      <c r="M1821" s="195"/>
      <c r="N1821" s="197"/>
      <c r="O1821" s="195"/>
      <c r="P1821" s="195"/>
      <c r="Q1821" s="195"/>
    </row>
    <row r="1822" spans="1:17">
      <c r="A1822" s="180">
        <f>'רשימת מכשור 2015'!A1821</f>
        <v>0</v>
      </c>
      <c r="B1822" s="180">
        <f>'רשימת מכשור 2015'!B1821</f>
        <v>0</v>
      </c>
      <c r="C1822" s="180">
        <f>'רשימת מכשור 2015'!C1821</f>
        <v>0</v>
      </c>
      <c r="D1822" s="233">
        <f>'רשימת מכשור 2015'!D1821</f>
        <v>0</v>
      </c>
      <c r="E1822" s="180">
        <f>'רשימת מכשור 2015'!E1821</f>
        <v>0</v>
      </c>
      <c r="F1822" s="180">
        <f>'רשימת מכשור 2015'!F1821</f>
        <v>0</v>
      </c>
      <c r="G1822" s="195"/>
      <c r="H1822" s="195"/>
      <c r="I1822" s="196"/>
      <c r="J1822" s="195"/>
      <c r="K1822" s="195"/>
      <c r="L1822" s="195"/>
      <c r="M1822" s="195"/>
      <c r="N1822" s="197"/>
      <c r="O1822" s="195"/>
      <c r="P1822" s="195"/>
      <c r="Q1822" s="195"/>
    </row>
    <row r="1823" spans="1:17">
      <c r="A1823" s="180">
        <f>'רשימת מכשור 2015'!A1822</f>
        <v>0</v>
      </c>
      <c r="B1823" s="180">
        <f>'רשימת מכשור 2015'!B1822</f>
        <v>0</v>
      </c>
      <c r="C1823" s="180">
        <f>'רשימת מכשור 2015'!C1822</f>
        <v>0</v>
      </c>
      <c r="D1823" s="233">
        <f>'רשימת מכשור 2015'!D1822</f>
        <v>0</v>
      </c>
      <c r="E1823" s="180">
        <f>'רשימת מכשור 2015'!E1822</f>
        <v>0</v>
      </c>
      <c r="F1823" s="180">
        <f>'רשימת מכשור 2015'!F1822</f>
        <v>0</v>
      </c>
      <c r="G1823" s="195"/>
      <c r="H1823" s="195"/>
      <c r="I1823" s="196"/>
      <c r="J1823" s="195"/>
      <c r="K1823" s="195"/>
      <c r="L1823" s="195"/>
      <c r="M1823" s="195"/>
      <c r="N1823" s="197"/>
      <c r="O1823" s="195"/>
      <c r="P1823" s="195"/>
      <c r="Q1823" s="195"/>
    </row>
    <row r="1824" spans="1:17">
      <c r="A1824" s="180">
        <f>'רשימת מכשור 2015'!A1823</f>
        <v>0</v>
      </c>
      <c r="B1824" s="180">
        <f>'רשימת מכשור 2015'!B1823</f>
        <v>0</v>
      </c>
      <c r="C1824" s="180">
        <f>'רשימת מכשור 2015'!C1823</f>
        <v>0</v>
      </c>
      <c r="D1824" s="233">
        <f>'רשימת מכשור 2015'!D1823</f>
        <v>0</v>
      </c>
      <c r="E1824" s="180">
        <f>'רשימת מכשור 2015'!E1823</f>
        <v>0</v>
      </c>
      <c r="F1824" s="180">
        <f>'רשימת מכשור 2015'!F1823</f>
        <v>0</v>
      </c>
      <c r="G1824" s="195"/>
      <c r="H1824" s="195"/>
      <c r="I1824" s="196"/>
      <c r="J1824" s="195"/>
      <c r="K1824" s="195"/>
      <c r="L1824" s="195"/>
      <c r="M1824" s="195"/>
      <c r="N1824" s="197"/>
      <c r="O1824" s="195"/>
      <c r="P1824" s="195"/>
      <c r="Q1824" s="195"/>
    </row>
    <row r="1825" spans="1:17">
      <c r="A1825" s="180">
        <f>'רשימת מכשור 2015'!A1824</f>
        <v>0</v>
      </c>
      <c r="B1825" s="180">
        <f>'רשימת מכשור 2015'!B1824</f>
        <v>0</v>
      </c>
      <c r="C1825" s="180">
        <f>'רשימת מכשור 2015'!C1824</f>
        <v>0</v>
      </c>
      <c r="D1825" s="233">
        <f>'רשימת מכשור 2015'!D1824</f>
        <v>0</v>
      </c>
      <c r="E1825" s="180">
        <f>'רשימת מכשור 2015'!E1824</f>
        <v>0</v>
      </c>
      <c r="F1825" s="180">
        <f>'רשימת מכשור 2015'!F1824</f>
        <v>0</v>
      </c>
      <c r="G1825" s="195"/>
      <c r="H1825" s="195"/>
      <c r="I1825" s="196"/>
      <c r="J1825" s="195"/>
      <c r="K1825" s="195"/>
      <c r="L1825" s="195"/>
      <c r="M1825" s="195"/>
      <c r="N1825" s="197"/>
      <c r="O1825" s="195"/>
      <c r="P1825" s="195"/>
      <c r="Q1825" s="195"/>
    </row>
    <row r="1826" spans="1:17">
      <c r="A1826" s="180">
        <f>'רשימת מכשור 2015'!A1825</f>
        <v>0</v>
      </c>
      <c r="B1826" s="180">
        <f>'רשימת מכשור 2015'!B1825</f>
        <v>0</v>
      </c>
      <c r="C1826" s="180">
        <f>'רשימת מכשור 2015'!C1825</f>
        <v>0</v>
      </c>
      <c r="D1826" s="233">
        <f>'רשימת מכשור 2015'!D1825</f>
        <v>0</v>
      </c>
      <c r="E1826" s="180">
        <f>'רשימת מכשור 2015'!E1825</f>
        <v>0</v>
      </c>
      <c r="F1826" s="180">
        <f>'רשימת מכשור 2015'!F1825</f>
        <v>0</v>
      </c>
      <c r="G1826" s="195"/>
      <c r="H1826" s="195"/>
      <c r="I1826" s="196"/>
      <c r="J1826" s="195"/>
      <c r="K1826" s="195"/>
      <c r="L1826" s="195"/>
      <c r="M1826" s="195"/>
      <c r="N1826" s="197"/>
      <c r="O1826" s="195"/>
      <c r="P1826" s="195"/>
      <c r="Q1826" s="195"/>
    </row>
    <row r="1827" spans="1:17">
      <c r="A1827" s="180">
        <f>'רשימת מכשור 2015'!A1826</f>
        <v>0</v>
      </c>
      <c r="B1827" s="180">
        <f>'רשימת מכשור 2015'!B1826</f>
        <v>0</v>
      </c>
      <c r="C1827" s="180">
        <f>'רשימת מכשור 2015'!C1826</f>
        <v>0</v>
      </c>
      <c r="D1827" s="233">
        <f>'רשימת מכשור 2015'!D1826</f>
        <v>0</v>
      </c>
      <c r="E1827" s="180">
        <f>'רשימת מכשור 2015'!E1826</f>
        <v>0</v>
      </c>
      <c r="F1827" s="180">
        <f>'רשימת מכשור 2015'!F1826</f>
        <v>0</v>
      </c>
      <c r="G1827" s="195"/>
      <c r="H1827" s="195"/>
      <c r="I1827" s="196"/>
      <c r="J1827" s="195"/>
      <c r="K1827" s="195"/>
      <c r="L1827" s="195"/>
      <c r="M1827" s="195"/>
      <c r="N1827" s="197"/>
      <c r="O1827" s="195"/>
      <c r="P1827" s="195"/>
      <c r="Q1827" s="195"/>
    </row>
    <row r="1828" spans="1:17">
      <c r="A1828" s="180">
        <f>'רשימת מכשור 2015'!A1827</f>
        <v>0</v>
      </c>
      <c r="B1828" s="180">
        <f>'רשימת מכשור 2015'!B1827</f>
        <v>0</v>
      </c>
      <c r="C1828" s="180">
        <f>'רשימת מכשור 2015'!C1827</f>
        <v>0</v>
      </c>
      <c r="D1828" s="233">
        <f>'רשימת מכשור 2015'!D1827</f>
        <v>0</v>
      </c>
      <c r="E1828" s="180">
        <f>'רשימת מכשור 2015'!E1827</f>
        <v>0</v>
      </c>
      <c r="F1828" s="180">
        <f>'רשימת מכשור 2015'!F1827</f>
        <v>0</v>
      </c>
      <c r="G1828" s="195"/>
      <c r="H1828" s="195"/>
      <c r="I1828" s="196"/>
      <c r="J1828" s="195"/>
      <c r="K1828" s="195"/>
      <c r="L1828" s="195"/>
      <c r="M1828" s="195"/>
      <c r="N1828" s="197"/>
      <c r="O1828" s="195"/>
      <c r="P1828" s="195"/>
      <c r="Q1828" s="195"/>
    </row>
    <row r="1829" spans="1:17">
      <c r="A1829" s="180">
        <f>'רשימת מכשור 2015'!A1828</f>
        <v>0</v>
      </c>
      <c r="B1829" s="180">
        <f>'רשימת מכשור 2015'!B1828</f>
        <v>0</v>
      </c>
      <c r="C1829" s="180">
        <f>'רשימת מכשור 2015'!C1828</f>
        <v>0</v>
      </c>
      <c r="D1829" s="233">
        <f>'רשימת מכשור 2015'!D1828</f>
        <v>0</v>
      </c>
      <c r="E1829" s="180">
        <f>'רשימת מכשור 2015'!E1828</f>
        <v>0</v>
      </c>
      <c r="F1829" s="180">
        <f>'רשימת מכשור 2015'!F1828</f>
        <v>0</v>
      </c>
      <c r="G1829" s="195"/>
      <c r="H1829" s="195"/>
      <c r="I1829" s="196"/>
      <c r="J1829" s="195"/>
      <c r="K1829" s="195"/>
      <c r="L1829" s="195"/>
      <c r="M1829" s="195"/>
      <c r="N1829" s="197"/>
      <c r="O1829" s="195"/>
      <c r="P1829" s="195"/>
      <c r="Q1829" s="195"/>
    </row>
    <row r="1830" spans="1:17">
      <c r="A1830" s="180">
        <f>'רשימת מכשור 2015'!A1829</f>
        <v>0</v>
      </c>
      <c r="B1830" s="180">
        <f>'רשימת מכשור 2015'!B1829</f>
        <v>0</v>
      </c>
      <c r="C1830" s="180">
        <f>'רשימת מכשור 2015'!C1829</f>
        <v>0</v>
      </c>
      <c r="D1830" s="233">
        <f>'רשימת מכשור 2015'!D1829</f>
        <v>0</v>
      </c>
      <c r="E1830" s="180">
        <f>'רשימת מכשור 2015'!E1829</f>
        <v>0</v>
      </c>
      <c r="F1830" s="180">
        <f>'רשימת מכשור 2015'!F1829</f>
        <v>0</v>
      </c>
      <c r="G1830" s="195"/>
      <c r="H1830" s="195"/>
      <c r="I1830" s="196"/>
      <c r="J1830" s="195"/>
      <c r="K1830" s="195"/>
      <c r="L1830" s="195"/>
      <c r="M1830" s="195"/>
      <c r="N1830" s="197"/>
      <c r="O1830" s="195"/>
      <c r="P1830" s="195"/>
      <c r="Q1830" s="195"/>
    </row>
    <row r="1831" spans="1:17">
      <c r="A1831" s="180">
        <f>'רשימת מכשור 2015'!A1830</f>
        <v>0</v>
      </c>
      <c r="B1831" s="180">
        <f>'רשימת מכשור 2015'!B1830</f>
        <v>0</v>
      </c>
      <c r="C1831" s="180">
        <f>'רשימת מכשור 2015'!C1830</f>
        <v>0</v>
      </c>
      <c r="D1831" s="233">
        <f>'רשימת מכשור 2015'!D1830</f>
        <v>0</v>
      </c>
      <c r="E1831" s="180">
        <f>'רשימת מכשור 2015'!E1830</f>
        <v>0</v>
      </c>
      <c r="F1831" s="180">
        <f>'רשימת מכשור 2015'!F1830</f>
        <v>0</v>
      </c>
      <c r="G1831" s="195"/>
      <c r="H1831" s="195"/>
      <c r="I1831" s="196"/>
      <c r="J1831" s="195"/>
      <c r="K1831" s="195"/>
      <c r="L1831" s="195"/>
      <c r="M1831" s="195"/>
      <c r="N1831" s="197"/>
      <c r="O1831" s="195"/>
      <c r="P1831" s="195"/>
      <c r="Q1831" s="195"/>
    </row>
    <row r="1832" spans="1:17">
      <c r="A1832" s="180">
        <f>'רשימת מכשור 2015'!A1831</f>
        <v>0</v>
      </c>
      <c r="B1832" s="180">
        <f>'רשימת מכשור 2015'!B1831</f>
        <v>0</v>
      </c>
      <c r="C1832" s="180">
        <f>'רשימת מכשור 2015'!C1831</f>
        <v>0</v>
      </c>
      <c r="D1832" s="233">
        <f>'רשימת מכשור 2015'!D1831</f>
        <v>0</v>
      </c>
      <c r="E1832" s="180">
        <f>'רשימת מכשור 2015'!E1831</f>
        <v>0</v>
      </c>
      <c r="F1832" s="180">
        <f>'רשימת מכשור 2015'!F1831</f>
        <v>0</v>
      </c>
      <c r="G1832" s="195"/>
      <c r="H1832" s="195"/>
      <c r="I1832" s="196"/>
      <c r="J1832" s="195"/>
      <c r="K1832" s="195"/>
      <c r="L1832" s="195"/>
      <c r="M1832" s="195"/>
      <c r="N1832" s="197"/>
      <c r="O1832" s="195"/>
      <c r="P1832" s="195"/>
      <c r="Q1832" s="195"/>
    </row>
    <row r="1833" spans="1:17">
      <c r="A1833" s="180">
        <f>'רשימת מכשור 2015'!A1832</f>
        <v>0</v>
      </c>
      <c r="B1833" s="180">
        <f>'רשימת מכשור 2015'!B1832</f>
        <v>0</v>
      </c>
      <c r="C1833" s="180">
        <f>'רשימת מכשור 2015'!C1832</f>
        <v>0</v>
      </c>
      <c r="D1833" s="233">
        <f>'רשימת מכשור 2015'!D1832</f>
        <v>0</v>
      </c>
      <c r="E1833" s="180">
        <f>'רשימת מכשור 2015'!E1832</f>
        <v>0</v>
      </c>
      <c r="F1833" s="180">
        <f>'רשימת מכשור 2015'!F1832</f>
        <v>0</v>
      </c>
      <c r="G1833" s="195"/>
      <c r="H1833" s="195"/>
      <c r="I1833" s="196"/>
      <c r="J1833" s="195"/>
      <c r="K1833" s="195"/>
      <c r="L1833" s="195"/>
      <c r="M1833" s="195"/>
      <c r="N1833" s="197"/>
      <c r="O1833" s="195"/>
      <c r="P1833" s="195"/>
      <c r="Q1833" s="195"/>
    </row>
    <row r="1834" spans="1:17">
      <c r="A1834" s="180">
        <f>'רשימת מכשור 2015'!A1833</f>
        <v>0</v>
      </c>
      <c r="B1834" s="180">
        <f>'רשימת מכשור 2015'!B1833</f>
        <v>0</v>
      </c>
      <c r="C1834" s="180">
        <f>'רשימת מכשור 2015'!C1833</f>
        <v>0</v>
      </c>
      <c r="D1834" s="233">
        <f>'רשימת מכשור 2015'!D1833</f>
        <v>0</v>
      </c>
      <c r="E1834" s="180">
        <f>'רשימת מכשור 2015'!E1833</f>
        <v>0</v>
      </c>
      <c r="F1834" s="180">
        <f>'רשימת מכשור 2015'!F1833</f>
        <v>0</v>
      </c>
      <c r="G1834" s="195"/>
      <c r="H1834" s="195"/>
      <c r="I1834" s="196"/>
      <c r="J1834" s="195"/>
      <c r="K1834" s="195"/>
      <c r="L1834" s="195"/>
      <c r="M1834" s="195"/>
      <c r="N1834" s="197"/>
      <c r="O1834" s="195"/>
      <c r="P1834" s="195"/>
      <c r="Q1834" s="195"/>
    </row>
    <row r="1835" spans="1:17">
      <c r="A1835" s="180">
        <f>'רשימת מכשור 2015'!A1834</f>
        <v>0</v>
      </c>
      <c r="B1835" s="180">
        <f>'רשימת מכשור 2015'!B1834</f>
        <v>0</v>
      </c>
      <c r="C1835" s="180">
        <f>'רשימת מכשור 2015'!C1834</f>
        <v>0</v>
      </c>
      <c r="D1835" s="233">
        <f>'רשימת מכשור 2015'!D1834</f>
        <v>0</v>
      </c>
      <c r="E1835" s="180">
        <f>'רשימת מכשור 2015'!E1834</f>
        <v>0</v>
      </c>
      <c r="F1835" s="180">
        <f>'רשימת מכשור 2015'!F1834</f>
        <v>0</v>
      </c>
      <c r="G1835" s="195"/>
      <c r="H1835" s="195"/>
      <c r="I1835" s="196"/>
      <c r="J1835" s="195"/>
      <c r="K1835" s="195"/>
      <c r="L1835" s="195"/>
      <c r="M1835" s="195"/>
      <c r="N1835" s="197"/>
      <c r="O1835" s="195"/>
      <c r="P1835" s="195"/>
      <c r="Q1835" s="195"/>
    </row>
    <row r="1836" spans="1:17">
      <c r="A1836" s="180">
        <f>'רשימת מכשור 2015'!A1835</f>
        <v>0</v>
      </c>
      <c r="B1836" s="180">
        <f>'רשימת מכשור 2015'!B1835</f>
        <v>0</v>
      </c>
      <c r="C1836" s="180">
        <f>'רשימת מכשור 2015'!C1835</f>
        <v>0</v>
      </c>
      <c r="D1836" s="233">
        <f>'רשימת מכשור 2015'!D1835</f>
        <v>0</v>
      </c>
      <c r="E1836" s="180">
        <f>'רשימת מכשור 2015'!E1835</f>
        <v>0</v>
      </c>
      <c r="F1836" s="180">
        <f>'רשימת מכשור 2015'!F1835</f>
        <v>0</v>
      </c>
      <c r="G1836" s="195"/>
      <c r="H1836" s="195"/>
      <c r="I1836" s="196"/>
      <c r="J1836" s="195"/>
      <c r="K1836" s="195"/>
      <c r="L1836" s="195"/>
      <c r="M1836" s="195"/>
      <c r="N1836" s="197"/>
      <c r="O1836" s="195"/>
      <c r="P1836" s="195"/>
      <c r="Q1836" s="195"/>
    </row>
    <row r="1837" spans="1:17">
      <c r="A1837" s="180">
        <f>'רשימת מכשור 2015'!A1836</f>
        <v>0</v>
      </c>
      <c r="B1837" s="180">
        <f>'רשימת מכשור 2015'!B1836</f>
        <v>0</v>
      </c>
      <c r="C1837" s="180">
        <f>'רשימת מכשור 2015'!C1836</f>
        <v>0</v>
      </c>
      <c r="D1837" s="233">
        <f>'רשימת מכשור 2015'!D1836</f>
        <v>0</v>
      </c>
      <c r="E1837" s="180">
        <f>'רשימת מכשור 2015'!E1836</f>
        <v>0</v>
      </c>
      <c r="F1837" s="180">
        <f>'רשימת מכשור 2015'!F1836</f>
        <v>0</v>
      </c>
      <c r="G1837" s="195"/>
      <c r="H1837" s="195"/>
      <c r="I1837" s="196"/>
      <c r="J1837" s="195"/>
      <c r="K1837" s="195"/>
      <c r="L1837" s="195"/>
      <c r="M1837" s="195"/>
      <c r="N1837" s="197"/>
      <c r="O1837" s="195"/>
      <c r="P1837" s="195"/>
      <c r="Q1837" s="195"/>
    </row>
    <row r="1838" spans="1:17">
      <c r="A1838" s="180">
        <f>'רשימת מכשור 2015'!A1837</f>
        <v>0</v>
      </c>
      <c r="B1838" s="180">
        <f>'רשימת מכשור 2015'!B1837</f>
        <v>0</v>
      </c>
      <c r="C1838" s="180">
        <f>'רשימת מכשור 2015'!C1837</f>
        <v>0</v>
      </c>
      <c r="D1838" s="233">
        <f>'רשימת מכשור 2015'!D1837</f>
        <v>0</v>
      </c>
      <c r="E1838" s="180">
        <f>'רשימת מכשור 2015'!E1837</f>
        <v>0</v>
      </c>
      <c r="F1838" s="180">
        <f>'רשימת מכשור 2015'!F1837</f>
        <v>0</v>
      </c>
      <c r="G1838" s="195"/>
      <c r="H1838" s="195"/>
      <c r="I1838" s="196"/>
      <c r="J1838" s="195"/>
      <c r="K1838" s="195"/>
      <c r="L1838" s="195"/>
      <c r="M1838" s="195"/>
      <c r="N1838" s="197"/>
      <c r="O1838" s="195"/>
      <c r="P1838" s="195"/>
      <c r="Q1838" s="195"/>
    </row>
    <row r="1839" spans="1:17">
      <c r="A1839" s="180">
        <f>'רשימת מכשור 2015'!A1838</f>
        <v>0</v>
      </c>
      <c r="B1839" s="180">
        <f>'רשימת מכשור 2015'!B1838</f>
        <v>0</v>
      </c>
      <c r="C1839" s="180">
        <f>'רשימת מכשור 2015'!C1838</f>
        <v>0</v>
      </c>
      <c r="D1839" s="233">
        <f>'רשימת מכשור 2015'!D1838</f>
        <v>0</v>
      </c>
      <c r="E1839" s="180">
        <f>'רשימת מכשור 2015'!E1838</f>
        <v>0</v>
      </c>
      <c r="F1839" s="180">
        <f>'רשימת מכשור 2015'!F1838</f>
        <v>0</v>
      </c>
      <c r="G1839" s="195"/>
      <c r="H1839" s="195"/>
      <c r="I1839" s="196"/>
      <c r="J1839" s="195"/>
      <c r="K1839" s="195"/>
      <c r="L1839" s="195"/>
      <c r="M1839" s="195"/>
      <c r="N1839" s="197"/>
      <c r="O1839" s="195"/>
      <c r="P1839" s="195"/>
      <c r="Q1839" s="195"/>
    </row>
    <row r="1840" spans="1:17">
      <c r="A1840" s="180">
        <f>'רשימת מכשור 2015'!A1839</f>
        <v>0</v>
      </c>
      <c r="B1840" s="180">
        <f>'רשימת מכשור 2015'!B1839</f>
        <v>0</v>
      </c>
      <c r="C1840" s="180">
        <f>'רשימת מכשור 2015'!C1839</f>
        <v>0</v>
      </c>
      <c r="D1840" s="233">
        <f>'רשימת מכשור 2015'!D1839</f>
        <v>0</v>
      </c>
      <c r="E1840" s="180">
        <f>'רשימת מכשור 2015'!E1839</f>
        <v>0</v>
      </c>
      <c r="F1840" s="180">
        <f>'רשימת מכשור 2015'!F1839</f>
        <v>0</v>
      </c>
      <c r="G1840" s="195"/>
      <c r="H1840" s="195"/>
      <c r="I1840" s="196"/>
      <c r="J1840" s="195"/>
      <c r="K1840" s="195"/>
      <c r="L1840" s="195"/>
      <c r="M1840" s="195"/>
      <c r="N1840" s="197"/>
      <c r="O1840" s="195"/>
      <c r="P1840" s="195"/>
      <c r="Q1840" s="195"/>
    </row>
    <row r="1841" spans="1:17">
      <c r="A1841" s="180">
        <f>'רשימת מכשור 2015'!A1840</f>
        <v>0</v>
      </c>
      <c r="B1841" s="180">
        <f>'רשימת מכשור 2015'!B1840</f>
        <v>0</v>
      </c>
      <c r="C1841" s="180">
        <f>'רשימת מכשור 2015'!C1840</f>
        <v>0</v>
      </c>
      <c r="D1841" s="233">
        <f>'רשימת מכשור 2015'!D1840</f>
        <v>0</v>
      </c>
      <c r="E1841" s="180">
        <f>'רשימת מכשור 2015'!E1840</f>
        <v>0</v>
      </c>
      <c r="F1841" s="180">
        <f>'רשימת מכשור 2015'!F1840</f>
        <v>0</v>
      </c>
      <c r="G1841" s="195"/>
      <c r="H1841" s="195"/>
      <c r="I1841" s="196"/>
      <c r="J1841" s="195"/>
      <c r="K1841" s="195"/>
      <c r="L1841" s="195"/>
      <c r="M1841" s="195"/>
      <c r="N1841" s="197"/>
      <c r="O1841" s="195"/>
      <c r="P1841" s="195"/>
      <c r="Q1841" s="195"/>
    </row>
    <row r="1842" spans="1:17">
      <c r="A1842" s="180">
        <f>'רשימת מכשור 2015'!A1841</f>
        <v>0</v>
      </c>
      <c r="B1842" s="180">
        <f>'רשימת מכשור 2015'!B1841</f>
        <v>0</v>
      </c>
      <c r="C1842" s="180">
        <f>'רשימת מכשור 2015'!C1841</f>
        <v>0</v>
      </c>
      <c r="D1842" s="233">
        <f>'רשימת מכשור 2015'!D1841</f>
        <v>0</v>
      </c>
      <c r="E1842" s="180">
        <f>'רשימת מכשור 2015'!E1841</f>
        <v>0</v>
      </c>
      <c r="F1842" s="180">
        <f>'רשימת מכשור 2015'!F1841</f>
        <v>0</v>
      </c>
      <c r="G1842" s="195"/>
      <c r="H1842" s="195"/>
      <c r="I1842" s="196"/>
      <c r="J1842" s="195"/>
      <c r="K1842" s="195"/>
      <c r="L1842" s="195"/>
      <c r="M1842" s="195"/>
      <c r="N1842" s="197"/>
      <c r="O1842" s="195"/>
      <c r="P1842" s="195"/>
      <c r="Q1842" s="195"/>
    </row>
    <row r="1843" spans="1:17">
      <c r="A1843" s="180">
        <f>'רשימת מכשור 2015'!A1842</f>
        <v>0</v>
      </c>
      <c r="B1843" s="180">
        <f>'רשימת מכשור 2015'!B1842</f>
        <v>0</v>
      </c>
      <c r="C1843" s="180">
        <f>'רשימת מכשור 2015'!C1842</f>
        <v>0</v>
      </c>
      <c r="D1843" s="233">
        <f>'רשימת מכשור 2015'!D1842</f>
        <v>0</v>
      </c>
      <c r="E1843" s="180">
        <f>'רשימת מכשור 2015'!E1842</f>
        <v>0</v>
      </c>
      <c r="F1843" s="180">
        <f>'רשימת מכשור 2015'!F1842</f>
        <v>0</v>
      </c>
      <c r="G1843" s="195"/>
      <c r="H1843" s="195"/>
      <c r="I1843" s="196"/>
      <c r="J1843" s="195"/>
      <c r="K1843" s="195"/>
      <c r="L1843" s="195"/>
      <c r="M1843" s="195"/>
      <c r="N1843" s="197"/>
      <c r="O1843" s="195"/>
      <c r="P1843" s="195"/>
      <c r="Q1843" s="195"/>
    </row>
    <row r="1844" spans="1:17">
      <c r="A1844" s="180">
        <f>'רשימת מכשור 2015'!A1843</f>
        <v>0</v>
      </c>
      <c r="B1844" s="180">
        <f>'רשימת מכשור 2015'!B1843</f>
        <v>0</v>
      </c>
      <c r="C1844" s="180">
        <f>'רשימת מכשור 2015'!C1843</f>
        <v>0</v>
      </c>
      <c r="D1844" s="233">
        <f>'רשימת מכשור 2015'!D1843</f>
        <v>0</v>
      </c>
      <c r="E1844" s="180">
        <f>'רשימת מכשור 2015'!E1843</f>
        <v>0</v>
      </c>
      <c r="F1844" s="180">
        <f>'רשימת מכשור 2015'!F1843</f>
        <v>0</v>
      </c>
      <c r="G1844" s="195"/>
      <c r="H1844" s="195"/>
      <c r="I1844" s="196"/>
      <c r="J1844" s="195"/>
      <c r="K1844" s="195"/>
      <c r="L1844" s="195"/>
      <c r="M1844" s="195"/>
      <c r="N1844" s="197"/>
      <c r="O1844" s="195"/>
      <c r="P1844" s="195"/>
      <c r="Q1844" s="195"/>
    </row>
    <row r="1845" spans="1:17">
      <c r="A1845" s="180">
        <f>'רשימת מכשור 2015'!A1844</f>
        <v>0</v>
      </c>
      <c r="B1845" s="180">
        <f>'רשימת מכשור 2015'!B1844</f>
        <v>0</v>
      </c>
      <c r="C1845" s="180">
        <f>'רשימת מכשור 2015'!C1844</f>
        <v>0</v>
      </c>
      <c r="D1845" s="233">
        <f>'רשימת מכשור 2015'!D1844</f>
        <v>0</v>
      </c>
      <c r="E1845" s="180">
        <f>'רשימת מכשור 2015'!E1844</f>
        <v>0</v>
      </c>
      <c r="F1845" s="180">
        <f>'רשימת מכשור 2015'!F1844</f>
        <v>0</v>
      </c>
      <c r="G1845" s="195"/>
      <c r="H1845" s="195"/>
      <c r="I1845" s="196"/>
      <c r="J1845" s="195"/>
      <c r="K1845" s="195"/>
      <c r="L1845" s="195"/>
      <c r="M1845" s="195"/>
      <c r="N1845" s="197"/>
      <c r="O1845" s="195"/>
      <c r="P1845" s="195"/>
      <c r="Q1845" s="195"/>
    </row>
    <row r="1846" spans="1:17">
      <c r="A1846" s="180">
        <f>'רשימת מכשור 2015'!A1845</f>
        <v>0</v>
      </c>
      <c r="B1846" s="180">
        <f>'רשימת מכשור 2015'!B1845</f>
        <v>0</v>
      </c>
      <c r="C1846" s="180">
        <f>'רשימת מכשור 2015'!C1845</f>
        <v>0</v>
      </c>
      <c r="D1846" s="233">
        <f>'רשימת מכשור 2015'!D1845</f>
        <v>0</v>
      </c>
      <c r="E1846" s="180">
        <f>'רשימת מכשור 2015'!E1845</f>
        <v>0</v>
      </c>
      <c r="F1846" s="180">
        <f>'רשימת מכשור 2015'!F1845</f>
        <v>0</v>
      </c>
      <c r="G1846" s="195"/>
      <c r="H1846" s="195"/>
      <c r="I1846" s="196"/>
      <c r="J1846" s="195"/>
      <c r="K1846" s="195"/>
      <c r="L1846" s="195"/>
      <c r="M1846" s="195"/>
      <c r="N1846" s="197"/>
      <c r="O1846" s="195"/>
      <c r="P1846" s="195"/>
      <c r="Q1846" s="195"/>
    </row>
    <row r="1847" spans="1:17">
      <c r="A1847" s="180">
        <f>'רשימת מכשור 2015'!A1846</f>
        <v>0</v>
      </c>
      <c r="B1847" s="180">
        <f>'רשימת מכשור 2015'!B1846</f>
        <v>0</v>
      </c>
      <c r="C1847" s="180">
        <f>'רשימת מכשור 2015'!C1846</f>
        <v>0</v>
      </c>
      <c r="D1847" s="233">
        <f>'רשימת מכשור 2015'!D1846</f>
        <v>0</v>
      </c>
      <c r="E1847" s="180">
        <f>'רשימת מכשור 2015'!E1846</f>
        <v>0</v>
      </c>
      <c r="F1847" s="180">
        <f>'רשימת מכשור 2015'!F1846</f>
        <v>0</v>
      </c>
      <c r="G1847" s="195"/>
      <c r="H1847" s="195"/>
      <c r="I1847" s="196"/>
      <c r="J1847" s="195"/>
      <c r="K1847" s="195"/>
      <c r="L1847" s="195"/>
      <c r="M1847" s="195"/>
      <c r="N1847" s="197"/>
      <c r="O1847" s="195"/>
      <c r="P1847" s="195"/>
      <c r="Q1847" s="195"/>
    </row>
    <row r="1848" spans="1:17">
      <c r="A1848" s="180">
        <f>'רשימת מכשור 2015'!A1847</f>
        <v>0</v>
      </c>
      <c r="B1848" s="180">
        <f>'רשימת מכשור 2015'!B1847</f>
        <v>0</v>
      </c>
      <c r="C1848" s="180">
        <f>'רשימת מכשור 2015'!C1847</f>
        <v>0</v>
      </c>
      <c r="D1848" s="233">
        <f>'רשימת מכשור 2015'!D1847</f>
        <v>0</v>
      </c>
      <c r="E1848" s="180">
        <f>'רשימת מכשור 2015'!E1847</f>
        <v>0</v>
      </c>
      <c r="F1848" s="180">
        <f>'רשימת מכשור 2015'!F1847</f>
        <v>0</v>
      </c>
      <c r="G1848" s="195"/>
      <c r="H1848" s="195"/>
      <c r="I1848" s="196"/>
      <c r="J1848" s="195"/>
      <c r="K1848" s="195"/>
      <c r="L1848" s="195"/>
      <c r="M1848" s="195"/>
      <c r="N1848" s="197"/>
      <c r="O1848" s="195"/>
      <c r="P1848" s="195"/>
      <c r="Q1848" s="195"/>
    </row>
    <row r="1849" spans="1:17">
      <c r="A1849" s="180">
        <f>'רשימת מכשור 2015'!A1848</f>
        <v>0</v>
      </c>
      <c r="B1849" s="180">
        <f>'רשימת מכשור 2015'!B1848</f>
        <v>0</v>
      </c>
      <c r="C1849" s="180">
        <f>'רשימת מכשור 2015'!C1848</f>
        <v>0</v>
      </c>
      <c r="D1849" s="233">
        <f>'רשימת מכשור 2015'!D1848</f>
        <v>0</v>
      </c>
      <c r="E1849" s="180">
        <f>'רשימת מכשור 2015'!E1848</f>
        <v>0</v>
      </c>
      <c r="F1849" s="180">
        <f>'רשימת מכשור 2015'!F1848</f>
        <v>0</v>
      </c>
      <c r="G1849" s="195"/>
      <c r="H1849" s="195"/>
      <c r="I1849" s="196"/>
      <c r="J1849" s="195"/>
      <c r="K1849" s="195"/>
      <c r="L1849" s="195"/>
      <c r="M1849" s="195"/>
      <c r="N1849" s="197"/>
      <c r="O1849" s="195"/>
      <c r="P1849" s="195"/>
      <c r="Q1849" s="195"/>
    </row>
    <row r="1850" spans="1:17">
      <c r="A1850" s="180">
        <f>'רשימת מכשור 2015'!A1849</f>
        <v>0</v>
      </c>
      <c r="B1850" s="180">
        <f>'רשימת מכשור 2015'!B1849</f>
        <v>0</v>
      </c>
      <c r="C1850" s="180">
        <f>'רשימת מכשור 2015'!C1849</f>
        <v>0</v>
      </c>
      <c r="D1850" s="233">
        <f>'רשימת מכשור 2015'!D1849</f>
        <v>0</v>
      </c>
      <c r="E1850" s="180">
        <f>'רשימת מכשור 2015'!E1849</f>
        <v>0</v>
      </c>
      <c r="F1850" s="180">
        <f>'רשימת מכשור 2015'!F1849</f>
        <v>0</v>
      </c>
      <c r="G1850" s="195"/>
      <c r="H1850" s="195"/>
      <c r="I1850" s="196"/>
      <c r="J1850" s="195"/>
      <c r="K1850" s="195"/>
      <c r="L1850" s="195"/>
      <c r="M1850" s="195"/>
      <c r="N1850" s="197"/>
      <c r="O1850" s="195"/>
      <c r="P1850" s="195"/>
      <c r="Q1850" s="195"/>
    </row>
    <row r="1851" spans="1:17">
      <c r="A1851" s="180">
        <f>'רשימת מכשור 2015'!A1850</f>
        <v>0</v>
      </c>
      <c r="B1851" s="180">
        <f>'רשימת מכשור 2015'!B1850</f>
        <v>0</v>
      </c>
      <c r="C1851" s="180">
        <f>'רשימת מכשור 2015'!C1850</f>
        <v>0</v>
      </c>
      <c r="D1851" s="233">
        <f>'רשימת מכשור 2015'!D1850</f>
        <v>0</v>
      </c>
      <c r="E1851" s="180">
        <f>'רשימת מכשור 2015'!E1850</f>
        <v>0</v>
      </c>
      <c r="F1851" s="180">
        <f>'רשימת מכשור 2015'!F1850</f>
        <v>0</v>
      </c>
      <c r="G1851" s="195"/>
      <c r="H1851" s="195"/>
      <c r="I1851" s="196"/>
      <c r="J1851" s="195"/>
      <c r="K1851" s="195"/>
      <c r="L1851" s="195"/>
      <c r="M1851" s="195"/>
      <c r="N1851" s="197"/>
      <c r="O1851" s="195"/>
      <c r="P1851" s="195"/>
      <c r="Q1851" s="195"/>
    </row>
    <row r="1852" spans="1:17">
      <c r="A1852" s="180">
        <f>'רשימת מכשור 2015'!A1851</f>
        <v>0</v>
      </c>
      <c r="B1852" s="180">
        <f>'רשימת מכשור 2015'!B1851</f>
        <v>0</v>
      </c>
      <c r="C1852" s="180">
        <f>'רשימת מכשור 2015'!C1851</f>
        <v>0</v>
      </c>
      <c r="D1852" s="233">
        <f>'רשימת מכשור 2015'!D1851</f>
        <v>0</v>
      </c>
      <c r="E1852" s="180">
        <f>'רשימת מכשור 2015'!E1851</f>
        <v>0</v>
      </c>
      <c r="F1852" s="180">
        <f>'רשימת מכשור 2015'!F1851</f>
        <v>0</v>
      </c>
      <c r="G1852" s="195"/>
      <c r="H1852" s="195"/>
      <c r="I1852" s="196"/>
      <c r="J1852" s="195"/>
      <c r="K1852" s="195"/>
      <c r="L1852" s="195"/>
      <c r="M1852" s="195"/>
      <c r="N1852" s="197"/>
      <c r="O1852" s="195"/>
      <c r="P1852" s="195"/>
      <c r="Q1852" s="195"/>
    </row>
    <row r="1853" spans="1:17">
      <c r="A1853" s="180">
        <f>'רשימת מכשור 2015'!A1852</f>
        <v>0</v>
      </c>
      <c r="B1853" s="180">
        <f>'רשימת מכשור 2015'!B1852</f>
        <v>0</v>
      </c>
      <c r="C1853" s="180">
        <f>'רשימת מכשור 2015'!C1852</f>
        <v>0</v>
      </c>
      <c r="D1853" s="233">
        <f>'רשימת מכשור 2015'!D1852</f>
        <v>0</v>
      </c>
      <c r="E1853" s="180">
        <f>'רשימת מכשור 2015'!E1852</f>
        <v>0</v>
      </c>
      <c r="F1853" s="180">
        <f>'רשימת מכשור 2015'!F1852</f>
        <v>0</v>
      </c>
      <c r="G1853" s="195"/>
      <c r="H1853" s="195"/>
      <c r="I1853" s="196"/>
      <c r="J1853" s="195"/>
      <c r="K1853" s="195"/>
      <c r="L1853" s="195"/>
      <c r="M1853" s="195"/>
      <c r="N1853" s="197"/>
      <c r="O1853" s="195"/>
      <c r="P1853" s="195"/>
      <c r="Q1853" s="195"/>
    </row>
    <row r="1854" spans="1:17">
      <c r="A1854" s="180">
        <f>'רשימת מכשור 2015'!A1853</f>
        <v>0</v>
      </c>
      <c r="B1854" s="180">
        <f>'רשימת מכשור 2015'!B1853</f>
        <v>0</v>
      </c>
      <c r="C1854" s="180">
        <f>'רשימת מכשור 2015'!C1853</f>
        <v>0</v>
      </c>
      <c r="D1854" s="233">
        <f>'רשימת מכשור 2015'!D1853</f>
        <v>0</v>
      </c>
      <c r="E1854" s="180">
        <f>'רשימת מכשור 2015'!E1853</f>
        <v>0</v>
      </c>
      <c r="F1854" s="180">
        <f>'רשימת מכשור 2015'!F1853</f>
        <v>0</v>
      </c>
      <c r="G1854" s="195"/>
      <c r="H1854" s="195"/>
      <c r="I1854" s="196"/>
      <c r="J1854" s="195"/>
      <c r="K1854" s="195"/>
      <c r="L1854" s="195"/>
      <c r="M1854" s="195"/>
      <c r="N1854" s="197"/>
      <c r="O1854" s="195"/>
      <c r="P1854" s="195"/>
      <c r="Q1854" s="195"/>
    </row>
    <row r="1855" spans="1:17">
      <c r="A1855" s="180">
        <f>'רשימת מכשור 2015'!A1854</f>
        <v>0</v>
      </c>
      <c r="B1855" s="180">
        <f>'רשימת מכשור 2015'!B1854</f>
        <v>0</v>
      </c>
      <c r="C1855" s="180">
        <f>'רשימת מכשור 2015'!C1854</f>
        <v>0</v>
      </c>
      <c r="D1855" s="233">
        <f>'רשימת מכשור 2015'!D1854</f>
        <v>0</v>
      </c>
      <c r="E1855" s="180">
        <f>'רשימת מכשור 2015'!E1854</f>
        <v>0</v>
      </c>
      <c r="F1855" s="180">
        <f>'רשימת מכשור 2015'!F1854</f>
        <v>0</v>
      </c>
      <c r="G1855" s="195"/>
      <c r="H1855" s="195"/>
      <c r="I1855" s="196"/>
      <c r="J1855" s="195"/>
      <c r="K1855" s="195"/>
      <c r="L1855" s="195"/>
      <c r="M1855" s="195"/>
      <c r="N1855" s="197"/>
      <c r="O1855" s="195"/>
      <c r="P1855" s="195"/>
      <c r="Q1855" s="195"/>
    </row>
    <row r="1856" spans="1:17">
      <c r="A1856" s="180">
        <f>'רשימת מכשור 2015'!A1855</f>
        <v>0</v>
      </c>
      <c r="B1856" s="180">
        <f>'רשימת מכשור 2015'!B1855</f>
        <v>0</v>
      </c>
      <c r="C1856" s="180">
        <f>'רשימת מכשור 2015'!C1855</f>
        <v>0</v>
      </c>
      <c r="D1856" s="233">
        <f>'רשימת מכשור 2015'!D1855</f>
        <v>0</v>
      </c>
      <c r="E1856" s="180">
        <f>'רשימת מכשור 2015'!E1855</f>
        <v>0</v>
      </c>
      <c r="F1856" s="180">
        <f>'רשימת מכשור 2015'!F1855</f>
        <v>0</v>
      </c>
      <c r="G1856" s="195"/>
      <c r="H1856" s="195"/>
      <c r="I1856" s="196"/>
      <c r="J1856" s="195"/>
      <c r="K1856" s="195"/>
      <c r="L1856" s="195"/>
      <c r="M1856" s="195"/>
      <c r="N1856" s="197"/>
      <c r="O1856" s="195"/>
      <c r="P1856" s="195"/>
      <c r="Q1856" s="195"/>
    </row>
    <row r="1857" spans="1:17">
      <c r="A1857" s="180">
        <f>'רשימת מכשור 2015'!A1856</f>
        <v>0</v>
      </c>
      <c r="B1857" s="180">
        <f>'רשימת מכשור 2015'!B1856</f>
        <v>0</v>
      </c>
      <c r="C1857" s="180">
        <f>'רשימת מכשור 2015'!C1856</f>
        <v>0</v>
      </c>
      <c r="D1857" s="233">
        <f>'רשימת מכשור 2015'!D1856</f>
        <v>0</v>
      </c>
      <c r="E1857" s="180">
        <f>'רשימת מכשור 2015'!E1856</f>
        <v>0</v>
      </c>
      <c r="F1857" s="180">
        <f>'רשימת מכשור 2015'!F1856</f>
        <v>0</v>
      </c>
      <c r="G1857" s="195"/>
      <c r="H1857" s="195"/>
      <c r="I1857" s="196"/>
      <c r="J1857" s="195"/>
      <c r="K1857" s="195"/>
      <c r="L1857" s="195"/>
      <c r="M1857" s="195"/>
      <c r="N1857" s="197"/>
      <c r="O1857" s="195"/>
      <c r="P1857" s="195"/>
      <c r="Q1857" s="195"/>
    </row>
    <row r="1858" spans="1:17">
      <c r="A1858" s="180">
        <f>'רשימת מכשור 2015'!A1857</f>
        <v>0</v>
      </c>
      <c r="B1858" s="180">
        <f>'רשימת מכשור 2015'!B1857</f>
        <v>0</v>
      </c>
      <c r="C1858" s="180">
        <f>'רשימת מכשור 2015'!C1857</f>
        <v>0</v>
      </c>
      <c r="D1858" s="233">
        <f>'רשימת מכשור 2015'!D1857</f>
        <v>0</v>
      </c>
      <c r="E1858" s="180">
        <f>'רשימת מכשור 2015'!E1857</f>
        <v>0</v>
      </c>
      <c r="F1858" s="180">
        <f>'רשימת מכשור 2015'!F1857</f>
        <v>0</v>
      </c>
      <c r="G1858" s="195"/>
      <c r="H1858" s="195"/>
      <c r="I1858" s="196"/>
      <c r="J1858" s="195"/>
      <c r="K1858" s="195"/>
      <c r="L1858" s="195"/>
      <c r="M1858" s="195"/>
      <c r="N1858" s="197"/>
      <c r="O1858" s="195"/>
      <c r="P1858" s="195"/>
      <c r="Q1858" s="195"/>
    </row>
    <row r="1859" spans="1:17">
      <c r="A1859" s="180">
        <f>'רשימת מכשור 2015'!A1858</f>
        <v>0</v>
      </c>
      <c r="B1859" s="180">
        <f>'רשימת מכשור 2015'!B1858</f>
        <v>0</v>
      </c>
      <c r="C1859" s="180">
        <f>'רשימת מכשור 2015'!C1858</f>
        <v>0</v>
      </c>
      <c r="D1859" s="233">
        <f>'רשימת מכשור 2015'!D1858</f>
        <v>0</v>
      </c>
      <c r="E1859" s="180">
        <f>'רשימת מכשור 2015'!E1858</f>
        <v>0</v>
      </c>
      <c r="F1859" s="180">
        <f>'רשימת מכשור 2015'!F1858</f>
        <v>0</v>
      </c>
      <c r="G1859" s="195"/>
      <c r="H1859" s="195"/>
      <c r="I1859" s="196"/>
      <c r="J1859" s="195"/>
      <c r="K1859" s="195"/>
      <c r="L1859" s="195"/>
      <c r="M1859" s="195"/>
      <c r="N1859" s="197"/>
      <c r="O1859" s="195"/>
      <c r="P1859" s="195"/>
      <c r="Q1859" s="195"/>
    </row>
    <row r="1860" spans="1:17">
      <c r="A1860" s="180">
        <f>'רשימת מכשור 2015'!A1859</f>
        <v>0</v>
      </c>
      <c r="B1860" s="180">
        <f>'רשימת מכשור 2015'!B1859</f>
        <v>0</v>
      </c>
      <c r="C1860" s="180">
        <f>'רשימת מכשור 2015'!C1859</f>
        <v>0</v>
      </c>
      <c r="D1860" s="233">
        <f>'רשימת מכשור 2015'!D1859</f>
        <v>0</v>
      </c>
      <c r="E1860" s="180">
        <f>'רשימת מכשור 2015'!E1859</f>
        <v>0</v>
      </c>
      <c r="F1860" s="180">
        <f>'רשימת מכשור 2015'!F1859</f>
        <v>0</v>
      </c>
      <c r="G1860" s="195"/>
      <c r="H1860" s="195"/>
      <c r="I1860" s="196"/>
      <c r="J1860" s="195"/>
      <c r="K1860" s="195"/>
      <c r="L1860" s="195"/>
      <c r="M1860" s="195"/>
      <c r="N1860" s="197"/>
      <c r="O1860" s="195"/>
      <c r="P1860" s="195"/>
      <c r="Q1860" s="195"/>
    </row>
    <row r="1861" spans="1:17">
      <c r="A1861" s="180">
        <f>'רשימת מכשור 2015'!A1860</f>
        <v>0</v>
      </c>
      <c r="B1861" s="180">
        <f>'רשימת מכשור 2015'!B1860</f>
        <v>0</v>
      </c>
      <c r="C1861" s="180">
        <f>'רשימת מכשור 2015'!C1860</f>
        <v>0</v>
      </c>
      <c r="D1861" s="233">
        <f>'רשימת מכשור 2015'!D1860</f>
        <v>0</v>
      </c>
      <c r="E1861" s="180">
        <f>'רשימת מכשור 2015'!E1860</f>
        <v>0</v>
      </c>
      <c r="F1861" s="180">
        <f>'רשימת מכשור 2015'!F1860</f>
        <v>0</v>
      </c>
      <c r="G1861" s="195"/>
      <c r="H1861" s="195"/>
      <c r="I1861" s="196"/>
      <c r="J1861" s="195"/>
      <c r="K1861" s="195"/>
      <c r="L1861" s="195"/>
      <c r="M1861" s="195"/>
      <c r="N1861" s="197"/>
      <c r="O1861" s="195"/>
      <c r="P1861" s="195"/>
      <c r="Q1861" s="195"/>
    </row>
    <row r="1862" spans="1:17">
      <c r="A1862" s="180">
        <f>'רשימת מכשור 2015'!A1861</f>
        <v>0</v>
      </c>
      <c r="B1862" s="180">
        <f>'רשימת מכשור 2015'!B1861</f>
        <v>0</v>
      </c>
      <c r="C1862" s="180">
        <f>'רשימת מכשור 2015'!C1861</f>
        <v>0</v>
      </c>
      <c r="D1862" s="233">
        <f>'רשימת מכשור 2015'!D1861</f>
        <v>0</v>
      </c>
      <c r="E1862" s="180">
        <f>'רשימת מכשור 2015'!E1861</f>
        <v>0</v>
      </c>
      <c r="F1862" s="180">
        <f>'רשימת מכשור 2015'!F1861</f>
        <v>0</v>
      </c>
      <c r="G1862" s="195"/>
      <c r="H1862" s="195"/>
      <c r="I1862" s="196"/>
      <c r="J1862" s="195"/>
      <c r="K1862" s="195"/>
      <c r="L1862" s="195"/>
      <c r="M1862" s="195"/>
      <c r="N1862" s="197"/>
      <c r="O1862" s="195"/>
      <c r="P1862" s="195"/>
      <c r="Q1862" s="195"/>
    </row>
    <row r="1863" spans="1:17">
      <c r="A1863" s="180">
        <f>'רשימת מכשור 2015'!A1862</f>
        <v>0</v>
      </c>
      <c r="B1863" s="180">
        <f>'רשימת מכשור 2015'!B1862</f>
        <v>0</v>
      </c>
      <c r="C1863" s="180">
        <f>'רשימת מכשור 2015'!C1862</f>
        <v>0</v>
      </c>
      <c r="D1863" s="233">
        <f>'רשימת מכשור 2015'!D1862</f>
        <v>0</v>
      </c>
      <c r="E1863" s="180">
        <f>'רשימת מכשור 2015'!E1862</f>
        <v>0</v>
      </c>
      <c r="F1863" s="180">
        <f>'רשימת מכשור 2015'!F1862</f>
        <v>0</v>
      </c>
      <c r="G1863" s="195"/>
      <c r="H1863" s="195"/>
      <c r="I1863" s="196"/>
      <c r="J1863" s="195"/>
      <c r="K1863" s="195"/>
      <c r="L1863" s="195"/>
      <c r="M1863" s="195"/>
      <c r="N1863" s="197"/>
      <c r="O1863" s="195"/>
      <c r="P1863" s="195"/>
      <c r="Q1863" s="195"/>
    </row>
    <row r="1864" spans="1:17">
      <c r="A1864" s="180">
        <f>'רשימת מכשור 2015'!A1863</f>
        <v>0</v>
      </c>
      <c r="B1864" s="180">
        <f>'רשימת מכשור 2015'!B1863</f>
        <v>0</v>
      </c>
      <c r="C1864" s="180">
        <f>'רשימת מכשור 2015'!C1863</f>
        <v>0</v>
      </c>
      <c r="D1864" s="233">
        <f>'רשימת מכשור 2015'!D1863</f>
        <v>0</v>
      </c>
      <c r="E1864" s="180">
        <f>'רשימת מכשור 2015'!E1863</f>
        <v>0</v>
      </c>
      <c r="F1864" s="180">
        <f>'רשימת מכשור 2015'!F1863</f>
        <v>0</v>
      </c>
      <c r="G1864" s="195"/>
      <c r="H1864" s="195"/>
      <c r="I1864" s="196"/>
      <c r="J1864" s="195"/>
      <c r="K1864" s="195"/>
      <c r="L1864" s="195"/>
      <c r="M1864" s="195"/>
      <c r="N1864" s="197"/>
      <c r="O1864" s="195"/>
      <c r="P1864" s="195"/>
      <c r="Q1864" s="195"/>
    </row>
    <row r="1865" spans="1:17">
      <c r="A1865" s="180">
        <f>'רשימת מכשור 2015'!A1864</f>
        <v>0</v>
      </c>
      <c r="B1865" s="180">
        <f>'רשימת מכשור 2015'!B1864</f>
        <v>0</v>
      </c>
      <c r="C1865" s="180">
        <f>'רשימת מכשור 2015'!C1864</f>
        <v>0</v>
      </c>
      <c r="D1865" s="233">
        <f>'רשימת מכשור 2015'!D1864</f>
        <v>0</v>
      </c>
      <c r="E1865" s="180">
        <f>'רשימת מכשור 2015'!E1864</f>
        <v>0</v>
      </c>
      <c r="F1865" s="180">
        <f>'רשימת מכשור 2015'!F1864</f>
        <v>0</v>
      </c>
      <c r="G1865" s="195"/>
      <c r="H1865" s="195"/>
      <c r="I1865" s="196"/>
      <c r="J1865" s="195"/>
      <c r="K1865" s="195"/>
      <c r="L1865" s="195"/>
      <c r="M1865" s="195"/>
      <c r="N1865" s="197"/>
      <c r="O1865" s="195"/>
      <c r="P1865" s="195"/>
      <c r="Q1865" s="195"/>
    </row>
    <row r="1866" spans="1:17">
      <c r="A1866" s="180">
        <f>'רשימת מכשור 2015'!A1865</f>
        <v>0</v>
      </c>
      <c r="B1866" s="180">
        <f>'רשימת מכשור 2015'!B1865</f>
        <v>0</v>
      </c>
      <c r="C1866" s="180">
        <f>'רשימת מכשור 2015'!C1865</f>
        <v>0</v>
      </c>
      <c r="D1866" s="233">
        <f>'רשימת מכשור 2015'!D1865</f>
        <v>0</v>
      </c>
      <c r="E1866" s="180">
        <f>'רשימת מכשור 2015'!E1865</f>
        <v>0</v>
      </c>
      <c r="F1866" s="180">
        <f>'רשימת מכשור 2015'!F1865</f>
        <v>0</v>
      </c>
      <c r="G1866" s="195"/>
      <c r="H1866" s="195"/>
      <c r="I1866" s="196"/>
      <c r="J1866" s="195"/>
      <c r="K1866" s="195"/>
      <c r="L1866" s="195"/>
      <c r="M1866" s="195"/>
      <c r="N1866" s="197"/>
      <c r="O1866" s="195"/>
      <c r="P1866" s="195"/>
      <c r="Q1866" s="195"/>
    </row>
    <row r="1867" spans="1:17">
      <c r="A1867" s="180">
        <f>'רשימת מכשור 2015'!A1866</f>
        <v>0</v>
      </c>
      <c r="B1867" s="180">
        <f>'רשימת מכשור 2015'!B1866</f>
        <v>0</v>
      </c>
      <c r="C1867" s="180">
        <f>'רשימת מכשור 2015'!C1866</f>
        <v>0</v>
      </c>
      <c r="D1867" s="233">
        <f>'רשימת מכשור 2015'!D1866</f>
        <v>0</v>
      </c>
      <c r="E1867" s="180">
        <f>'רשימת מכשור 2015'!E1866</f>
        <v>0</v>
      </c>
      <c r="F1867" s="180">
        <f>'רשימת מכשור 2015'!F1866</f>
        <v>0</v>
      </c>
      <c r="G1867" s="195"/>
      <c r="H1867" s="195"/>
      <c r="I1867" s="196"/>
      <c r="J1867" s="195"/>
      <c r="K1867" s="195"/>
      <c r="L1867" s="195"/>
      <c r="M1867" s="195"/>
      <c r="N1867" s="197"/>
      <c r="O1867" s="195"/>
      <c r="P1867" s="195"/>
      <c r="Q1867" s="195"/>
    </row>
    <row r="1868" spans="1:17">
      <c r="A1868" s="180">
        <f>'רשימת מכשור 2015'!A1867</f>
        <v>0</v>
      </c>
      <c r="B1868" s="180">
        <f>'רשימת מכשור 2015'!B1867</f>
        <v>0</v>
      </c>
      <c r="C1868" s="180">
        <f>'רשימת מכשור 2015'!C1867</f>
        <v>0</v>
      </c>
      <c r="D1868" s="233">
        <f>'רשימת מכשור 2015'!D1867</f>
        <v>0</v>
      </c>
      <c r="E1868" s="180">
        <f>'רשימת מכשור 2015'!E1867</f>
        <v>0</v>
      </c>
      <c r="F1868" s="180">
        <f>'רשימת מכשור 2015'!F1867</f>
        <v>0</v>
      </c>
      <c r="G1868" s="195"/>
      <c r="H1868" s="195"/>
      <c r="I1868" s="196"/>
      <c r="J1868" s="195"/>
      <c r="K1868" s="195"/>
      <c r="L1868" s="195"/>
      <c r="M1868" s="195"/>
      <c r="N1868" s="197"/>
      <c r="O1868" s="195"/>
      <c r="P1868" s="195"/>
      <c r="Q1868" s="195"/>
    </row>
    <row r="1869" spans="1:17">
      <c r="A1869" s="180">
        <f>'רשימת מכשור 2015'!A1868</f>
        <v>0</v>
      </c>
      <c r="B1869" s="180">
        <f>'רשימת מכשור 2015'!B1868</f>
        <v>0</v>
      </c>
      <c r="C1869" s="180">
        <f>'רשימת מכשור 2015'!C1868</f>
        <v>0</v>
      </c>
      <c r="D1869" s="233">
        <f>'רשימת מכשור 2015'!D1868</f>
        <v>0</v>
      </c>
      <c r="E1869" s="180">
        <f>'רשימת מכשור 2015'!E1868</f>
        <v>0</v>
      </c>
      <c r="F1869" s="180">
        <f>'רשימת מכשור 2015'!F1868</f>
        <v>0</v>
      </c>
      <c r="G1869" s="195"/>
      <c r="H1869" s="195"/>
      <c r="I1869" s="196"/>
      <c r="J1869" s="195"/>
      <c r="K1869" s="195"/>
      <c r="L1869" s="195"/>
      <c r="M1869" s="195"/>
      <c r="N1869" s="197"/>
      <c r="O1869" s="195"/>
      <c r="P1869" s="195"/>
      <c r="Q1869" s="195"/>
    </row>
    <row r="1870" spans="1:17">
      <c r="A1870" s="180">
        <f>'רשימת מכשור 2015'!A1869</f>
        <v>0</v>
      </c>
      <c r="B1870" s="180">
        <f>'רשימת מכשור 2015'!B1869</f>
        <v>0</v>
      </c>
      <c r="C1870" s="180">
        <f>'רשימת מכשור 2015'!C1869</f>
        <v>0</v>
      </c>
      <c r="D1870" s="233">
        <f>'רשימת מכשור 2015'!D1869</f>
        <v>0</v>
      </c>
      <c r="E1870" s="180">
        <f>'רשימת מכשור 2015'!E1869</f>
        <v>0</v>
      </c>
      <c r="F1870" s="180">
        <f>'רשימת מכשור 2015'!F1869</f>
        <v>0</v>
      </c>
      <c r="G1870" s="195"/>
      <c r="H1870" s="195"/>
      <c r="I1870" s="196"/>
      <c r="J1870" s="195"/>
      <c r="K1870" s="195"/>
      <c r="L1870" s="195"/>
      <c r="M1870" s="195"/>
      <c r="N1870" s="197"/>
      <c r="O1870" s="195"/>
      <c r="P1870" s="195"/>
      <c r="Q1870" s="195"/>
    </row>
    <row r="1871" spans="1:17">
      <c r="A1871" s="180">
        <f>'רשימת מכשור 2015'!A1870</f>
        <v>0</v>
      </c>
      <c r="B1871" s="180">
        <f>'רשימת מכשור 2015'!B1870</f>
        <v>0</v>
      </c>
      <c r="C1871" s="180">
        <f>'רשימת מכשור 2015'!C1870</f>
        <v>0</v>
      </c>
      <c r="D1871" s="233">
        <f>'רשימת מכשור 2015'!D1870</f>
        <v>0</v>
      </c>
      <c r="E1871" s="180">
        <f>'רשימת מכשור 2015'!E1870</f>
        <v>0</v>
      </c>
      <c r="F1871" s="180">
        <f>'רשימת מכשור 2015'!F1870</f>
        <v>0</v>
      </c>
      <c r="G1871" s="195"/>
      <c r="H1871" s="195"/>
      <c r="I1871" s="196"/>
      <c r="J1871" s="195"/>
      <c r="K1871" s="195"/>
      <c r="L1871" s="195"/>
      <c r="M1871" s="195"/>
      <c r="N1871" s="197"/>
      <c r="O1871" s="195"/>
      <c r="P1871" s="195"/>
      <c r="Q1871" s="195"/>
    </row>
    <row r="1872" spans="1:17">
      <c r="A1872" s="180">
        <f>'רשימת מכשור 2015'!A1871</f>
        <v>0</v>
      </c>
      <c r="B1872" s="180">
        <f>'רשימת מכשור 2015'!B1871</f>
        <v>0</v>
      </c>
      <c r="C1872" s="180">
        <f>'רשימת מכשור 2015'!C1871</f>
        <v>0</v>
      </c>
      <c r="D1872" s="233">
        <f>'רשימת מכשור 2015'!D1871</f>
        <v>0</v>
      </c>
      <c r="E1872" s="180">
        <f>'רשימת מכשור 2015'!E1871</f>
        <v>0</v>
      </c>
      <c r="F1872" s="180">
        <f>'רשימת מכשור 2015'!F1871</f>
        <v>0</v>
      </c>
      <c r="G1872" s="195"/>
      <c r="H1872" s="195"/>
      <c r="I1872" s="196"/>
      <c r="J1872" s="195"/>
      <c r="K1872" s="195"/>
      <c r="L1872" s="195"/>
      <c r="M1872" s="195"/>
      <c r="N1872" s="197"/>
      <c r="O1872" s="195"/>
      <c r="P1872" s="195"/>
      <c r="Q1872" s="195"/>
    </row>
    <row r="1873" spans="1:17">
      <c r="A1873" s="180">
        <f>'רשימת מכשור 2015'!A1872</f>
        <v>0</v>
      </c>
      <c r="B1873" s="180">
        <f>'רשימת מכשור 2015'!B1872</f>
        <v>0</v>
      </c>
      <c r="C1873" s="180">
        <f>'רשימת מכשור 2015'!C1872</f>
        <v>0</v>
      </c>
      <c r="D1873" s="233">
        <f>'רשימת מכשור 2015'!D1872</f>
        <v>0</v>
      </c>
      <c r="E1873" s="180">
        <f>'רשימת מכשור 2015'!E1872</f>
        <v>0</v>
      </c>
      <c r="F1873" s="180">
        <f>'רשימת מכשור 2015'!F1872</f>
        <v>0</v>
      </c>
      <c r="G1873" s="195"/>
      <c r="H1873" s="195"/>
      <c r="I1873" s="196"/>
      <c r="J1873" s="195"/>
      <c r="K1873" s="195"/>
      <c r="L1873" s="195"/>
      <c r="M1873" s="195"/>
      <c r="N1873" s="197"/>
      <c r="O1873" s="195"/>
      <c r="P1873" s="195"/>
      <c r="Q1873" s="195"/>
    </row>
    <row r="1874" spans="1:17">
      <c r="A1874" s="180">
        <f>'רשימת מכשור 2015'!A1873</f>
        <v>0</v>
      </c>
      <c r="B1874" s="180">
        <f>'רשימת מכשור 2015'!B1873</f>
        <v>0</v>
      </c>
      <c r="C1874" s="180">
        <f>'רשימת מכשור 2015'!C1873</f>
        <v>0</v>
      </c>
      <c r="D1874" s="233">
        <f>'רשימת מכשור 2015'!D1873</f>
        <v>0</v>
      </c>
      <c r="E1874" s="180">
        <f>'רשימת מכשור 2015'!E1873</f>
        <v>0</v>
      </c>
      <c r="F1874" s="180">
        <f>'רשימת מכשור 2015'!F1873</f>
        <v>0</v>
      </c>
      <c r="G1874" s="195"/>
      <c r="H1874" s="195"/>
      <c r="I1874" s="196"/>
      <c r="J1874" s="195"/>
      <c r="K1874" s="195"/>
      <c r="L1874" s="195"/>
      <c r="M1874" s="195"/>
      <c r="N1874" s="197"/>
      <c r="O1874" s="195"/>
      <c r="P1874" s="195"/>
      <c r="Q1874" s="195"/>
    </row>
    <row r="1875" spans="1:17">
      <c r="A1875" s="180">
        <f>'רשימת מכשור 2015'!A1874</f>
        <v>0</v>
      </c>
      <c r="B1875" s="180">
        <f>'רשימת מכשור 2015'!B1874</f>
        <v>0</v>
      </c>
      <c r="C1875" s="180">
        <f>'רשימת מכשור 2015'!C1874</f>
        <v>0</v>
      </c>
      <c r="D1875" s="233">
        <f>'רשימת מכשור 2015'!D1874</f>
        <v>0</v>
      </c>
      <c r="E1875" s="180">
        <f>'רשימת מכשור 2015'!E1874</f>
        <v>0</v>
      </c>
      <c r="F1875" s="180">
        <f>'רשימת מכשור 2015'!F1874</f>
        <v>0</v>
      </c>
      <c r="G1875" s="195"/>
      <c r="H1875" s="195"/>
      <c r="I1875" s="196"/>
      <c r="J1875" s="195"/>
      <c r="K1875" s="195"/>
      <c r="L1875" s="195"/>
      <c r="M1875" s="195"/>
      <c r="N1875" s="197"/>
      <c r="O1875" s="195"/>
      <c r="P1875" s="195"/>
      <c r="Q1875" s="195"/>
    </row>
    <row r="1876" spans="1:17">
      <c r="A1876" s="180">
        <f>'רשימת מכשור 2015'!A1875</f>
        <v>0</v>
      </c>
      <c r="B1876" s="180">
        <f>'רשימת מכשור 2015'!B1875</f>
        <v>0</v>
      </c>
      <c r="C1876" s="180">
        <f>'רשימת מכשור 2015'!C1875</f>
        <v>0</v>
      </c>
      <c r="D1876" s="233">
        <f>'רשימת מכשור 2015'!D1875</f>
        <v>0</v>
      </c>
      <c r="E1876" s="180">
        <f>'רשימת מכשור 2015'!E1875</f>
        <v>0</v>
      </c>
      <c r="F1876" s="180">
        <f>'רשימת מכשור 2015'!F1875</f>
        <v>0</v>
      </c>
      <c r="G1876" s="195"/>
      <c r="H1876" s="195"/>
      <c r="I1876" s="196"/>
      <c r="J1876" s="195"/>
      <c r="K1876" s="195"/>
      <c r="L1876" s="195"/>
      <c r="M1876" s="195"/>
      <c r="N1876" s="197"/>
      <c r="O1876" s="195"/>
      <c r="P1876" s="195"/>
      <c r="Q1876" s="195"/>
    </row>
    <row r="1877" spans="1:17">
      <c r="A1877" s="180">
        <f>'רשימת מכשור 2015'!A1876</f>
        <v>0</v>
      </c>
      <c r="B1877" s="180">
        <f>'רשימת מכשור 2015'!B1876</f>
        <v>0</v>
      </c>
      <c r="C1877" s="180">
        <f>'רשימת מכשור 2015'!C1876</f>
        <v>0</v>
      </c>
      <c r="D1877" s="233">
        <f>'רשימת מכשור 2015'!D1876</f>
        <v>0</v>
      </c>
      <c r="E1877" s="180">
        <f>'רשימת מכשור 2015'!E1876</f>
        <v>0</v>
      </c>
      <c r="F1877" s="180">
        <f>'רשימת מכשור 2015'!F1876</f>
        <v>0</v>
      </c>
      <c r="G1877" s="195"/>
      <c r="H1877" s="195"/>
      <c r="I1877" s="196"/>
      <c r="J1877" s="195"/>
      <c r="K1877" s="195"/>
      <c r="L1877" s="195"/>
      <c r="M1877" s="195"/>
      <c r="N1877" s="197"/>
      <c r="O1877" s="195"/>
      <c r="P1877" s="195"/>
      <c r="Q1877" s="195"/>
    </row>
    <row r="1878" spans="1:17">
      <c r="A1878" s="180">
        <f>'רשימת מכשור 2015'!A1877</f>
        <v>0</v>
      </c>
      <c r="B1878" s="180">
        <f>'רשימת מכשור 2015'!B1877</f>
        <v>0</v>
      </c>
      <c r="C1878" s="180">
        <f>'רשימת מכשור 2015'!C1877</f>
        <v>0</v>
      </c>
      <c r="D1878" s="233">
        <f>'רשימת מכשור 2015'!D1877</f>
        <v>0</v>
      </c>
      <c r="E1878" s="180">
        <f>'רשימת מכשור 2015'!E1877</f>
        <v>0</v>
      </c>
      <c r="F1878" s="180">
        <f>'רשימת מכשור 2015'!F1877</f>
        <v>0</v>
      </c>
      <c r="G1878" s="195"/>
      <c r="H1878" s="195"/>
      <c r="I1878" s="196"/>
      <c r="J1878" s="195"/>
      <c r="K1878" s="195"/>
      <c r="L1878" s="195"/>
      <c r="M1878" s="195"/>
      <c r="N1878" s="197"/>
      <c r="O1878" s="195"/>
      <c r="P1878" s="195"/>
      <c r="Q1878" s="195"/>
    </row>
    <row r="1879" spans="1:17">
      <c r="A1879" s="180">
        <f>'רשימת מכשור 2015'!A1878</f>
        <v>0</v>
      </c>
      <c r="B1879" s="180">
        <f>'רשימת מכשור 2015'!B1878</f>
        <v>0</v>
      </c>
      <c r="C1879" s="180">
        <f>'רשימת מכשור 2015'!C1878</f>
        <v>0</v>
      </c>
      <c r="D1879" s="233">
        <f>'רשימת מכשור 2015'!D1878</f>
        <v>0</v>
      </c>
      <c r="E1879" s="180">
        <f>'רשימת מכשור 2015'!E1878</f>
        <v>0</v>
      </c>
      <c r="F1879" s="180">
        <f>'רשימת מכשור 2015'!F1878</f>
        <v>0</v>
      </c>
      <c r="G1879" s="195"/>
      <c r="H1879" s="195"/>
      <c r="I1879" s="196"/>
      <c r="J1879" s="195"/>
      <c r="K1879" s="195"/>
      <c r="L1879" s="195"/>
      <c r="M1879" s="195"/>
      <c r="N1879" s="197"/>
      <c r="O1879" s="195"/>
      <c r="P1879" s="195"/>
      <c r="Q1879" s="195"/>
    </row>
    <row r="1880" spans="1:17">
      <c r="A1880" s="180">
        <f>'רשימת מכשור 2015'!A1879</f>
        <v>0</v>
      </c>
      <c r="B1880" s="180">
        <f>'רשימת מכשור 2015'!B1879</f>
        <v>0</v>
      </c>
      <c r="C1880" s="180">
        <f>'רשימת מכשור 2015'!C1879</f>
        <v>0</v>
      </c>
      <c r="D1880" s="233">
        <f>'רשימת מכשור 2015'!D1879</f>
        <v>0</v>
      </c>
      <c r="E1880" s="180">
        <f>'רשימת מכשור 2015'!E1879</f>
        <v>0</v>
      </c>
      <c r="F1880" s="180">
        <f>'רשימת מכשור 2015'!F1879</f>
        <v>0</v>
      </c>
      <c r="G1880" s="195"/>
      <c r="H1880" s="195"/>
      <c r="I1880" s="196"/>
      <c r="J1880" s="195"/>
      <c r="K1880" s="195"/>
      <c r="L1880" s="195"/>
      <c r="M1880" s="195"/>
      <c r="N1880" s="197"/>
      <c r="O1880" s="195"/>
      <c r="P1880" s="195"/>
      <c r="Q1880" s="195"/>
    </row>
    <row r="1881" spans="1:17">
      <c r="A1881" s="180">
        <f>'רשימת מכשור 2015'!A1880</f>
        <v>0</v>
      </c>
      <c r="B1881" s="180">
        <f>'רשימת מכשור 2015'!B1880</f>
        <v>0</v>
      </c>
      <c r="C1881" s="180">
        <f>'רשימת מכשור 2015'!C1880</f>
        <v>0</v>
      </c>
      <c r="D1881" s="233">
        <f>'רשימת מכשור 2015'!D1880</f>
        <v>0</v>
      </c>
      <c r="E1881" s="180">
        <f>'רשימת מכשור 2015'!E1880</f>
        <v>0</v>
      </c>
      <c r="F1881" s="180">
        <f>'רשימת מכשור 2015'!F1880</f>
        <v>0</v>
      </c>
      <c r="G1881" s="195"/>
      <c r="H1881" s="195"/>
      <c r="I1881" s="196"/>
      <c r="J1881" s="195"/>
      <c r="K1881" s="195"/>
      <c r="L1881" s="195"/>
      <c r="M1881" s="195"/>
      <c r="N1881" s="197"/>
      <c r="O1881" s="195"/>
      <c r="P1881" s="195"/>
      <c r="Q1881" s="195"/>
    </row>
    <row r="1882" spans="1:17">
      <c r="A1882" s="180">
        <f>'רשימת מכשור 2015'!A1881</f>
        <v>0</v>
      </c>
      <c r="B1882" s="180">
        <f>'רשימת מכשור 2015'!B1881</f>
        <v>0</v>
      </c>
      <c r="C1882" s="180">
        <f>'רשימת מכשור 2015'!C1881</f>
        <v>0</v>
      </c>
      <c r="D1882" s="233">
        <f>'רשימת מכשור 2015'!D1881</f>
        <v>0</v>
      </c>
      <c r="E1882" s="180">
        <f>'רשימת מכשור 2015'!E1881</f>
        <v>0</v>
      </c>
      <c r="F1882" s="180">
        <f>'רשימת מכשור 2015'!F1881</f>
        <v>0</v>
      </c>
      <c r="G1882" s="195"/>
      <c r="H1882" s="195"/>
      <c r="I1882" s="196"/>
      <c r="J1882" s="195"/>
      <c r="K1882" s="195"/>
      <c r="L1882" s="195"/>
      <c r="M1882" s="195"/>
      <c r="N1882" s="197"/>
      <c r="O1882" s="195"/>
      <c r="P1882" s="195"/>
      <c r="Q1882" s="195"/>
    </row>
    <row r="1883" spans="1:17">
      <c r="A1883" s="180">
        <f>'רשימת מכשור 2015'!A1882</f>
        <v>0</v>
      </c>
      <c r="B1883" s="180">
        <f>'רשימת מכשור 2015'!B1882</f>
        <v>0</v>
      </c>
      <c r="C1883" s="180">
        <f>'רשימת מכשור 2015'!C1882</f>
        <v>0</v>
      </c>
      <c r="D1883" s="233">
        <f>'רשימת מכשור 2015'!D1882</f>
        <v>0</v>
      </c>
      <c r="E1883" s="180">
        <f>'רשימת מכשור 2015'!E1882</f>
        <v>0</v>
      </c>
      <c r="F1883" s="180">
        <f>'רשימת מכשור 2015'!F1882</f>
        <v>0</v>
      </c>
      <c r="G1883" s="195"/>
      <c r="H1883" s="195"/>
      <c r="I1883" s="196"/>
      <c r="J1883" s="195"/>
      <c r="K1883" s="195"/>
      <c r="L1883" s="195"/>
      <c r="M1883" s="195"/>
      <c r="N1883" s="197"/>
      <c r="O1883" s="195"/>
      <c r="P1883" s="195"/>
      <c r="Q1883" s="195"/>
    </row>
    <row r="1884" spans="1:17">
      <c r="A1884" s="180">
        <f>'רשימת מכשור 2015'!A1883</f>
        <v>0</v>
      </c>
      <c r="B1884" s="180">
        <f>'רשימת מכשור 2015'!B1883</f>
        <v>0</v>
      </c>
      <c r="C1884" s="180">
        <f>'רשימת מכשור 2015'!C1883</f>
        <v>0</v>
      </c>
      <c r="D1884" s="233">
        <f>'רשימת מכשור 2015'!D1883</f>
        <v>0</v>
      </c>
      <c r="E1884" s="180">
        <f>'רשימת מכשור 2015'!E1883</f>
        <v>0</v>
      </c>
      <c r="F1884" s="180">
        <f>'רשימת מכשור 2015'!F1883</f>
        <v>0</v>
      </c>
      <c r="G1884" s="195"/>
      <c r="H1884" s="195"/>
      <c r="I1884" s="196"/>
      <c r="J1884" s="195"/>
      <c r="K1884" s="195"/>
      <c r="L1884" s="195"/>
      <c r="M1884" s="195"/>
      <c r="N1884" s="197"/>
      <c r="O1884" s="195"/>
      <c r="P1884" s="195"/>
      <c r="Q1884" s="195"/>
    </row>
    <row r="1885" spans="1:17">
      <c r="A1885" s="180">
        <f>'רשימת מכשור 2015'!A1884</f>
        <v>0</v>
      </c>
      <c r="B1885" s="180">
        <f>'רשימת מכשור 2015'!B1884</f>
        <v>0</v>
      </c>
      <c r="C1885" s="180">
        <f>'רשימת מכשור 2015'!C1884</f>
        <v>0</v>
      </c>
      <c r="D1885" s="233">
        <f>'רשימת מכשור 2015'!D1884</f>
        <v>0</v>
      </c>
      <c r="E1885" s="180">
        <f>'רשימת מכשור 2015'!E1884</f>
        <v>0</v>
      </c>
      <c r="F1885" s="180">
        <f>'רשימת מכשור 2015'!F1884</f>
        <v>0</v>
      </c>
      <c r="G1885" s="195"/>
      <c r="H1885" s="195"/>
      <c r="I1885" s="196"/>
      <c r="J1885" s="195"/>
      <c r="K1885" s="195"/>
      <c r="L1885" s="195"/>
      <c r="M1885" s="195"/>
      <c r="N1885" s="197"/>
      <c r="O1885" s="195"/>
      <c r="P1885" s="195"/>
      <c r="Q1885" s="195"/>
    </row>
    <row r="1886" spans="1:17">
      <c r="A1886" s="180">
        <f>'רשימת מכשור 2015'!A1885</f>
        <v>0</v>
      </c>
      <c r="B1886" s="180">
        <f>'רשימת מכשור 2015'!B1885</f>
        <v>0</v>
      </c>
      <c r="C1886" s="180">
        <f>'רשימת מכשור 2015'!C1885</f>
        <v>0</v>
      </c>
      <c r="D1886" s="233">
        <f>'רשימת מכשור 2015'!D1885</f>
        <v>0</v>
      </c>
      <c r="E1886" s="180">
        <f>'רשימת מכשור 2015'!E1885</f>
        <v>0</v>
      </c>
      <c r="F1886" s="180">
        <f>'רשימת מכשור 2015'!F1885</f>
        <v>0</v>
      </c>
      <c r="G1886" s="195"/>
      <c r="H1886" s="195"/>
      <c r="I1886" s="196"/>
      <c r="J1886" s="195"/>
      <c r="K1886" s="195"/>
      <c r="L1886" s="195"/>
      <c r="M1886" s="195"/>
      <c r="N1886" s="197"/>
      <c r="O1886" s="195"/>
      <c r="P1886" s="195"/>
      <c r="Q1886" s="195"/>
    </row>
    <row r="1887" spans="1:17">
      <c r="A1887" s="180">
        <f>'רשימת מכשור 2015'!A1886</f>
        <v>0</v>
      </c>
      <c r="B1887" s="180">
        <f>'רשימת מכשור 2015'!B1886</f>
        <v>0</v>
      </c>
      <c r="C1887" s="180">
        <f>'רשימת מכשור 2015'!C1886</f>
        <v>0</v>
      </c>
      <c r="D1887" s="233">
        <f>'רשימת מכשור 2015'!D1886</f>
        <v>0</v>
      </c>
      <c r="E1887" s="180">
        <f>'רשימת מכשור 2015'!E1886</f>
        <v>0</v>
      </c>
      <c r="F1887" s="180">
        <f>'רשימת מכשור 2015'!F1886</f>
        <v>0</v>
      </c>
      <c r="G1887" s="195"/>
      <c r="H1887" s="195"/>
      <c r="I1887" s="196"/>
      <c r="J1887" s="195"/>
      <c r="K1887" s="195"/>
      <c r="L1887" s="195"/>
      <c r="M1887" s="195"/>
      <c r="N1887" s="197"/>
      <c r="O1887" s="195"/>
      <c r="P1887" s="195"/>
      <c r="Q1887" s="195"/>
    </row>
    <row r="1888" spans="1:17">
      <c r="A1888" s="180">
        <f>'רשימת מכשור 2015'!A1887</f>
        <v>0</v>
      </c>
      <c r="B1888" s="180">
        <f>'רשימת מכשור 2015'!B1887</f>
        <v>0</v>
      </c>
      <c r="C1888" s="180">
        <f>'רשימת מכשור 2015'!C1887</f>
        <v>0</v>
      </c>
      <c r="D1888" s="233">
        <f>'רשימת מכשור 2015'!D1887</f>
        <v>0</v>
      </c>
      <c r="E1888" s="180">
        <f>'רשימת מכשור 2015'!E1887</f>
        <v>0</v>
      </c>
      <c r="F1888" s="180">
        <f>'רשימת מכשור 2015'!F1887</f>
        <v>0</v>
      </c>
      <c r="G1888" s="195"/>
      <c r="H1888" s="195"/>
      <c r="I1888" s="196"/>
      <c r="J1888" s="195"/>
      <c r="K1888" s="195"/>
      <c r="L1888" s="195"/>
      <c r="M1888" s="195"/>
      <c r="N1888" s="197"/>
      <c r="O1888" s="195"/>
      <c r="P1888" s="195"/>
      <c r="Q1888" s="195"/>
    </row>
    <row r="1889" spans="1:17">
      <c r="A1889" s="180">
        <f>'רשימת מכשור 2015'!A1888</f>
        <v>0</v>
      </c>
      <c r="B1889" s="180">
        <f>'רשימת מכשור 2015'!B1888</f>
        <v>0</v>
      </c>
      <c r="C1889" s="180">
        <f>'רשימת מכשור 2015'!C1888</f>
        <v>0</v>
      </c>
      <c r="D1889" s="233">
        <f>'רשימת מכשור 2015'!D1888</f>
        <v>0</v>
      </c>
      <c r="E1889" s="180">
        <f>'רשימת מכשור 2015'!E1888</f>
        <v>0</v>
      </c>
      <c r="F1889" s="180">
        <f>'רשימת מכשור 2015'!F1888</f>
        <v>0</v>
      </c>
      <c r="G1889" s="195"/>
      <c r="H1889" s="195"/>
      <c r="I1889" s="196"/>
      <c r="J1889" s="195"/>
      <c r="K1889" s="195"/>
      <c r="L1889" s="195"/>
      <c r="M1889" s="195"/>
      <c r="N1889" s="197"/>
      <c r="O1889" s="195"/>
      <c r="P1889" s="195"/>
      <c r="Q1889" s="195"/>
    </row>
    <row r="1890" spans="1:17">
      <c r="A1890" s="180">
        <f>'רשימת מכשור 2015'!A1889</f>
        <v>0</v>
      </c>
      <c r="B1890" s="180">
        <f>'רשימת מכשור 2015'!B1889</f>
        <v>0</v>
      </c>
      <c r="C1890" s="180">
        <f>'רשימת מכשור 2015'!C1889</f>
        <v>0</v>
      </c>
      <c r="D1890" s="233">
        <f>'רשימת מכשור 2015'!D1889</f>
        <v>0</v>
      </c>
      <c r="E1890" s="180">
        <f>'רשימת מכשור 2015'!E1889</f>
        <v>0</v>
      </c>
      <c r="F1890" s="180">
        <f>'רשימת מכשור 2015'!F1889</f>
        <v>0</v>
      </c>
      <c r="G1890" s="195"/>
      <c r="H1890" s="195"/>
      <c r="I1890" s="196"/>
      <c r="J1890" s="195"/>
      <c r="K1890" s="195"/>
      <c r="L1890" s="195"/>
      <c r="M1890" s="195"/>
      <c r="N1890" s="197"/>
      <c r="O1890" s="195"/>
      <c r="P1890" s="195"/>
      <c r="Q1890" s="195"/>
    </row>
    <row r="1891" spans="1:17">
      <c r="A1891" s="180">
        <f>'רשימת מכשור 2015'!A1890</f>
        <v>0</v>
      </c>
      <c r="B1891" s="180">
        <f>'רשימת מכשור 2015'!B1890</f>
        <v>0</v>
      </c>
      <c r="C1891" s="180">
        <f>'רשימת מכשור 2015'!C1890</f>
        <v>0</v>
      </c>
      <c r="D1891" s="233">
        <f>'רשימת מכשור 2015'!D1890</f>
        <v>0</v>
      </c>
      <c r="E1891" s="180">
        <f>'רשימת מכשור 2015'!E1890</f>
        <v>0</v>
      </c>
      <c r="F1891" s="180">
        <f>'רשימת מכשור 2015'!F1890</f>
        <v>0</v>
      </c>
      <c r="G1891" s="195"/>
      <c r="H1891" s="195"/>
      <c r="I1891" s="196"/>
      <c r="J1891" s="195"/>
      <c r="K1891" s="195"/>
      <c r="L1891" s="195"/>
      <c r="M1891" s="195"/>
      <c r="N1891" s="197"/>
      <c r="O1891" s="195"/>
      <c r="P1891" s="195"/>
      <c r="Q1891" s="195"/>
    </row>
    <row r="1892" spans="1:17">
      <c r="A1892" s="180">
        <f>'רשימת מכשור 2015'!A1891</f>
        <v>0</v>
      </c>
      <c r="B1892" s="180">
        <f>'רשימת מכשור 2015'!B1891</f>
        <v>0</v>
      </c>
      <c r="C1892" s="180">
        <f>'רשימת מכשור 2015'!C1891</f>
        <v>0</v>
      </c>
      <c r="D1892" s="233">
        <f>'רשימת מכשור 2015'!D1891</f>
        <v>0</v>
      </c>
      <c r="E1892" s="180">
        <f>'רשימת מכשור 2015'!E1891</f>
        <v>0</v>
      </c>
      <c r="F1892" s="180">
        <f>'רשימת מכשור 2015'!F1891</f>
        <v>0</v>
      </c>
      <c r="G1892" s="195"/>
      <c r="H1892" s="195"/>
      <c r="I1892" s="196"/>
      <c r="J1892" s="195"/>
      <c r="K1892" s="195"/>
      <c r="L1892" s="195"/>
      <c r="M1892" s="195"/>
      <c r="N1892" s="197"/>
      <c r="O1892" s="195"/>
      <c r="P1892" s="195"/>
      <c r="Q1892" s="195"/>
    </row>
    <row r="1893" spans="1:17">
      <c r="A1893" s="180">
        <f>'רשימת מכשור 2015'!A1892</f>
        <v>0</v>
      </c>
      <c r="B1893" s="180">
        <f>'רשימת מכשור 2015'!B1892</f>
        <v>0</v>
      </c>
      <c r="C1893" s="180">
        <f>'רשימת מכשור 2015'!C1892</f>
        <v>0</v>
      </c>
      <c r="D1893" s="233">
        <f>'רשימת מכשור 2015'!D1892</f>
        <v>0</v>
      </c>
      <c r="E1893" s="180">
        <f>'רשימת מכשור 2015'!E1892</f>
        <v>0</v>
      </c>
      <c r="F1893" s="180">
        <f>'רשימת מכשור 2015'!F1892</f>
        <v>0</v>
      </c>
      <c r="G1893" s="195"/>
      <c r="H1893" s="195"/>
      <c r="I1893" s="196"/>
      <c r="J1893" s="195"/>
      <c r="K1893" s="195"/>
      <c r="L1893" s="195"/>
      <c r="M1893" s="195"/>
      <c r="N1893" s="197"/>
      <c r="O1893" s="195"/>
      <c r="P1893" s="195"/>
      <c r="Q1893" s="195"/>
    </row>
    <row r="1894" spans="1:17">
      <c r="A1894" s="180">
        <f>'רשימת מכשור 2015'!A1893</f>
        <v>0</v>
      </c>
      <c r="B1894" s="180">
        <f>'רשימת מכשור 2015'!B1893</f>
        <v>0</v>
      </c>
      <c r="C1894" s="180">
        <f>'רשימת מכשור 2015'!C1893</f>
        <v>0</v>
      </c>
      <c r="D1894" s="233">
        <f>'רשימת מכשור 2015'!D1893</f>
        <v>0</v>
      </c>
      <c r="E1894" s="180">
        <f>'רשימת מכשור 2015'!E1893</f>
        <v>0</v>
      </c>
      <c r="F1894" s="180">
        <f>'רשימת מכשור 2015'!F1893</f>
        <v>0</v>
      </c>
      <c r="G1894" s="195"/>
      <c r="H1894" s="195"/>
      <c r="I1894" s="196"/>
      <c r="J1894" s="195"/>
      <c r="K1894" s="195"/>
      <c r="L1894" s="195"/>
      <c r="M1894" s="195"/>
      <c r="N1894" s="197"/>
      <c r="O1894" s="195"/>
      <c r="P1894" s="195"/>
      <c r="Q1894" s="195"/>
    </row>
    <row r="1895" spans="1:17">
      <c r="A1895" s="180">
        <f>'רשימת מכשור 2015'!A1894</f>
        <v>0</v>
      </c>
      <c r="B1895" s="180">
        <f>'רשימת מכשור 2015'!B1894</f>
        <v>0</v>
      </c>
      <c r="C1895" s="180">
        <f>'רשימת מכשור 2015'!C1894</f>
        <v>0</v>
      </c>
      <c r="D1895" s="233">
        <f>'רשימת מכשור 2015'!D1894</f>
        <v>0</v>
      </c>
      <c r="E1895" s="180">
        <f>'רשימת מכשור 2015'!E1894</f>
        <v>0</v>
      </c>
      <c r="F1895" s="180">
        <f>'רשימת מכשור 2015'!F1894</f>
        <v>0</v>
      </c>
      <c r="G1895" s="195"/>
      <c r="H1895" s="195"/>
      <c r="I1895" s="196"/>
      <c r="J1895" s="195"/>
      <c r="K1895" s="195"/>
      <c r="L1895" s="195"/>
      <c r="M1895" s="195"/>
      <c r="N1895" s="197"/>
      <c r="O1895" s="195"/>
      <c r="P1895" s="195"/>
      <c r="Q1895" s="195"/>
    </row>
    <row r="1896" spans="1:17">
      <c r="A1896" s="180">
        <f>'רשימת מכשור 2015'!A1895</f>
        <v>0</v>
      </c>
      <c r="B1896" s="180">
        <f>'רשימת מכשור 2015'!B1895</f>
        <v>0</v>
      </c>
      <c r="C1896" s="180">
        <f>'רשימת מכשור 2015'!C1895</f>
        <v>0</v>
      </c>
      <c r="D1896" s="233">
        <f>'רשימת מכשור 2015'!D1895</f>
        <v>0</v>
      </c>
      <c r="E1896" s="180">
        <f>'רשימת מכשור 2015'!E1895</f>
        <v>0</v>
      </c>
      <c r="F1896" s="180">
        <f>'רשימת מכשור 2015'!F1895</f>
        <v>0</v>
      </c>
      <c r="G1896" s="195"/>
      <c r="H1896" s="195"/>
      <c r="I1896" s="196"/>
      <c r="J1896" s="195"/>
      <c r="K1896" s="195"/>
      <c r="L1896" s="195"/>
      <c r="M1896" s="195"/>
      <c r="N1896" s="197"/>
      <c r="O1896" s="195"/>
      <c r="P1896" s="195"/>
      <c r="Q1896" s="195"/>
    </row>
    <row r="1897" spans="1:17">
      <c r="A1897" s="180">
        <f>'רשימת מכשור 2015'!A1896</f>
        <v>0</v>
      </c>
      <c r="B1897" s="180">
        <f>'רשימת מכשור 2015'!B1896</f>
        <v>0</v>
      </c>
      <c r="C1897" s="180">
        <f>'רשימת מכשור 2015'!C1896</f>
        <v>0</v>
      </c>
      <c r="D1897" s="233">
        <f>'רשימת מכשור 2015'!D1896</f>
        <v>0</v>
      </c>
      <c r="E1897" s="180">
        <f>'רשימת מכשור 2015'!E1896</f>
        <v>0</v>
      </c>
      <c r="F1897" s="180">
        <f>'רשימת מכשור 2015'!F1896</f>
        <v>0</v>
      </c>
      <c r="G1897" s="195"/>
      <c r="H1897" s="195"/>
      <c r="I1897" s="196"/>
      <c r="J1897" s="195"/>
      <c r="K1897" s="195"/>
      <c r="L1897" s="195"/>
      <c r="M1897" s="195"/>
      <c r="N1897" s="197"/>
      <c r="O1897" s="195"/>
      <c r="P1897" s="195"/>
      <c r="Q1897" s="195"/>
    </row>
    <row r="1898" spans="1:17">
      <c r="A1898" s="180">
        <f>'רשימת מכשור 2015'!A1897</f>
        <v>0</v>
      </c>
      <c r="B1898" s="180">
        <f>'רשימת מכשור 2015'!B1897</f>
        <v>0</v>
      </c>
      <c r="C1898" s="180">
        <f>'רשימת מכשור 2015'!C1897</f>
        <v>0</v>
      </c>
      <c r="D1898" s="233">
        <f>'רשימת מכשור 2015'!D1897</f>
        <v>0</v>
      </c>
      <c r="E1898" s="180">
        <f>'רשימת מכשור 2015'!E1897</f>
        <v>0</v>
      </c>
      <c r="F1898" s="180">
        <f>'רשימת מכשור 2015'!F1897</f>
        <v>0</v>
      </c>
      <c r="G1898" s="195"/>
      <c r="H1898" s="195"/>
      <c r="I1898" s="196"/>
      <c r="J1898" s="195"/>
      <c r="K1898" s="195"/>
      <c r="L1898" s="195"/>
      <c r="M1898" s="195"/>
      <c r="N1898" s="197"/>
      <c r="O1898" s="195"/>
      <c r="P1898" s="195"/>
      <c r="Q1898" s="195"/>
    </row>
    <row r="1899" spans="1:17">
      <c r="A1899" s="180">
        <f>'רשימת מכשור 2015'!A1898</f>
        <v>0</v>
      </c>
      <c r="B1899" s="180">
        <f>'רשימת מכשור 2015'!B1898</f>
        <v>0</v>
      </c>
      <c r="C1899" s="180">
        <f>'רשימת מכשור 2015'!C1898</f>
        <v>0</v>
      </c>
      <c r="D1899" s="233">
        <f>'רשימת מכשור 2015'!D1898</f>
        <v>0</v>
      </c>
      <c r="E1899" s="180">
        <f>'רשימת מכשור 2015'!E1898</f>
        <v>0</v>
      </c>
      <c r="F1899" s="180">
        <f>'רשימת מכשור 2015'!F1898</f>
        <v>0</v>
      </c>
      <c r="G1899" s="195"/>
      <c r="H1899" s="195"/>
      <c r="I1899" s="196"/>
      <c r="J1899" s="195"/>
      <c r="K1899" s="195"/>
      <c r="L1899" s="195"/>
      <c r="M1899" s="195"/>
      <c r="N1899" s="197"/>
      <c r="O1899" s="195"/>
      <c r="P1899" s="195"/>
      <c r="Q1899" s="195"/>
    </row>
    <row r="1900" spans="1:17">
      <c r="A1900" s="180">
        <f>'רשימת מכשור 2015'!A1899</f>
        <v>0</v>
      </c>
      <c r="B1900" s="180">
        <f>'רשימת מכשור 2015'!B1899</f>
        <v>0</v>
      </c>
      <c r="C1900" s="180">
        <f>'רשימת מכשור 2015'!C1899</f>
        <v>0</v>
      </c>
      <c r="D1900" s="233">
        <f>'רשימת מכשור 2015'!D1899</f>
        <v>0</v>
      </c>
      <c r="E1900" s="180">
        <f>'רשימת מכשור 2015'!E1899</f>
        <v>0</v>
      </c>
      <c r="F1900" s="180">
        <f>'רשימת מכשור 2015'!F1899</f>
        <v>0</v>
      </c>
      <c r="G1900" s="195"/>
      <c r="H1900" s="195"/>
      <c r="I1900" s="196"/>
      <c r="J1900" s="195"/>
      <c r="K1900" s="195"/>
      <c r="L1900" s="195"/>
      <c r="M1900" s="195"/>
      <c r="N1900" s="197"/>
      <c r="O1900" s="195"/>
      <c r="P1900" s="195"/>
      <c r="Q1900" s="195"/>
    </row>
    <row r="1901" spans="1:17">
      <c r="A1901" s="180">
        <f>'רשימת מכשור 2015'!A1900</f>
        <v>0</v>
      </c>
      <c r="B1901" s="180">
        <f>'רשימת מכשור 2015'!B1900</f>
        <v>0</v>
      </c>
      <c r="C1901" s="180">
        <f>'רשימת מכשור 2015'!C1900</f>
        <v>0</v>
      </c>
      <c r="D1901" s="233">
        <f>'רשימת מכשור 2015'!D1900</f>
        <v>0</v>
      </c>
      <c r="E1901" s="180">
        <f>'רשימת מכשור 2015'!E1900</f>
        <v>0</v>
      </c>
      <c r="F1901" s="180">
        <f>'רשימת מכשור 2015'!F1900</f>
        <v>0</v>
      </c>
      <c r="G1901" s="195"/>
      <c r="H1901" s="195"/>
      <c r="I1901" s="196"/>
      <c r="J1901" s="195"/>
      <c r="K1901" s="195"/>
      <c r="L1901" s="195"/>
      <c r="M1901" s="195"/>
      <c r="N1901" s="197"/>
      <c r="O1901" s="195"/>
      <c r="P1901" s="195"/>
      <c r="Q1901" s="195"/>
    </row>
    <row r="1902" spans="1:17">
      <c r="A1902" s="180">
        <f>'רשימת מכשור 2015'!A1901</f>
        <v>0</v>
      </c>
      <c r="B1902" s="180">
        <f>'רשימת מכשור 2015'!B1901</f>
        <v>0</v>
      </c>
      <c r="C1902" s="180">
        <f>'רשימת מכשור 2015'!C1901</f>
        <v>0</v>
      </c>
      <c r="D1902" s="233">
        <f>'רשימת מכשור 2015'!D1901</f>
        <v>0</v>
      </c>
      <c r="E1902" s="180">
        <f>'רשימת מכשור 2015'!E1901</f>
        <v>0</v>
      </c>
      <c r="F1902" s="180">
        <f>'רשימת מכשור 2015'!F1901</f>
        <v>0</v>
      </c>
      <c r="G1902" s="195"/>
      <c r="H1902" s="195"/>
      <c r="I1902" s="196"/>
      <c r="J1902" s="195"/>
      <c r="K1902" s="195"/>
      <c r="L1902" s="195"/>
      <c r="M1902" s="195"/>
      <c r="N1902" s="197"/>
      <c r="O1902" s="195"/>
      <c r="P1902" s="195"/>
      <c r="Q1902" s="195"/>
    </row>
    <row r="1903" spans="1:17">
      <c r="A1903" s="180">
        <f>'רשימת מכשור 2015'!A1902</f>
        <v>0</v>
      </c>
      <c r="B1903" s="180">
        <f>'רשימת מכשור 2015'!B1902</f>
        <v>0</v>
      </c>
      <c r="C1903" s="180">
        <f>'רשימת מכשור 2015'!C1902</f>
        <v>0</v>
      </c>
      <c r="D1903" s="233">
        <f>'רשימת מכשור 2015'!D1902</f>
        <v>0</v>
      </c>
      <c r="E1903" s="180">
        <f>'רשימת מכשור 2015'!E1902</f>
        <v>0</v>
      </c>
      <c r="F1903" s="180">
        <f>'רשימת מכשור 2015'!F1902</f>
        <v>0</v>
      </c>
      <c r="G1903" s="195"/>
      <c r="H1903" s="195"/>
      <c r="I1903" s="196"/>
      <c r="J1903" s="195"/>
      <c r="K1903" s="195"/>
      <c r="L1903" s="195"/>
      <c r="M1903" s="195"/>
      <c r="N1903" s="197"/>
      <c r="O1903" s="195"/>
      <c r="P1903" s="195"/>
      <c r="Q1903" s="195"/>
    </row>
    <row r="1904" spans="1:17">
      <c r="A1904" s="180">
        <f>'רשימת מכשור 2015'!A1903</f>
        <v>0</v>
      </c>
      <c r="B1904" s="180">
        <f>'רשימת מכשור 2015'!B1903</f>
        <v>0</v>
      </c>
      <c r="C1904" s="180">
        <f>'רשימת מכשור 2015'!C1903</f>
        <v>0</v>
      </c>
      <c r="D1904" s="233">
        <f>'רשימת מכשור 2015'!D1903</f>
        <v>0</v>
      </c>
      <c r="E1904" s="180">
        <f>'רשימת מכשור 2015'!E1903</f>
        <v>0</v>
      </c>
      <c r="F1904" s="180">
        <f>'רשימת מכשור 2015'!F1903</f>
        <v>0</v>
      </c>
      <c r="G1904" s="195"/>
      <c r="H1904" s="195"/>
      <c r="I1904" s="196"/>
      <c r="J1904" s="195"/>
      <c r="K1904" s="195"/>
      <c r="L1904" s="195"/>
      <c r="M1904" s="195"/>
      <c r="N1904" s="197"/>
      <c r="O1904" s="195"/>
      <c r="P1904" s="195"/>
      <c r="Q1904" s="195"/>
    </row>
    <row r="1905" spans="1:17">
      <c r="A1905" s="180">
        <f>'רשימת מכשור 2015'!A1904</f>
        <v>0</v>
      </c>
      <c r="B1905" s="180">
        <f>'רשימת מכשור 2015'!B1904</f>
        <v>0</v>
      </c>
      <c r="C1905" s="180">
        <f>'רשימת מכשור 2015'!C1904</f>
        <v>0</v>
      </c>
      <c r="D1905" s="233">
        <f>'רשימת מכשור 2015'!D1904</f>
        <v>0</v>
      </c>
      <c r="E1905" s="180">
        <f>'רשימת מכשור 2015'!E1904</f>
        <v>0</v>
      </c>
      <c r="F1905" s="180">
        <f>'רשימת מכשור 2015'!F1904</f>
        <v>0</v>
      </c>
      <c r="G1905" s="195"/>
      <c r="H1905" s="195"/>
      <c r="I1905" s="196"/>
      <c r="J1905" s="195"/>
      <c r="K1905" s="195"/>
      <c r="L1905" s="195"/>
      <c r="M1905" s="195"/>
      <c r="N1905" s="197"/>
      <c r="O1905" s="195"/>
      <c r="P1905" s="195"/>
      <c r="Q1905" s="195"/>
    </row>
    <row r="1906" spans="1:17">
      <c r="A1906" s="180">
        <f>'רשימת מכשור 2015'!A1905</f>
        <v>0</v>
      </c>
      <c r="B1906" s="180">
        <f>'רשימת מכשור 2015'!B1905</f>
        <v>0</v>
      </c>
      <c r="C1906" s="180">
        <f>'רשימת מכשור 2015'!C1905</f>
        <v>0</v>
      </c>
      <c r="D1906" s="233">
        <f>'רשימת מכשור 2015'!D1905</f>
        <v>0</v>
      </c>
      <c r="E1906" s="180">
        <f>'רשימת מכשור 2015'!E1905</f>
        <v>0</v>
      </c>
      <c r="F1906" s="180">
        <f>'רשימת מכשור 2015'!F1905</f>
        <v>0</v>
      </c>
      <c r="G1906" s="195"/>
      <c r="H1906" s="195"/>
      <c r="I1906" s="196"/>
      <c r="J1906" s="195"/>
      <c r="K1906" s="195"/>
      <c r="L1906" s="195"/>
      <c r="M1906" s="195"/>
      <c r="N1906" s="197"/>
      <c r="O1906" s="195"/>
      <c r="P1906" s="195"/>
      <c r="Q1906" s="195"/>
    </row>
    <row r="1907" spans="1:17">
      <c r="A1907" s="180">
        <f>'רשימת מכשור 2015'!A1906</f>
        <v>0</v>
      </c>
      <c r="B1907" s="180">
        <f>'רשימת מכשור 2015'!B1906</f>
        <v>0</v>
      </c>
      <c r="C1907" s="180">
        <f>'רשימת מכשור 2015'!C1906</f>
        <v>0</v>
      </c>
      <c r="D1907" s="233">
        <f>'רשימת מכשור 2015'!D1906</f>
        <v>0</v>
      </c>
      <c r="E1907" s="180">
        <f>'רשימת מכשור 2015'!E1906</f>
        <v>0</v>
      </c>
      <c r="F1907" s="180">
        <f>'רשימת מכשור 2015'!F1906</f>
        <v>0</v>
      </c>
      <c r="G1907" s="195"/>
      <c r="H1907" s="195"/>
      <c r="I1907" s="196"/>
      <c r="J1907" s="195"/>
      <c r="K1907" s="195"/>
      <c r="L1907" s="195"/>
      <c r="M1907" s="195"/>
      <c r="N1907" s="197"/>
      <c r="O1907" s="195"/>
      <c r="P1907" s="195"/>
      <c r="Q1907" s="195"/>
    </row>
    <row r="1908" spans="1:17">
      <c r="A1908" s="180">
        <f>'רשימת מכשור 2015'!A1907</f>
        <v>0</v>
      </c>
      <c r="B1908" s="180">
        <f>'רשימת מכשור 2015'!B1907</f>
        <v>0</v>
      </c>
      <c r="C1908" s="180">
        <f>'רשימת מכשור 2015'!C1907</f>
        <v>0</v>
      </c>
      <c r="D1908" s="233">
        <f>'רשימת מכשור 2015'!D1907</f>
        <v>0</v>
      </c>
      <c r="E1908" s="180">
        <f>'רשימת מכשור 2015'!E1907</f>
        <v>0</v>
      </c>
      <c r="F1908" s="180">
        <f>'רשימת מכשור 2015'!F1907</f>
        <v>0</v>
      </c>
      <c r="G1908" s="195"/>
      <c r="H1908" s="195"/>
      <c r="I1908" s="196"/>
      <c r="J1908" s="195"/>
      <c r="K1908" s="195"/>
      <c r="L1908" s="195"/>
      <c r="M1908" s="195"/>
      <c r="N1908" s="197"/>
      <c r="O1908" s="195"/>
      <c r="P1908" s="195"/>
      <c r="Q1908" s="195"/>
    </row>
    <row r="1909" spans="1:17">
      <c r="A1909" s="180">
        <f>'רשימת מכשור 2015'!A1908</f>
        <v>0</v>
      </c>
      <c r="B1909" s="180">
        <f>'רשימת מכשור 2015'!B1908</f>
        <v>0</v>
      </c>
      <c r="C1909" s="180">
        <f>'רשימת מכשור 2015'!C1908</f>
        <v>0</v>
      </c>
      <c r="D1909" s="233">
        <f>'רשימת מכשור 2015'!D1908</f>
        <v>0</v>
      </c>
      <c r="E1909" s="180">
        <f>'רשימת מכשור 2015'!E1908</f>
        <v>0</v>
      </c>
      <c r="F1909" s="180">
        <f>'רשימת מכשור 2015'!F1908</f>
        <v>0</v>
      </c>
      <c r="G1909" s="195"/>
      <c r="H1909" s="195"/>
      <c r="I1909" s="196"/>
      <c r="J1909" s="195"/>
      <c r="K1909" s="195"/>
      <c r="L1909" s="195"/>
      <c r="M1909" s="195"/>
      <c r="N1909" s="197"/>
      <c r="O1909" s="195"/>
      <c r="P1909" s="195"/>
      <c r="Q1909" s="195"/>
    </row>
    <row r="1910" spans="1:17">
      <c r="A1910" s="180">
        <f>'רשימת מכשור 2015'!A1909</f>
        <v>0</v>
      </c>
      <c r="B1910" s="180">
        <f>'רשימת מכשור 2015'!B1909</f>
        <v>0</v>
      </c>
      <c r="C1910" s="180">
        <f>'רשימת מכשור 2015'!C1909</f>
        <v>0</v>
      </c>
      <c r="D1910" s="233">
        <f>'רשימת מכשור 2015'!D1909</f>
        <v>0</v>
      </c>
      <c r="E1910" s="180">
        <f>'רשימת מכשור 2015'!E1909</f>
        <v>0</v>
      </c>
      <c r="F1910" s="180">
        <f>'רשימת מכשור 2015'!F1909</f>
        <v>0</v>
      </c>
      <c r="G1910" s="195"/>
      <c r="H1910" s="195"/>
      <c r="I1910" s="196"/>
      <c r="J1910" s="195"/>
      <c r="K1910" s="195"/>
      <c r="L1910" s="195"/>
      <c r="M1910" s="195"/>
      <c r="N1910" s="197"/>
      <c r="O1910" s="195"/>
      <c r="P1910" s="195"/>
      <c r="Q1910" s="195"/>
    </row>
    <row r="1911" spans="1:17">
      <c r="A1911" s="180">
        <f>'רשימת מכשור 2015'!A1910</f>
        <v>0</v>
      </c>
      <c r="B1911" s="180">
        <f>'רשימת מכשור 2015'!B1910</f>
        <v>0</v>
      </c>
      <c r="C1911" s="180">
        <f>'רשימת מכשור 2015'!C1910</f>
        <v>0</v>
      </c>
      <c r="D1911" s="233">
        <f>'רשימת מכשור 2015'!D1910</f>
        <v>0</v>
      </c>
      <c r="E1911" s="180">
        <f>'רשימת מכשור 2015'!E1910</f>
        <v>0</v>
      </c>
      <c r="F1911" s="180">
        <f>'רשימת מכשור 2015'!F1910</f>
        <v>0</v>
      </c>
      <c r="G1911" s="195"/>
      <c r="H1911" s="195"/>
      <c r="I1911" s="196"/>
      <c r="J1911" s="195"/>
      <c r="K1911" s="195"/>
      <c r="L1911" s="195"/>
      <c r="M1911" s="195"/>
      <c r="N1911" s="197"/>
      <c r="O1911" s="195"/>
      <c r="P1911" s="195"/>
      <c r="Q1911" s="195"/>
    </row>
    <row r="1912" spans="1:17">
      <c r="A1912" s="180">
        <f>'רשימת מכשור 2015'!A1911</f>
        <v>0</v>
      </c>
      <c r="B1912" s="180">
        <f>'רשימת מכשור 2015'!B1911</f>
        <v>0</v>
      </c>
      <c r="C1912" s="180">
        <f>'רשימת מכשור 2015'!C1911</f>
        <v>0</v>
      </c>
      <c r="D1912" s="233">
        <f>'רשימת מכשור 2015'!D1911</f>
        <v>0</v>
      </c>
      <c r="E1912" s="180">
        <f>'רשימת מכשור 2015'!E1911</f>
        <v>0</v>
      </c>
      <c r="F1912" s="180">
        <f>'רשימת מכשור 2015'!F1911</f>
        <v>0</v>
      </c>
      <c r="G1912" s="195"/>
      <c r="H1912" s="195"/>
      <c r="I1912" s="196"/>
      <c r="J1912" s="195"/>
      <c r="K1912" s="195"/>
      <c r="L1912" s="195"/>
      <c r="M1912" s="195"/>
      <c r="N1912" s="197"/>
      <c r="O1912" s="195"/>
      <c r="P1912" s="195"/>
      <c r="Q1912" s="195"/>
    </row>
    <row r="1913" spans="1:17">
      <c r="A1913" s="180">
        <f>'רשימת מכשור 2015'!A1912</f>
        <v>0</v>
      </c>
      <c r="B1913" s="180">
        <f>'רשימת מכשור 2015'!B1912</f>
        <v>0</v>
      </c>
      <c r="C1913" s="180">
        <f>'רשימת מכשור 2015'!C1912</f>
        <v>0</v>
      </c>
      <c r="D1913" s="233">
        <f>'רשימת מכשור 2015'!D1912</f>
        <v>0</v>
      </c>
      <c r="E1913" s="180">
        <f>'רשימת מכשור 2015'!E1912</f>
        <v>0</v>
      </c>
      <c r="F1913" s="180">
        <f>'רשימת מכשור 2015'!F1912</f>
        <v>0</v>
      </c>
      <c r="G1913" s="195"/>
      <c r="H1913" s="195"/>
      <c r="I1913" s="196"/>
      <c r="J1913" s="195"/>
      <c r="K1913" s="195"/>
      <c r="L1913" s="195"/>
      <c r="M1913" s="195"/>
      <c r="N1913" s="197"/>
      <c r="O1913" s="195"/>
      <c r="P1913" s="195"/>
      <c r="Q1913" s="195"/>
    </row>
    <row r="1914" spans="1:17">
      <c r="A1914" s="180">
        <f>'רשימת מכשור 2015'!A1913</f>
        <v>0</v>
      </c>
      <c r="B1914" s="180">
        <f>'רשימת מכשור 2015'!B1913</f>
        <v>0</v>
      </c>
      <c r="C1914" s="180">
        <f>'רשימת מכשור 2015'!C1913</f>
        <v>0</v>
      </c>
      <c r="D1914" s="233">
        <f>'רשימת מכשור 2015'!D1913</f>
        <v>0</v>
      </c>
      <c r="E1914" s="180">
        <f>'רשימת מכשור 2015'!E1913</f>
        <v>0</v>
      </c>
      <c r="F1914" s="180">
        <f>'רשימת מכשור 2015'!F1913</f>
        <v>0</v>
      </c>
      <c r="G1914" s="195"/>
      <c r="H1914" s="195"/>
      <c r="I1914" s="196"/>
      <c r="J1914" s="195"/>
      <c r="K1914" s="195"/>
      <c r="L1914" s="195"/>
      <c r="M1914" s="195"/>
      <c r="N1914" s="197"/>
      <c r="O1914" s="195"/>
      <c r="P1914" s="195"/>
      <c r="Q1914" s="195"/>
    </row>
    <row r="1915" spans="1:17">
      <c r="A1915" s="180">
        <f>'רשימת מכשור 2015'!A1914</f>
        <v>0</v>
      </c>
      <c r="B1915" s="180">
        <f>'רשימת מכשור 2015'!B1914</f>
        <v>0</v>
      </c>
      <c r="C1915" s="180">
        <f>'רשימת מכשור 2015'!C1914</f>
        <v>0</v>
      </c>
      <c r="D1915" s="233">
        <f>'רשימת מכשור 2015'!D1914</f>
        <v>0</v>
      </c>
      <c r="E1915" s="180">
        <f>'רשימת מכשור 2015'!E1914</f>
        <v>0</v>
      </c>
      <c r="F1915" s="180">
        <f>'רשימת מכשור 2015'!F1914</f>
        <v>0</v>
      </c>
      <c r="G1915" s="195"/>
      <c r="H1915" s="195"/>
      <c r="I1915" s="196"/>
      <c r="J1915" s="195"/>
      <c r="K1915" s="195"/>
      <c r="L1915" s="195"/>
      <c r="M1915" s="195"/>
      <c r="N1915" s="197"/>
      <c r="O1915" s="195"/>
      <c r="P1915" s="195"/>
      <c r="Q1915" s="195"/>
    </row>
    <row r="1916" spans="1:17">
      <c r="A1916" s="180">
        <f>'רשימת מכשור 2015'!A1915</f>
        <v>0</v>
      </c>
      <c r="B1916" s="180">
        <f>'רשימת מכשור 2015'!B1915</f>
        <v>0</v>
      </c>
      <c r="C1916" s="180">
        <f>'רשימת מכשור 2015'!C1915</f>
        <v>0</v>
      </c>
      <c r="D1916" s="233">
        <f>'רשימת מכשור 2015'!D1915</f>
        <v>0</v>
      </c>
      <c r="E1916" s="180">
        <f>'רשימת מכשור 2015'!E1915</f>
        <v>0</v>
      </c>
      <c r="F1916" s="180">
        <f>'רשימת מכשור 2015'!F1915</f>
        <v>0</v>
      </c>
      <c r="G1916" s="195"/>
      <c r="H1916" s="195"/>
      <c r="I1916" s="196"/>
      <c r="J1916" s="195"/>
      <c r="K1916" s="195"/>
      <c r="L1916" s="195"/>
      <c r="M1916" s="195"/>
      <c r="N1916" s="197"/>
      <c r="O1916" s="195"/>
      <c r="P1916" s="195"/>
      <c r="Q1916" s="195"/>
    </row>
    <row r="1917" spans="1:17">
      <c r="A1917" s="180">
        <f>'רשימת מכשור 2015'!A1916</f>
        <v>0</v>
      </c>
      <c r="B1917" s="180">
        <f>'רשימת מכשור 2015'!B1916</f>
        <v>0</v>
      </c>
      <c r="C1917" s="180">
        <f>'רשימת מכשור 2015'!C1916</f>
        <v>0</v>
      </c>
      <c r="D1917" s="233">
        <f>'רשימת מכשור 2015'!D1916</f>
        <v>0</v>
      </c>
      <c r="E1917" s="180">
        <f>'רשימת מכשור 2015'!E1916</f>
        <v>0</v>
      </c>
      <c r="F1917" s="180">
        <f>'רשימת מכשור 2015'!F1916</f>
        <v>0</v>
      </c>
      <c r="G1917" s="195"/>
      <c r="H1917" s="195"/>
      <c r="I1917" s="196"/>
      <c r="J1917" s="195"/>
      <c r="K1917" s="195"/>
      <c r="L1917" s="195"/>
      <c r="M1917" s="195"/>
      <c r="N1917" s="197"/>
      <c r="O1917" s="195"/>
      <c r="P1917" s="195"/>
      <c r="Q1917" s="195"/>
    </row>
    <row r="1918" spans="1:17">
      <c r="A1918" s="180">
        <f>'רשימת מכשור 2015'!A1917</f>
        <v>0</v>
      </c>
      <c r="B1918" s="180">
        <f>'רשימת מכשור 2015'!B1917</f>
        <v>0</v>
      </c>
      <c r="C1918" s="180">
        <f>'רשימת מכשור 2015'!C1917</f>
        <v>0</v>
      </c>
      <c r="D1918" s="233">
        <f>'רשימת מכשור 2015'!D1917</f>
        <v>0</v>
      </c>
      <c r="E1918" s="180">
        <f>'רשימת מכשור 2015'!E1917</f>
        <v>0</v>
      </c>
      <c r="F1918" s="180">
        <f>'רשימת מכשור 2015'!F1917</f>
        <v>0</v>
      </c>
      <c r="G1918" s="195"/>
      <c r="H1918" s="195"/>
      <c r="I1918" s="196"/>
      <c r="J1918" s="195"/>
      <c r="K1918" s="195"/>
      <c r="L1918" s="195"/>
      <c r="M1918" s="195"/>
      <c r="N1918" s="197"/>
      <c r="O1918" s="195"/>
      <c r="P1918" s="195"/>
      <c r="Q1918" s="195"/>
    </row>
    <row r="1919" spans="1:17">
      <c r="A1919" s="180">
        <f>'רשימת מכשור 2015'!A1918</f>
        <v>0</v>
      </c>
      <c r="B1919" s="180">
        <f>'רשימת מכשור 2015'!B1918</f>
        <v>0</v>
      </c>
      <c r="C1919" s="180">
        <f>'רשימת מכשור 2015'!C1918</f>
        <v>0</v>
      </c>
      <c r="D1919" s="233">
        <f>'רשימת מכשור 2015'!D1918</f>
        <v>0</v>
      </c>
      <c r="E1919" s="180">
        <f>'רשימת מכשור 2015'!E1918</f>
        <v>0</v>
      </c>
      <c r="F1919" s="180">
        <f>'רשימת מכשור 2015'!F1918</f>
        <v>0</v>
      </c>
      <c r="G1919" s="195"/>
      <c r="H1919" s="195"/>
      <c r="I1919" s="196"/>
      <c r="J1919" s="195"/>
      <c r="K1919" s="195"/>
      <c r="L1919" s="195"/>
      <c r="M1919" s="195"/>
      <c r="N1919" s="197"/>
      <c r="O1919" s="195"/>
      <c r="P1919" s="195"/>
      <c r="Q1919" s="195"/>
    </row>
    <row r="1920" spans="1:17">
      <c r="A1920" s="180">
        <f>'רשימת מכשור 2015'!A1919</f>
        <v>0</v>
      </c>
      <c r="B1920" s="180">
        <f>'רשימת מכשור 2015'!B1919</f>
        <v>0</v>
      </c>
      <c r="C1920" s="180">
        <f>'רשימת מכשור 2015'!C1919</f>
        <v>0</v>
      </c>
      <c r="D1920" s="233">
        <f>'רשימת מכשור 2015'!D1919</f>
        <v>0</v>
      </c>
      <c r="E1920" s="180">
        <f>'רשימת מכשור 2015'!E1919</f>
        <v>0</v>
      </c>
      <c r="F1920" s="180">
        <f>'רשימת מכשור 2015'!F1919</f>
        <v>0</v>
      </c>
      <c r="G1920" s="195"/>
      <c r="H1920" s="195"/>
      <c r="I1920" s="196"/>
      <c r="J1920" s="195"/>
      <c r="K1920" s="195"/>
      <c r="L1920" s="195"/>
      <c r="M1920" s="195"/>
      <c r="N1920" s="197"/>
      <c r="O1920" s="195"/>
      <c r="P1920" s="195"/>
      <c r="Q1920" s="195"/>
    </row>
    <row r="1921" spans="1:17">
      <c r="A1921" s="180">
        <f>'רשימת מכשור 2015'!A1920</f>
        <v>0</v>
      </c>
      <c r="B1921" s="180">
        <f>'רשימת מכשור 2015'!B1920</f>
        <v>0</v>
      </c>
      <c r="C1921" s="180">
        <f>'רשימת מכשור 2015'!C1920</f>
        <v>0</v>
      </c>
      <c r="D1921" s="233">
        <f>'רשימת מכשור 2015'!D1920</f>
        <v>0</v>
      </c>
      <c r="E1921" s="180">
        <f>'רשימת מכשור 2015'!E1920</f>
        <v>0</v>
      </c>
      <c r="F1921" s="180">
        <f>'רשימת מכשור 2015'!F1920</f>
        <v>0</v>
      </c>
      <c r="G1921" s="195"/>
      <c r="H1921" s="195"/>
      <c r="I1921" s="196"/>
      <c r="J1921" s="195"/>
      <c r="K1921" s="195"/>
      <c r="L1921" s="195"/>
      <c r="M1921" s="195"/>
      <c r="N1921" s="197"/>
      <c r="O1921" s="195"/>
      <c r="P1921" s="195"/>
      <c r="Q1921" s="195"/>
    </row>
    <row r="1922" spans="1:17">
      <c r="A1922" s="180">
        <f>'רשימת מכשור 2015'!A1921</f>
        <v>0</v>
      </c>
      <c r="B1922" s="180">
        <f>'רשימת מכשור 2015'!B1921</f>
        <v>0</v>
      </c>
      <c r="C1922" s="180">
        <f>'רשימת מכשור 2015'!C1921</f>
        <v>0</v>
      </c>
      <c r="D1922" s="233">
        <f>'רשימת מכשור 2015'!D1921</f>
        <v>0</v>
      </c>
      <c r="E1922" s="180">
        <f>'רשימת מכשור 2015'!E1921</f>
        <v>0</v>
      </c>
      <c r="F1922" s="180">
        <f>'רשימת מכשור 2015'!F1921</f>
        <v>0</v>
      </c>
      <c r="G1922" s="195"/>
      <c r="H1922" s="195"/>
      <c r="I1922" s="196"/>
      <c r="J1922" s="195"/>
      <c r="K1922" s="195"/>
      <c r="L1922" s="195"/>
      <c r="M1922" s="195"/>
      <c r="N1922" s="197"/>
      <c r="O1922" s="195"/>
      <c r="P1922" s="195"/>
      <c r="Q1922" s="195"/>
    </row>
    <row r="1923" spans="1:17">
      <c r="A1923" s="180">
        <f>'רשימת מכשור 2015'!A1922</f>
        <v>0</v>
      </c>
      <c r="B1923" s="180">
        <f>'רשימת מכשור 2015'!B1922</f>
        <v>0</v>
      </c>
      <c r="C1923" s="180">
        <f>'רשימת מכשור 2015'!C1922</f>
        <v>0</v>
      </c>
      <c r="D1923" s="233">
        <f>'רשימת מכשור 2015'!D1922</f>
        <v>0</v>
      </c>
      <c r="E1923" s="180">
        <f>'רשימת מכשור 2015'!E1922</f>
        <v>0</v>
      </c>
      <c r="F1923" s="180">
        <f>'רשימת מכשור 2015'!F1922</f>
        <v>0</v>
      </c>
      <c r="G1923" s="195"/>
      <c r="H1923" s="195"/>
      <c r="I1923" s="196"/>
      <c r="J1923" s="195"/>
      <c r="K1923" s="195"/>
      <c r="L1923" s="195"/>
      <c r="M1923" s="195"/>
      <c r="N1923" s="197"/>
      <c r="O1923" s="195"/>
      <c r="P1923" s="195"/>
      <c r="Q1923" s="195"/>
    </row>
    <row r="1924" spans="1:17">
      <c r="A1924" s="180">
        <f>'רשימת מכשור 2015'!A1923</f>
        <v>0</v>
      </c>
      <c r="B1924" s="180">
        <f>'רשימת מכשור 2015'!B1923</f>
        <v>0</v>
      </c>
      <c r="C1924" s="180">
        <f>'רשימת מכשור 2015'!C1923</f>
        <v>0</v>
      </c>
      <c r="D1924" s="233">
        <f>'רשימת מכשור 2015'!D1923</f>
        <v>0</v>
      </c>
      <c r="E1924" s="180">
        <f>'רשימת מכשור 2015'!E1923</f>
        <v>0</v>
      </c>
      <c r="F1924" s="180">
        <f>'רשימת מכשור 2015'!F1923</f>
        <v>0</v>
      </c>
      <c r="G1924" s="195"/>
      <c r="H1924" s="195"/>
      <c r="I1924" s="196"/>
      <c r="J1924" s="195"/>
      <c r="K1924" s="195"/>
      <c r="L1924" s="195"/>
      <c r="M1924" s="195"/>
      <c r="N1924" s="197"/>
      <c r="O1924" s="195"/>
      <c r="P1924" s="195"/>
      <c r="Q1924" s="195"/>
    </row>
    <row r="1925" spans="1:17">
      <c r="A1925" s="180">
        <f>'רשימת מכשור 2015'!A1924</f>
        <v>0</v>
      </c>
      <c r="B1925" s="180">
        <f>'רשימת מכשור 2015'!B1924</f>
        <v>0</v>
      </c>
      <c r="C1925" s="180">
        <f>'רשימת מכשור 2015'!C1924</f>
        <v>0</v>
      </c>
      <c r="D1925" s="233">
        <f>'רשימת מכשור 2015'!D1924</f>
        <v>0</v>
      </c>
      <c r="E1925" s="180">
        <f>'רשימת מכשור 2015'!E1924</f>
        <v>0</v>
      </c>
      <c r="F1925" s="180">
        <f>'רשימת מכשור 2015'!F1924</f>
        <v>0</v>
      </c>
      <c r="G1925" s="195"/>
      <c r="H1925" s="195"/>
      <c r="I1925" s="196"/>
      <c r="J1925" s="195"/>
      <c r="K1925" s="195"/>
      <c r="L1925" s="195"/>
      <c r="M1925" s="195"/>
      <c r="N1925" s="197"/>
      <c r="O1925" s="195"/>
      <c r="P1925" s="195"/>
      <c r="Q1925" s="195"/>
    </row>
    <row r="1926" spans="1:17">
      <c r="A1926" s="180">
        <f>'רשימת מכשור 2015'!A1925</f>
        <v>0</v>
      </c>
      <c r="B1926" s="180">
        <f>'רשימת מכשור 2015'!B1925</f>
        <v>0</v>
      </c>
      <c r="C1926" s="180">
        <f>'רשימת מכשור 2015'!C1925</f>
        <v>0</v>
      </c>
      <c r="D1926" s="233">
        <f>'רשימת מכשור 2015'!D1925</f>
        <v>0</v>
      </c>
      <c r="E1926" s="180">
        <f>'רשימת מכשור 2015'!E1925</f>
        <v>0</v>
      </c>
      <c r="F1926" s="180">
        <f>'רשימת מכשור 2015'!F1925</f>
        <v>0</v>
      </c>
      <c r="G1926" s="195"/>
      <c r="H1926" s="195"/>
      <c r="I1926" s="196"/>
      <c r="J1926" s="195"/>
      <c r="K1926" s="195"/>
      <c r="L1926" s="195"/>
      <c r="M1926" s="195"/>
      <c r="N1926" s="197"/>
      <c r="O1926" s="195"/>
      <c r="P1926" s="195"/>
      <c r="Q1926" s="195"/>
    </row>
    <row r="1927" spans="1:17">
      <c r="A1927" s="180">
        <f>'רשימת מכשור 2015'!A1926</f>
        <v>0</v>
      </c>
      <c r="B1927" s="180">
        <f>'רשימת מכשור 2015'!B1926</f>
        <v>0</v>
      </c>
      <c r="C1927" s="180">
        <f>'רשימת מכשור 2015'!C1926</f>
        <v>0</v>
      </c>
      <c r="D1927" s="233">
        <f>'רשימת מכשור 2015'!D1926</f>
        <v>0</v>
      </c>
      <c r="E1927" s="180">
        <f>'רשימת מכשור 2015'!E1926</f>
        <v>0</v>
      </c>
      <c r="F1927" s="180">
        <f>'רשימת מכשור 2015'!F1926</f>
        <v>0</v>
      </c>
      <c r="G1927" s="195"/>
      <c r="H1927" s="195"/>
      <c r="I1927" s="196"/>
      <c r="J1927" s="195"/>
      <c r="K1927" s="195"/>
      <c r="L1927" s="195"/>
      <c r="M1927" s="195"/>
      <c r="N1927" s="197"/>
      <c r="O1927" s="195"/>
      <c r="P1927" s="195"/>
      <c r="Q1927" s="195"/>
    </row>
    <row r="1928" spans="1:17">
      <c r="A1928" s="180">
        <f>'רשימת מכשור 2015'!A1927</f>
        <v>0</v>
      </c>
      <c r="B1928" s="180">
        <f>'רשימת מכשור 2015'!B1927</f>
        <v>0</v>
      </c>
      <c r="C1928" s="180">
        <f>'רשימת מכשור 2015'!C1927</f>
        <v>0</v>
      </c>
      <c r="D1928" s="233">
        <f>'רשימת מכשור 2015'!D1927</f>
        <v>0</v>
      </c>
      <c r="E1928" s="180">
        <f>'רשימת מכשור 2015'!E1927</f>
        <v>0</v>
      </c>
      <c r="F1928" s="180">
        <f>'רשימת מכשור 2015'!F1927</f>
        <v>0</v>
      </c>
      <c r="G1928" s="195"/>
      <c r="H1928" s="195"/>
      <c r="I1928" s="196"/>
      <c r="J1928" s="195"/>
      <c r="K1928" s="195"/>
      <c r="L1928" s="195"/>
      <c r="M1928" s="195"/>
      <c r="N1928" s="197"/>
      <c r="O1928" s="195"/>
      <c r="P1928" s="195"/>
      <c r="Q1928" s="195"/>
    </row>
    <row r="1929" spans="1:17">
      <c r="A1929" s="180">
        <f>'רשימת מכשור 2015'!A1928</f>
        <v>0</v>
      </c>
      <c r="B1929" s="180">
        <f>'רשימת מכשור 2015'!B1928</f>
        <v>0</v>
      </c>
      <c r="C1929" s="180">
        <f>'רשימת מכשור 2015'!C1928</f>
        <v>0</v>
      </c>
      <c r="D1929" s="233">
        <f>'רשימת מכשור 2015'!D1928</f>
        <v>0</v>
      </c>
      <c r="E1929" s="180">
        <f>'רשימת מכשור 2015'!E1928</f>
        <v>0</v>
      </c>
      <c r="F1929" s="180">
        <f>'רשימת מכשור 2015'!F1928</f>
        <v>0</v>
      </c>
      <c r="G1929" s="195"/>
      <c r="H1929" s="195"/>
      <c r="I1929" s="196"/>
      <c r="J1929" s="195"/>
      <c r="K1929" s="195"/>
      <c r="L1929" s="195"/>
      <c r="M1929" s="195"/>
      <c r="N1929" s="197"/>
      <c r="O1929" s="195"/>
      <c r="P1929" s="195"/>
      <c r="Q1929" s="195"/>
    </row>
    <row r="1930" spans="1:17">
      <c r="A1930" s="180">
        <f>'רשימת מכשור 2015'!A1929</f>
        <v>0</v>
      </c>
      <c r="B1930" s="180">
        <f>'רשימת מכשור 2015'!B1929</f>
        <v>0</v>
      </c>
      <c r="C1930" s="180">
        <f>'רשימת מכשור 2015'!C1929</f>
        <v>0</v>
      </c>
      <c r="D1930" s="233">
        <f>'רשימת מכשור 2015'!D1929</f>
        <v>0</v>
      </c>
      <c r="E1930" s="180">
        <f>'רשימת מכשור 2015'!E1929</f>
        <v>0</v>
      </c>
      <c r="F1930" s="180">
        <f>'רשימת מכשור 2015'!F1929</f>
        <v>0</v>
      </c>
      <c r="G1930" s="195"/>
      <c r="H1930" s="195"/>
      <c r="I1930" s="196"/>
      <c r="J1930" s="195"/>
      <c r="K1930" s="195"/>
      <c r="L1930" s="195"/>
      <c r="M1930" s="195"/>
      <c r="N1930" s="197"/>
      <c r="O1930" s="195"/>
      <c r="P1930" s="195"/>
      <c r="Q1930" s="195"/>
    </row>
    <row r="1931" spans="1:17">
      <c r="A1931" s="180">
        <f>'רשימת מכשור 2015'!A1930</f>
        <v>0</v>
      </c>
      <c r="B1931" s="180">
        <f>'רשימת מכשור 2015'!B1930</f>
        <v>0</v>
      </c>
      <c r="C1931" s="180">
        <f>'רשימת מכשור 2015'!C1930</f>
        <v>0</v>
      </c>
      <c r="D1931" s="233">
        <f>'רשימת מכשור 2015'!D1930</f>
        <v>0</v>
      </c>
      <c r="E1931" s="180">
        <f>'רשימת מכשור 2015'!E1930</f>
        <v>0</v>
      </c>
      <c r="F1931" s="180">
        <f>'רשימת מכשור 2015'!F1930</f>
        <v>0</v>
      </c>
      <c r="G1931" s="195"/>
      <c r="H1931" s="195"/>
      <c r="I1931" s="196"/>
      <c r="J1931" s="195"/>
      <c r="K1931" s="195"/>
      <c r="L1931" s="195"/>
      <c r="M1931" s="195"/>
      <c r="N1931" s="197"/>
      <c r="O1931" s="195"/>
      <c r="P1931" s="195"/>
      <c r="Q1931" s="195"/>
    </row>
    <row r="1932" spans="1:17">
      <c r="A1932" s="180">
        <f>'רשימת מכשור 2015'!A1931</f>
        <v>0</v>
      </c>
      <c r="B1932" s="180">
        <f>'רשימת מכשור 2015'!B1931</f>
        <v>0</v>
      </c>
      <c r="C1932" s="180">
        <f>'רשימת מכשור 2015'!C1931</f>
        <v>0</v>
      </c>
      <c r="D1932" s="233">
        <f>'רשימת מכשור 2015'!D1931</f>
        <v>0</v>
      </c>
      <c r="E1932" s="180">
        <f>'רשימת מכשור 2015'!E1931</f>
        <v>0</v>
      </c>
      <c r="F1932" s="180">
        <f>'רשימת מכשור 2015'!F1931</f>
        <v>0</v>
      </c>
      <c r="G1932" s="195"/>
      <c r="H1932" s="195"/>
      <c r="I1932" s="196"/>
      <c r="J1932" s="195"/>
      <c r="K1932" s="195"/>
      <c r="L1932" s="195"/>
      <c r="M1932" s="195"/>
      <c r="N1932" s="197"/>
      <c r="O1932" s="195"/>
      <c r="P1932" s="195"/>
      <c r="Q1932" s="195"/>
    </row>
    <row r="1933" spans="1:17">
      <c r="A1933" s="180">
        <f>'רשימת מכשור 2015'!A1932</f>
        <v>0</v>
      </c>
      <c r="B1933" s="180">
        <f>'רשימת מכשור 2015'!B1932</f>
        <v>0</v>
      </c>
      <c r="C1933" s="180">
        <f>'רשימת מכשור 2015'!C1932</f>
        <v>0</v>
      </c>
      <c r="D1933" s="233">
        <f>'רשימת מכשור 2015'!D1932</f>
        <v>0</v>
      </c>
      <c r="E1933" s="180">
        <f>'רשימת מכשור 2015'!E1932</f>
        <v>0</v>
      </c>
      <c r="F1933" s="180">
        <f>'רשימת מכשור 2015'!F1932</f>
        <v>0</v>
      </c>
      <c r="G1933" s="195"/>
      <c r="H1933" s="195"/>
      <c r="I1933" s="196"/>
      <c r="J1933" s="195"/>
      <c r="K1933" s="195"/>
      <c r="L1933" s="195"/>
      <c r="M1933" s="195"/>
      <c r="N1933" s="197"/>
      <c r="O1933" s="195"/>
      <c r="P1933" s="195"/>
      <c r="Q1933" s="195"/>
    </row>
    <row r="1934" spans="1:17">
      <c r="A1934" s="180">
        <f>'רשימת מכשור 2015'!A1933</f>
        <v>0</v>
      </c>
      <c r="B1934" s="180">
        <f>'רשימת מכשור 2015'!B1933</f>
        <v>0</v>
      </c>
      <c r="C1934" s="180">
        <f>'רשימת מכשור 2015'!C1933</f>
        <v>0</v>
      </c>
      <c r="D1934" s="233">
        <f>'רשימת מכשור 2015'!D1933</f>
        <v>0</v>
      </c>
      <c r="E1934" s="180">
        <f>'רשימת מכשור 2015'!E1933</f>
        <v>0</v>
      </c>
      <c r="F1934" s="180">
        <f>'רשימת מכשור 2015'!F1933</f>
        <v>0</v>
      </c>
      <c r="G1934" s="195"/>
      <c r="H1934" s="195"/>
      <c r="I1934" s="196"/>
      <c r="J1934" s="195"/>
      <c r="K1934" s="195"/>
      <c r="L1934" s="195"/>
      <c r="M1934" s="195"/>
      <c r="N1934" s="197"/>
      <c r="O1934" s="195"/>
      <c r="P1934" s="195"/>
      <c r="Q1934" s="195"/>
    </row>
    <row r="1935" spans="1:17">
      <c r="A1935" s="180">
        <f>'רשימת מכשור 2015'!A1934</f>
        <v>0</v>
      </c>
      <c r="B1935" s="180">
        <f>'רשימת מכשור 2015'!B1934</f>
        <v>0</v>
      </c>
      <c r="C1935" s="180">
        <f>'רשימת מכשור 2015'!C1934</f>
        <v>0</v>
      </c>
      <c r="D1935" s="233">
        <f>'רשימת מכשור 2015'!D1934</f>
        <v>0</v>
      </c>
      <c r="E1935" s="180">
        <f>'רשימת מכשור 2015'!E1934</f>
        <v>0</v>
      </c>
      <c r="F1935" s="180">
        <f>'רשימת מכשור 2015'!F1934</f>
        <v>0</v>
      </c>
      <c r="G1935" s="195"/>
      <c r="H1935" s="195"/>
      <c r="I1935" s="196"/>
      <c r="J1935" s="195"/>
      <c r="K1935" s="195"/>
      <c r="L1935" s="195"/>
      <c r="M1935" s="195"/>
      <c r="N1935" s="197"/>
      <c r="O1935" s="195"/>
      <c r="P1935" s="195"/>
      <c r="Q1935" s="195"/>
    </row>
    <row r="1936" spans="1:17">
      <c r="A1936" s="180">
        <f>'רשימת מכשור 2015'!A1935</f>
        <v>0</v>
      </c>
      <c r="B1936" s="180">
        <f>'רשימת מכשור 2015'!B1935</f>
        <v>0</v>
      </c>
      <c r="C1936" s="180">
        <f>'רשימת מכשור 2015'!C1935</f>
        <v>0</v>
      </c>
      <c r="D1936" s="233">
        <f>'רשימת מכשור 2015'!D1935</f>
        <v>0</v>
      </c>
      <c r="E1936" s="180">
        <f>'רשימת מכשור 2015'!E1935</f>
        <v>0</v>
      </c>
      <c r="F1936" s="180">
        <f>'רשימת מכשור 2015'!F1935</f>
        <v>0</v>
      </c>
      <c r="G1936" s="195"/>
      <c r="H1936" s="195"/>
      <c r="I1936" s="196"/>
      <c r="J1936" s="195"/>
      <c r="K1936" s="195"/>
      <c r="L1936" s="195"/>
      <c r="M1936" s="195"/>
      <c r="N1936" s="197"/>
      <c r="O1936" s="195"/>
      <c r="P1936" s="195"/>
      <c r="Q1936" s="195"/>
    </row>
    <row r="1937" spans="1:17">
      <c r="A1937" s="180">
        <f>'רשימת מכשור 2015'!A1936</f>
        <v>0</v>
      </c>
      <c r="B1937" s="180">
        <f>'רשימת מכשור 2015'!B1936</f>
        <v>0</v>
      </c>
      <c r="C1937" s="180">
        <f>'רשימת מכשור 2015'!C1936</f>
        <v>0</v>
      </c>
      <c r="D1937" s="233">
        <f>'רשימת מכשור 2015'!D1936</f>
        <v>0</v>
      </c>
      <c r="E1937" s="180">
        <f>'רשימת מכשור 2015'!E1936</f>
        <v>0</v>
      </c>
      <c r="F1937" s="180">
        <f>'רשימת מכשור 2015'!F1936</f>
        <v>0</v>
      </c>
      <c r="G1937" s="195"/>
      <c r="H1937" s="195"/>
      <c r="I1937" s="196"/>
      <c r="J1937" s="195"/>
      <c r="K1937" s="195"/>
      <c r="L1937" s="195"/>
      <c r="M1937" s="195"/>
      <c r="N1937" s="197"/>
      <c r="O1937" s="195"/>
      <c r="P1937" s="195"/>
      <c r="Q1937" s="195"/>
    </row>
    <row r="1938" spans="1:17">
      <c r="A1938" s="180">
        <f>'רשימת מכשור 2015'!A1937</f>
        <v>0</v>
      </c>
      <c r="B1938" s="180">
        <f>'רשימת מכשור 2015'!B1937</f>
        <v>0</v>
      </c>
      <c r="C1938" s="180">
        <f>'רשימת מכשור 2015'!C1937</f>
        <v>0</v>
      </c>
      <c r="D1938" s="233">
        <f>'רשימת מכשור 2015'!D1937</f>
        <v>0</v>
      </c>
      <c r="E1938" s="180">
        <f>'רשימת מכשור 2015'!E1937</f>
        <v>0</v>
      </c>
      <c r="F1938" s="180">
        <f>'רשימת מכשור 2015'!F1937</f>
        <v>0</v>
      </c>
      <c r="G1938" s="195"/>
      <c r="H1938" s="195"/>
      <c r="I1938" s="196"/>
      <c r="J1938" s="195"/>
      <c r="K1938" s="195"/>
      <c r="L1938" s="195"/>
      <c r="M1938" s="195"/>
      <c r="N1938" s="197"/>
      <c r="O1938" s="195"/>
      <c r="P1938" s="195"/>
      <c r="Q1938" s="195"/>
    </row>
    <row r="1939" spans="1:17">
      <c r="A1939" s="180">
        <f>'רשימת מכשור 2015'!A1938</f>
        <v>0</v>
      </c>
      <c r="B1939" s="180">
        <f>'רשימת מכשור 2015'!B1938</f>
        <v>0</v>
      </c>
      <c r="C1939" s="180">
        <f>'רשימת מכשור 2015'!C1938</f>
        <v>0</v>
      </c>
      <c r="D1939" s="233">
        <f>'רשימת מכשור 2015'!D1938</f>
        <v>0</v>
      </c>
      <c r="E1939" s="180">
        <f>'רשימת מכשור 2015'!E1938</f>
        <v>0</v>
      </c>
      <c r="F1939" s="180">
        <f>'רשימת מכשור 2015'!F1938</f>
        <v>0</v>
      </c>
      <c r="G1939" s="195"/>
      <c r="H1939" s="195"/>
      <c r="I1939" s="196"/>
      <c r="J1939" s="195"/>
      <c r="K1939" s="195"/>
      <c r="L1939" s="195"/>
      <c r="M1939" s="195"/>
      <c r="N1939" s="197"/>
      <c r="O1939" s="195"/>
      <c r="P1939" s="195"/>
      <c r="Q1939" s="195"/>
    </row>
    <row r="1940" spans="1:17">
      <c r="A1940" s="180">
        <f>'רשימת מכשור 2015'!A1939</f>
        <v>0</v>
      </c>
      <c r="B1940" s="180">
        <f>'רשימת מכשור 2015'!B1939</f>
        <v>0</v>
      </c>
      <c r="C1940" s="180">
        <f>'רשימת מכשור 2015'!C1939</f>
        <v>0</v>
      </c>
      <c r="D1940" s="233">
        <f>'רשימת מכשור 2015'!D1939</f>
        <v>0</v>
      </c>
      <c r="E1940" s="180">
        <f>'רשימת מכשור 2015'!E1939</f>
        <v>0</v>
      </c>
      <c r="F1940" s="180">
        <f>'רשימת מכשור 2015'!F1939</f>
        <v>0</v>
      </c>
      <c r="G1940" s="195"/>
      <c r="H1940" s="195"/>
      <c r="I1940" s="196"/>
      <c r="J1940" s="195"/>
      <c r="K1940" s="195"/>
      <c r="L1940" s="195"/>
      <c r="M1940" s="195"/>
      <c r="N1940" s="197"/>
      <c r="O1940" s="195"/>
      <c r="P1940" s="195"/>
      <c r="Q1940" s="195"/>
    </row>
    <row r="1941" spans="1:17">
      <c r="A1941" s="180">
        <f>'רשימת מכשור 2015'!A1940</f>
        <v>0</v>
      </c>
      <c r="B1941" s="180">
        <f>'רשימת מכשור 2015'!B1940</f>
        <v>0</v>
      </c>
      <c r="C1941" s="180">
        <f>'רשימת מכשור 2015'!C1940</f>
        <v>0</v>
      </c>
      <c r="D1941" s="233">
        <f>'רשימת מכשור 2015'!D1940</f>
        <v>0</v>
      </c>
      <c r="E1941" s="180">
        <f>'רשימת מכשור 2015'!E1940</f>
        <v>0</v>
      </c>
      <c r="F1941" s="180">
        <f>'רשימת מכשור 2015'!F1940</f>
        <v>0</v>
      </c>
      <c r="G1941" s="195"/>
      <c r="H1941" s="195"/>
      <c r="I1941" s="196"/>
      <c r="J1941" s="195"/>
      <c r="K1941" s="195"/>
      <c r="L1941" s="195"/>
      <c r="M1941" s="195"/>
      <c r="N1941" s="197"/>
      <c r="O1941" s="195"/>
      <c r="P1941" s="195"/>
      <c r="Q1941" s="195"/>
    </row>
    <row r="1942" spans="1:17">
      <c r="A1942" s="180">
        <f>'רשימת מכשור 2015'!A1941</f>
        <v>0</v>
      </c>
      <c r="B1942" s="180">
        <f>'רשימת מכשור 2015'!B1941</f>
        <v>0</v>
      </c>
      <c r="C1942" s="180">
        <f>'רשימת מכשור 2015'!C1941</f>
        <v>0</v>
      </c>
      <c r="D1942" s="233">
        <f>'רשימת מכשור 2015'!D1941</f>
        <v>0</v>
      </c>
      <c r="E1942" s="180">
        <f>'רשימת מכשור 2015'!E1941</f>
        <v>0</v>
      </c>
      <c r="F1942" s="180">
        <f>'רשימת מכשור 2015'!F1941</f>
        <v>0</v>
      </c>
      <c r="G1942" s="195"/>
      <c r="H1942" s="195"/>
      <c r="I1942" s="196"/>
      <c r="J1942" s="195"/>
      <c r="K1942" s="195"/>
      <c r="L1942" s="195"/>
      <c r="M1942" s="195"/>
      <c r="N1942" s="197"/>
      <c r="O1942" s="195"/>
      <c r="P1942" s="195"/>
      <c r="Q1942" s="195"/>
    </row>
    <row r="1943" spans="1:17">
      <c r="A1943" s="180">
        <f>'רשימת מכשור 2015'!A1942</f>
        <v>0</v>
      </c>
      <c r="B1943" s="180">
        <f>'רשימת מכשור 2015'!B1942</f>
        <v>0</v>
      </c>
      <c r="C1943" s="180">
        <f>'רשימת מכשור 2015'!C1942</f>
        <v>0</v>
      </c>
      <c r="D1943" s="233">
        <f>'רשימת מכשור 2015'!D1942</f>
        <v>0</v>
      </c>
      <c r="E1943" s="180">
        <f>'רשימת מכשור 2015'!E1942</f>
        <v>0</v>
      </c>
      <c r="F1943" s="180">
        <f>'רשימת מכשור 2015'!F1942</f>
        <v>0</v>
      </c>
      <c r="G1943" s="195"/>
      <c r="H1943" s="195"/>
      <c r="I1943" s="196"/>
      <c r="J1943" s="195"/>
      <c r="K1943" s="195"/>
      <c r="L1943" s="195"/>
      <c r="M1943" s="195"/>
      <c r="N1943" s="197"/>
      <c r="O1943" s="195"/>
      <c r="P1943" s="195"/>
      <c r="Q1943" s="195"/>
    </row>
    <row r="1944" spans="1:17">
      <c r="A1944" s="180">
        <f>'רשימת מכשור 2015'!A1943</f>
        <v>0</v>
      </c>
      <c r="B1944" s="180">
        <f>'רשימת מכשור 2015'!B1943</f>
        <v>0</v>
      </c>
      <c r="C1944" s="180">
        <f>'רשימת מכשור 2015'!C1943</f>
        <v>0</v>
      </c>
      <c r="D1944" s="233">
        <f>'רשימת מכשור 2015'!D1943</f>
        <v>0</v>
      </c>
      <c r="E1944" s="180">
        <f>'רשימת מכשור 2015'!E1943</f>
        <v>0</v>
      </c>
      <c r="F1944" s="180">
        <f>'רשימת מכשור 2015'!F1943</f>
        <v>0</v>
      </c>
      <c r="G1944" s="195"/>
      <c r="H1944" s="195"/>
      <c r="I1944" s="196"/>
      <c r="J1944" s="195"/>
      <c r="K1944" s="195"/>
      <c r="L1944" s="195"/>
      <c r="M1944" s="195"/>
      <c r="N1944" s="197"/>
      <c r="O1944" s="195"/>
      <c r="P1944" s="195"/>
      <c r="Q1944" s="195"/>
    </row>
    <row r="1945" spans="1:17">
      <c r="A1945" s="180">
        <f>'רשימת מכשור 2015'!A1944</f>
        <v>0</v>
      </c>
      <c r="B1945" s="180">
        <f>'רשימת מכשור 2015'!B1944</f>
        <v>0</v>
      </c>
      <c r="C1945" s="180">
        <f>'רשימת מכשור 2015'!C1944</f>
        <v>0</v>
      </c>
      <c r="D1945" s="233">
        <f>'רשימת מכשור 2015'!D1944</f>
        <v>0</v>
      </c>
      <c r="E1945" s="180">
        <f>'רשימת מכשור 2015'!E1944</f>
        <v>0</v>
      </c>
      <c r="F1945" s="180">
        <f>'רשימת מכשור 2015'!F1944</f>
        <v>0</v>
      </c>
      <c r="G1945" s="195"/>
      <c r="H1945" s="195"/>
      <c r="I1945" s="196"/>
      <c r="J1945" s="195"/>
      <c r="K1945" s="195"/>
      <c r="L1945" s="195"/>
      <c r="M1945" s="195"/>
      <c r="N1945" s="197"/>
      <c r="O1945" s="195"/>
      <c r="P1945" s="195"/>
      <c r="Q1945" s="195"/>
    </row>
    <row r="1946" spans="1:17">
      <c r="A1946" s="180">
        <f>'רשימת מכשור 2015'!A1945</f>
        <v>0</v>
      </c>
      <c r="B1946" s="180">
        <f>'רשימת מכשור 2015'!B1945</f>
        <v>0</v>
      </c>
      <c r="C1946" s="180">
        <f>'רשימת מכשור 2015'!C1945</f>
        <v>0</v>
      </c>
      <c r="D1946" s="233">
        <f>'רשימת מכשור 2015'!D1945</f>
        <v>0</v>
      </c>
      <c r="E1946" s="180">
        <f>'רשימת מכשור 2015'!E1945</f>
        <v>0</v>
      </c>
      <c r="F1946" s="180">
        <f>'רשימת מכשור 2015'!F1945</f>
        <v>0</v>
      </c>
      <c r="G1946" s="195"/>
      <c r="H1946" s="195"/>
      <c r="I1946" s="196"/>
      <c r="J1946" s="195"/>
      <c r="K1946" s="195"/>
      <c r="L1946" s="195"/>
      <c r="M1946" s="195"/>
      <c r="N1946" s="197"/>
      <c r="O1946" s="195"/>
      <c r="P1946" s="195"/>
      <c r="Q1946" s="195"/>
    </row>
    <row r="1947" spans="1:17">
      <c r="A1947" s="180">
        <f>'רשימת מכשור 2015'!A1946</f>
        <v>0</v>
      </c>
      <c r="B1947" s="180">
        <f>'רשימת מכשור 2015'!B1946</f>
        <v>0</v>
      </c>
      <c r="C1947" s="180">
        <f>'רשימת מכשור 2015'!C1946</f>
        <v>0</v>
      </c>
      <c r="D1947" s="233">
        <f>'רשימת מכשור 2015'!D1946</f>
        <v>0</v>
      </c>
      <c r="E1947" s="180">
        <f>'רשימת מכשור 2015'!E1946</f>
        <v>0</v>
      </c>
      <c r="F1947" s="180">
        <f>'רשימת מכשור 2015'!F1946</f>
        <v>0</v>
      </c>
      <c r="G1947" s="195"/>
      <c r="H1947" s="195"/>
      <c r="I1947" s="196"/>
      <c r="J1947" s="195"/>
      <c r="K1947" s="195"/>
      <c r="L1947" s="195"/>
      <c r="M1947" s="195"/>
      <c r="N1947" s="197"/>
      <c r="O1947" s="195"/>
      <c r="P1947" s="195"/>
      <c r="Q1947" s="195"/>
    </row>
    <row r="1948" spans="1:17">
      <c r="A1948" s="180">
        <f>'רשימת מכשור 2015'!A1947</f>
        <v>0</v>
      </c>
      <c r="B1948" s="180">
        <f>'רשימת מכשור 2015'!B1947</f>
        <v>0</v>
      </c>
      <c r="C1948" s="180">
        <f>'רשימת מכשור 2015'!C1947</f>
        <v>0</v>
      </c>
      <c r="D1948" s="233">
        <f>'רשימת מכשור 2015'!D1947</f>
        <v>0</v>
      </c>
      <c r="E1948" s="180">
        <f>'רשימת מכשור 2015'!E1947</f>
        <v>0</v>
      </c>
      <c r="F1948" s="180">
        <f>'רשימת מכשור 2015'!F1947</f>
        <v>0</v>
      </c>
      <c r="G1948" s="195"/>
      <c r="H1948" s="195"/>
      <c r="I1948" s="196"/>
      <c r="J1948" s="195"/>
      <c r="K1948" s="195"/>
      <c r="L1948" s="195"/>
      <c r="M1948" s="195"/>
      <c r="N1948" s="197"/>
      <c r="O1948" s="195"/>
      <c r="P1948" s="195"/>
      <c r="Q1948" s="195"/>
    </row>
    <row r="1949" spans="1:17">
      <c r="A1949" s="180">
        <f>'רשימת מכשור 2015'!A1948</f>
        <v>0</v>
      </c>
      <c r="B1949" s="180">
        <f>'רשימת מכשור 2015'!B1948</f>
        <v>0</v>
      </c>
      <c r="C1949" s="180">
        <f>'רשימת מכשור 2015'!C1948</f>
        <v>0</v>
      </c>
      <c r="D1949" s="233">
        <f>'רשימת מכשור 2015'!D1948</f>
        <v>0</v>
      </c>
      <c r="E1949" s="180">
        <f>'רשימת מכשור 2015'!E1948</f>
        <v>0</v>
      </c>
      <c r="F1949" s="180">
        <f>'רשימת מכשור 2015'!F1948</f>
        <v>0</v>
      </c>
      <c r="G1949" s="195"/>
      <c r="H1949" s="195"/>
      <c r="I1949" s="196"/>
      <c r="J1949" s="195"/>
      <c r="K1949" s="195"/>
      <c r="L1949" s="195"/>
      <c r="M1949" s="195"/>
      <c r="N1949" s="197"/>
      <c r="O1949" s="195"/>
      <c r="P1949" s="195"/>
      <c r="Q1949" s="195"/>
    </row>
    <row r="1950" spans="1:17">
      <c r="A1950" s="180">
        <f>'רשימת מכשור 2015'!A1949</f>
        <v>0</v>
      </c>
      <c r="B1950" s="180">
        <f>'רשימת מכשור 2015'!B1949</f>
        <v>0</v>
      </c>
      <c r="C1950" s="180">
        <f>'רשימת מכשור 2015'!C1949</f>
        <v>0</v>
      </c>
      <c r="D1950" s="233">
        <f>'רשימת מכשור 2015'!D1949</f>
        <v>0</v>
      </c>
      <c r="E1950" s="180">
        <f>'רשימת מכשור 2015'!E1949</f>
        <v>0</v>
      </c>
      <c r="F1950" s="180">
        <f>'רשימת מכשור 2015'!F1949</f>
        <v>0</v>
      </c>
      <c r="G1950" s="195"/>
      <c r="H1950" s="195"/>
      <c r="I1950" s="196"/>
      <c r="J1950" s="195"/>
      <c r="K1950" s="195"/>
      <c r="L1950" s="195"/>
      <c r="M1950" s="195"/>
      <c r="N1950" s="197"/>
      <c r="O1950" s="195"/>
      <c r="P1950" s="195"/>
      <c r="Q1950" s="195"/>
    </row>
    <row r="1951" spans="1:17">
      <c r="A1951" s="180">
        <f>'רשימת מכשור 2015'!A1950</f>
        <v>0</v>
      </c>
      <c r="B1951" s="180">
        <f>'רשימת מכשור 2015'!B1950</f>
        <v>0</v>
      </c>
      <c r="C1951" s="180">
        <f>'רשימת מכשור 2015'!C1950</f>
        <v>0</v>
      </c>
      <c r="D1951" s="233">
        <f>'רשימת מכשור 2015'!D1950</f>
        <v>0</v>
      </c>
      <c r="E1951" s="180">
        <f>'רשימת מכשור 2015'!E1950</f>
        <v>0</v>
      </c>
      <c r="F1951" s="180">
        <f>'רשימת מכשור 2015'!F1950</f>
        <v>0</v>
      </c>
      <c r="G1951" s="195"/>
      <c r="H1951" s="195"/>
      <c r="I1951" s="196"/>
      <c r="J1951" s="195"/>
      <c r="K1951" s="195"/>
      <c r="L1951" s="195"/>
      <c r="M1951" s="195"/>
      <c r="N1951" s="197"/>
      <c r="O1951" s="195"/>
      <c r="P1951" s="195"/>
      <c r="Q1951" s="195"/>
    </row>
    <row r="1952" spans="1:17">
      <c r="A1952" s="180">
        <f>'רשימת מכשור 2015'!A1951</f>
        <v>0</v>
      </c>
      <c r="B1952" s="180">
        <f>'רשימת מכשור 2015'!B1951</f>
        <v>0</v>
      </c>
      <c r="C1952" s="180">
        <f>'רשימת מכשור 2015'!C1951</f>
        <v>0</v>
      </c>
      <c r="D1952" s="233">
        <f>'רשימת מכשור 2015'!D1951</f>
        <v>0</v>
      </c>
      <c r="E1952" s="180">
        <f>'רשימת מכשור 2015'!E1951</f>
        <v>0</v>
      </c>
      <c r="F1952" s="180">
        <f>'רשימת מכשור 2015'!F1951</f>
        <v>0</v>
      </c>
      <c r="G1952" s="195"/>
      <c r="H1952" s="195"/>
      <c r="I1952" s="196"/>
      <c r="J1952" s="195"/>
      <c r="K1952" s="195"/>
      <c r="L1952" s="195"/>
      <c r="M1952" s="195"/>
      <c r="N1952" s="197"/>
      <c r="O1952" s="195"/>
      <c r="P1952" s="195"/>
      <c r="Q1952" s="195"/>
    </row>
    <row r="1953" spans="1:17">
      <c r="A1953" s="180">
        <f>'רשימת מכשור 2015'!A1952</f>
        <v>0</v>
      </c>
      <c r="B1953" s="180">
        <f>'רשימת מכשור 2015'!B1952</f>
        <v>0</v>
      </c>
      <c r="C1953" s="180">
        <f>'רשימת מכשור 2015'!C1952</f>
        <v>0</v>
      </c>
      <c r="D1953" s="233">
        <f>'רשימת מכשור 2015'!D1952</f>
        <v>0</v>
      </c>
      <c r="E1953" s="180">
        <f>'רשימת מכשור 2015'!E1952</f>
        <v>0</v>
      </c>
      <c r="F1953" s="180">
        <f>'רשימת מכשור 2015'!F1952</f>
        <v>0</v>
      </c>
      <c r="G1953" s="195"/>
      <c r="H1953" s="195"/>
      <c r="I1953" s="196"/>
      <c r="J1953" s="195"/>
      <c r="K1953" s="195"/>
      <c r="L1953" s="195"/>
      <c r="M1953" s="195"/>
      <c r="N1953" s="197"/>
      <c r="O1953" s="195"/>
      <c r="P1953" s="195"/>
      <c r="Q1953" s="195"/>
    </row>
    <row r="1954" spans="1:17">
      <c r="A1954" s="180">
        <f>'רשימת מכשור 2015'!A1953</f>
        <v>0</v>
      </c>
      <c r="B1954" s="180">
        <f>'רשימת מכשור 2015'!B1953</f>
        <v>0</v>
      </c>
      <c r="C1954" s="180">
        <f>'רשימת מכשור 2015'!C1953</f>
        <v>0</v>
      </c>
      <c r="D1954" s="233">
        <f>'רשימת מכשור 2015'!D1953</f>
        <v>0</v>
      </c>
      <c r="E1954" s="180">
        <f>'רשימת מכשור 2015'!E1953</f>
        <v>0</v>
      </c>
      <c r="F1954" s="180">
        <f>'רשימת מכשור 2015'!F1953</f>
        <v>0</v>
      </c>
      <c r="G1954" s="195"/>
      <c r="H1954" s="195"/>
      <c r="I1954" s="196"/>
      <c r="J1954" s="195"/>
      <c r="K1954" s="195"/>
      <c r="L1954" s="195"/>
      <c r="M1954" s="195"/>
      <c r="N1954" s="197"/>
      <c r="O1954" s="195"/>
      <c r="P1954" s="195"/>
      <c r="Q1954" s="195"/>
    </row>
    <row r="1955" spans="1:17">
      <c r="A1955" s="180">
        <f>'רשימת מכשור 2015'!A1954</f>
        <v>0</v>
      </c>
      <c r="B1955" s="180">
        <f>'רשימת מכשור 2015'!B1954</f>
        <v>0</v>
      </c>
      <c r="C1955" s="180">
        <f>'רשימת מכשור 2015'!C1954</f>
        <v>0</v>
      </c>
      <c r="D1955" s="233">
        <f>'רשימת מכשור 2015'!D1954</f>
        <v>0</v>
      </c>
      <c r="E1955" s="180">
        <f>'רשימת מכשור 2015'!E1954</f>
        <v>0</v>
      </c>
      <c r="F1955" s="180">
        <f>'רשימת מכשור 2015'!F1954</f>
        <v>0</v>
      </c>
      <c r="G1955" s="195"/>
      <c r="H1955" s="195"/>
      <c r="I1955" s="196"/>
      <c r="J1955" s="195"/>
      <c r="K1955" s="195"/>
      <c r="L1955" s="195"/>
      <c r="M1955" s="195"/>
      <c r="N1955" s="197"/>
      <c r="O1955" s="195"/>
      <c r="P1955" s="195"/>
      <c r="Q1955" s="195"/>
    </row>
    <row r="1956" spans="1:17">
      <c r="A1956" s="180">
        <f>'רשימת מכשור 2015'!A1955</f>
        <v>0</v>
      </c>
      <c r="B1956" s="180">
        <f>'רשימת מכשור 2015'!B1955</f>
        <v>0</v>
      </c>
      <c r="C1956" s="180">
        <f>'רשימת מכשור 2015'!C1955</f>
        <v>0</v>
      </c>
      <c r="D1956" s="233">
        <f>'רשימת מכשור 2015'!D1955</f>
        <v>0</v>
      </c>
      <c r="E1956" s="180">
        <f>'רשימת מכשור 2015'!E1955</f>
        <v>0</v>
      </c>
      <c r="F1956" s="180">
        <f>'רשימת מכשור 2015'!F1955</f>
        <v>0</v>
      </c>
      <c r="G1956" s="195"/>
      <c r="H1956" s="195"/>
      <c r="I1956" s="196"/>
      <c r="J1956" s="195"/>
      <c r="K1956" s="195"/>
      <c r="L1956" s="195"/>
      <c r="M1956" s="195"/>
      <c r="N1956" s="197"/>
      <c r="O1956" s="195"/>
      <c r="P1956" s="195"/>
      <c r="Q1956" s="195"/>
    </row>
    <row r="1957" spans="1:17">
      <c r="A1957" s="180">
        <f>'רשימת מכשור 2015'!A1956</f>
        <v>0</v>
      </c>
      <c r="B1957" s="180">
        <f>'רשימת מכשור 2015'!B1956</f>
        <v>0</v>
      </c>
      <c r="C1957" s="180">
        <f>'רשימת מכשור 2015'!C1956</f>
        <v>0</v>
      </c>
      <c r="D1957" s="233">
        <f>'רשימת מכשור 2015'!D1956</f>
        <v>0</v>
      </c>
      <c r="E1957" s="180">
        <f>'רשימת מכשור 2015'!E1956</f>
        <v>0</v>
      </c>
      <c r="F1957" s="180">
        <f>'רשימת מכשור 2015'!F1956</f>
        <v>0</v>
      </c>
      <c r="G1957" s="195"/>
      <c r="H1957" s="195"/>
      <c r="I1957" s="196"/>
      <c r="J1957" s="195"/>
      <c r="K1957" s="195"/>
      <c r="L1957" s="195"/>
      <c r="M1957" s="195"/>
      <c r="N1957" s="197"/>
      <c r="O1957" s="195"/>
      <c r="P1957" s="195"/>
      <c r="Q1957" s="195"/>
    </row>
    <row r="1958" spans="1:17">
      <c r="A1958" s="180">
        <f>'רשימת מכשור 2015'!A1957</f>
        <v>0</v>
      </c>
      <c r="B1958" s="180">
        <f>'רשימת מכשור 2015'!B1957</f>
        <v>0</v>
      </c>
      <c r="C1958" s="180">
        <f>'רשימת מכשור 2015'!C1957</f>
        <v>0</v>
      </c>
      <c r="D1958" s="233">
        <f>'רשימת מכשור 2015'!D1957</f>
        <v>0</v>
      </c>
      <c r="E1958" s="180">
        <f>'רשימת מכשור 2015'!E1957</f>
        <v>0</v>
      </c>
      <c r="F1958" s="180">
        <f>'רשימת מכשור 2015'!F1957</f>
        <v>0</v>
      </c>
      <c r="G1958" s="195"/>
      <c r="H1958" s="195"/>
      <c r="I1958" s="196"/>
      <c r="J1958" s="195"/>
      <c r="K1958" s="195"/>
      <c r="L1958" s="195"/>
      <c r="M1958" s="195"/>
      <c r="N1958" s="197"/>
      <c r="O1958" s="195"/>
      <c r="P1958" s="195"/>
      <c r="Q1958" s="195"/>
    </row>
    <row r="1959" spans="1:17">
      <c r="A1959" s="180">
        <f>'רשימת מכשור 2015'!A1958</f>
        <v>0</v>
      </c>
      <c r="B1959" s="180">
        <f>'רשימת מכשור 2015'!B1958</f>
        <v>0</v>
      </c>
      <c r="C1959" s="180">
        <f>'רשימת מכשור 2015'!C1958</f>
        <v>0</v>
      </c>
      <c r="D1959" s="233">
        <f>'רשימת מכשור 2015'!D1958</f>
        <v>0</v>
      </c>
      <c r="E1959" s="180">
        <f>'רשימת מכשור 2015'!E1958</f>
        <v>0</v>
      </c>
      <c r="F1959" s="180">
        <f>'רשימת מכשור 2015'!F1958</f>
        <v>0</v>
      </c>
      <c r="G1959" s="195"/>
      <c r="H1959" s="195"/>
      <c r="I1959" s="196"/>
      <c r="J1959" s="195"/>
      <c r="K1959" s="195"/>
      <c r="L1959" s="195"/>
      <c r="M1959" s="195"/>
      <c r="N1959" s="197"/>
      <c r="O1959" s="195"/>
      <c r="P1959" s="195"/>
      <c r="Q1959" s="195"/>
    </row>
    <row r="1960" spans="1:17">
      <c r="A1960" s="180">
        <f>'רשימת מכשור 2015'!A1959</f>
        <v>0</v>
      </c>
      <c r="B1960" s="180">
        <f>'רשימת מכשור 2015'!B1959</f>
        <v>0</v>
      </c>
      <c r="C1960" s="180">
        <f>'רשימת מכשור 2015'!C1959</f>
        <v>0</v>
      </c>
      <c r="D1960" s="233">
        <f>'רשימת מכשור 2015'!D1959</f>
        <v>0</v>
      </c>
      <c r="E1960" s="180">
        <f>'רשימת מכשור 2015'!E1959</f>
        <v>0</v>
      </c>
      <c r="F1960" s="180">
        <f>'רשימת מכשור 2015'!F1959</f>
        <v>0</v>
      </c>
      <c r="G1960" s="195"/>
      <c r="H1960" s="195"/>
      <c r="I1960" s="196"/>
      <c r="J1960" s="195"/>
      <c r="K1960" s="195"/>
      <c r="L1960" s="195"/>
      <c r="M1960" s="195"/>
      <c r="N1960" s="197"/>
      <c r="O1960" s="195"/>
      <c r="P1960" s="195"/>
      <c r="Q1960" s="195"/>
    </row>
    <row r="1961" spans="1:17">
      <c r="A1961" s="180">
        <f>'רשימת מכשור 2015'!A1960</f>
        <v>0</v>
      </c>
      <c r="B1961" s="180">
        <f>'רשימת מכשור 2015'!B1960</f>
        <v>0</v>
      </c>
      <c r="C1961" s="180">
        <f>'רשימת מכשור 2015'!C1960</f>
        <v>0</v>
      </c>
      <c r="D1961" s="233">
        <f>'רשימת מכשור 2015'!D1960</f>
        <v>0</v>
      </c>
      <c r="E1961" s="180">
        <f>'רשימת מכשור 2015'!E1960</f>
        <v>0</v>
      </c>
      <c r="F1961" s="180">
        <f>'רשימת מכשור 2015'!F1960</f>
        <v>0</v>
      </c>
      <c r="G1961" s="195"/>
      <c r="H1961" s="195"/>
      <c r="I1961" s="196"/>
      <c r="J1961" s="195"/>
      <c r="K1961" s="195"/>
      <c r="L1961" s="195"/>
      <c r="M1961" s="195"/>
      <c r="N1961" s="197"/>
      <c r="O1961" s="195"/>
      <c r="P1961" s="195"/>
      <c r="Q1961" s="195"/>
    </row>
    <row r="1962" spans="1:17">
      <c r="A1962" s="180">
        <f>'רשימת מכשור 2015'!A1961</f>
        <v>0</v>
      </c>
      <c r="B1962" s="180">
        <f>'רשימת מכשור 2015'!B1961</f>
        <v>0</v>
      </c>
      <c r="C1962" s="180">
        <f>'רשימת מכשור 2015'!C1961</f>
        <v>0</v>
      </c>
      <c r="D1962" s="233">
        <f>'רשימת מכשור 2015'!D1961</f>
        <v>0</v>
      </c>
      <c r="E1962" s="180">
        <f>'רשימת מכשור 2015'!E1961</f>
        <v>0</v>
      </c>
      <c r="F1962" s="180">
        <f>'רשימת מכשור 2015'!F1961</f>
        <v>0</v>
      </c>
      <c r="G1962" s="195"/>
      <c r="H1962" s="195"/>
      <c r="I1962" s="196"/>
      <c r="J1962" s="195"/>
      <c r="K1962" s="195"/>
      <c r="L1962" s="195"/>
      <c r="M1962" s="195"/>
      <c r="N1962" s="197"/>
      <c r="O1962" s="195"/>
      <c r="P1962" s="195"/>
      <c r="Q1962" s="195"/>
    </row>
    <row r="1963" spans="1:17">
      <c r="A1963" s="180">
        <f>'רשימת מכשור 2015'!A1962</f>
        <v>0</v>
      </c>
      <c r="B1963" s="180">
        <f>'רשימת מכשור 2015'!B1962</f>
        <v>0</v>
      </c>
      <c r="C1963" s="180">
        <f>'רשימת מכשור 2015'!C1962</f>
        <v>0</v>
      </c>
      <c r="D1963" s="233">
        <f>'רשימת מכשור 2015'!D1962</f>
        <v>0</v>
      </c>
      <c r="E1963" s="180">
        <f>'רשימת מכשור 2015'!E1962</f>
        <v>0</v>
      </c>
      <c r="F1963" s="180">
        <f>'רשימת מכשור 2015'!F1962</f>
        <v>0</v>
      </c>
      <c r="G1963" s="195"/>
      <c r="H1963" s="195"/>
      <c r="I1963" s="196"/>
      <c r="J1963" s="195"/>
      <c r="K1963" s="195"/>
      <c r="L1963" s="195"/>
      <c r="M1963" s="195"/>
      <c r="N1963" s="197"/>
      <c r="O1963" s="195"/>
      <c r="P1963" s="195"/>
      <c r="Q1963" s="195"/>
    </row>
    <row r="1964" spans="1:17">
      <c r="A1964" s="180">
        <f>'רשימת מכשור 2015'!A1963</f>
        <v>0</v>
      </c>
      <c r="B1964" s="180">
        <f>'רשימת מכשור 2015'!B1963</f>
        <v>0</v>
      </c>
      <c r="C1964" s="180">
        <f>'רשימת מכשור 2015'!C1963</f>
        <v>0</v>
      </c>
      <c r="D1964" s="233">
        <f>'רשימת מכשור 2015'!D1963</f>
        <v>0</v>
      </c>
      <c r="E1964" s="180">
        <f>'רשימת מכשור 2015'!E1963</f>
        <v>0</v>
      </c>
      <c r="F1964" s="180">
        <f>'רשימת מכשור 2015'!F1963</f>
        <v>0</v>
      </c>
      <c r="G1964" s="195"/>
      <c r="H1964" s="195"/>
      <c r="I1964" s="196"/>
      <c r="J1964" s="195"/>
      <c r="K1964" s="195"/>
      <c r="L1964" s="195"/>
      <c r="M1964" s="195"/>
      <c r="N1964" s="197"/>
      <c r="O1964" s="195"/>
      <c r="P1964" s="195"/>
      <c r="Q1964" s="195"/>
    </row>
    <row r="1965" spans="1:17">
      <c r="A1965" s="180">
        <f>'רשימת מכשור 2015'!A1964</f>
        <v>0</v>
      </c>
      <c r="B1965" s="180">
        <f>'רשימת מכשור 2015'!B1964</f>
        <v>0</v>
      </c>
      <c r="C1965" s="180">
        <f>'רשימת מכשור 2015'!C1964</f>
        <v>0</v>
      </c>
      <c r="D1965" s="233">
        <f>'רשימת מכשור 2015'!D1964</f>
        <v>0</v>
      </c>
      <c r="E1965" s="180">
        <f>'רשימת מכשור 2015'!E1964</f>
        <v>0</v>
      </c>
      <c r="F1965" s="180">
        <f>'רשימת מכשור 2015'!F1964</f>
        <v>0</v>
      </c>
      <c r="G1965" s="195"/>
      <c r="H1965" s="195"/>
      <c r="I1965" s="196"/>
      <c r="J1965" s="195"/>
      <c r="K1965" s="195"/>
      <c r="L1965" s="195"/>
      <c r="M1965" s="195"/>
      <c r="N1965" s="197"/>
      <c r="O1965" s="195"/>
      <c r="P1965" s="195"/>
      <c r="Q1965" s="195"/>
    </row>
    <row r="1966" spans="1:17">
      <c r="A1966" s="180">
        <f>'רשימת מכשור 2015'!A1965</f>
        <v>0</v>
      </c>
      <c r="B1966" s="180">
        <f>'רשימת מכשור 2015'!B1965</f>
        <v>0</v>
      </c>
      <c r="C1966" s="180">
        <f>'רשימת מכשור 2015'!C1965</f>
        <v>0</v>
      </c>
      <c r="D1966" s="233">
        <f>'רשימת מכשור 2015'!D1965</f>
        <v>0</v>
      </c>
      <c r="E1966" s="180">
        <f>'רשימת מכשור 2015'!E1965</f>
        <v>0</v>
      </c>
      <c r="F1966" s="180">
        <f>'רשימת מכשור 2015'!F1965</f>
        <v>0</v>
      </c>
      <c r="G1966" s="195"/>
      <c r="H1966" s="195"/>
      <c r="I1966" s="196"/>
      <c r="J1966" s="195"/>
      <c r="K1966" s="195"/>
      <c r="L1966" s="195"/>
      <c r="M1966" s="195"/>
      <c r="N1966" s="197"/>
      <c r="O1966" s="195"/>
      <c r="P1966" s="195"/>
      <c r="Q1966" s="195"/>
    </row>
    <row r="1967" spans="1:17">
      <c r="A1967" s="180">
        <f>'רשימת מכשור 2015'!A1966</f>
        <v>0</v>
      </c>
      <c r="B1967" s="180">
        <f>'רשימת מכשור 2015'!B1966</f>
        <v>0</v>
      </c>
      <c r="C1967" s="180">
        <f>'רשימת מכשור 2015'!C1966</f>
        <v>0</v>
      </c>
      <c r="D1967" s="233">
        <f>'רשימת מכשור 2015'!D1966</f>
        <v>0</v>
      </c>
      <c r="E1967" s="180">
        <f>'רשימת מכשור 2015'!E1966</f>
        <v>0</v>
      </c>
      <c r="F1967" s="180">
        <f>'רשימת מכשור 2015'!F1966</f>
        <v>0</v>
      </c>
      <c r="G1967" s="195"/>
      <c r="H1967" s="195"/>
      <c r="I1967" s="196"/>
      <c r="J1967" s="195"/>
      <c r="K1967" s="195"/>
      <c r="L1967" s="195"/>
      <c r="M1967" s="195"/>
      <c r="N1967" s="197"/>
      <c r="O1967" s="195"/>
      <c r="P1967" s="195"/>
      <c r="Q1967" s="195"/>
    </row>
    <row r="1968" spans="1:17">
      <c r="A1968" s="180">
        <f>'רשימת מכשור 2015'!A1967</f>
        <v>0</v>
      </c>
      <c r="B1968" s="180">
        <f>'רשימת מכשור 2015'!B1967</f>
        <v>0</v>
      </c>
      <c r="C1968" s="180">
        <f>'רשימת מכשור 2015'!C1967</f>
        <v>0</v>
      </c>
      <c r="D1968" s="233">
        <f>'רשימת מכשור 2015'!D1967</f>
        <v>0</v>
      </c>
      <c r="E1968" s="180">
        <f>'רשימת מכשור 2015'!E1967</f>
        <v>0</v>
      </c>
      <c r="F1968" s="180">
        <f>'רשימת מכשור 2015'!F1967</f>
        <v>0</v>
      </c>
      <c r="G1968" s="195"/>
      <c r="H1968" s="195"/>
      <c r="I1968" s="196"/>
      <c r="J1968" s="195"/>
      <c r="K1968" s="195"/>
      <c r="L1968" s="195"/>
      <c r="M1968" s="195"/>
      <c r="N1968" s="197"/>
      <c r="O1968" s="195"/>
      <c r="P1968" s="195"/>
      <c r="Q1968" s="195"/>
    </row>
    <row r="1969" spans="1:17">
      <c r="A1969" s="180">
        <f>'רשימת מכשור 2015'!A1968</f>
        <v>0</v>
      </c>
      <c r="B1969" s="180">
        <f>'רשימת מכשור 2015'!B1968</f>
        <v>0</v>
      </c>
      <c r="C1969" s="180">
        <f>'רשימת מכשור 2015'!C1968</f>
        <v>0</v>
      </c>
      <c r="D1969" s="233">
        <f>'רשימת מכשור 2015'!D1968</f>
        <v>0</v>
      </c>
      <c r="E1969" s="180">
        <f>'רשימת מכשור 2015'!E1968</f>
        <v>0</v>
      </c>
      <c r="F1969" s="180">
        <f>'רשימת מכשור 2015'!F1968</f>
        <v>0</v>
      </c>
      <c r="G1969" s="195"/>
      <c r="H1969" s="195"/>
      <c r="I1969" s="196"/>
      <c r="J1969" s="195"/>
      <c r="K1969" s="195"/>
      <c r="L1969" s="195"/>
      <c r="M1969" s="195"/>
      <c r="N1969" s="197"/>
      <c r="O1969" s="195"/>
      <c r="P1969" s="195"/>
      <c r="Q1969" s="195"/>
    </row>
    <row r="1970" spans="1:17">
      <c r="A1970" s="180">
        <f>'רשימת מכשור 2015'!A1969</f>
        <v>0</v>
      </c>
      <c r="B1970" s="180">
        <f>'רשימת מכשור 2015'!B1969</f>
        <v>0</v>
      </c>
      <c r="C1970" s="180">
        <f>'רשימת מכשור 2015'!C1969</f>
        <v>0</v>
      </c>
      <c r="D1970" s="233">
        <f>'רשימת מכשור 2015'!D1969</f>
        <v>0</v>
      </c>
      <c r="E1970" s="180">
        <f>'רשימת מכשור 2015'!E1969</f>
        <v>0</v>
      </c>
      <c r="F1970" s="180">
        <f>'רשימת מכשור 2015'!F1969</f>
        <v>0</v>
      </c>
      <c r="G1970" s="195"/>
      <c r="H1970" s="195"/>
      <c r="I1970" s="196"/>
      <c r="J1970" s="195"/>
      <c r="K1970" s="195"/>
      <c r="L1970" s="195"/>
      <c r="M1970" s="195"/>
      <c r="N1970" s="197"/>
      <c r="O1970" s="195"/>
      <c r="P1970" s="195"/>
      <c r="Q1970" s="195"/>
    </row>
    <row r="1971" spans="1:17">
      <c r="A1971" s="180">
        <f>'רשימת מכשור 2015'!A1970</f>
        <v>0</v>
      </c>
      <c r="B1971" s="180">
        <f>'רשימת מכשור 2015'!B1970</f>
        <v>0</v>
      </c>
      <c r="C1971" s="180">
        <f>'רשימת מכשור 2015'!C1970</f>
        <v>0</v>
      </c>
      <c r="D1971" s="233">
        <f>'רשימת מכשור 2015'!D1970</f>
        <v>0</v>
      </c>
      <c r="E1971" s="180">
        <f>'רשימת מכשור 2015'!E1970</f>
        <v>0</v>
      </c>
      <c r="F1971" s="180">
        <f>'רשימת מכשור 2015'!F1970</f>
        <v>0</v>
      </c>
      <c r="G1971" s="195"/>
      <c r="H1971" s="195"/>
      <c r="I1971" s="196"/>
      <c r="J1971" s="195"/>
      <c r="K1971" s="195"/>
      <c r="L1971" s="195"/>
      <c r="M1971" s="195"/>
      <c r="N1971" s="197"/>
      <c r="O1971" s="195"/>
      <c r="P1971" s="195"/>
      <c r="Q1971" s="195"/>
    </row>
    <row r="1972" spans="1:17">
      <c r="A1972" s="180">
        <f>'רשימת מכשור 2015'!A1971</f>
        <v>0</v>
      </c>
      <c r="B1972" s="180">
        <f>'רשימת מכשור 2015'!B1971</f>
        <v>0</v>
      </c>
      <c r="C1972" s="180">
        <f>'רשימת מכשור 2015'!C1971</f>
        <v>0</v>
      </c>
      <c r="D1972" s="233">
        <f>'רשימת מכשור 2015'!D1971</f>
        <v>0</v>
      </c>
      <c r="E1972" s="180">
        <f>'רשימת מכשור 2015'!E1971</f>
        <v>0</v>
      </c>
      <c r="F1972" s="180">
        <f>'רשימת מכשור 2015'!F1971</f>
        <v>0</v>
      </c>
      <c r="G1972" s="195"/>
      <c r="H1972" s="195"/>
      <c r="I1972" s="196"/>
      <c r="J1972" s="195"/>
      <c r="K1972" s="195"/>
      <c r="L1972" s="195"/>
      <c r="M1972" s="195"/>
      <c r="N1972" s="197"/>
      <c r="O1972" s="195"/>
      <c r="P1972" s="195"/>
      <c r="Q1972" s="195"/>
    </row>
    <row r="1973" spans="1:17">
      <c r="A1973" s="180">
        <f>'רשימת מכשור 2015'!A1972</f>
        <v>0</v>
      </c>
      <c r="B1973" s="180">
        <f>'רשימת מכשור 2015'!B1972</f>
        <v>0</v>
      </c>
      <c r="C1973" s="180">
        <f>'רשימת מכשור 2015'!C1972</f>
        <v>0</v>
      </c>
      <c r="D1973" s="233">
        <f>'רשימת מכשור 2015'!D1972</f>
        <v>0</v>
      </c>
      <c r="E1973" s="180">
        <f>'רשימת מכשור 2015'!E1972</f>
        <v>0</v>
      </c>
      <c r="F1973" s="180">
        <f>'רשימת מכשור 2015'!F1972</f>
        <v>0</v>
      </c>
      <c r="G1973" s="195"/>
      <c r="H1973" s="195"/>
      <c r="I1973" s="196"/>
      <c r="J1973" s="195"/>
      <c r="K1973" s="195"/>
      <c r="L1973" s="195"/>
      <c r="M1973" s="195"/>
      <c r="N1973" s="197"/>
      <c r="O1973" s="195"/>
      <c r="P1973" s="195"/>
      <c r="Q1973" s="195"/>
    </row>
    <row r="1974" spans="1:17">
      <c r="A1974" s="180">
        <f>'רשימת מכשור 2015'!A1973</f>
        <v>0</v>
      </c>
      <c r="B1974" s="180">
        <f>'רשימת מכשור 2015'!B1973</f>
        <v>0</v>
      </c>
      <c r="C1974" s="180">
        <f>'רשימת מכשור 2015'!C1973</f>
        <v>0</v>
      </c>
      <c r="D1974" s="233">
        <f>'רשימת מכשור 2015'!D1973</f>
        <v>0</v>
      </c>
      <c r="E1974" s="180">
        <f>'רשימת מכשור 2015'!E1973</f>
        <v>0</v>
      </c>
      <c r="F1974" s="180">
        <f>'רשימת מכשור 2015'!F1973</f>
        <v>0</v>
      </c>
      <c r="G1974" s="195"/>
      <c r="H1974" s="195"/>
      <c r="I1974" s="196"/>
      <c r="J1974" s="195"/>
      <c r="K1974" s="195"/>
      <c r="L1974" s="195"/>
      <c r="M1974" s="195"/>
      <c r="N1974" s="197"/>
      <c r="O1974" s="195"/>
      <c r="P1974" s="195"/>
      <c r="Q1974" s="195"/>
    </row>
    <row r="1975" spans="1:17">
      <c r="A1975" s="180">
        <f>'רשימת מכשור 2015'!A1974</f>
        <v>0</v>
      </c>
      <c r="B1975" s="180">
        <f>'רשימת מכשור 2015'!B1974</f>
        <v>0</v>
      </c>
      <c r="C1975" s="180">
        <f>'רשימת מכשור 2015'!C1974</f>
        <v>0</v>
      </c>
      <c r="D1975" s="233">
        <f>'רשימת מכשור 2015'!D1974</f>
        <v>0</v>
      </c>
      <c r="E1975" s="180">
        <f>'רשימת מכשור 2015'!E1974</f>
        <v>0</v>
      </c>
      <c r="F1975" s="180">
        <f>'רשימת מכשור 2015'!F1974</f>
        <v>0</v>
      </c>
      <c r="G1975" s="195"/>
      <c r="H1975" s="195"/>
      <c r="I1975" s="196"/>
      <c r="J1975" s="195"/>
      <c r="K1975" s="195"/>
      <c r="L1975" s="195"/>
      <c r="M1975" s="195"/>
      <c r="N1975" s="197"/>
      <c r="O1975" s="195"/>
      <c r="P1975" s="195"/>
      <c r="Q1975" s="195"/>
    </row>
    <row r="1976" spans="1:17">
      <c r="A1976" s="180">
        <f>'רשימת מכשור 2015'!A1975</f>
        <v>0</v>
      </c>
      <c r="B1976" s="180">
        <f>'רשימת מכשור 2015'!B1975</f>
        <v>0</v>
      </c>
      <c r="C1976" s="180">
        <f>'רשימת מכשור 2015'!C1975</f>
        <v>0</v>
      </c>
      <c r="D1976" s="233">
        <f>'רשימת מכשור 2015'!D1975</f>
        <v>0</v>
      </c>
      <c r="E1976" s="180">
        <f>'רשימת מכשור 2015'!E1975</f>
        <v>0</v>
      </c>
      <c r="F1976" s="180">
        <f>'רשימת מכשור 2015'!F1975</f>
        <v>0</v>
      </c>
      <c r="G1976" s="195"/>
      <c r="H1976" s="195"/>
      <c r="I1976" s="196"/>
      <c r="J1976" s="195"/>
      <c r="K1976" s="195"/>
      <c r="L1976" s="195"/>
      <c r="M1976" s="195"/>
      <c r="N1976" s="197"/>
      <c r="O1976" s="195"/>
      <c r="P1976" s="195"/>
      <c r="Q1976" s="195"/>
    </row>
    <row r="1977" spans="1:17">
      <c r="A1977" s="180">
        <f>'רשימת מכשור 2015'!A1976</f>
        <v>0</v>
      </c>
      <c r="B1977" s="180">
        <f>'רשימת מכשור 2015'!B1976</f>
        <v>0</v>
      </c>
      <c r="C1977" s="180">
        <f>'רשימת מכשור 2015'!C1976</f>
        <v>0</v>
      </c>
      <c r="D1977" s="233">
        <f>'רשימת מכשור 2015'!D1976</f>
        <v>0</v>
      </c>
      <c r="E1977" s="180">
        <f>'רשימת מכשור 2015'!E1976</f>
        <v>0</v>
      </c>
      <c r="F1977" s="180">
        <f>'רשימת מכשור 2015'!F1976</f>
        <v>0</v>
      </c>
      <c r="G1977" s="195"/>
      <c r="H1977" s="195"/>
      <c r="I1977" s="196"/>
      <c r="J1977" s="195"/>
      <c r="K1977" s="195"/>
      <c r="L1977" s="195"/>
      <c r="M1977" s="195"/>
      <c r="N1977" s="197"/>
      <c r="O1977" s="195"/>
      <c r="P1977" s="195"/>
      <c r="Q1977" s="195"/>
    </row>
    <row r="1978" spans="1:17">
      <c r="A1978" s="180">
        <f>'רשימת מכשור 2015'!A1977</f>
        <v>0</v>
      </c>
      <c r="B1978" s="180">
        <f>'רשימת מכשור 2015'!B1977</f>
        <v>0</v>
      </c>
      <c r="C1978" s="180">
        <f>'רשימת מכשור 2015'!C1977</f>
        <v>0</v>
      </c>
      <c r="D1978" s="233">
        <f>'רשימת מכשור 2015'!D1977</f>
        <v>0</v>
      </c>
      <c r="E1978" s="180">
        <f>'רשימת מכשור 2015'!E1977</f>
        <v>0</v>
      </c>
      <c r="F1978" s="180">
        <f>'רשימת מכשור 2015'!F1977</f>
        <v>0</v>
      </c>
      <c r="G1978" s="195"/>
      <c r="H1978" s="195"/>
      <c r="I1978" s="196"/>
      <c r="J1978" s="195"/>
      <c r="K1978" s="195"/>
      <c r="L1978" s="195"/>
      <c r="M1978" s="195"/>
      <c r="N1978" s="197"/>
      <c r="O1978" s="195"/>
      <c r="P1978" s="195"/>
      <c r="Q1978" s="195"/>
    </row>
    <row r="1979" spans="1:17">
      <c r="A1979" s="180">
        <f>'רשימת מכשור 2015'!A1978</f>
        <v>0</v>
      </c>
      <c r="B1979" s="180">
        <f>'רשימת מכשור 2015'!B1978</f>
        <v>0</v>
      </c>
      <c r="C1979" s="180">
        <f>'רשימת מכשור 2015'!C1978</f>
        <v>0</v>
      </c>
      <c r="D1979" s="233">
        <f>'רשימת מכשור 2015'!D1978</f>
        <v>0</v>
      </c>
      <c r="E1979" s="180">
        <f>'רשימת מכשור 2015'!E1978</f>
        <v>0</v>
      </c>
      <c r="F1979" s="180">
        <f>'רשימת מכשור 2015'!F1978</f>
        <v>0</v>
      </c>
      <c r="G1979" s="195"/>
      <c r="H1979" s="195"/>
      <c r="I1979" s="196"/>
      <c r="J1979" s="195"/>
      <c r="K1979" s="195"/>
      <c r="L1979" s="195"/>
      <c r="M1979" s="195"/>
      <c r="N1979" s="197"/>
      <c r="O1979" s="195"/>
      <c r="P1979" s="195"/>
      <c r="Q1979" s="195"/>
    </row>
    <row r="1980" spans="1:17">
      <c r="A1980" s="180">
        <f>'רשימת מכשור 2015'!A1979</f>
        <v>0</v>
      </c>
      <c r="B1980" s="180">
        <f>'רשימת מכשור 2015'!B1979</f>
        <v>0</v>
      </c>
      <c r="C1980" s="180">
        <f>'רשימת מכשור 2015'!C1979</f>
        <v>0</v>
      </c>
      <c r="D1980" s="233">
        <f>'רשימת מכשור 2015'!D1979</f>
        <v>0</v>
      </c>
      <c r="E1980" s="180">
        <f>'רשימת מכשור 2015'!E1979</f>
        <v>0</v>
      </c>
      <c r="F1980" s="180">
        <f>'רשימת מכשור 2015'!F1979</f>
        <v>0</v>
      </c>
      <c r="G1980" s="195"/>
      <c r="H1980" s="195"/>
      <c r="I1980" s="196"/>
      <c r="J1980" s="195"/>
      <c r="K1980" s="195"/>
      <c r="L1980" s="195"/>
      <c r="M1980" s="195"/>
      <c r="N1980" s="197"/>
      <c r="O1980" s="195"/>
      <c r="P1980" s="195"/>
      <c r="Q1980" s="195"/>
    </row>
    <row r="1981" spans="1:17">
      <c r="A1981" s="180">
        <f>'רשימת מכשור 2015'!A1980</f>
        <v>0</v>
      </c>
      <c r="B1981" s="180">
        <f>'רשימת מכשור 2015'!B1980</f>
        <v>0</v>
      </c>
      <c r="C1981" s="180">
        <f>'רשימת מכשור 2015'!C1980</f>
        <v>0</v>
      </c>
      <c r="D1981" s="233">
        <f>'רשימת מכשור 2015'!D1980</f>
        <v>0</v>
      </c>
      <c r="E1981" s="180">
        <f>'רשימת מכשור 2015'!E1980</f>
        <v>0</v>
      </c>
      <c r="F1981" s="180">
        <f>'רשימת מכשור 2015'!F1980</f>
        <v>0</v>
      </c>
      <c r="G1981" s="195"/>
      <c r="H1981" s="195"/>
      <c r="I1981" s="196"/>
      <c r="J1981" s="195"/>
      <c r="K1981" s="195"/>
      <c r="L1981" s="195"/>
      <c r="M1981" s="195"/>
      <c r="N1981" s="197"/>
      <c r="O1981" s="195"/>
      <c r="P1981" s="195"/>
      <c r="Q1981" s="195"/>
    </row>
    <row r="1982" spans="1:17">
      <c r="A1982" s="180">
        <f>'רשימת מכשור 2015'!A1981</f>
        <v>0</v>
      </c>
      <c r="B1982" s="180">
        <f>'רשימת מכשור 2015'!B1981</f>
        <v>0</v>
      </c>
      <c r="C1982" s="180">
        <f>'רשימת מכשור 2015'!C1981</f>
        <v>0</v>
      </c>
      <c r="D1982" s="233">
        <f>'רשימת מכשור 2015'!D1981</f>
        <v>0</v>
      </c>
      <c r="E1982" s="180">
        <f>'רשימת מכשור 2015'!E1981</f>
        <v>0</v>
      </c>
      <c r="F1982" s="180">
        <f>'רשימת מכשור 2015'!F1981</f>
        <v>0</v>
      </c>
      <c r="G1982" s="195"/>
      <c r="H1982" s="195"/>
      <c r="I1982" s="196"/>
      <c r="J1982" s="195"/>
      <c r="K1982" s="195"/>
      <c r="L1982" s="195"/>
      <c r="M1982" s="195"/>
      <c r="N1982" s="197"/>
      <c r="O1982" s="195"/>
      <c r="P1982" s="195"/>
      <c r="Q1982" s="195"/>
    </row>
    <row r="1983" spans="1:17">
      <c r="A1983" s="180">
        <f>'רשימת מכשור 2015'!A1982</f>
        <v>0</v>
      </c>
      <c r="B1983" s="180">
        <f>'רשימת מכשור 2015'!B1982</f>
        <v>0</v>
      </c>
      <c r="C1983" s="180">
        <f>'רשימת מכשור 2015'!C1982</f>
        <v>0</v>
      </c>
      <c r="D1983" s="233">
        <f>'רשימת מכשור 2015'!D1982</f>
        <v>0</v>
      </c>
      <c r="E1983" s="180">
        <f>'רשימת מכשור 2015'!E1982</f>
        <v>0</v>
      </c>
      <c r="F1983" s="180">
        <f>'רשימת מכשור 2015'!F1982</f>
        <v>0</v>
      </c>
      <c r="G1983" s="195"/>
      <c r="H1983" s="195"/>
      <c r="I1983" s="196"/>
      <c r="J1983" s="195"/>
      <c r="K1983" s="195"/>
      <c r="L1983" s="195"/>
      <c r="M1983" s="195"/>
      <c r="N1983" s="197"/>
      <c r="O1983" s="195"/>
      <c r="P1983" s="195"/>
      <c r="Q1983" s="195"/>
    </row>
    <row r="1984" spans="1:17">
      <c r="A1984" s="180">
        <f>'רשימת מכשור 2015'!A1983</f>
        <v>0</v>
      </c>
      <c r="B1984" s="180">
        <f>'רשימת מכשור 2015'!B1983</f>
        <v>0</v>
      </c>
      <c r="C1984" s="180">
        <f>'רשימת מכשור 2015'!C1983</f>
        <v>0</v>
      </c>
      <c r="D1984" s="233">
        <f>'רשימת מכשור 2015'!D1983</f>
        <v>0</v>
      </c>
      <c r="E1984" s="180">
        <f>'רשימת מכשור 2015'!E1983</f>
        <v>0</v>
      </c>
      <c r="F1984" s="180">
        <f>'רשימת מכשור 2015'!F1983</f>
        <v>0</v>
      </c>
      <c r="G1984" s="195"/>
      <c r="H1984" s="195"/>
      <c r="I1984" s="196"/>
      <c r="J1984" s="195"/>
      <c r="K1984" s="195"/>
      <c r="L1984" s="195"/>
      <c r="M1984" s="195"/>
      <c r="N1984" s="197"/>
      <c r="O1984" s="195"/>
      <c r="P1984" s="195"/>
      <c r="Q1984" s="195"/>
    </row>
    <row r="1985" spans="1:17">
      <c r="A1985" s="180">
        <f>'רשימת מכשור 2015'!A1984</f>
        <v>0</v>
      </c>
      <c r="B1985" s="180">
        <f>'רשימת מכשור 2015'!B1984</f>
        <v>0</v>
      </c>
      <c r="C1985" s="180">
        <f>'רשימת מכשור 2015'!C1984</f>
        <v>0</v>
      </c>
      <c r="D1985" s="233">
        <f>'רשימת מכשור 2015'!D1984</f>
        <v>0</v>
      </c>
      <c r="E1985" s="180">
        <f>'רשימת מכשור 2015'!E1984</f>
        <v>0</v>
      </c>
      <c r="F1985" s="180">
        <f>'רשימת מכשור 2015'!F1984</f>
        <v>0</v>
      </c>
      <c r="G1985" s="195"/>
      <c r="H1985" s="195"/>
      <c r="I1985" s="196"/>
      <c r="J1985" s="195"/>
      <c r="K1985" s="195"/>
      <c r="L1985" s="195"/>
      <c r="M1985" s="195"/>
      <c r="N1985" s="197"/>
      <c r="O1985" s="195"/>
      <c r="P1985" s="195"/>
      <c r="Q1985" s="195"/>
    </row>
    <row r="1986" spans="1:17">
      <c r="A1986" s="180">
        <f>'רשימת מכשור 2015'!A1985</f>
        <v>0</v>
      </c>
      <c r="B1986" s="180">
        <f>'רשימת מכשור 2015'!B1985</f>
        <v>0</v>
      </c>
      <c r="C1986" s="180">
        <f>'רשימת מכשור 2015'!C1985</f>
        <v>0</v>
      </c>
      <c r="D1986" s="233">
        <f>'רשימת מכשור 2015'!D1985</f>
        <v>0</v>
      </c>
      <c r="E1986" s="180">
        <f>'רשימת מכשור 2015'!E1985</f>
        <v>0</v>
      </c>
      <c r="F1986" s="180">
        <f>'רשימת מכשור 2015'!F1985</f>
        <v>0</v>
      </c>
      <c r="G1986" s="195"/>
      <c r="H1986" s="195"/>
      <c r="I1986" s="196"/>
      <c r="J1986" s="195"/>
      <c r="K1986" s="195"/>
      <c r="L1986" s="195"/>
      <c r="M1986" s="195"/>
      <c r="N1986" s="197"/>
      <c r="O1986" s="195"/>
      <c r="P1986" s="195"/>
      <c r="Q1986" s="195"/>
    </row>
    <row r="1987" spans="1:17">
      <c r="A1987" s="180">
        <f>'רשימת מכשור 2015'!A1986</f>
        <v>0</v>
      </c>
      <c r="B1987" s="180">
        <f>'רשימת מכשור 2015'!B1986</f>
        <v>0</v>
      </c>
      <c r="C1987" s="180">
        <f>'רשימת מכשור 2015'!C1986</f>
        <v>0</v>
      </c>
      <c r="D1987" s="233">
        <f>'רשימת מכשור 2015'!D1986</f>
        <v>0</v>
      </c>
      <c r="E1987" s="180">
        <f>'רשימת מכשור 2015'!E1986</f>
        <v>0</v>
      </c>
      <c r="F1987" s="180">
        <f>'רשימת מכשור 2015'!F1986</f>
        <v>0</v>
      </c>
      <c r="G1987" s="195"/>
      <c r="H1987" s="195"/>
      <c r="I1987" s="196"/>
      <c r="J1987" s="195"/>
      <c r="K1987" s="195"/>
      <c r="L1987" s="195"/>
      <c r="M1987" s="195"/>
      <c r="N1987" s="197"/>
      <c r="O1987" s="195"/>
      <c r="P1987" s="195"/>
      <c r="Q1987" s="195"/>
    </row>
    <row r="1988" spans="1:17">
      <c r="A1988" s="180">
        <f>'רשימת מכשור 2015'!A1987</f>
        <v>0</v>
      </c>
      <c r="B1988" s="180">
        <f>'רשימת מכשור 2015'!B1987</f>
        <v>0</v>
      </c>
      <c r="C1988" s="180">
        <f>'רשימת מכשור 2015'!C1987</f>
        <v>0</v>
      </c>
      <c r="D1988" s="233">
        <f>'רשימת מכשור 2015'!D1987</f>
        <v>0</v>
      </c>
      <c r="E1988" s="180">
        <f>'רשימת מכשור 2015'!E1987</f>
        <v>0</v>
      </c>
      <c r="F1988" s="180">
        <f>'רשימת מכשור 2015'!F1987</f>
        <v>0</v>
      </c>
      <c r="G1988" s="195"/>
      <c r="H1988" s="195"/>
      <c r="I1988" s="196"/>
      <c r="J1988" s="195"/>
      <c r="K1988" s="195"/>
      <c r="L1988" s="195"/>
      <c r="M1988" s="195"/>
      <c r="N1988" s="197"/>
      <c r="O1988" s="195"/>
      <c r="P1988" s="195"/>
      <c r="Q1988" s="195"/>
    </row>
    <row r="1989" spans="1:17">
      <c r="A1989" s="180">
        <f>'רשימת מכשור 2015'!A1988</f>
        <v>0</v>
      </c>
      <c r="B1989" s="180">
        <f>'רשימת מכשור 2015'!B1988</f>
        <v>0</v>
      </c>
      <c r="C1989" s="180">
        <f>'רשימת מכשור 2015'!C1988</f>
        <v>0</v>
      </c>
      <c r="D1989" s="233">
        <f>'רשימת מכשור 2015'!D1988</f>
        <v>0</v>
      </c>
      <c r="E1989" s="180">
        <f>'רשימת מכשור 2015'!E1988</f>
        <v>0</v>
      </c>
      <c r="F1989" s="180">
        <f>'רשימת מכשור 2015'!F1988</f>
        <v>0</v>
      </c>
      <c r="G1989" s="195"/>
      <c r="H1989" s="195"/>
      <c r="I1989" s="196"/>
      <c r="J1989" s="195"/>
      <c r="K1989" s="195"/>
      <c r="L1989" s="195"/>
      <c r="M1989" s="195"/>
      <c r="N1989" s="197"/>
      <c r="O1989" s="195"/>
      <c r="P1989" s="195"/>
      <c r="Q1989" s="195"/>
    </row>
    <row r="1990" spans="1:17">
      <c r="A1990" s="180">
        <f>'רשימת מכשור 2015'!A1989</f>
        <v>0</v>
      </c>
      <c r="B1990" s="180">
        <f>'רשימת מכשור 2015'!B1989</f>
        <v>0</v>
      </c>
      <c r="C1990" s="180">
        <f>'רשימת מכשור 2015'!C1989</f>
        <v>0</v>
      </c>
      <c r="D1990" s="233">
        <f>'רשימת מכשור 2015'!D1989</f>
        <v>0</v>
      </c>
      <c r="E1990" s="180">
        <f>'רשימת מכשור 2015'!E1989</f>
        <v>0</v>
      </c>
      <c r="F1990" s="180">
        <f>'רשימת מכשור 2015'!F1989</f>
        <v>0</v>
      </c>
      <c r="G1990" s="195"/>
      <c r="H1990" s="195"/>
      <c r="I1990" s="196"/>
      <c r="J1990" s="195"/>
      <c r="K1990" s="195"/>
      <c r="L1990" s="195"/>
      <c r="M1990" s="195"/>
      <c r="N1990" s="197"/>
      <c r="O1990" s="195"/>
      <c r="P1990" s="195"/>
      <c r="Q1990" s="195"/>
    </row>
    <row r="1991" spans="1:17">
      <c r="A1991" s="180">
        <f>'רשימת מכשור 2015'!A1990</f>
        <v>0</v>
      </c>
      <c r="B1991" s="180">
        <f>'רשימת מכשור 2015'!B1990</f>
        <v>0</v>
      </c>
      <c r="C1991" s="180">
        <f>'רשימת מכשור 2015'!C1990</f>
        <v>0</v>
      </c>
      <c r="D1991" s="233">
        <f>'רשימת מכשור 2015'!D1990</f>
        <v>0</v>
      </c>
      <c r="E1991" s="180">
        <f>'רשימת מכשור 2015'!E1990</f>
        <v>0</v>
      </c>
      <c r="F1991" s="180">
        <f>'רשימת מכשור 2015'!F1990</f>
        <v>0</v>
      </c>
      <c r="G1991" s="195"/>
      <c r="H1991" s="195"/>
      <c r="I1991" s="196"/>
      <c r="J1991" s="195"/>
      <c r="K1991" s="195"/>
      <c r="L1991" s="195"/>
      <c r="M1991" s="195"/>
      <c r="N1991" s="197"/>
      <c r="O1991" s="195"/>
      <c r="P1991" s="195"/>
      <c r="Q1991" s="195"/>
    </row>
    <row r="1992" spans="1:17">
      <c r="A1992" s="180">
        <f>'רשימת מכשור 2015'!A1991</f>
        <v>0</v>
      </c>
      <c r="B1992" s="180">
        <f>'רשימת מכשור 2015'!B1991</f>
        <v>0</v>
      </c>
      <c r="C1992" s="180">
        <f>'רשימת מכשור 2015'!C1991</f>
        <v>0</v>
      </c>
      <c r="D1992" s="233">
        <f>'רשימת מכשור 2015'!D1991</f>
        <v>0</v>
      </c>
      <c r="E1992" s="180">
        <f>'רשימת מכשור 2015'!E1991</f>
        <v>0</v>
      </c>
      <c r="F1992" s="180">
        <f>'רשימת מכשור 2015'!F1991</f>
        <v>0</v>
      </c>
      <c r="G1992" s="195"/>
      <c r="H1992" s="195"/>
      <c r="I1992" s="196"/>
      <c r="J1992" s="195"/>
      <c r="K1992" s="195"/>
      <c r="L1992" s="195"/>
      <c r="M1992" s="195"/>
      <c r="N1992" s="197"/>
      <c r="O1992" s="195"/>
      <c r="P1992" s="195"/>
      <c r="Q1992" s="195"/>
    </row>
    <row r="1993" spans="1:17">
      <c r="A1993" s="180">
        <f>'רשימת מכשור 2015'!A1992</f>
        <v>0</v>
      </c>
      <c r="B1993" s="180">
        <f>'רשימת מכשור 2015'!B1992</f>
        <v>0</v>
      </c>
      <c r="C1993" s="180">
        <f>'רשימת מכשור 2015'!C1992</f>
        <v>0</v>
      </c>
      <c r="D1993" s="233">
        <f>'רשימת מכשור 2015'!D1992</f>
        <v>0</v>
      </c>
      <c r="E1993" s="180">
        <f>'רשימת מכשור 2015'!E1992</f>
        <v>0</v>
      </c>
      <c r="F1993" s="180">
        <f>'רשימת מכשור 2015'!F1992</f>
        <v>0</v>
      </c>
      <c r="G1993" s="195"/>
      <c r="H1993" s="195"/>
      <c r="I1993" s="196"/>
      <c r="J1993" s="195"/>
      <c r="K1993" s="195"/>
      <c r="L1993" s="195"/>
      <c r="M1993" s="195"/>
      <c r="N1993" s="197"/>
      <c r="O1993" s="195"/>
      <c r="P1993" s="195"/>
      <c r="Q1993" s="195"/>
    </row>
    <row r="1994" spans="1:17">
      <c r="A1994" s="180">
        <f>'רשימת מכשור 2015'!A1993</f>
        <v>0</v>
      </c>
      <c r="B1994" s="180">
        <f>'רשימת מכשור 2015'!B1993</f>
        <v>0</v>
      </c>
      <c r="C1994" s="180">
        <f>'רשימת מכשור 2015'!C1993</f>
        <v>0</v>
      </c>
      <c r="D1994" s="233">
        <f>'רשימת מכשור 2015'!D1993</f>
        <v>0</v>
      </c>
      <c r="E1994" s="180">
        <f>'רשימת מכשור 2015'!E1993</f>
        <v>0</v>
      </c>
      <c r="F1994" s="180">
        <f>'רשימת מכשור 2015'!F1993</f>
        <v>0</v>
      </c>
      <c r="G1994" s="195"/>
      <c r="H1994" s="195"/>
      <c r="I1994" s="196"/>
      <c r="J1994" s="195"/>
      <c r="K1994" s="195"/>
      <c r="L1994" s="195"/>
      <c r="M1994" s="195"/>
      <c r="N1994" s="197"/>
      <c r="O1994" s="195"/>
      <c r="P1994" s="195"/>
      <c r="Q1994" s="195"/>
    </row>
    <row r="1995" spans="1:17">
      <c r="A1995" s="180">
        <f>'רשימת מכשור 2015'!A1994</f>
        <v>0</v>
      </c>
      <c r="B1995" s="180">
        <f>'רשימת מכשור 2015'!B1994</f>
        <v>0</v>
      </c>
      <c r="C1995" s="180">
        <f>'רשימת מכשור 2015'!C1994</f>
        <v>0</v>
      </c>
      <c r="D1995" s="233">
        <f>'רשימת מכשור 2015'!D1994</f>
        <v>0</v>
      </c>
      <c r="E1995" s="180">
        <f>'רשימת מכשור 2015'!E1994</f>
        <v>0</v>
      </c>
      <c r="F1995" s="180">
        <f>'רשימת מכשור 2015'!F1994</f>
        <v>0</v>
      </c>
      <c r="G1995" s="195"/>
      <c r="H1995" s="195"/>
      <c r="I1995" s="196"/>
      <c r="J1995" s="195"/>
      <c r="K1995" s="195"/>
      <c r="L1995" s="195"/>
      <c r="M1995" s="195"/>
      <c r="N1995" s="197"/>
      <c r="O1995" s="195"/>
      <c r="P1995" s="195"/>
      <c r="Q1995" s="195"/>
    </row>
    <row r="1996" spans="1:17">
      <c r="A1996" s="180">
        <f>'רשימת מכשור 2015'!A1995</f>
        <v>0</v>
      </c>
      <c r="B1996" s="180">
        <f>'רשימת מכשור 2015'!B1995</f>
        <v>0</v>
      </c>
      <c r="C1996" s="180">
        <f>'רשימת מכשור 2015'!C1995</f>
        <v>0</v>
      </c>
      <c r="D1996" s="233">
        <f>'רשימת מכשור 2015'!D1995</f>
        <v>0</v>
      </c>
      <c r="E1996" s="180">
        <f>'רשימת מכשור 2015'!E1995</f>
        <v>0</v>
      </c>
      <c r="F1996" s="180">
        <f>'רשימת מכשור 2015'!F1995</f>
        <v>0</v>
      </c>
      <c r="G1996" s="195"/>
      <c r="H1996" s="195"/>
      <c r="I1996" s="196"/>
      <c r="J1996" s="195"/>
      <c r="K1996" s="195"/>
      <c r="L1996" s="195"/>
      <c r="M1996" s="195"/>
      <c r="N1996" s="197"/>
      <c r="O1996" s="195"/>
      <c r="P1996" s="195"/>
      <c r="Q1996" s="195"/>
    </row>
    <row r="1997" spans="1:17">
      <c r="A1997" s="180">
        <f>'רשימת מכשור 2015'!A1996</f>
        <v>0</v>
      </c>
      <c r="B1997" s="180">
        <f>'רשימת מכשור 2015'!B1996</f>
        <v>0</v>
      </c>
      <c r="C1997" s="180">
        <f>'רשימת מכשור 2015'!C1996</f>
        <v>0</v>
      </c>
      <c r="D1997" s="233">
        <f>'רשימת מכשור 2015'!D1996</f>
        <v>0</v>
      </c>
      <c r="E1997" s="180">
        <f>'רשימת מכשור 2015'!E1996</f>
        <v>0</v>
      </c>
      <c r="F1997" s="180">
        <f>'רשימת מכשור 2015'!F1996</f>
        <v>0</v>
      </c>
      <c r="G1997" s="195"/>
      <c r="H1997" s="195"/>
      <c r="I1997" s="196"/>
      <c r="J1997" s="195"/>
      <c r="K1997" s="195"/>
      <c r="L1997" s="195"/>
      <c r="M1997" s="195"/>
      <c r="N1997" s="197"/>
      <c r="O1997" s="195"/>
      <c r="P1997" s="195"/>
      <c r="Q1997" s="195"/>
    </row>
    <row r="1998" spans="1:17">
      <c r="A1998" s="180">
        <f>'רשימת מכשור 2015'!A1997</f>
        <v>0</v>
      </c>
      <c r="B1998" s="180">
        <f>'רשימת מכשור 2015'!B1997</f>
        <v>0</v>
      </c>
      <c r="C1998" s="180">
        <f>'רשימת מכשור 2015'!C1997</f>
        <v>0</v>
      </c>
      <c r="D1998" s="233">
        <f>'רשימת מכשור 2015'!D1997</f>
        <v>0</v>
      </c>
      <c r="E1998" s="180">
        <f>'רשימת מכשור 2015'!E1997</f>
        <v>0</v>
      </c>
      <c r="F1998" s="180">
        <f>'רשימת מכשור 2015'!F1997</f>
        <v>0</v>
      </c>
      <c r="G1998" s="195"/>
      <c r="H1998" s="195"/>
      <c r="I1998" s="196"/>
      <c r="J1998" s="195"/>
      <c r="K1998" s="195"/>
      <c r="L1998" s="195"/>
      <c r="M1998" s="195"/>
      <c r="N1998" s="197"/>
      <c r="O1998" s="195"/>
      <c r="P1998" s="195"/>
      <c r="Q1998" s="195"/>
    </row>
    <row r="1999" spans="1:17">
      <c r="A1999" s="180">
        <f>'רשימת מכשור 2015'!A1998</f>
        <v>0</v>
      </c>
      <c r="B1999" s="180">
        <f>'רשימת מכשור 2015'!B1998</f>
        <v>0</v>
      </c>
      <c r="C1999" s="180">
        <f>'רשימת מכשור 2015'!C1998</f>
        <v>0</v>
      </c>
      <c r="D1999" s="233">
        <f>'רשימת מכשור 2015'!D1998</f>
        <v>0</v>
      </c>
      <c r="E1999" s="180">
        <f>'רשימת מכשור 2015'!E1998</f>
        <v>0</v>
      </c>
      <c r="F1999" s="180">
        <f>'רשימת מכשור 2015'!F1998</f>
        <v>0</v>
      </c>
      <c r="G1999" s="195"/>
      <c r="H1999" s="195"/>
      <c r="I1999" s="196"/>
      <c r="J1999" s="195"/>
      <c r="K1999" s="195"/>
      <c r="L1999" s="195"/>
      <c r="M1999" s="195"/>
      <c r="N1999" s="197"/>
      <c r="O1999" s="195"/>
      <c r="P1999" s="195"/>
      <c r="Q1999" s="195"/>
    </row>
    <row r="2000" spans="1:17">
      <c r="A2000" s="180">
        <f>'רשימת מכשור 2015'!A1999</f>
        <v>0</v>
      </c>
      <c r="B2000" s="180">
        <f>'רשימת מכשור 2015'!B1999</f>
        <v>0</v>
      </c>
      <c r="C2000" s="180">
        <f>'רשימת מכשור 2015'!C1999</f>
        <v>0</v>
      </c>
      <c r="D2000" s="233">
        <f>'רשימת מכשור 2015'!D1999</f>
        <v>0</v>
      </c>
      <c r="E2000" s="180">
        <f>'רשימת מכשור 2015'!E1999</f>
        <v>0</v>
      </c>
      <c r="F2000" s="180">
        <f>'רשימת מכשור 2015'!F1999</f>
        <v>0</v>
      </c>
      <c r="G2000" s="1"/>
      <c r="H2000" s="1"/>
      <c r="I2000" s="105"/>
      <c r="J2000" s="1"/>
      <c r="K2000" s="1"/>
      <c r="L2000" s="1"/>
      <c r="M2000" s="1"/>
      <c r="N2000" s="166"/>
      <c r="O2000" s="1"/>
      <c r="P2000" s="1"/>
      <c r="Q2000" s="1"/>
    </row>
  </sheetData>
  <sheetProtection formatCells="0" formatColumns="0" formatRows="0" insertColumns="0" insertRows="0" insertHyperlinks="0" sort="0" autoFilter="0"/>
  <autoFilter ref="A3:Q2000" xr:uid="{00000000-0009-0000-0000-000001000000}"/>
  <mergeCells count="1">
    <mergeCell ref="A2:Q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10"/>
  <sheetViews>
    <sheetView rightToLeft="1" zoomScaleNormal="100" workbookViewId="0">
      <pane ySplit="4" topLeftCell="A686" activePane="bottomLeft" state="frozen"/>
      <selection activeCell="A6" sqref="A6"/>
      <selection pane="bottomLeft" activeCell="M694" sqref="M694"/>
    </sheetView>
  </sheetViews>
  <sheetFormatPr defaultRowHeight="14.4"/>
  <cols>
    <col min="1" max="1" width="20" style="18" customWidth="1"/>
    <col min="2" max="2" width="28" customWidth="1"/>
    <col min="3" max="3" width="17.77734375" style="11" customWidth="1"/>
    <col min="4" max="4" width="18.109375" customWidth="1"/>
    <col min="5" max="5" width="21.77734375" style="75" customWidth="1"/>
    <col min="6" max="6" width="10.77734375" customWidth="1"/>
    <col min="7" max="7" width="9.77734375" customWidth="1"/>
    <col min="8" max="8" width="9.6640625" bestFit="1" customWidth="1"/>
    <col min="9" max="9" width="11.21875" style="9" customWidth="1"/>
    <col min="11" max="11" width="11.33203125" customWidth="1"/>
    <col min="13" max="13" width="17" bestFit="1" customWidth="1"/>
    <col min="14" max="14" width="17" customWidth="1"/>
    <col min="15" max="15" width="9.109375" style="12"/>
    <col min="17" max="17" width="37.6640625" customWidth="1"/>
  </cols>
  <sheetData>
    <row r="1" spans="1:17" ht="13.65" customHeight="1" thickBot="1"/>
    <row r="2" spans="1:17" ht="18" thickBot="1">
      <c r="A2" s="19"/>
      <c r="B2" s="2"/>
      <c r="C2" s="21"/>
      <c r="D2" s="4" t="s">
        <v>24</v>
      </c>
      <c r="E2" s="76"/>
      <c r="F2" s="5"/>
      <c r="G2" s="6"/>
      <c r="H2" s="6"/>
      <c r="I2" s="6"/>
      <c r="J2" s="7"/>
      <c r="K2" s="7"/>
      <c r="L2" s="7"/>
      <c r="M2" s="3"/>
      <c r="N2" s="3"/>
      <c r="O2" s="3"/>
      <c r="P2" s="3"/>
      <c r="Q2" s="8"/>
    </row>
    <row r="3" spans="1:17" ht="39.75" customHeight="1">
      <c r="A3" s="25" t="s">
        <v>81</v>
      </c>
      <c r="B3" s="24" t="s">
        <v>0</v>
      </c>
      <c r="C3" s="24" t="s">
        <v>1</v>
      </c>
      <c r="D3" s="24" t="s">
        <v>2</v>
      </c>
      <c r="E3" s="22" t="s">
        <v>3</v>
      </c>
      <c r="F3" s="24" t="s">
        <v>84</v>
      </c>
      <c r="G3" s="22" t="s">
        <v>1072</v>
      </c>
      <c r="H3" s="24" t="s">
        <v>4</v>
      </c>
      <c r="I3" s="22" t="s">
        <v>80</v>
      </c>
      <c r="J3" s="24" t="s">
        <v>5</v>
      </c>
      <c r="K3" s="22" t="s">
        <v>6</v>
      </c>
      <c r="L3" s="22" t="s">
        <v>7</v>
      </c>
      <c r="M3" s="24" t="s">
        <v>203</v>
      </c>
      <c r="N3" s="22" t="s">
        <v>204</v>
      </c>
      <c r="O3" s="22" t="s">
        <v>8</v>
      </c>
      <c r="P3" s="22" t="s">
        <v>9</v>
      </c>
      <c r="Q3" s="22" t="s">
        <v>10</v>
      </c>
    </row>
    <row r="4" spans="1:17" ht="0.75" customHeight="1">
      <c r="A4" s="29" t="s">
        <v>16</v>
      </c>
      <c r="B4" s="83" t="s">
        <v>23</v>
      </c>
      <c r="C4" s="31" t="s">
        <v>33</v>
      </c>
      <c r="D4" s="52" t="s">
        <v>54</v>
      </c>
      <c r="E4" s="29" t="s">
        <v>67</v>
      </c>
      <c r="F4" s="52">
        <v>70000</v>
      </c>
      <c r="G4" s="52">
        <v>1</v>
      </c>
      <c r="H4" s="52">
        <f>G4*F4</f>
        <v>70000</v>
      </c>
      <c r="I4" s="94"/>
      <c r="J4" s="52">
        <v>1</v>
      </c>
      <c r="K4" s="52">
        <v>0</v>
      </c>
      <c r="L4" s="52">
        <v>2</v>
      </c>
      <c r="M4" s="52" t="str">
        <f>IF(AND(K4*L4*30*O4&gt;H4/J4,I4=""),"לרכוש","לא לרכוש")</f>
        <v>לא לרכוש</v>
      </c>
      <c r="N4" s="52"/>
      <c r="O4" s="52">
        <v>1000</v>
      </c>
      <c r="P4" s="89"/>
      <c r="Q4" s="89"/>
    </row>
    <row r="5" spans="1:17" s="32" customFormat="1">
      <c r="A5" s="33" t="s">
        <v>21</v>
      </c>
      <c r="B5" s="30" t="s">
        <v>87</v>
      </c>
      <c r="C5" s="34" t="s">
        <v>44</v>
      </c>
      <c r="D5" s="27" t="s">
        <v>58</v>
      </c>
      <c r="E5" s="35">
        <v>5000</v>
      </c>
      <c r="F5" s="36">
        <v>50000</v>
      </c>
      <c r="G5" s="28">
        <v>1</v>
      </c>
      <c r="H5" s="28">
        <f>G5*F5</f>
        <v>50000</v>
      </c>
      <c r="I5" s="69" t="s">
        <v>82</v>
      </c>
      <c r="J5" s="28">
        <v>1</v>
      </c>
      <c r="K5" s="28">
        <v>1</v>
      </c>
      <c r="L5" s="27">
        <v>1.5</v>
      </c>
      <c r="M5" s="28" t="str">
        <f>IF(AND(K5*L5*30*O5&gt;H5/J5,I5=""),"לרכוש","לא לרכוש")</f>
        <v>לא לרכוש</v>
      </c>
      <c r="N5" s="28"/>
      <c r="O5" s="28">
        <v>1000</v>
      </c>
      <c r="P5" s="27"/>
      <c r="Q5" s="27"/>
    </row>
    <row r="6" spans="1:17" s="32" customFormat="1" ht="28.8">
      <c r="A6" s="37" t="s">
        <v>21</v>
      </c>
      <c r="B6" s="37" t="s">
        <v>140</v>
      </c>
      <c r="C6" s="56" t="s">
        <v>143</v>
      </c>
      <c r="D6" s="28" t="s">
        <v>150</v>
      </c>
      <c r="E6" s="37" t="s">
        <v>154</v>
      </c>
      <c r="F6" s="28">
        <v>50000</v>
      </c>
      <c r="G6" s="28">
        <v>1</v>
      </c>
      <c r="H6" s="28">
        <f>G6*F6</f>
        <v>50000</v>
      </c>
      <c r="I6" s="69" t="s">
        <v>82</v>
      </c>
      <c r="J6" s="28">
        <v>1</v>
      </c>
      <c r="K6" s="28">
        <v>1</v>
      </c>
      <c r="L6" s="28">
        <v>1.5</v>
      </c>
      <c r="M6" s="28" t="str">
        <f>IF(AND(K6*L6*30*O6&gt;H6/J6,I6=""),"לרכוש","לא לרכוש")</f>
        <v>לא לרכוש</v>
      </c>
      <c r="N6" s="28"/>
      <c r="O6" s="28">
        <v>1000</v>
      </c>
      <c r="P6" s="27"/>
      <c r="Q6" s="27"/>
    </row>
    <row r="7" spans="1:17" s="32" customFormat="1">
      <c r="A7" s="33" t="s">
        <v>21</v>
      </c>
      <c r="B7" s="64" t="s">
        <v>238</v>
      </c>
      <c r="C7" s="34" t="s">
        <v>1055</v>
      </c>
      <c r="D7" s="27" t="s">
        <v>101</v>
      </c>
      <c r="E7" s="33" t="s">
        <v>154</v>
      </c>
      <c r="F7" s="28">
        <v>50000</v>
      </c>
      <c r="G7" s="28">
        <v>1</v>
      </c>
      <c r="H7" s="28">
        <f>G7*F7</f>
        <v>50000</v>
      </c>
      <c r="I7" s="69" t="s">
        <v>82</v>
      </c>
      <c r="J7" s="28">
        <v>1</v>
      </c>
      <c r="K7" s="28">
        <v>1</v>
      </c>
      <c r="L7" s="28">
        <v>1.5</v>
      </c>
      <c r="M7" s="28" t="str">
        <f>IF(AND(K7*L7*30*O7&gt;H7/J7,I7=""),"לרכוש","לא לרכוש")</f>
        <v>לא לרכוש</v>
      </c>
      <c r="N7" s="28"/>
      <c r="O7" s="28">
        <v>1000</v>
      </c>
      <c r="P7" s="27"/>
      <c r="Q7" s="27"/>
    </row>
    <row r="8" spans="1:17" s="32" customFormat="1" ht="14.25" customHeight="1">
      <c r="A8" s="33" t="s">
        <v>22</v>
      </c>
      <c r="B8" s="27">
        <v>5000</v>
      </c>
      <c r="C8" s="34" t="s">
        <v>36</v>
      </c>
      <c r="D8" s="27" t="s">
        <v>221</v>
      </c>
      <c r="E8" s="33" t="s">
        <v>421</v>
      </c>
      <c r="F8" s="28">
        <v>10000</v>
      </c>
      <c r="G8" s="28">
        <v>1</v>
      </c>
      <c r="H8" s="28">
        <v>20000</v>
      </c>
      <c r="I8" s="69" t="s">
        <v>82</v>
      </c>
      <c r="J8" s="28">
        <v>1</v>
      </c>
      <c r="K8" s="28">
        <v>1</v>
      </c>
      <c r="L8" s="28">
        <v>1.5</v>
      </c>
      <c r="M8" s="28" t="s">
        <v>1054</v>
      </c>
      <c r="N8" s="28"/>
      <c r="O8" s="28">
        <v>1000</v>
      </c>
      <c r="P8" s="27"/>
      <c r="Q8" s="27"/>
    </row>
    <row r="9" spans="1:17" s="32" customFormat="1">
      <c r="A9" s="33" t="s">
        <v>22</v>
      </c>
      <c r="B9" s="27">
        <v>2500</v>
      </c>
      <c r="C9" s="34" t="s">
        <v>36</v>
      </c>
      <c r="D9" s="27" t="s">
        <v>221</v>
      </c>
      <c r="E9" s="39" t="s">
        <v>421</v>
      </c>
      <c r="F9" s="28">
        <v>10000</v>
      </c>
      <c r="G9" s="28">
        <v>1</v>
      </c>
      <c r="H9" s="28">
        <f>G9*F9</f>
        <v>10000</v>
      </c>
      <c r="I9" s="69" t="s">
        <v>82</v>
      </c>
      <c r="J9" s="28">
        <v>1</v>
      </c>
      <c r="K9" s="28">
        <v>1</v>
      </c>
      <c r="L9" s="28">
        <v>1.5</v>
      </c>
      <c r="M9" s="28" t="str">
        <f>IF(AND(K9*L9*30*O9&gt;H9/J9,I9=""),"לרכוש","לא לרכוש")</f>
        <v>לא לרכוש</v>
      </c>
      <c r="N9" s="28"/>
      <c r="O9" s="28">
        <v>1000</v>
      </c>
      <c r="P9" s="27"/>
      <c r="Q9" s="27"/>
    </row>
    <row r="10" spans="1:17" s="32" customFormat="1" ht="14.25" customHeight="1">
      <c r="A10" s="33" t="s">
        <v>422</v>
      </c>
      <c r="B10" s="27" t="s">
        <v>233</v>
      </c>
      <c r="C10" s="34" t="s">
        <v>423</v>
      </c>
      <c r="D10" s="27" t="s">
        <v>49</v>
      </c>
      <c r="E10" s="33" t="s">
        <v>424</v>
      </c>
      <c r="F10" s="28">
        <v>18000</v>
      </c>
      <c r="G10" s="28">
        <v>1</v>
      </c>
      <c r="H10" s="28">
        <v>18000</v>
      </c>
      <c r="I10" s="69"/>
      <c r="J10" s="28">
        <v>1</v>
      </c>
      <c r="K10" s="28">
        <v>1</v>
      </c>
      <c r="L10" s="28"/>
      <c r="M10" s="28"/>
      <c r="N10" s="28"/>
      <c r="O10" s="28">
        <v>1000</v>
      </c>
      <c r="P10" s="27"/>
      <c r="Q10" s="27"/>
    </row>
    <row r="11" spans="1:17" s="32" customFormat="1" ht="28.8">
      <c r="A11" s="33" t="s">
        <v>11</v>
      </c>
      <c r="B11" s="27" t="s">
        <v>347</v>
      </c>
      <c r="C11" s="34" t="s">
        <v>380</v>
      </c>
      <c r="D11" s="27" t="s">
        <v>398</v>
      </c>
      <c r="E11" s="33" t="s">
        <v>416</v>
      </c>
      <c r="F11" s="28">
        <v>14000</v>
      </c>
      <c r="G11" s="28">
        <v>1</v>
      </c>
      <c r="H11" s="28">
        <f>G11*F11</f>
        <v>14000</v>
      </c>
      <c r="I11" s="69" t="s">
        <v>82</v>
      </c>
      <c r="J11" s="28">
        <v>1</v>
      </c>
      <c r="K11" s="28">
        <v>1</v>
      </c>
      <c r="L11" s="28">
        <v>1.5</v>
      </c>
      <c r="M11" s="28" t="str">
        <f t="shared" ref="M11:M74" si="0">IF(AND(K11*L11*30*O11&gt;H11/J11,I11=""),"לרכוש","לא לרכוש")</f>
        <v>לא לרכוש</v>
      </c>
      <c r="N11" s="28"/>
      <c r="O11" s="28">
        <v>1000</v>
      </c>
      <c r="P11" s="27"/>
      <c r="Q11" s="27"/>
    </row>
    <row r="12" spans="1:17" s="32" customFormat="1" ht="28.5" customHeight="1">
      <c r="A12" s="33" t="s">
        <v>11</v>
      </c>
      <c r="B12" s="27" t="s">
        <v>347</v>
      </c>
      <c r="C12" s="34" t="s">
        <v>381</v>
      </c>
      <c r="D12" s="27" t="s">
        <v>398</v>
      </c>
      <c r="E12" s="33" t="s">
        <v>416</v>
      </c>
      <c r="F12" s="28">
        <v>14000</v>
      </c>
      <c r="G12" s="28">
        <v>1</v>
      </c>
      <c r="H12" s="28">
        <f>G12*F12</f>
        <v>14000</v>
      </c>
      <c r="I12" s="69" t="s">
        <v>82</v>
      </c>
      <c r="J12" s="28">
        <v>1</v>
      </c>
      <c r="K12" s="28">
        <v>1</v>
      </c>
      <c r="L12" s="28">
        <v>1.5</v>
      </c>
      <c r="M12" s="28" t="str">
        <f t="shared" si="0"/>
        <v>לא לרכוש</v>
      </c>
      <c r="N12" s="28"/>
      <c r="O12" s="28">
        <v>1000</v>
      </c>
      <c r="P12" s="27"/>
      <c r="Q12" s="27"/>
    </row>
    <row r="13" spans="1:17" s="32" customFormat="1" ht="14.25" customHeight="1">
      <c r="A13" s="37" t="s">
        <v>89</v>
      </c>
      <c r="B13" s="42" t="s">
        <v>88</v>
      </c>
      <c r="C13" s="43" t="s">
        <v>94</v>
      </c>
      <c r="D13" s="37" t="s">
        <v>105</v>
      </c>
      <c r="E13" s="37" t="s">
        <v>113</v>
      </c>
      <c r="F13" s="28">
        <v>12000</v>
      </c>
      <c r="G13" s="28">
        <v>1</v>
      </c>
      <c r="H13" s="28">
        <f>G13*F13</f>
        <v>12000</v>
      </c>
      <c r="I13" s="69" t="s">
        <v>82</v>
      </c>
      <c r="J13" s="28">
        <v>1</v>
      </c>
      <c r="K13" s="28">
        <v>0</v>
      </c>
      <c r="L13" s="28">
        <v>1.5</v>
      </c>
      <c r="M13" s="28" t="str">
        <f t="shared" si="0"/>
        <v>לא לרכוש</v>
      </c>
      <c r="N13" s="28"/>
      <c r="O13" s="28">
        <v>1000</v>
      </c>
      <c r="P13" s="27"/>
      <c r="Q13" s="27"/>
    </row>
    <row r="14" spans="1:17" s="32" customFormat="1" ht="14.25" customHeight="1">
      <c r="A14" s="33" t="s">
        <v>83</v>
      </c>
      <c r="B14" s="40" t="s">
        <v>219</v>
      </c>
      <c r="C14" s="34" t="s">
        <v>216</v>
      </c>
      <c r="D14" s="27" t="s">
        <v>149</v>
      </c>
      <c r="E14" s="33" t="s">
        <v>223</v>
      </c>
      <c r="F14" s="28">
        <v>120000</v>
      </c>
      <c r="G14" s="28">
        <v>1</v>
      </c>
      <c r="H14" s="28">
        <v>12000</v>
      </c>
      <c r="I14" s="69"/>
      <c r="J14" s="28">
        <v>1</v>
      </c>
      <c r="K14" s="28">
        <v>1</v>
      </c>
      <c r="L14" s="28">
        <v>1.5</v>
      </c>
      <c r="M14" s="28" t="str">
        <f t="shared" si="0"/>
        <v>לרכוש</v>
      </c>
      <c r="N14" s="28"/>
      <c r="O14" s="28">
        <v>1000</v>
      </c>
      <c r="P14" s="27"/>
      <c r="Q14" s="27"/>
    </row>
    <row r="15" spans="1:17" s="32" customFormat="1" ht="28.8">
      <c r="A15" s="33" t="s">
        <v>83</v>
      </c>
      <c r="B15" s="27" t="s">
        <v>227</v>
      </c>
      <c r="C15" s="34" t="s">
        <v>228</v>
      </c>
      <c r="D15" s="27" t="s">
        <v>149</v>
      </c>
      <c r="E15" s="33" t="s">
        <v>231</v>
      </c>
      <c r="F15" s="28">
        <v>120000</v>
      </c>
      <c r="G15" s="28">
        <v>1</v>
      </c>
      <c r="H15" s="28">
        <v>12000</v>
      </c>
      <c r="I15" s="69"/>
      <c r="J15" s="28">
        <v>1</v>
      </c>
      <c r="K15" s="28">
        <v>1</v>
      </c>
      <c r="L15" s="28">
        <v>1.5</v>
      </c>
      <c r="M15" s="28" t="str">
        <f t="shared" si="0"/>
        <v>לרכוש</v>
      </c>
      <c r="N15" s="28"/>
      <c r="O15" s="28">
        <v>1000</v>
      </c>
      <c r="P15" s="27"/>
      <c r="Q15" s="27"/>
    </row>
    <row r="16" spans="1:17" s="32" customFormat="1" ht="28.8">
      <c r="A16" s="33" t="s">
        <v>83</v>
      </c>
      <c r="B16" s="64" t="s">
        <v>238</v>
      </c>
      <c r="C16" s="34" t="s">
        <v>239</v>
      </c>
      <c r="D16" s="27" t="s">
        <v>149</v>
      </c>
      <c r="E16" s="33" t="s">
        <v>247</v>
      </c>
      <c r="F16" s="28">
        <v>12000</v>
      </c>
      <c r="G16" s="28">
        <v>1</v>
      </c>
      <c r="H16" s="28">
        <f t="shared" ref="H16:H22" si="1">G16*F16</f>
        <v>12000</v>
      </c>
      <c r="I16" s="69"/>
      <c r="J16" s="28">
        <v>1</v>
      </c>
      <c r="K16" s="28">
        <v>1</v>
      </c>
      <c r="L16" s="28">
        <v>1.5</v>
      </c>
      <c r="M16" s="28" t="str">
        <f t="shared" si="0"/>
        <v>לרכוש</v>
      </c>
      <c r="N16" s="28"/>
      <c r="O16" s="28">
        <v>1000</v>
      </c>
      <c r="P16" s="27"/>
      <c r="Q16" s="27"/>
    </row>
    <row r="17" spans="1:17" s="32" customFormat="1" ht="28.8">
      <c r="A17" s="33" t="s">
        <v>83</v>
      </c>
      <c r="B17" s="27" t="s">
        <v>345</v>
      </c>
      <c r="C17" s="34" t="s">
        <v>362</v>
      </c>
      <c r="D17" s="27" t="s">
        <v>149</v>
      </c>
      <c r="E17" s="33" t="s">
        <v>407</v>
      </c>
      <c r="F17" s="28">
        <v>12000</v>
      </c>
      <c r="G17" s="28">
        <v>1</v>
      </c>
      <c r="H17" s="28">
        <f t="shared" si="1"/>
        <v>12000</v>
      </c>
      <c r="I17" s="69"/>
      <c r="J17" s="28">
        <v>1</v>
      </c>
      <c r="K17" s="28">
        <v>1</v>
      </c>
      <c r="L17" s="28">
        <v>1.5</v>
      </c>
      <c r="M17" s="28" t="str">
        <f t="shared" si="0"/>
        <v>לרכוש</v>
      </c>
      <c r="N17" s="28"/>
      <c r="O17" s="28">
        <v>1000</v>
      </c>
      <c r="P17" s="27"/>
      <c r="Q17" s="27"/>
    </row>
    <row r="18" spans="1:17" s="32" customFormat="1">
      <c r="A18" s="37" t="s">
        <v>159</v>
      </c>
      <c r="B18" s="30" t="s">
        <v>23</v>
      </c>
      <c r="C18" s="38" t="s">
        <v>30</v>
      </c>
      <c r="D18" s="37" t="s">
        <v>53</v>
      </c>
      <c r="E18" s="37" t="s">
        <v>66</v>
      </c>
      <c r="F18" s="28">
        <v>10000</v>
      </c>
      <c r="G18" s="28">
        <v>1</v>
      </c>
      <c r="H18" s="28">
        <f t="shared" si="1"/>
        <v>10000</v>
      </c>
      <c r="I18" s="69"/>
      <c r="J18" s="28">
        <v>1</v>
      </c>
      <c r="K18" s="28">
        <v>1</v>
      </c>
      <c r="L18" s="28">
        <v>1.5</v>
      </c>
      <c r="M18" s="28" t="str">
        <f t="shared" si="0"/>
        <v>לרכוש</v>
      </c>
      <c r="N18" s="28"/>
      <c r="O18" s="28">
        <v>1000</v>
      </c>
      <c r="P18" s="27"/>
      <c r="Q18" s="27"/>
    </row>
    <row r="19" spans="1:17" s="32" customFormat="1">
      <c r="A19" s="37" t="s">
        <v>159</v>
      </c>
      <c r="B19" s="30" t="s">
        <v>23</v>
      </c>
      <c r="C19" s="38" t="s">
        <v>31</v>
      </c>
      <c r="D19" s="37" t="s">
        <v>53</v>
      </c>
      <c r="E19" s="37" t="s">
        <v>66</v>
      </c>
      <c r="F19" s="28">
        <v>10000</v>
      </c>
      <c r="G19" s="28">
        <v>1</v>
      </c>
      <c r="H19" s="28">
        <f t="shared" si="1"/>
        <v>10000</v>
      </c>
      <c r="I19" s="69" t="s">
        <v>82</v>
      </c>
      <c r="J19" s="28">
        <v>1</v>
      </c>
      <c r="K19" s="28">
        <v>1</v>
      </c>
      <c r="L19" s="28">
        <v>1.5</v>
      </c>
      <c r="M19" s="28" t="str">
        <f t="shared" si="0"/>
        <v>לא לרכוש</v>
      </c>
      <c r="N19" s="28"/>
      <c r="O19" s="28">
        <v>1000</v>
      </c>
      <c r="P19" s="27"/>
      <c r="Q19" s="27"/>
    </row>
    <row r="20" spans="1:17" s="32" customFormat="1">
      <c r="A20" s="33" t="s">
        <v>22</v>
      </c>
      <c r="B20" s="30" t="s">
        <v>87</v>
      </c>
      <c r="C20" s="34"/>
      <c r="D20" s="27" t="s">
        <v>58</v>
      </c>
      <c r="E20" s="33" t="s">
        <v>77</v>
      </c>
      <c r="F20" s="36">
        <v>10000</v>
      </c>
      <c r="G20" s="28">
        <v>1</v>
      </c>
      <c r="H20" s="28">
        <f t="shared" si="1"/>
        <v>10000</v>
      </c>
      <c r="I20" s="69" t="s">
        <v>82</v>
      </c>
      <c r="J20" s="28">
        <v>1</v>
      </c>
      <c r="K20" s="28">
        <v>1</v>
      </c>
      <c r="L20" s="27">
        <v>1</v>
      </c>
      <c r="M20" s="28" t="str">
        <f t="shared" si="0"/>
        <v>לא לרכוש</v>
      </c>
      <c r="N20" s="28"/>
      <c r="O20" s="28">
        <v>1000</v>
      </c>
      <c r="P20" s="27"/>
      <c r="Q20" s="27"/>
    </row>
    <row r="21" spans="1:17" s="32" customFormat="1" ht="43.2">
      <c r="A21" s="45" t="s">
        <v>1057</v>
      </c>
      <c r="B21" s="37" t="s">
        <v>116</v>
      </c>
      <c r="C21" s="38" t="s">
        <v>119</v>
      </c>
      <c r="D21" s="28" t="s">
        <v>127</v>
      </c>
      <c r="E21" s="37" t="s">
        <v>134</v>
      </c>
      <c r="F21" s="28">
        <v>10000</v>
      </c>
      <c r="G21" s="28">
        <v>1</v>
      </c>
      <c r="H21" s="28">
        <f t="shared" si="1"/>
        <v>10000</v>
      </c>
      <c r="I21" s="71"/>
      <c r="J21" s="28">
        <v>1</v>
      </c>
      <c r="K21" s="46">
        <v>1</v>
      </c>
      <c r="L21" s="28">
        <v>1.5</v>
      </c>
      <c r="M21" s="28" t="str">
        <f t="shared" si="0"/>
        <v>לרכוש</v>
      </c>
      <c r="N21" s="28"/>
      <c r="O21" s="28">
        <v>1000</v>
      </c>
      <c r="P21" s="27"/>
      <c r="Q21" s="27"/>
    </row>
    <row r="22" spans="1:17" s="32" customFormat="1" ht="14.25" customHeight="1">
      <c r="A22" s="61" t="s">
        <v>83</v>
      </c>
      <c r="B22" s="40" t="s">
        <v>205</v>
      </c>
      <c r="C22" s="34" t="s">
        <v>206</v>
      </c>
      <c r="D22" s="27" t="s">
        <v>149</v>
      </c>
      <c r="E22" s="33" t="s">
        <v>213</v>
      </c>
      <c r="F22" s="27">
        <v>10000</v>
      </c>
      <c r="G22" s="28">
        <v>1</v>
      </c>
      <c r="H22" s="28">
        <f t="shared" si="1"/>
        <v>10000</v>
      </c>
      <c r="I22" s="68"/>
      <c r="J22" s="27">
        <v>1</v>
      </c>
      <c r="K22" s="27">
        <v>1</v>
      </c>
      <c r="L22" s="27">
        <v>1.5</v>
      </c>
      <c r="M22" s="28" t="str">
        <f t="shared" si="0"/>
        <v>לרכוש</v>
      </c>
      <c r="N22" s="28"/>
      <c r="O22" s="28">
        <v>1000</v>
      </c>
      <c r="P22" s="27"/>
      <c r="Q22" s="27"/>
    </row>
    <row r="23" spans="1:17" s="32" customFormat="1" ht="14.25" customHeight="1">
      <c r="A23" s="82" t="s">
        <v>83</v>
      </c>
      <c r="B23" s="27" t="s">
        <v>233</v>
      </c>
      <c r="C23" s="87" t="s">
        <v>234</v>
      </c>
      <c r="D23" s="89" t="s">
        <v>149</v>
      </c>
      <c r="E23" s="82" t="s">
        <v>213</v>
      </c>
      <c r="F23" s="28">
        <v>10000</v>
      </c>
      <c r="G23" s="28">
        <v>1</v>
      </c>
      <c r="H23" s="28">
        <v>10000</v>
      </c>
      <c r="I23" s="69"/>
      <c r="J23" s="28">
        <v>1</v>
      </c>
      <c r="K23" s="28">
        <v>1</v>
      </c>
      <c r="L23" s="28">
        <v>1.5</v>
      </c>
      <c r="M23" s="28" t="str">
        <f t="shared" si="0"/>
        <v>לרכוש</v>
      </c>
      <c r="N23" s="28"/>
      <c r="O23" s="28">
        <v>1000</v>
      </c>
      <c r="P23" s="27"/>
      <c r="Q23" s="27"/>
    </row>
    <row r="24" spans="1:17" s="32" customFormat="1" ht="14.25" customHeight="1">
      <c r="A24" s="33" t="s">
        <v>22</v>
      </c>
      <c r="B24" s="64" t="s">
        <v>238</v>
      </c>
      <c r="C24" s="34" t="s">
        <v>241</v>
      </c>
      <c r="D24" s="27" t="s">
        <v>245</v>
      </c>
      <c r="E24" s="33" t="s">
        <v>245</v>
      </c>
      <c r="F24" s="28">
        <v>10000</v>
      </c>
      <c r="G24" s="28">
        <v>1</v>
      </c>
      <c r="H24" s="28">
        <f t="shared" ref="H24:H55" si="2">G24*F24</f>
        <v>10000</v>
      </c>
      <c r="I24" s="69" t="s">
        <v>82</v>
      </c>
      <c r="J24" s="28">
        <v>1</v>
      </c>
      <c r="K24" s="28">
        <v>1</v>
      </c>
      <c r="L24" s="28">
        <v>1.2</v>
      </c>
      <c r="M24" s="28" t="str">
        <f t="shared" si="0"/>
        <v>לא לרכוש</v>
      </c>
      <c r="N24" s="28"/>
      <c r="O24" s="28">
        <v>1000</v>
      </c>
      <c r="P24" s="27"/>
      <c r="Q24" s="27"/>
    </row>
    <row r="25" spans="1:17" s="32" customFormat="1" ht="14.25" customHeight="1">
      <c r="A25" s="37" t="s">
        <v>159</v>
      </c>
      <c r="B25" s="30" t="s">
        <v>23</v>
      </c>
      <c r="C25" s="38" t="s">
        <v>32</v>
      </c>
      <c r="D25" s="37" t="s">
        <v>53</v>
      </c>
      <c r="E25" s="37" t="s">
        <v>66</v>
      </c>
      <c r="F25" s="28">
        <v>9300</v>
      </c>
      <c r="G25" s="28">
        <v>1</v>
      </c>
      <c r="H25" s="28">
        <f t="shared" si="2"/>
        <v>9300</v>
      </c>
      <c r="I25" s="69"/>
      <c r="J25" s="28">
        <v>1</v>
      </c>
      <c r="K25" s="28">
        <v>1</v>
      </c>
      <c r="L25" s="28">
        <v>1.5</v>
      </c>
      <c r="M25" s="28" t="str">
        <f t="shared" si="0"/>
        <v>לרכוש</v>
      </c>
      <c r="N25" s="28"/>
      <c r="O25" s="28">
        <v>1000</v>
      </c>
      <c r="P25" s="27"/>
      <c r="Q25" s="27"/>
    </row>
    <row r="26" spans="1:17" s="32" customFormat="1" ht="33.75" customHeight="1">
      <c r="A26" s="37" t="s">
        <v>11</v>
      </c>
      <c r="B26" s="30" t="s">
        <v>23</v>
      </c>
      <c r="C26" s="38" t="s">
        <v>25</v>
      </c>
      <c r="D26" s="28" t="s">
        <v>49</v>
      </c>
      <c r="E26" s="37" t="s">
        <v>61</v>
      </c>
      <c r="F26" s="28">
        <v>9133</v>
      </c>
      <c r="G26" s="28">
        <v>1</v>
      </c>
      <c r="H26" s="28">
        <f t="shared" si="2"/>
        <v>9133</v>
      </c>
      <c r="I26" s="69"/>
      <c r="J26" s="28">
        <v>1</v>
      </c>
      <c r="K26" s="28">
        <v>1</v>
      </c>
      <c r="L26" s="28">
        <v>1.5</v>
      </c>
      <c r="M26" s="28" t="str">
        <f t="shared" si="0"/>
        <v>לרכוש</v>
      </c>
      <c r="N26" s="28"/>
      <c r="O26" s="28">
        <v>1000</v>
      </c>
      <c r="P26" s="27"/>
      <c r="Q26" s="27"/>
    </row>
    <row r="27" spans="1:17" s="32" customFormat="1" ht="14.25" customHeight="1">
      <c r="A27" s="33" t="s">
        <v>1063</v>
      </c>
      <c r="B27" s="27" t="s">
        <v>430</v>
      </c>
      <c r="C27" s="34" t="s">
        <v>566</v>
      </c>
      <c r="D27" s="27" t="s">
        <v>587</v>
      </c>
      <c r="E27" s="33" t="s">
        <v>595</v>
      </c>
      <c r="F27" s="28">
        <v>7500</v>
      </c>
      <c r="G27" s="28">
        <v>1</v>
      </c>
      <c r="H27" s="28">
        <f t="shared" si="2"/>
        <v>7500</v>
      </c>
      <c r="I27" s="69"/>
      <c r="J27" s="28">
        <v>1</v>
      </c>
      <c r="K27" s="28">
        <v>1</v>
      </c>
      <c r="L27" s="28">
        <v>1</v>
      </c>
      <c r="M27" s="28" t="str">
        <f t="shared" si="0"/>
        <v>לרכוש</v>
      </c>
      <c r="N27" s="28"/>
      <c r="O27" s="28">
        <v>1000</v>
      </c>
      <c r="P27" s="27"/>
      <c r="Q27" s="27"/>
    </row>
    <row r="28" spans="1:17" s="32" customFormat="1" ht="14.25" customHeight="1">
      <c r="A28" s="45" t="s">
        <v>1057</v>
      </c>
      <c r="B28" s="40" t="s">
        <v>205</v>
      </c>
      <c r="C28" s="34" t="s">
        <v>211</v>
      </c>
      <c r="D28" s="27" t="s">
        <v>149</v>
      </c>
      <c r="E28" s="67" t="s">
        <v>605</v>
      </c>
      <c r="F28" s="28">
        <v>7000</v>
      </c>
      <c r="G28" s="28">
        <v>1</v>
      </c>
      <c r="H28" s="28">
        <f t="shared" si="2"/>
        <v>7000</v>
      </c>
      <c r="I28" s="69"/>
      <c r="J28" s="28">
        <v>1</v>
      </c>
      <c r="K28" s="28">
        <v>1</v>
      </c>
      <c r="L28" s="28">
        <v>1.5</v>
      </c>
      <c r="M28" s="28" t="str">
        <f t="shared" si="0"/>
        <v>לרכוש</v>
      </c>
      <c r="N28" s="28"/>
      <c r="O28" s="28">
        <v>1000</v>
      </c>
      <c r="P28" s="27"/>
      <c r="Q28" s="27"/>
    </row>
    <row r="29" spans="1:17" s="32" customFormat="1" ht="14.25" customHeight="1">
      <c r="A29" s="45" t="s">
        <v>1057</v>
      </c>
      <c r="B29" s="48" t="s">
        <v>344</v>
      </c>
      <c r="C29" s="50" t="s">
        <v>348</v>
      </c>
      <c r="D29" s="48" t="s">
        <v>149</v>
      </c>
      <c r="E29" s="42" t="s">
        <v>401</v>
      </c>
      <c r="F29" s="48">
        <v>7000</v>
      </c>
      <c r="G29" s="28">
        <v>1</v>
      </c>
      <c r="H29" s="48">
        <f t="shared" si="2"/>
        <v>7000</v>
      </c>
      <c r="I29" s="70"/>
      <c r="J29" s="48">
        <v>1</v>
      </c>
      <c r="K29" s="48">
        <v>1</v>
      </c>
      <c r="L29" s="48">
        <v>1.5</v>
      </c>
      <c r="M29" s="48" t="str">
        <f t="shared" si="0"/>
        <v>לרכוש</v>
      </c>
      <c r="N29" s="48"/>
      <c r="O29" s="28">
        <v>1000</v>
      </c>
      <c r="P29" s="48"/>
      <c r="Q29" s="73" t="s">
        <v>419</v>
      </c>
    </row>
    <row r="30" spans="1:17" s="51" customFormat="1" ht="28.5" customHeight="1">
      <c r="A30" s="33" t="s">
        <v>1056</v>
      </c>
      <c r="B30" s="27" t="s">
        <v>344</v>
      </c>
      <c r="C30" s="34" t="s">
        <v>351</v>
      </c>
      <c r="D30" s="27" t="s">
        <v>133</v>
      </c>
      <c r="E30" s="33" t="s">
        <v>402</v>
      </c>
      <c r="F30" s="28">
        <v>7000</v>
      </c>
      <c r="G30" s="28">
        <v>1</v>
      </c>
      <c r="H30" s="28">
        <f t="shared" si="2"/>
        <v>7000</v>
      </c>
      <c r="I30" s="69" t="s">
        <v>82</v>
      </c>
      <c r="J30" s="28">
        <v>1</v>
      </c>
      <c r="K30" s="28">
        <v>1</v>
      </c>
      <c r="L30" s="28">
        <v>1.5</v>
      </c>
      <c r="M30" s="28" t="str">
        <f t="shared" si="0"/>
        <v>לא לרכוש</v>
      </c>
      <c r="N30" s="28"/>
      <c r="O30" s="28">
        <v>1000</v>
      </c>
      <c r="P30" s="27"/>
      <c r="Q30" s="41" t="s">
        <v>420</v>
      </c>
    </row>
    <row r="31" spans="1:17" s="32" customFormat="1" ht="14.25" customHeight="1">
      <c r="A31" s="33" t="s">
        <v>117</v>
      </c>
      <c r="B31" s="27" t="s">
        <v>345</v>
      </c>
      <c r="C31" s="34" t="s">
        <v>361</v>
      </c>
      <c r="D31" s="33" t="s">
        <v>400</v>
      </c>
      <c r="E31" s="33" t="s">
        <v>406</v>
      </c>
      <c r="F31" s="28">
        <v>7000</v>
      </c>
      <c r="G31" s="28">
        <v>1</v>
      </c>
      <c r="H31" s="28">
        <f t="shared" si="2"/>
        <v>7000</v>
      </c>
      <c r="I31" s="69"/>
      <c r="J31" s="28">
        <v>1</v>
      </c>
      <c r="K31" s="28">
        <v>1</v>
      </c>
      <c r="L31" s="28">
        <v>1.5</v>
      </c>
      <c r="M31" s="28" t="str">
        <f t="shared" si="0"/>
        <v>לרכוש</v>
      </c>
      <c r="N31" s="28"/>
      <c r="O31" s="28">
        <v>1000</v>
      </c>
      <c r="P31" s="27"/>
      <c r="Q31" s="27"/>
    </row>
    <row r="32" spans="1:17" s="32" customFormat="1" ht="28.5" customHeight="1">
      <c r="A32" s="37" t="s">
        <v>15</v>
      </c>
      <c r="B32" s="30" t="s">
        <v>23</v>
      </c>
      <c r="C32" s="38" t="s">
        <v>29</v>
      </c>
      <c r="D32" s="37" t="s">
        <v>53</v>
      </c>
      <c r="E32" s="37" t="s">
        <v>65</v>
      </c>
      <c r="F32" s="28">
        <v>6708</v>
      </c>
      <c r="G32" s="28">
        <v>1</v>
      </c>
      <c r="H32" s="28">
        <f t="shared" si="2"/>
        <v>6708</v>
      </c>
      <c r="I32" s="69"/>
      <c r="J32" s="28">
        <v>1</v>
      </c>
      <c r="K32" s="28">
        <v>0</v>
      </c>
      <c r="L32" s="28">
        <v>1.5</v>
      </c>
      <c r="M32" s="28" t="str">
        <f t="shared" si="0"/>
        <v>לא לרכוש</v>
      </c>
      <c r="N32" s="28"/>
      <c r="O32" s="28">
        <v>1000</v>
      </c>
      <c r="P32" s="27"/>
      <c r="Q32" s="27"/>
    </row>
    <row r="33" spans="1:17" s="32" customFormat="1" ht="32.25" customHeight="1">
      <c r="A33" s="37" t="s">
        <v>13</v>
      </c>
      <c r="B33" s="30" t="s">
        <v>23</v>
      </c>
      <c r="C33" s="38" t="s">
        <v>27</v>
      </c>
      <c r="D33" s="28" t="s">
        <v>51</v>
      </c>
      <c r="E33" s="37" t="s">
        <v>63</v>
      </c>
      <c r="F33" s="28">
        <v>6615</v>
      </c>
      <c r="G33" s="28">
        <v>1</v>
      </c>
      <c r="H33" s="28">
        <f t="shared" si="2"/>
        <v>6615</v>
      </c>
      <c r="I33" s="69"/>
      <c r="J33" s="28">
        <v>1</v>
      </c>
      <c r="K33" s="28">
        <v>1</v>
      </c>
      <c r="L33" s="28">
        <v>1.5</v>
      </c>
      <c r="M33" s="28" t="str">
        <f t="shared" si="0"/>
        <v>לרכוש</v>
      </c>
      <c r="N33" s="28"/>
      <c r="O33" s="28">
        <v>1000</v>
      </c>
      <c r="P33" s="27"/>
      <c r="Q33" s="27"/>
    </row>
    <row r="34" spans="1:17" s="32" customFormat="1" ht="42.75" customHeight="1">
      <c r="A34" s="45" t="s">
        <v>159</v>
      </c>
      <c r="B34" s="37" t="s">
        <v>140</v>
      </c>
      <c r="C34" s="56" t="s">
        <v>144</v>
      </c>
      <c r="D34" s="28" t="s">
        <v>149</v>
      </c>
      <c r="E34" s="37" t="s">
        <v>155</v>
      </c>
      <c r="F34" s="28">
        <v>6000</v>
      </c>
      <c r="G34" s="28">
        <v>1</v>
      </c>
      <c r="H34" s="28">
        <f t="shared" si="2"/>
        <v>6000</v>
      </c>
      <c r="I34" s="69" t="s">
        <v>82</v>
      </c>
      <c r="J34" s="28">
        <v>1</v>
      </c>
      <c r="K34" s="28">
        <v>1</v>
      </c>
      <c r="L34" s="28">
        <v>1</v>
      </c>
      <c r="M34" s="28" t="str">
        <f t="shared" si="0"/>
        <v>לא לרכוש</v>
      </c>
      <c r="N34" s="28"/>
      <c r="O34" s="28">
        <v>1000</v>
      </c>
      <c r="P34" s="27"/>
      <c r="Q34" s="41" t="s">
        <v>418</v>
      </c>
    </row>
    <row r="35" spans="1:17" s="32" customFormat="1" ht="28.5" customHeight="1">
      <c r="A35" s="33" t="s">
        <v>159</v>
      </c>
      <c r="B35" s="64" t="s">
        <v>238</v>
      </c>
      <c r="C35" s="34" t="s">
        <v>240</v>
      </c>
      <c r="D35" s="27" t="s">
        <v>244</v>
      </c>
      <c r="E35" s="33" t="s">
        <v>248</v>
      </c>
      <c r="F35" s="28">
        <v>6000</v>
      </c>
      <c r="G35" s="28">
        <v>1</v>
      </c>
      <c r="H35" s="28">
        <f t="shared" si="2"/>
        <v>6000</v>
      </c>
      <c r="I35" s="69" t="s">
        <v>82</v>
      </c>
      <c r="J35" s="28">
        <v>1</v>
      </c>
      <c r="K35" s="28">
        <v>1</v>
      </c>
      <c r="L35" s="28">
        <v>1.2</v>
      </c>
      <c r="M35" s="28" t="str">
        <f t="shared" si="0"/>
        <v>לא לרכוש</v>
      </c>
      <c r="N35" s="28"/>
      <c r="O35" s="28">
        <v>1000</v>
      </c>
      <c r="P35" s="27"/>
      <c r="Q35" s="27"/>
    </row>
    <row r="36" spans="1:17" s="32" customFormat="1" ht="42.75" customHeight="1">
      <c r="A36" s="33" t="s">
        <v>159</v>
      </c>
      <c r="B36" s="27" t="s">
        <v>346</v>
      </c>
      <c r="C36" s="34" t="s">
        <v>365</v>
      </c>
      <c r="D36" s="27" t="s">
        <v>149</v>
      </c>
      <c r="E36" s="33" t="s">
        <v>409</v>
      </c>
      <c r="F36" s="28">
        <v>6000</v>
      </c>
      <c r="G36" s="28">
        <v>1</v>
      </c>
      <c r="H36" s="28">
        <f t="shared" si="2"/>
        <v>6000</v>
      </c>
      <c r="I36" s="69" t="s">
        <v>82</v>
      </c>
      <c r="J36" s="28">
        <v>1</v>
      </c>
      <c r="K36" s="28">
        <v>1</v>
      </c>
      <c r="L36" s="28">
        <v>1.5</v>
      </c>
      <c r="M36" s="28" t="str">
        <f t="shared" si="0"/>
        <v>לא לרכוש</v>
      </c>
      <c r="N36" s="28"/>
      <c r="O36" s="28">
        <v>1000</v>
      </c>
      <c r="P36" s="27"/>
      <c r="Q36" s="27"/>
    </row>
    <row r="37" spans="1:17" s="32" customFormat="1" ht="28.5" customHeight="1">
      <c r="A37" s="33" t="s">
        <v>159</v>
      </c>
      <c r="B37" s="27" t="s">
        <v>346</v>
      </c>
      <c r="C37" s="34" t="s">
        <v>366</v>
      </c>
      <c r="D37" s="27" t="s">
        <v>149</v>
      </c>
      <c r="E37" s="33" t="s">
        <v>410</v>
      </c>
      <c r="F37" s="28">
        <v>6000</v>
      </c>
      <c r="G37" s="28">
        <v>1</v>
      </c>
      <c r="H37" s="28">
        <f t="shared" si="2"/>
        <v>6000</v>
      </c>
      <c r="I37" s="69"/>
      <c r="J37" s="28">
        <v>1</v>
      </c>
      <c r="K37" s="28">
        <v>1</v>
      </c>
      <c r="L37" s="28">
        <v>1.5</v>
      </c>
      <c r="M37" s="28" t="str">
        <f t="shared" si="0"/>
        <v>לרכוש</v>
      </c>
      <c r="N37" s="28"/>
      <c r="O37" s="28">
        <v>1000</v>
      </c>
      <c r="P37" s="27"/>
      <c r="Q37" s="27"/>
    </row>
    <row r="38" spans="1:17" s="32" customFormat="1" ht="28.5" customHeight="1">
      <c r="A38" s="33" t="s">
        <v>390</v>
      </c>
      <c r="B38" s="27" t="s">
        <v>346</v>
      </c>
      <c r="C38" s="34" t="s">
        <v>375</v>
      </c>
      <c r="D38" s="27" t="s">
        <v>149</v>
      </c>
      <c r="E38" s="33" t="s">
        <v>410</v>
      </c>
      <c r="F38" s="28">
        <v>6000</v>
      </c>
      <c r="G38" s="28">
        <v>1</v>
      </c>
      <c r="H38" s="28">
        <f t="shared" si="2"/>
        <v>6000</v>
      </c>
      <c r="I38" s="69"/>
      <c r="J38" s="28">
        <v>1</v>
      </c>
      <c r="K38" s="28">
        <v>1</v>
      </c>
      <c r="L38" s="28">
        <v>1.5</v>
      </c>
      <c r="M38" s="28" t="str">
        <f t="shared" si="0"/>
        <v>לרכוש</v>
      </c>
      <c r="N38" s="28"/>
      <c r="O38" s="28">
        <v>1000</v>
      </c>
      <c r="P38" s="27"/>
      <c r="Q38" s="27"/>
    </row>
    <row r="39" spans="1:17" s="32" customFormat="1" ht="28.5" customHeight="1">
      <c r="A39" s="33" t="s">
        <v>159</v>
      </c>
      <c r="B39" s="27" t="s">
        <v>167</v>
      </c>
      <c r="C39" s="34" t="s">
        <v>922</v>
      </c>
      <c r="D39" s="27" t="s">
        <v>149</v>
      </c>
      <c r="E39" s="33" t="s">
        <v>1030</v>
      </c>
      <c r="F39" s="28">
        <v>6000</v>
      </c>
      <c r="G39" s="28">
        <v>1</v>
      </c>
      <c r="H39" s="28">
        <f t="shared" si="2"/>
        <v>6000</v>
      </c>
      <c r="I39" s="69" t="s">
        <v>82</v>
      </c>
      <c r="J39" s="28">
        <v>1</v>
      </c>
      <c r="K39" s="28">
        <v>1</v>
      </c>
      <c r="L39" s="28">
        <v>1.5</v>
      </c>
      <c r="M39" s="28" t="str">
        <f t="shared" si="0"/>
        <v>לא לרכוש</v>
      </c>
      <c r="N39" s="28"/>
      <c r="O39" s="28">
        <v>1000</v>
      </c>
      <c r="P39" s="27"/>
      <c r="Q39" s="27"/>
    </row>
    <row r="40" spans="1:17" s="32" customFormat="1" ht="28.5" customHeight="1">
      <c r="A40" s="33" t="s">
        <v>159</v>
      </c>
      <c r="B40" s="27" t="s">
        <v>167</v>
      </c>
      <c r="C40" s="34" t="s">
        <v>923</v>
      </c>
      <c r="D40" s="27" t="s">
        <v>149</v>
      </c>
      <c r="E40" s="33" t="s">
        <v>1030</v>
      </c>
      <c r="F40" s="28">
        <v>6000</v>
      </c>
      <c r="G40" s="28">
        <v>1</v>
      </c>
      <c r="H40" s="28">
        <f t="shared" si="2"/>
        <v>6000</v>
      </c>
      <c r="I40" s="69" t="s">
        <v>82</v>
      </c>
      <c r="J40" s="28">
        <v>1</v>
      </c>
      <c r="K40" s="28">
        <v>1</v>
      </c>
      <c r="L40" s="28">
        <v>1.5</v>
      </c>
      <c r="M40" s="28" t="str">
        <f t="shared" si="0"/>
        <v>לא לרכוש</v>
      </c>
      <c r="N40" s="28"/>
      <c r="O40" s="28">
        <v>1000</v>
      </c>
      <c r="P40" s="27"/>
      <c r="Q40" s="27"/>
    </row>
    <row r="41" spans="1:17" s="32" customFormat="1" ht="28.5" customHeight="1">
      <c r="A41" s="33" t="s">
        <v>159</v>
      </c>
      <c r="B41" s="27" t="s">
        <v>166</v>
      </c>
      <c r="C41" s="34" t="s">
        <v>934</v>
      </c>
      <c r="D41" s="27" t="s">
        <v>149</v>
      </c>
      <c r="E41" s="33" t="s">
        <v>1036</v>
      </c>
      <c r="F41" s="28">
        <v>6000</v>
      </c>
      <c r="G41" s="28">
        <v>1</v>
      </c>
      <c r="H41" s="28">
        <f t="shared" si="2"/>
        <v>6000</v>
      </c>
      <c r="I41" s="69" t="s">
        <v>82</v>
      </c>
      <c r="J41" s="28">
        <v>1</v>
      </c>
      <c r="K41" s="28">
        <v>1</v>
      </c>
      <c r="L41" s="28">
        <v>1.5</v>
      </c>
      <c r="M41" s="28" t="str">
        <f t="shared" si="0"/>
        <v>לא לרכוש</v>
      </c>
      <c r="N41" s="28"/>
      <c r="O41" s="28">
        <v>1000</v>
      </c>
      <c r="P41" s="27"/>
      <c r="Q41" s="27"/>
    </row>
    <row r="42" spans="1:17" s="32" customFormat="1" ht="28.5" customHeight="1">
      <c r="A42" s="33" t="s">
        <v>159</v>
      </c>
      <c r="B42" s="27" t="s">
        <v>166</v>
      </c>
      <c r="C42" s="34" t="s">
        <v>937</v>
      </c>
      <c r="D42" s="27" t="s">
        <v>149</v>
      </c>
      <c r="E42" s="33" t="s">
        <v>1036</v>
      </c>
      <c r="F42" s="28">
        <v>6000</v>
      </c>
      <c r="G42" s="28">
        <v>1</v>
      </c>
      <c r="H42" s="28">
        <f t="shared" si="2"/>
        <v>6000</v>
      </c>
      <c r="I42" s="69" t="s">
        <v>82</v>
      </c>
      <c r="J42" s="28">
        <v>1</v>
      </c>
      <c r="K42" s="28">
        <v>1</v>
      </c>
      <c r="L42" s="28">
        <v>1</v>
      </c>
      <c r="M42" s="28" t="str">
        <f t="shared" si="0"/>
        <v>לא לרכוש</v>
      </c>
      <c r="N42" s="28"/>
      <c r="O42" s="28">
        <v>1000</v>
      </c>
      <c r="P42" s="27"/>
      <c r="Q42" s="27"/>
    </row>
    <row r="43" spans="1:17" s="32" customFormat="1" ht="28.5" customHeight="1">
      <c r="A43" s="33" t="s">
        <v>159</v>
      </c>
      <c r="B43" s="27" t="s">
        <v>425</v>
      </c>
      <c r="C43" s="34" t="s">
        <v>946</v>
      </c>
      <c r="D43" s="27" t="s">
        <v>149</v>
      </c>
      <c r="E43" s="33" t="s">
        <v>1036</v>
      </c>
      <c r="F43" s="28">
        <v>6000</v>
      </c>
      <c r="G43" s="28">
        <v>1</v>
      </c>
      <c r="H43" s="28">
        <f t="shared" si="2"/>
        <v>6000</v>
      </c>
      <c r="I43" s="69" t="s">
        <v>82</v>
      </c>
      <c r="J43" s="28">
        <v>1</v>
      </c>
      <c r="K43" s="28">
        <v>1</v>
      </c>
      <c r="L43" s="28">
        <v>1.5</v>
      </c>
      <c r="M43" s="28" t="str">
        <f t="shared" si="0"/>
        <v>לא לרכוש</v>
      </c>
      <c r="N43" s="28"/>
      <c r="O43" s="28">
        <v>1000</v>
      </c>
      <c r="P43" s="27"/>
      <c r="Q43" s="27"/>
    </row>
    <row r="44" spans="1:17" s="32" customFormat="1" ht="42.75" customHeight="1">
      <c r="A44" s="33" t="s">
        <v>159</v>
      </c>
      <c r="B44" s="27" t="s">
        <v>448</v>
      </c>
      <c r="C44" s="34" t="s">
        <v>982</v>
      </c>
      <c r="D44" s="27" t="s">
        <v>149</v>
      </c>
      <c r="E44" s="33" t="s">
        <v>1036</v>
      </c>
      <c r="F44" s="28">
        <v>6000</v>
      </c>
      <c r="G44" s="28">
        <v>1</v>
      </c>
      <c r="H44" s="28">
        <f t="shared" si="2"/>
        <v>6000</v>
      </c>
      <c r="I44" s="69" t="s">
        <v>82</v>
      </c>
      <c r="J44" s="28">
        <v>1</v>
      </c>
      <c r="K44" s="28">
        <v>1</v>
      </c>
      <c r="L44" s="28">
        <v>1.5</v>
      </c>
      <c r="M44" s="28" t="str">
        <f t="shared" si="0"/>
        <v>לא לרכוש</v>
      </c>
      <c r="N44" s="28"/>
      <c r="O44" s="28">
        <v>1000</v>
      </c>
      <c r="P44" s="27"/>
      <c r="Q44" s="27"/>
    </row>
    <row r="45" spans="1:17" s="32" customFormat="1" ht="28.5" customHeight="1">
      <c r="A45" s="33" t="s">
        <v>159</v>
      </c>
      <c r="B45" s="27" t="s">
        <v>449</v>
      </c>
      <c r="C45" s="34" t="s">
        <v>992</v>
      </c>
      <c r="D45" s="27" t="s">
        <v>149</v>
      </c>
      <c r="E45" s="33" t="s">
        <v>1036</v>
      </c>
      <c r="F45" s="28">
        <v>6000</v>
      </c>
      <c r="G45" s="28">
        <v>1</v>
      </c>
      <c r="H45" s="28">
        <f t="shared" si="2"/>
        <v>6000</v>
      </c>
      <c r="I45" s="69" t="s">
        <v>82</v>
      </c>
      <c r="J45" s="28">
        <v>1</v>
      </c>
      <c r="K45" s="28">
        <v>1</v>
      </c>
      <c r="L45" s="28">
        <v>1</v>
      </c>
      <c r="M45" s="28" t="str">
        <f t="shared" si="0"/>
        <v>לא לרכוש</v>
      </c>
      <c r="N45" s="28"/>
      <c r="O45" s="28">
        <v>1000</v>
      </c>
      <c r="P45" s="27"/>
      <c r="Q45" s="27"/>
    </row>
    <row r="46" spans="1:17" s="32" customFormat="1" ht="28.5" customHeight="1">
      <c r="A46" s="37" t="s">
        <v>83</v>
      </c>
      <c r="B46" s="37" t="s">
        <v>140</v>
      </c>
      <c r="C46" s="54" t="s">
        <v>142</v>
      </c>
      <c r="D46" s="28" t="s">
        <v>149</v>
      </c>
      <c r="E46" s="37" t="s">
        <v>153</v>
      </c>
      <c r="F46" s="28">
        <v>5111</v>
      </c>
      <c r="G46" s="28">
        <v>1</v>
      </c>
      <c r="H46" s="28">
        <f t="shared" si="2"/>
        <v>5111</v>
      </c>
      <c r="I46" s="69"/>
      <c r="J46" s="28">
        <v>1</v>
      </c>
      <c r="K46" s="28">
        <v>1</v>
      </c>
      <c r="L46" s="28">
        <v>1.5</v>
      </c>
      <c r="M46" s="28" t="str">
        <f t="shared" si="0"/>
        <v>לרכוש</v>
      </c>
      <c r="N46" s="28"/>
      <c r="O46" s="28">
        <v>1000</v>
      </c>
      <c r="P46" s="27"/>
      <c r="Q46" s="27"/>
    </row>
    <row r="47" spans="1:17" s="32" customFormat="1" ht="42" customHeight="1">
      <c r="A47" s="37" t="s">
        <v>1046</v>
      </c>
      <c r="B47" s="30" t="s">
        <v>23</v>
      </c>
      <c r="C47" s="54" t="s">
        <v>36</v>
      </c>
      <c r="D47" s="79" t="s">
        <v>52</v>
      </c>
      <c r="E47" s="37" t="s">
        <v>71</v>
      </c>
      <c r="F47" s="28">
        <v>5000</v>
      </c>
      <c r="G47" s="28">
        <v>1</v>
      </c>
      <c r="H47" s="28">
        <f t="shared" si="2"/>
        <v>5000</v>
      </c>
      <c r="I47" s="69"/>
      <c r="J47" s="28">
        <v>1</v>
      </c>
      <c r="K47" s="28">
        <v>1</v>
      </c>
      <c r="L47" s="28">
        <v>0.5</v>
      </c>
      <c r="M47" s="28" t="str">
        <f t="shared" si="0"/>
        <v>לרכוש</v>
      </c>
      <c r="N47" s="28"/>
      <c r="O47" s="28">
        <v>1000</v>
      </c>
      <c r="P47" s="27"/>
      <c r="Q47" s="27"/>
    </row>
    <row r="48" spans="1:17" s="32" customFormat="1" ht="71.400000000000006" customHeight="1">
      <c r="A48" s="33" t="s">
        <v>159</v>
      </c>
      <c r="B48" s="27" t="s">
        <v>251</v>
      </c>
      <c r="C48" s="34" t="s">
        <v>254</v>
      </c>
      <c r="D48" s="27" t="s">
        <v>259</v>
      </c>
      <c r="E48" s="33" t="s">
        <v>260</v>
      </c>
      <c r="F48" s="28">
        <v>5000</v>
      </c>
      <c r="G48" s="28">
        <v>1</v>
      </c>
      <c r="H48" s="28">
        <f t="shared" si="2"/>
        <v>5000</v>
      </c>
      <c r="I48" s="69" t="s">
        <v>82</v>
      </c>
      <c r="J48" s="28">
        <v>1</v>
      </c>
      <c r="K48" s="28">
        <v>1</v>
      </c>
      <c r="L48" s="28">
        <v>1.2</v>
      </c>
      <c r="M48" s="28" t="str">
        <f t="shared" si="0"/>
        <v>לא לרכוש</v>
      </c>
      <c r="N48" s="28"/>
      <c r="O48" s="28">
        <v>1000</v>
      </c>
      <c r="P48" s="27"/>
      <c r="Q48" s="27"/>
    </row>
    <row r="49" spans="1:17" s="32" customFormat="1" ht="28.5" customHeight="1">
      <c r="A49" s="81" t="s">
        <v>159</v>
      </c>
      <c r="B49" s="27" t="s">
        <v>251</v>
      </c>
      <c r="C49" s="88" t="s">
        <v>255</v>
      </c>
      <c r="D49" s="85" t="s">
        <v>259</v>
      </c>
      <c r="E49" s="81" t="s">
        <v>260</v>
      </c>
      <c r="F49" s="28">
        <v>5000</v>
      </c>
      <c r="G49" s="28">
        <v>1</v>
      </c>
      <c r="H49" s="28">
        <f t="shared" si="2"/>
        <v>5000</v>
      </c>
      <c r="I49" s="69" t="s">
        <v>82</v>
      </c>
      <c r="J49" s="28">
        <v>1</v>
      </c>
      <c r="K49" s="28">
        <v>1</v>
      </c>
      <c r="L49" s="28">
        <v>1.2</v>
      </c>
      <c r="M49" s="28" t="str">
        <f t="shared" si="0"/>
        <v>לא לרכוש</v>
      </c>
      <c r="N49" s="28"/>
      <c r="O49" s="28">
        <v>1000</v>
      </c>
      <c r="P49" s="27"/>
      <c r="Q49" s="27"/>
    </row>
    <row r="50" spans="1:17" s="32" customFormat="1" ht="28.8">
      <c r="A50" s="81" t="s">
        <v>159</v>
      </c>
      <c r="B50" s="86" t="s">
        <v>251</v>
      </c>
      <c r="C50" s="34" t="s">
        <v>256</v>
      </c>
      <c r="D50" s="27" t="s">
        <v>259</v>
      </c>
      <c r="E50" s="33" t="s">
        <v>260</v>
      </c>
      <c r="F50" s="28">
        <v>5000</v>
      </c>
      <c r="G50" s="28">
        <v>1</v>
      </c>
      <c r="H50" s="28">
        <f t="shared" si="2"/>
        <v>5000</v>
      </c>
      <c r="I50" s="69" t="s">
        <v>82</v>
      </c>
      <c r="J50" s="28">
        <v>1</v>
      </c>
      <c r="K50" s="28">
        <v>1</v>
      </c>
      <c r="L50" s="28">
        <v>1.2</v>
      </c>
      <c r="M50" s="28" t="str">
        <f t="shared" si="0"/>
        <v>לא לרכוש</v>
      </c>
      <c r="N50" s="28"/>
      <c r="O50" s="28">
        <v>1000</v>
      </c>
      <c r="P50" s="27"/>
      <c r="Q50" s="27"/>
    </row>
    <row r="51" spans="1:17" s="32" customFormat="1" ht="35.4" customHeight="1">
      <c r="A51" s="81" t="s">
        <v>501</v>
      </c>
      <c r="B51" s="86" t="s">
        <v>167</v>
      </c>
      <c r="C51" s="34" t="s">
        <v>925</v>
      </c>
      <c r="D51" s="27" t="s">
        <v>1032</v>
      </c>
      <c r="E51" s="33">
        <v>3410</v>
      </c>
      <c r="F51" s="28">
        <v>1500</v>
      </c>
      <c r="G51" s="28">
        <v>1</v>
      </c>
      <c r="H51" s="28">
        <f t="shared" si="2"/>
        <v>1500</v>
      </c>
      <c r="I51" s="69" t="s">
        <v>82</v>
      </c>
      <c r="J51" s="28">
        <v>1</v>
      </c>
      <c r="K51" s="28">
        <v>1</v>
      </c>
      <c r="L51" s="28">
        <v>0.5</v>
      </c>
      <c r="M51" s="28" t="str">
        <f t="shared" si="0"/>
        <v>לא לרכוש</v>
      </c>
      <c r="N51" s="28"/>
      <c r="O51" s="28">
        <v>1000</v>
      </c>
      <c r="P51" s="27"/>
      <c r="Q51" s="27"/>
    </row>
    <row r="52" spans="1:17" s="32" customFormat="1" ht="28.5" customHeight="1">
      <c r="A52" s="33" t="s">
        <v>501</v>
      </c>
      <c r="B52" s="27" t="s">
        <v>166</v>
      </c>
      <c r="C52" s="87" t="s">
        <v>929</v>
      </c>
      <c r="D52" s="89" t="s">
        <v>1027</v>
      </c>
      <c r="E52" s="82" t="s">
        <v>1028</v>
      </c>
      <c r="F52" s="28">
        <v>1500</v>
      </c>
      <c r="G52" s="28">
        <v>1</v>
      </c>
      <c r="H52" s="28">
        <f t="shared" si="2"/>
        <v>1500</v>
      </c>
      <c r="I52" s="69"/>
      <c r="J52" s="28">
        <v>1</v>
      </c>
      <c r="K52" s="28">
        <v>1</v>
      </c>
      <c r="L52" s="28">
        <v>0.5</v>
      </c>
      <c r="M52" s="28" t="str">
        <f t="shared" si="0"/>
        <v>לרכוש</v>
      </c>
      <c r="N52" s="28"/>
      <c r="O52" s="28">
        <v>1000</v>
      </c>
      <c r="P52" s="27"/>
      <c r="Q52" s="27"/>
    </row>
    <row r="53" spans="1:17" s="32" customFormat="1" ht="28.5" customHeight="1">
      <c r="A53" s="81" t="s">
        <v>501</v>
      </c>
      <c r="B53" s="27" t="s">
        <v>166</v>
      </c>
      <c r="C53" s="88" t="s">
        <v>930</v>
      </c>
      <c r="D53" s="85" t="s">
        <v>1032</v>
      </c>
      <c r="E53" s="81">
        <v>3410</v>
      </c>
      <c r="F53" s="28">
        <v>1500</v>
      </c>
      <c r="G53" s="28">
        <v>1</v>
      </c>
      <c r="H53" s="28">
        <f t="shared" si="2"/>
        <v>1500</v>
      </c>
      <c r="I53" s="69" t="s">
        <v>82</v>
      </c>
      <c r="J53" s="28">
        <v>1</v>
      </c>
      <c r="K53" s="28">
        <v>1</v>
      </c>
      <c r="L53" s="28">
        <v>0.5</v>
      </c>
      <c r="M53" s="28" t="str">
        <f t="shared" si="0"/>
        <v>לא לרכוש</v>
      </c>
      <c r="N53" s="28"/>
      <c r="O53" s="28">
        <v>1000</v>
      </c>
      <c r="P53" s="27"/>
      <c r="Q53" s="27"/>
    </row>
    <row r="54" spans="1:17" s="32" customFormat="1" ht="30.15" customHeight="1">
      <c r="A54" s="81" t="s">
        <v>501</v>
      </c>
      <c r="B54" s="86" t="s">
        <v>166</v>
      </c>
      <c r="C54" s="34" t="s">
        <v>942</v>
      </c>
      <c r="D54" s="27" t="s">
        <v>1027</v>
      </c>
      <c r="E54" s="33" t="s">
        <v>1028</v>
      </c>
      <c r="F54" s="28">
        <v>1500</v>
      </c>
      <c r="G54" s="28">
        <v>1</v>
      </c>
      <c r="H54" s="28">
        <f t="shared" si="2"/>
        <v>1500</v>
      </c>
      <c r="I54" s="69"/>
      <c r="J54" s="28">
        <v>1</v>
      </c>
      <c r="K54" s="28">
        <v>1</v>
      </c>
      <c r="L54" s="28">
        <v>0.5</v>
      </c>
      <c r="M54" s="28" t="str">
        <f t="shared" si="0"/>
        <v>לרכוש</v>
      </c>
      <c r="N54" s="28"/>
      <c r="O54" s="28">
        <v>1000</v>
      </c>
      <c r="P54" s="27"/>
      <c r="Q54" s="27"/>
    </row>
    <row r="55" spans="1:17" s="32" customFormat="1" ht="28.5" customHeight="1">
      <c r="A55" s="81" t="s">
        <v>501</v>
      </c>
      <c r="B55" s="86" t="s">
        <v>166</v>
      </c>
      <c r="C55" s="34" t="s">
        <v>943</v>
      </c>
      <c r="D55" s="27" t="s">
        <v>1027</v>
      </c>
      <c r="E55" s="33" t="s">
        <v>1028</v>
      </c>
      <c r="F55" s="28">
        <v>1500</v>
      </c>
      <c r="G55" s="28">
        <v>1</v>
      </c>
      <c r="H55" s="28">
        <f t="shared" si="2"/>
        <v>1500</v>
      </c>
      <c r="I55" s="69"/>
      <c r="J55" s="28">
        <v>1</v>
      </c>
      <c r="K55" s="28">
        <v>1</v>
      </c>
      <c r="L55" s="28">
        <v>0.5</v>
      </c>
      <c r="M55" s="28" t="str">
        <f t="shared" si="0"/>
        <v>לרכוש</v>
      </c>
      <c r="N55" s="28"/>
      <c r="O55" s="28">
        <v>1000</v>
      </c>
      <c r="P55" s="27"/>
      <c r="Q55" s="27"/>
    </row>
    <row r="56" spans="1:17" s="32" customFormat="1" ht="28.5" customHeight="1">
      <c r="A56" s="33" t="s">
        <v>501</v>
      </c>
      <c r="B56" s="27" t="s">
        <v>166</v>
      </c>
      <c r="C56" s="87" t="s">
        <v>944</v>
      </c>
      <c r="D56" s="89" t="s">
        <v>1027</v>
      </c>
      <c r="E56" s="82" t="s">
        <v>1028</v>
      </c>
      <c r="F56" s="28">
        <v>1500</v>
      </c>
      <c r="G56" s="28">
        <v>1</v>
      </c>
      <c r="H56" s="28">
        <f t="shared" ref="H56:H80" si="3">G56*F56</f>
        <v>1500</v>
      </c>
      <c r="I56" s="69"/>
      <c r="J56" s="28">
        <v>1</v>
      </c>
      <c r="K56" s="28">
        <v>1</v>
      </c>
      <c r="L56" s="28">
        <v>0.5</v>
      </c>
      <c r="M56" s="28" t="str">
        <f t="shared" si="0"/>
        <v>לרכוש</v>
      </c>
      <c r="N56" s="28"/>
      <c r="O56" s="28">
        <v>1000</v>
      </c>
      <c r="P56" s="27"/>
      <c r="Q56" s="27"/>
    </row>
    <row r="57" spans="1:17" s="32" customFormat="1" ht="28.5" customHeight="1">
      <c r="A57" s="33" t="s">
        <v>501</v>
      </c>
      <c r="B57" s="27" t="s">
        <v>425</v>
      </c>
      <c r="C57" s="34" t="s">
        <v>945</v>
      </c>
      <c r="D57" s="27" t="s">
        <v>1032</v>
      </c>
      <c r="E57" s="33">
        <v>3410</v>
      </c>
      <c r="F57" s="28">
        <v>1500</v>
      </c>
      <c r="G57" s="28">
        <v>1</v>
      </c>
      <c r="H57" s="28">
        <f t="shared" si="3"/>
        <v>1500</v>
      </c>
      <c r="I57" s="69" t="s">
        <v>82</v>
      </c>
      <c r="J57" s="28">
        <v>1</v>
      </c>
      <c r="K57" s="28">
        <v>1</v>
      </c>
      <c r="L57" s="28">
        <v>0.5</v>
      </c>
      <c r="M57" s="28" t="str">
        <f t="shared" si="0"/>
        <v>לא לרכוש</v>
      </c>
      <c r="N57" s="28"/>
      <c r="O57" s="28">
        <v>1000</v>
      </c>
      <c r="P57" s="27"/>
      <c r="Q57" s="27"/>
    </row>
    <row r="58" spans="1:17" s="32" customFormat="1" ht="28.5" customHeight="1">
      <c r="A58" s="33" t="s">
        <v>775</v>
      </c>
      <c r="B58" s="27" t="s">
        <v>425</v>
      </c>
      <c r="C58" s="34" t="s">
        <v>954</v>
      </c>
      <c r="D58" s="27" t="s">
        <v>1040</v>
      </c>
      <c r="E58" s="33" t="s">
        <v>1041</v>
      </c>
      <c r="F58" s="28">
        <v>4500</v>
      </c>
      <c r="G58" s="28">
        <v>1</v>
      </c>
      <c r="H58" s="28">
        <f t="shared" si="3"/>
        <v>4500</v>
      </c>
      <c r="I58" s="69"/>
      <c r="J58" s="28">
        <v>1</v>
      </c>
      <c r="K58" s="28">
        <v>1</v>
      </c>
      <c r="L58" s="28">
        <v>1.5</v>
      </c>
      <c r="M58" s="28" t="str">
        <f t="shared" si="0"/>
        <v>לרכוש</v>
      </c>
      <c r="N58" s="28"/>
      <c r="O58" s="28">
        <v>1000</v>
      </c>
      <c r="P58" s="27"/>
      <c r="Q58" s="27"/>
    </row>
    <row r="59" spans="1:17" s="32" customFormat="1" ht="28.5" customHeight="1">
      <c r="A59" s="81" t="s">
        <v>501</v>
      </c>
      <c r="B59" s="85" t="s">
        <v>447</v>
      </c>
      <c r="C59" s="88" t="s">
        <v>955</v>
      </c>
      <c r="D59" s="85" t="s">
        <v>1032</v>
      </c>
      <c r="E59" s="81">
        <v>3410</v>
      </c>
      <c r="F59" s="28">
        <v>1500</v>
      </c>
      <c r="G59" s="28">
        <v>1</v>
      </c>
      <c r="H59" s="28">
        <f t="shared" si="3"/>
        <v>1500</v>
      </c>
      <c r="I59" s="69" t="s">
        <v>82</v>
      </c>
      <c r="J59" s="28">
        <v>1</v>
      </c>
      <c r="K59" s="28">
        <v>1</v>
      </c>
      <c r="L59" s="28">
        <v>0.5</v>
      </c>
      <c r="M59" s="28" t="str">
        <f t="shared" si="0"/>
        <v>לא לרכוש</v>
      </c>
      <c r="N59" s="28"/>
      <c r="O59" s="28">
        <v>1000</v>
      </c>
      <c r="P59" s="27"/>
      <c r="Q59" s="27"/>
    </row>
    <row r="60" spans="1:17" s="32" customFormat="1" ht="42.75" customHeight="1">
      <c r="A60" s="33" t="s">
        <v>501</v>
      </c>
      <c r="B60" s="27" t="s">
        <v>447</v>
      </c>
      <c r="C60" s="34" t="s">
        <v>956</v>
      </c>
      <c r="D60" s="27" t="s">
        <v>1032</v>
      </c>
      <c r="E60" s="33">
        <v>3410</v>
      </c>
      <c r="F60" s="59">
        <v>1500</v>
      </c>
      <c r="G60" s="28">
        <v>1</v>
      </c>
      <c r="H60" s="28">
        <f t="shared" si="3"/>
        <v>1500</v>
      </c>
      <c r="I60" s="69" t="s">
        <v>82</v>
      </c>
      <c r="J60" s="28">
        <v>1</v>
      </c>
      <c r="K60" s="28">
        <v>1</v>
      </c>
      <c r="L60" s="28">
        <v>0.5</v>
      </c>
      <c r="M60" s="28" t="str">
        <f t="shared" si="0"/>
        <v>לא לרכוש</v>
      </c>
      <c r="N60" s="28"/>
      <c r="O60" s="28">
        <v>1000</v>
      </c>
      <c r="P60" s="27"/>
      <c r="Q60" s="27"/>
    </row>
    <row r="61" spans="1:17" s="32" customFormat="1" ht="28.5" customHeight="1">
      <c r="A61" s="33" t="s">
        <v>501</v>
      </c>
      <c r="B61" s="27" t="s">
        <v>447</v>
      </c>
      <c r="C61" s="34" t="s">
        <v>957</v>
      </c>
      <c r="D61" s="27" t="s">
        <v>1032</v>
      </c>
      <c r="E61" s="33">
        <v>3410</v>
      </c>
      <c r="F61" s="59">
        <v>1500</v>
      </c>
      <c r="G61" s="28">
        <v>1</v>
      </c>
      <c r="H61" s="28">
        <f t="shared" si="3"/>
        <v>1500</v>
      </c>
      <c r="I61" s="69" t="s">
        <v>82</v>
      </c>
      <c r="J61" s="28">
        <v>1</v>
      </c>
      <c r="K61" s="28">
        <v>1</v>
      </c>
      <c r="L61" s="28">
        <v>0.5</v>
      </c>
      <c r="M61" s="28" t="str">
        <f t="shared" si="0"/>
        <v>לא לרכוש</v>
      </c>
      <c r="N61" s="28"/>
      <c r="O61" s="28">
        <v>1000</v>
      </c>
      <c r="P61" s="27"/>
      <c r="Q61" s="27"/>
    </row>
    <row r="62" spans="1:17" s="32" customFormat="1" ht="28.5" customHeight="1">
      <c r="A62" s="33" t="s">
        <v>501</v>
      </c>
      <c r="B62" s="27" t="s">
        <v>447</v>
      </c>
      <c r="C62" s="34" t="s">
        <v>958</v>
      </c>
      <c r="D62" s="27" t="s">
        <v>1032</v>
      </c>
      <c r="E62" s="33">
        <v>3410</v>
      </c>
      <c r="F62" s="28">
        <v>1500</v>
      </c>
      <c r="G62" s="28">
        <v>1</v>
      </c>
      <c r="H62" s="28">
        <f t="shared" si="3"/>
        <v>1500</v>
      </c>
      <c r="I62" s="69" t="s">
        <v>82</v>
      </c>
      <c r="J62" s="28">
        <v>1</v>
      </c>
      <c r="K62" s="28">
        <v>1</v>
      </c>
      <c r="L62" s="28">
        <v>0.5</v>
      </c>
      <c r="M62" s="28" t="str">
        <f t="shared" si="0"/>
        <v>לא לרכוש</v>
      </c>
      <c r="N62" s="28"/>
      <c r="O62" s="28">
        <v>1000</v>
      </c>
      <c r="P62" s="27"/>
      <c r="Q62" s="27"/>
    </row>
    <row r="63" spans="1:17" s="32" customFormat="1" ht="28.5" customHeight="1">
      <c r="A63" s="33" t="s">
        <v>501</v>
      </c>
      <c r="B63" s="27" t="s">
        <v>447</v>
      </c>
      <c r="C63" s="34" t="s">
        <v>959</v>
      </c>
      <c r="D63" s="27" t="s">
        <v>1032</v>
      </c>
      <c r="E63" s="33">
        <v>3410</v>
      </c>
      <c r="F63" s="28">
        <v>1500</v>
      </c>
      <c r="G63" s="28">
        <v>1</v>
      </c>
      <c r="H63" s="28">
        <f t="shared" si="3"/>
        <v>1500</v>
      </c>
      <c r="I63" s="69" t="s">
        <v>82</v>
      </c>
      <c r="J63" s="28">
        <v>1</v>
      </c>
      <c r="K63" s="28">
        <v>1</v>
      </c>
      <c r="L63" s="28">
        <v>0.5</v>
      </c>
      <c r="M63" s="28" t="str">
        <f t="shared" si="0"/>
        <v>לא לרכוש</v>
      </c>
      <c r="N63" s="28"/>
      <c r="O63" s="28">
        <v>1000</v>
      </c>
      <c r="P63" s="27"/>
      <c r="Q63" s="27"/>
    </row>
    <row r="64" spans="1:17" s="32" customFormat="1" ht="28.5" customHeight="1">
      <c r="A64" s="82" t="s">
        <v>501</v>
      </c>
      <c r="B64" s="27" t="s">
        <v>447</v>
      </c>
      <c r="C64" s="87" t="s">
        <v>960</v>
      </c>
      <c r="D64" s="90" t="s">
        <v>1032</v>
      </c>
      <c r="E64" s="82">
        <v>3410</v>
      </c>
      <c r="F64" s="28">
        <v>1500</v>
      </c>
      <c r="G64" s="28">
        <v>1</v>
      </c>
      <c r="H64" s="28">
        <f t="shared" si="3"/>
        <v>1500</v>
      </c>
      <c r="I64" s="69" t="s">
        <v>82</v>
      </c>
      <c r="J64" s="28">
        <v>1</v>
      </c>
      <c r="K64" s="28">
        <v>1</v>
      </c>
      <c r="L64" s="28">
        <v>0.5</v>
      </c>
      <c r="M64" s="28" t="str">
        <f t="shared" si="0"/>
        <v>לא לרכוש</v>
      </c>
      <c r="N64" s="28"/>
      <c r="O64" s="28">
        <v>1000</v>
      </c>
      <c r="P64" s="27"/>
      <c r="Q64" s="27"/>
    </row>
    <row r="65" spans="1:17" s="32" customFormat="1" ht="14.25" customHeight="1">
      <c r="A65" s="33" t="s">
        <v>501</v>
      </c>
      <c r="B65" s="27" t="s">
        <v>448</v>
      </c>
      <c r="C65" s="34" t="s">
        <v>977</v>
      </c>
      <c r="D65" s="27" t="s">
        <v>1032</v>
      </c>
      <c r="E65" s="33" t="s">
        <v>1028</v>
      </c>
      <c r="F65" s="28">
        <v>1500</v>
      </c>
      <c r="G65" s="28">
        <v>1</v>
      </c>
      <c r="H65" s="28">
        <f t="shared" si="3"/>
        <v>1500</v>
      </c>
      <c r="I65" s="69"/>
      <c r="J65" s="28">
        <v>1</v>
      </c>
      <c r="K65" s="28">
        <v>1</v>
      </c>
      <c r="L65" s="28">
        <v>0.5</v>
      </c>
      <c r="M65" s="28" t="str">
        <f t="shared" si="0"/>
        <v>לרכוש</v>
      </c>
      <c r="N65" s="28"/>
      <c r="O65" s="28">
        <v>1000</v>
      </c>
      <c r="P65" s="27"/>
      <c r="Q65" s="27"/>
    </row>
    <row r="66" spans="1:17" s="32" customFormat="1" ht="14.25" customHeight="1">
      <c r="A66" s="33" t="s">
        <v>501</v>
      </c>
      <c r="B66" s="27" t="s">
        <v>448</v>
      </c>
      <c r="C66" s="34" t="s">
        <v>978</v>
      </c>
      <c r="D66" s="27" t="s">
        <v>1032</v>
      </c>
      <c r="E66" s="33" t="s">
        <v>1028</v>
      </c>
      <c r="F66" s="28">
        <v>1500</v>
      </c>
      <c r="G66" s="28">
        <v>1</v>
      </c>
      <c r="H66" s="28">
        <f t="shared" si="3"/>
        <v>1500</v>
      </c>
      <c r="I66" s="69"/>
      <c r="J66" s="28">
        <v>1</v>
      </c>
      <c r="K66" s="28">
        <v>1</v>
      </c>
      <c r="L66" s="28">
        <v>0.5</v>
      </c>
      <c r="M66" s="28" t="str">
        <f t="shared" si="0"/>
        <v>לרכוש</v>
      </c>
      <c r="N66" s="28"/>
      <c r="O66" s="28">
        <v>1000</v>
      </c>
      <c r="P66" s="27"/>
      <c r="Q66" s="27"/>
    </row>
    <row r="67" spans="1:17" s="32" customFormat="1" ht="14.25" customHeight="1">
      <c r="A67" s="33" t="s">
        <v>501</v>
      </c>
      <c r="B67" s="27" t="s">
        <v>449</v>
      </c>
      <c r="C67" s="34" t="s">
        <v>987</v>
      </c>
      <c r="D67" s="27" t="s">
        <v>1032</v>
      </c>
      <c r="E67" s="33">
        <v>3510</v>
      </c>
      <c r="F67" s="28">
        <v>1500</v>
      </c>
      <c r="G67" s="28">
        <v>1</v>
      </c>
      <c r="H67" s="28">
        <f t="shared" si="3"/>
        <v>1500</v>
      </c>
      <c r="I67" s="69"/>
      <c r="J67" s="28">
        <v>1</v>
      </c>
      <c r="K67" s="28">
        <v>1</v>
      </c>
      <c r="L67" s="28">
        <v>0.5</v>
      </c>
      <c r="M67" s="28" t="str">
        <f t="shared" si="0"/>
        <v>לרכוש</v>
      </c>
      <c r="N67" s="28"/>
      <c r="O67" s="28">
        <v>1000</v>
      </c>
      <c r="P67" s="27"/>
      <c r="Q67" s="27"/>
    </row>
    <row r="68" spans="1:17" s="32" customFormat="1" ht="14.25" customHeight="1">
      <c r="A68" s="33" t="s">
        <v>501</v>
      </c>
      <c r="B68" s="27" t="s">
        <v>449</v>
      </c>
      <c r="C68" s="34" t="s">
        <v>988</v>
      </c>
      <c r="D68" s="27" t="s">
        <v>477</v>
      </c>
      <c r="E68" s="33" t="s">
        <v>1044</v>
      </c>
      <c r="F68" s="28">
        <v>1500</v>
      </c>
      <c r="G68" s="28">
        <v>1</v>
      </c>
      <c r="H68" s="28">
        <f t="shared" si="3"/>
        <v>1500</v>
      </c>
      <c r="I68" s="69"/>
      <c r="J68" s="28">
        <v>1</v>
      </c>
      <c r="K68" s="28">
        <v>1</v>
      </c>
      <c r="L68" s="28">
        <v>0.5</v>
      </c>
      <c r="M68" s="28" t="str">
        <f t="shared" si="0"/>
        <v>לרכוש</v>
      </c>
      <c r="N68" s="28"/>
      <c r="O68" s="28">
        <v>1000</v>
      </c>
      <c r="P68" s="27"/>
      <c r="Q68" s="27"/>
    </row>
    <row r="69" spans="1:17" s="32" customFormat="1" ht="14.25" customHeight="1">
      <c r="A69" s="37" t="s">
        <v>12</v>
      </c>
      <c r="B69" s="30" t="s">
        <v>23</v>
      </c>
      <c r="C69" s="38" t="s">
        <v>26</v>
      </c>
      <c r="D69" s="28" t="s">
        <v>50</v>
      </c>
      <c r="E69" s="37" t="s">
        <v>62</v>
      </c>
      <c r="F69" s="28">
        <v>4226</v>
      </c>
      <c r="G69" s="28">
        <v>1</v>
      </c>
      <c r="H69" s="28">
        <f t="shared" si="3"/>
        <v>4226</v>
      </c>
      <c r="I69" s="69"/>
      <c r="J69" s="28">
        <v>1</v>
      </c>
      <c r="K69" s="28">
        <v>1</v>
      </c>
      <c r="L69" s="28">
        <v>1.5</v>
      </c>
      <c r="M69" s="28" t="str">
        <f t="shared" si="0"/>
        <v>לרכוש</v>
      </c>
      <c r="N69" s="28"/>
      <c r="O69" s="28">
        <v>1000</v>
      </c>
      <c r="P69" s="27"/>
      <c r="Q69" s="27"/>
    </row>
    <row r="70" spans="1:17" s="32" customFormat="1" ht="28.5" customHeight="1">
      <c r="A70" s="33" t="s">
        <v>1056</v>
      </c>
      <c r="B70" s="30" t="s">
        <v>87</v>
      </c>
      <c r="C70" s="34" t="s">
        <v>43</v>
      </c>
      <c r="D70" s="27" t="s">
        <v>58</v>
      </c>
      <c r="E70" s="33" t="s">
        <v>76</v>
      </c>
      <c r="F70" s="27">
        <v>4200</v>
      </c>
      <c r="G70" s="28">
        <v>1</v>
      </c>
      <c r="H70" s="28">
        <f t="shared" si="3"/>
        <v>4200</v>
      </c>
      <c r="I70" s="69"/>
      <c r="J70" s="28">
        <v>1</v>
      </c>
      <c r="K70" s="28">
        <v>1</v>
      </c>
      <c r="L70" s="27">
        <v>1</v>
      </c>
      <c r="M70" s="28" t="str">
        <f t="shared" si="0"/>
        <v>לרכוש</v>
      </c>
      <c r="N70" s="28"/>
      <c r="O70" s="28">
        <v>1000</v>
      </c>
      <c r="P70" s="27"/>
      <c r="Q70" s="27"/>
    </row>
    <row r="71" spans="1:17" s="32" customFormat="1" ht="28.5" customHeight="1">
      <c r="A71" s="61" t="s">
        <v>190</v>
      </c>
      <c r="B71" s="30" t="s">
        <v>23</v>
      </c>
      <c r="C71" s="62" t="s">
        <v>192</v>
      </c>
      <c r="D71" s="27" t="s">
        <v>191</v>
      </c>
      <c r="E71" s="27" t="s">
        <v>193</v>
      </c>
      <c r="F71" s="27">
        <v>4000</v>
      </c>
      <c r="G71" s="28">
        <v>1</v>
      </c>
      <c r="H71" s="28">
        <f t="shared" si="3"/>
        <v>4000</v>
      </c>
      <c r="I71" s="69" t="s">
        <v>82</v>
      </c>
      <c r="J71" s="27">
        <v>1</v>
      </c>
      <c r="K71" s="27">
        <v>1</v>
      </c>
      <c r="L71" s="27">
        <v>1</v>
      </c>
      <c r="M71" s="28" t="str">
        <f t="shared" si="0"/>
        <v>לא לרכוש</v>
      </c>
      <c r="N71" s="28"/>
      <c r="O71" s="27">
        <v>1000</v>
      </c>
      <c r="P71" s="27"/>
      <c r="Q71" s="27"/>
    </row>
    <row r="72" spans="1:17" s="32" customFormat="1" ht="14.25" customHeight="1">
      <c r="A72" s="33" t="s">
        <v>1059</v>
      </c>
      <c r="B72" s="40" t="s">
        <v>219</v>
      </c>
      <c r="C72" s="34" t="s">
        <v>171</v>
      </c>
      <c r="D72" s="27" t="s">
        <v>221</v>
      </c>
      <c r="E72" s="33" t="s">
        <v>224</v>
      </c>
      <c r="F72" s="28">
        <v>4000</v>
      </c>
      <c r="G72" s="28">
        <v>1</v>
      </c>
      <c r="H72" s="28">
        <f t="shared" si="3"/>
        <v>4000</v>
      </c>
      <c r="I72" s="69" t="s">
        <v>82</v>
      </c>
      <c r="J72" s="28">
        <v>1</v>
      </c>
      <c r="K72" s="28">
        <v>1</v>
      </c>
      <c r="L72" s="28">
        <v>1</v>
      </c>
      <c r="M72" s="28" t="str">
        <f t="shared" si="0"/>
        <v>לא לרכוש</v>
      </c>
      <c r="N72" s="28"/>
      <c r="O72" s="28">
        <v>1000</v>
      </c>
      <c r="P72" s="27"/>
      <c r="Q72" s="27"/>
    </row>
    <row r="73" spans="1:17" s="32" customFormat="1" ht="14.25" customHeight="1">
      <c r="A73" s="33" t="s">
        <v>1059</v>
      </c>
      <c r="B73" s="27" t="s">
        <v>227</v>
      </c>
      <c r="C73" s="34" t="s">
        <v>172</v>
      </c>
      <c r="D73" s="28" t="s">
        <v>101</v>
      </c>
      <c r="E73" s="33" t="s">
        <v>224</v>
      </c>
      <c r="F73" s="28">
        <v>4000</v>
      </c>
      <c r="G73" s="28">
        <v>1</v>
      </c>
      <c r="H73" s="28">
        <f t="shared" si="3"/>
        <v>4000</v>
      </c>
      <c r="I73" s="69" t="s">
        <v>82</v>
      </c>
      <c r="J73" s="28">
        <v>1</v>
      </c>
      <c r="K73" s="28">
        <v>1</v>
      </c>
      <c r="L73" s="28">
        <v>1</v>
      </c>
      <c r="M73" s="28" t="str">
        <f t="shared" si="0"/>
        <v>לא לרכוש</v>
      </c>
      <c r="N73" s="28"/>
      <c r="O73" s="28">
        <v>1000</v>
      </c>
      <c r="P73" s="27"/>
      <c r="Q73" s="27"/>
    </row>
    <row r="74" spans="1:17" s="32" customFormat="1" ht="14.25" customHeight="1">
      <c r="A74" s="33" t="s">
        <v>1062</v>
      </c>
      <c r="B74" s="27" t="s">
        <v>427</v>
      </c>
      <c r="C74" s="34" t="s">
        <v>499</v>
      </c>
      <c r="D74" s="27" t="s">
        <v>221</v>
      </c>
      <c r="E74" s="74" t="s">
        <v>478</v>
      </c>
      <c r="F74" s="28">
        <v>4000</v>
      </c>
      <c r="G74" s="28">
        <v>1</v>
      </c>
      <c r="H74" s="28">
        <f t="shared" si="3"/>
        <v>4000</v>
      </c>
      <c r="I74" s="69" t="s">
        <v>82</v>
      </c>
      <c r="J74" s="28">
        <v>2</v>
      </c>
      <c r="K74" s="28">
        <v>1</v>
      </c>
      <c r="L74" s="28">
        <v>1</v>
      </c>
      <c r="M74" s="28" t="str">
        <f t="shared" si="0"/>
        <v>לא לרכוש</v>
      </c>
      <c r="N74" s="28"/>
      <c r="O74" s="28">
        <v>1000</v>
      </c>
      <c r="P74" s="27"/>
      <c r="Q74" s="27"/>
    </row>
    <row r="75" spans="1:17" s="32" customFormat="1">
      <c r="A75" s="33" t="s">
        <v>501</v>
      </c>
      <c r="B75" s="27" t="s">
        <v>167</v>
      </c>
      <c r="C75" s="34" t="s">
        <v>918</v>
      </c>
      <c r="D75" s="27" t="s">
        <v>1027</v>
      </c>
      <c r="E75" s="33" t="s">
        <v>1028</v>
      </c>
      <c r="F75" s="28">
        <v>4000</v>
      </c>
      <c r="G75" s="28">
        <v>1</v>
      </c>
      <c r="H75" s="28">
        <f t="shared" si="3"/>
        <v>4000</v>
      </c>
      <c r="I75" s="69"/>
      <c r="J75" s="28">
        <v>1</v>
      </c>
      <c r="K75" s="28">
        <v>1</v>
      </c>
      <c r="L75" s="28">
        <v>0.5</v>
      </c>
      <c r="M75" s="28" t="str">
        <f t="shared" ref="M75:M138" si="4">IF(AND(K75*L75*30*O75&gt;H75/J75,I75=""),"לרכוש","לא לרכוש")</f>
        <v>לרכוש</v>
      </c>
      <c r="N75" s="28"/>
      <c r="O75" s="28">
        <v>1000</v>
      </c>
      <c r="P75" s="27"/>
      <c r="Q75" s="27"/>
    </row>
    <row r="76" spans="1:17" s="32" customFormat="1" ht="14.25" customHeight="1">
      <c r="A76" s="33" t="s">
        <v>1056</v>
      </c>
      <c r="B76" s="27" t="s">
        <v>167</v>
      </c>
      <c r="C76" s="34" t="s">
        <v>919</v>
      </c>
      <c r="D76" s="27" t="s">
        <v>221</v>
      </c>
      <c r="E76" s="33" t="s">
        <v>1029</v>
      </c>
      <c r="F76" s="28">
        <v>4000</v>
      </c>
      <c r="G76" s="28">
        <v>1</v>
      </c>
      <c r="H76" s="28">
        <f t="shared" si="3"/>
        <v>4000</v>
      </c>
      <c r="I76" s="69" t="s">
        <v>82</v>
      </c>
      <c r="J76" s="28">
        <v>1</v>
      </c>
      <c r="K76" s="28">
        <v>1</v>
      </c>
      <c r="L76" s="28">
        <v>1</v>
      </c>
      <c r="M76" s="28" t="str">
        <f t="shared" si="4"/>
        <v>לא לרכוש</v>
      </c>
      <c r="N76" s="28"/>
      <c r="O76" s="28">
        <v>1000</v>
      </c>
      <c r="P76" s="27"/>
      <c r="Q76" s="27"/>
    </row>
    <row r="77" spans="1:17" s="32" customFormat="1" ht="14.25" customHeight="1">
      <c r="A77" s="33" t="s">
        <v>1062</v>
      </c>
      <c r="B77" s="27" t="s">
        <v>167</v>
      </c>
      <c r="C77" s="34" t="s">
        <v>168</v>
      </c>
      <c r="D77" s="27" t="s">
        <v>221</v>
      </c>
      <c r="E77" s="74" t="s">
        <v>1045</v>
      </c>
      <c r="F77" s="28">
        <v>4000</v>
      </c>
      <c r="G77" s="28">
        <v>1</v>
      </c>
      <c r="H77" s="28">
        <f t="shared" si="3"/>
        <v>4000</v>
      </c>
      <c r="I77" s="69" t="s">
        <v>82</v>
      </c>
      <c r="J77" s="28">
        <v>1</v>
      </c>
      <c r="K77" s="28">
        <v>1</v>
      </c>
      <c r="L77" s="28">
        <v>1</v>
      </c>
      <c r="M77" s="28" t="str">
        <f t="shared" si="4"/>
        <v>לא לרכוש</v>
      </c>
      <c r="N77" s="28"/>
      <c r="O77" s="28">
        <v>1000</v>
      </c>
      <c r="P77" s="27"/>
      <c r="Q77" s="27"/>
    </row>
    <row r="78" spans="1:17" s="32" customFormat="1" ht="14.25" customHeight="1">
      <c r="A78" s="33" t="s">
        <v>1059</v>
      </c>
      <c r="B78" s="27" t="s">
        <v>167</v>
      </c>
      <c r="C78" s="34" t="s">
        <v>176</v>
      </c>
      <c r="D78" s="27" t="s">
        <v>221</v>
      </c>
      <c r="E78" s="92" t="s">
        <v>1045</v>
      </c>
      <c r="F78" s="28">
        <v>4000</v>
      </c>
      <c r="G78" s="28">
        <v>1</v>
      </c>
      <c r="H78" s="28">
        <f t="shared" si="3"/>
        <v>4000</v>
      </c>
      <c r="I78" s="69" t="s">
        <v>82</v>
      </c>
      <c r="J78" s="28">
        <v>1</v>
      </c>
      <c r="K78" s="28">
        <v>1</v>
      </c>
      <c r="L78" s="28">
        <v>1</v>
      </c>
      <c r="M78" s="28" t="str">
        <f t="shared" si="4"/>
        <v>לא לרכוש</v>
      </c>
      <c r="N78" s="28"/>
      <c r="O78" s="28">
        <v>1000</v>
      </c>
      <c r="P78" s="27"/>
      <c r="Q78" s="27"/>
    </row>
    <row r="79" spans="1:17" s="32" customFormat="1" ht="14.25" customHeight="1">
      <c r="A79" s="33" t="s">
        <v>1059</v>
      </c>
      <c r="B79" s="27" t="s">
        <v>166</v>
      </c>
      <c r="C79" s="34" t="s">
        <v>932</v>
      </c>
      <c r="D79" s="27" t="s">
        <v>221</v>
      </c>
      <c r="E79" s="33" t="s">
        <v>1045</v>
      </c>
      <c r="F79" s="28">
        <v>4000</v>
      </c>
      <c r="G79" s="28">
        <v>1</v>
      </c>
      <c r="H79" s="28">
        <f t="shared" si="3"/>
        <v>4000</v>
      </c>
      <c r="I79" s="69" t="s">
        <v>82</v>
      </c>
      <c r="J79" s="28">
        <v>1</v>
      </c>
      <c r="K79" s="28">
        <v>1</v>
      </c>
      <c r="L79" s="28">
        <v>1</v>
      </c>
      <c r="M79" s="28" t="str">
        <f t="shared" si="4"/>
        <v>לא לרכוש</v>
      </c>
      <c r="N79" s="28"/>
      <c r="O79" s="28">
        <v>1000</v>
      </c>
      <c r="P79" s="27"/>
      <c r="Q79" s="27"/>
    </row>
    <row r="80" spans="1:17" s="32" customFormat="1" ht="51.75" customHeight="1">
      <c r="A80" s="33" t="s">
        <v>170</v>
      </c>
      <c r="B80" s="27" t="s">
        <v>166</v>
      </c>
      <c r="C80" s="34" t="s">
        <v>932</v>
      </c>
      <c r="D80" s="27" t="s">
        <v>221</v>
      </c>
      <c r="E80" s="33" t="s">
        <v>1029</v>
      </c>
      <c r="F80" s="28">
        <v>4000</v>
      </c>
      <c r="G80" s="28">
        <v>1</v>
      </c>
      <c r="H80" s="28">
        <f t="shared" si="3"/>
        <v>4000</v>
      </c>
      <c r="I80" s="69" t="s">
        <v>82</v>
      </c>
      <c r="J80" s="28">
        <v>1</v>
      </c>
      <c r="K80" s="28">
        <v>1</v>
      </c>
      <c r="L80" s="28">
        <v>1</v>
      </c>
      <c r="M80" s="28" t="str">
        <f t="shared" si="4"/>
        <v>לא לרכוש</v>
      </c>
      <c r="N80" s="28"/>
      <c r="O80" s="28">
        <v>1000</v>
      </c>
      <c r="P80" s="27"/>
      <c r="Q80" s="27"/>
    </row>
    <row r="81" spans="1:17" s="32" customFormat="1" ht="14.25" customHeight="1">
      <c r="A81" s="33" t="s">
        <v>1062</v>
      </c>
      <c r="B81" s="27" t="s">
        <v>166</v>
      </c>
      <c r="C81" s="34" t="s">
        <v>933</v>
      </c>
      <c r="D81" s="27" t="s">
        <v>221</v>
      </c>
      <c r="E81" s="74" t="s">
        <v>1045</v>
      </c>
      <c r="F81" s="28">
        <v>4000</v>
      </c>
      <c r="G81" s="28">
        <v>1</v>
      </c>
      <c r="H81" s="28">
        <v>4000</v>
      </c>
      <c r="I81" s="69" t="s">
        <v>82</v>
      </c>
      <c r="J81" s="28">
        <v>1</v>
      </c>
      <c r="K81" s="28">
        <v>1</v>
      </c>
      <c r="L81" s="28">
        <v>1</v>
      </c>
      <c r="M81" s="28" t="str">
        <f t="shared" si="4"/>
        <v>לא לרכוש</v>
      </c>
      <c r="N81" s="28"/>
      <c r="O81" s="28">
        <v>1000</v>
      </c>
      <c r="P81" s="27"/>
      <c r="Q81" s="27"/>
    </row>
    <row r="82" spans="1:17" s="32" customFormat="1" ht="14.25" customHeight="1">
      <c r="A82" s="33" t="s">
        <v>1059</v>
      </c>
      <c r="B82" s="27" t="s">
        <v>166</v>
      </c>
      <c r="C82" s="34" t="s">
        <v>940</v>
      </c>
      <c r="D82" s="27" t="s">
        <v>221</v>
      </c>
      <c r="E82" s="33" t="s">
        <v>1045</v>
      </c>
      <c r="F82" s="28">
        <v>4000</v>
      </c>
      <c r="G82" s="28">
        <v>1</v>
      </c>
      <c r="H82" s="28">
        <f t="shared" ref="H82:H113" si="5">G82*F82</f>
        <v>4000</v>
      </c>
      <c r="I82" s="69" t="s">
        <v>82</v>
      </c>
      <c r="J82" s="28">
        <v>1</v>
      </c>
      <c r="K82" s="28">
        <v>1</v>
      </c>
      <c r="L82" s="28">
        <v>1</v>
      </c>
      <c r="M82" s="28" t="str">
        <f t="shared" si="4"/>
        <v>לא לרכוש</v>
      </c>
      <c r="N82" s="28"/>
      <c r="O82" s="28">
        <v>1000</v>
      </c>
      <c r="P82" s="27"/>
      <c r="Q82" s="27"/>
    </row>
    <row r="83" spans="1:17" s="32" customFormat="1" ht="14.25" customHeight="1">
      <c r="A83" s="33" t="s">
        <v>1062</v>
      </c>
      <c r="B83" s="27" t="s">
        <v>166</v>
      </c>
      <c r="C83" s="34" t="s">
        <v>940</v>
      </c>
      <c r="D83" s="27" t="s">
        <v>221</v>
      </c>
      <c r="E83" s="74" t="s">
        <v>1045</v>
      </c>
      <c r="F83" s="28">
        <v>4000</v>
      </c>
      <c r="G83" s="28">
        <v>1</v>
      </c>
      <c r="H83" s="28">
        <f t="shared" si="5"/>
        <v>4000</v>
      </c>
      <c r="I83" s="69" t="s">
        <v>82</v>
      </c>
      <c r="J83" s="28">
        <v>1</v>
      </c>
      <c r="K83" s="28">
        <v>1</v>
      </c>
      <c r="L83" s="28">
        <v>1</v>
      </c>
      <c r="M83" s="28" t="str">
        <f t="shared" si="4"/>
        <v>לא לרכוש</v>
      </c>
      <c r="N83" s="28"/>
      <c r="O83" s="28">
        <v>1000</v>
      </c>
      <c r="P83" s="27"/>
      <c r="Q83" s="27"/>
    </row>
    <row r="84" spans="1:17" s="32" customFormat="1" ht="14.25" customHeight="1">
      <c r="A84" s="33" t="s">
        <v>1062</v>
      </c>
      <c r="B84" s="27" t="s">
        <v>425</v>
      </c>
      <c r="C84" s="34" t="s">
        <v>162</v>
      </c>
      <c r="D84" s="27" t="s">
        <v>221</v>
      </c>
      <c r="E84" s="74" t="s">
        <v>1045</v>
      </c>
      <c r="F84" s="28">
        <v>4000</v>
      </c>
      <c r="G84" s="28">
        <v>1</v>
      </c>
      <c r="H84" s="28">
        <f t="shared" si="5"/>
        <v>4000</v>
      </c>
      <c r="I84" s="69" t="s">
        <v>82</v>
      </c>
      <c r="J84" s="28">
        <v>1</v>
      </c>
      <c r="K84" s="28">
        <v>1</v>
      </c>
      <c r="L84" s="28">
        <v>1</v>
      </c>
      <c r="M84" s="28" t="str">
        <f t="shared" si="4"/>
        <v>לא לרכוש</v>
      </c>
      <c r="N84" s="28"/>
      <c r="O84" s="28">
        <v>1000</v>
      </c>
      <c r="P84" s="27"/>
      <c r="Q84" s="27"/>
    </row>
    <row r="85" spans="1:17" s="32" customFormat="1" ht="30.75" customHeight="1">
      <c r="A85" s="33" t="s">
        <v>1059</v>
      </c>
      <c r="B85" s="27" t="s">
        <v>425</v>
      </c>
      <c r="C85" s="34" t="s">
        <v>948</v>
      </c>
      <c r="D85" s="27" t="s">
        <v>221</v>
      </c>
      <c r="E85" s="33" t="s">
        <v>1045</v>
      </c>
      <c r="F85" s="28">
        <v>4000</v>
      </c>
      <c r="G85" s="28">
        <v>1</v>
      </c>
      <c r="H85" s="28">
        <f t="shared" si="5"/>
        <v>4000</v>
      </c>
      <c r="I85" s="69" t="s">
        <v>82</v>
      </c>
      <c r="J85" s="28">
        <v>1</v>
      </c>
      <c r="K85" s="28">
        <v>1</v>
      </c>
      <c r="L85" s="28">
        <v>1</v>
      </c>
      <c r="M85" s="28" t="str">
        <f t="shared" si="4"/>
        <v>לא לרכוש</v>
      </c>
      <c r="N85" s="28"/>
      <c r="O85" s="28">
        <v>1000</v>
      </c>
      <c r="P85" s="27"/>
      <c r="Q85" s="27"/>
    </row>
    <row r="86" spans="1:17" s="32" customFormat="1" ht="14.25" customHeight="1">
      <c r="A86" s="33" t="s">
        <v>12</v>
      </c>
      <c r="B86" s="27" t="s">
        <v>425</v>
      </c>
      <c r="C86" s="34" t="s">
        <v>953</v>
      </c>
      <c r="D86" s="27" t="s">
        <v>149</v>
      </c>
      <c r="E86" s="33" t="s">
        <v>1039</v>
      </c>
      <c r="F86" s="28">
        <v>4000</v>
      </c>
      <c r="G86" s="28">
        <v>1</v>
      </c>
      <c r="H86" s="28">
        <f t="shared" si="5"/>
        <v>4000</v>
      </c>
      <c r="I86" s="69"/>
      <c r="J86" s="28">
        <v>1</v>
      </c>
      <c r="K86" s="28">
        <v>1</v>
      </c>
      <c r="L86" s="28">
        <v>1.5</v>
      </c>
      <c r="M86" s="28" t="str">
        <f t="shared" si="4"/>
        <v>לרכוש</v>
      </c>
      <c r="N86" s="28"/>
      <c r="O86" s="28">
        <v>1000</v>
      </c>
      <c r="P86" s="27"/>
      <c r="Q86" s="27"/>
    </row>
    <row r="87" spans="1:17" s="32" customFormat="1" ht="28.5" customHeight="1">
      <c r="A87" s="33" t="s">
        <v>1062</v>
      </c>
      <c r="B87" s="27" t="s">
        <v>447</v>
      </c>
      <c r="C87" s="34" t="s">
        <v>967</v>
      </c>
      <c r="D87" s="27" t="s">
        <v>221</v>
      </c>
      <c r="E87" s="74">
        <v>2100</v>
      </c>
      <c r="F87" s="28">
        <v>4000</v>
      </c>
      <c r="G87" s="28">
        <v>1</v>
      </c>
      <c r="H87" s="28">
        <f t="shared" si="5"/>
        <v>4000</v>
      </c>
      <c r="I87" s="69" t="s">
        <v>82</v>
      </c>
      <c r="J87" s="28">
        <v>1</v>
      </c>
      <c r="K87" s="28">
        <v>1</v>
      </c>
      <c r="L87" s="28">
        <v>1</v>
      </c>
      <c r="M87" s="28" t="str">
        <f t="shared" si="4"/>
        <v>לא לרכוש</v>
      </c>
      <c r="N87" s="28"/>
      <c r="O87" s="28">
        <v>1000</v>
      </c>
      <c r="P87" s="27"/>
      <c r="Q87" s="27"/>
    </row>
    <row r="88" spans="1:17" s="32" customFormat="1" ht="14.25" customHeight="1">
      <c r="A88" s="33" t="s">
        <v>1062</v>
      </c>
      <c r="B88" s="27" t="s">
        <v>447</v>
      </c>
      <c r="C88" s="34" t="s">
        <v>968</v>
      </c>
      <c r="D88" s="27" t="s">
        <v>221</v>
      </c>
      <c r="E88" s="74">
        <v>2100</v>
      </c>
      <c r="F88" s="28">
        <v>4000</v>
      </c>
      <c r="G88" s="28">
        <v>1</v>
      </c>
      <c r="H88" s="28">
        <f t="shared" si="5"/>
        <v>4000</v>
      </c>
      <c r="I88" s="69" t="s">
        <v>82</v>
      </c>
      <c r="J88" s="28">
        <v>1</v>
      </c>
      <c r="K88" s="28">
        <v>1</v>
      </c>
      <c r="L88" s="28">
        <v>1</v>
      </c>
      <c r="M88" s="28" t="str">
        <f t="shared" si="4"/>
        <v>לא לרכוש</v>
      </c>
      <c r="N88" s="28"/>
      <c r="O88" s="28">
        <v>1000</v>
      </c>
      <c r="P88" s="27"/>
      <c r="Q88" s="27"/>
    </row>
    <row r="89" spans="1:17" s="32" customFormat="1" ht="14.25" customHeight="1">
      <c r="A89" s="33" t="s">
        <v>1062</v>
      </c>
      <c r="B89" s="27" t="s">
        <v>447</v>
      </c>
      <c r="C89" s="34" t="s">
        <v>969</v>
      </c>
      <c r="D89" s="27" t="s">
        <v>221</v>
      </c>
      <c r="E89" s="74">
        <v>2100</v>
      </c>
      <c r="F89" s="28">
        <v>4000</v>
      </c>
      <c r="G89" s="28">
        <v>1</v>
      </c>
      <c r="H89" s="28">
        <f t="shared" si="5"/>
        <v>4000</v>
      </c>
      <c r="I89" s="69" t="s">
        <v>82</v>
      </c>
      <c r="J89" s="28">
        <v>1</v>
      </c>
      <c r="K89" s="28">
        <v>1</v>
      </c>
      <c r="L89" s="28">
        <v>1</v>
      </c>
      <c r="M89" s="28" t="str">
        <f t="shared" si="4"/>
        <v>לא לרכוש</v>
      </c>
      <c r="N89" s="28"/>
      <c r="O89" s="28">
        <v>1000</v>
      </c>
      <c r="P89" s="27"/>
      <c r="Q89" s="27"/>
    </row>
    <row r="90" spans="1:17" s="32" customFormat="1" ht="14.25" customHeight="1">
      <c r="A90" s="33" t="s">
        <v>1062</v>
      </c>
      <c r="B90" s="27" t="s">
        <v>447</v>
      </c>
      <c r="C90" s="34" t="s">
        <v>970</v>
      </c>
      <c r="D90" s="27" t="s">
        <v>221</v>
      </c>
      <c r="E90" s="74">
        <v>2100</v>
      </c>
      <c r="F90" s="28">
        <v>4000</v>
      </c>
      <c r="G90" s="28">
        <v>1</v>
      </c>
      <c r="H90" s="28">
        <f t="shared" si="5"/>
        <v>4000</v>
      </c>
      <c r="I90" s="69" t="s">
        <v>82</v>
      </c>
      <c r="J90" s="28">
        <v>1</v>
      </c>
      <c r="K90" s="28">
        <v>1</v>
      </c>
      <c r="L90" s="28">
        <v>1</v>
      </c>
      <c r="M90" s="28" t="str">
        <f t="shared" si="4"/>
        <v>לא לרכוש</v>
      </c>
      <c r="N90" s="28"/>
      <c r="O90" s="28">
        <v>1000</v>
      </c>
      <c r="P90" s="27"/>
      <c r="Q90" s="27"/>
    </row>
    <row r="91" spans="1:17" s="32" customFormat="1" ht="14.25" customHeight="1">
      <c r="A91" s="33" t="s">
        <v>1062</v>
      </c>
      <c r="B91" s="27" t="s">
        <v>448</v>
      </c>
      <c r="C91" s="34" t="s">
        <v>980</v>
      </c>
      <c r="D91" s="27" t="s">
        <v>221</v>
      </c>
      <c r="E91" s="74" t="s">
        <v>1045</v>
      </c>
      <c r="F91" s="28">
        <v>4000</v>
      </c>
      <c r="G91" s="28">
        <v>1</v>
      </c>
      <c r="H91" s="28">
        <f t="shared" si="5"/>
        <v>4000</v>
      </c>
      <c r="I91" s="69" t="s">
        <v>82</v>
      </c>
      <c r="J91" s="28">
        <v>1</v>
      </c>
      <c r="K91" s="28">
        <v>1</v>
      </c>
      <c r="L91" s="28">
        <v>1</v>
      </c>
      <c r="M91" s="28" t="str">
        <f t="shared" si="4"/>
        <v>לא לרכוש</v>
      </c>
      <c r="N91" s="28"/>
      <c r="O91" s="28">
        <v>1000</v>
      </c>
      <c r="P91" s="27"/>
      <c r="Q91" s="27"/>
    </row>
    <row r="92" spans="1:17" s="32" customFormat="1" ht="14.25" customHeight="1">
      <c r="A92" s="33" t="s">
        <v>1059</v>
      </c>
      <c r="B92" s="27" t="s">
        <v>448</v>
      </c>
      <c r="C92" s="34" t="s">
        <v>981</v>
      </c>
      <c r="D92" s="27" t="s">
        <v>221</v>
      </c>
      <c r="E92" s="33" t="s">
        <v>1045</v>
      </c>
      <c r="F92" s="28">
        <v>4000</v>
      </c>
      <c r="G92" s="28">
        <v>1</v>
      </c>
      <c r="H92" s="28">
        <f t="shared" si="5"/>
        <v>4000</v>
      </c>
      <c r="I92" s="69" t="s">
        <v>82</v>
      </c>
      <c r="J92" s="28">
        <v>1</v>
      </c>
      <c r="K92" s="28">
        <v>1</v>
      </c>
      <c r="L92" s="28">
        <v>1</v>
      </c>
      <c r="M92" s="28" t="str">
        <f t="shared" si="4"/>
        <v>לא לרכוש</v>
      </c>
      <c r="N92" s="28"/>
      <c r="O92" s="28">
        <v>1000</v>
      </c>
      <c r="P92" s="27"/>
      <c r="Q92" s="27"/>
    </row>
    <row r="93" spans="1:17" s="32" customFormat="1" ht="14.25" customHeight="1">
      <c r="A93" s="33" t="s">
        <v>1059</v>
      </c>
      <c r="B93" s="27" t="s">
        <v>448</v>
      </c>
      <c r="C93" s="34" t="s">
        <v>985</v>
      </c>
      <c r="D93" s="27" t="s">
        <v>221</v>
      </c>
      <c r="E93" s="33" t="s">
        <v>1045</v>
      </c>
      <c r="F93" s="28">
        <v>4000</v>
      </c>
      <c r="G93" s="28">
        <v>1</v>
      </c>
      <c r="H93" s="28">
        <f t="shared" si="5"/>
        <v>4000</v>
      </c>
      <c r="I93" s="69" t="s">
        <v>82</v>
      </c>
      <c r="J93" s="28">
        <v>1</v>
      </c>
      <c r="K93" s="28">
        <v>1</v>
      </c>
      <c r="L93" s="28">
        <v>1</v>
      </c>
      <c r="M93" s="28" t="str">
        <f t="shared" si="4"/>
        <v>לא לרכוש</v>
      </c>
      <c r="N93" s="28"/>
      <c r="O93" s="28">
        <v>1000</v>
      </c>
      <c r="P93" s="27"/>
      <c r="Q93" s="27"/>
    </row>
    <row r="94" spans="1:17" s="32" customFormat="1" ht="14.25" customHeight="1">
      <c r="A94" s="33" t="s">
        <v>1059</v>
      </c>
      <c r="B94" s="27" t="s">
        <v>449</v>
      </c>
      <c r="C94" s="34" t="s">
        <v>990</v>
      </c>
      <c r="D94" s="27" t="s">
        <v>221</v>
      </c>
      <c r="E94" s="33" t="s">
        <v>1045</v>
      </c>
      <c r="F94" s="28">
        <v>4000</v>
      </c>
      <c r="G94" s="28">
        <v>1</v>
      </c>
      <c r="H94" s="28">
        <f t="shared" si="5"/>
        <v>4000</v>
      </c>
      <c r="I94" s="69" t="s">
        <v>82</v>
      </c>
      <c r="J94" s="28">
        <v>1</v>
      </c>
      <c r="K94" s="28">
        <v>1</v>
      </c>
      <c r="L94" s="28">
        <v>1</v>
      </c>
      <c r="M94" s="28" t="str">
        <f t="shared" si="4"/>
        <v>לא לרכוש</v>
      </c>
      <c r="N94" s="28"/>
      <c r="O94" s="28">
        <v>1000</v>
      </c>
      <c r="P94" s="27"/>
      <c r="Q94" s="27"/>
    </row>
    <row r="95" spans="1:17" s="32" customFormat="1" ht="14.25" customHeight="1">
      <c r="A95" s="33" t="s">
        <v>1062</v>
      </c>
      <c r="B95" s="27" t="s">
        <v>449</v>
      </c>
      <c r="C95" s="34" t="s">
        <v>991</v>
      </c>
      <c r="D95" s="27" t="s">
        <v>221</v>
      </c>
      <c r="E95" s="74" t="s">
        <v>1045</v>
      </c>
      <c r="F95" s="28">
        <v>4000</v>
      </c>
      <c r="G95" s="28">
        <v>1</v>
      </c>
      <c r="H95" s="28">
        <f t="shared" si="5"/>
        <v>4000</v>
      </c>
      <c r="I95" s="69" t="s">
        <v>82</v>
      </c>
      <c r="J95" s="28">
        <v>1</v>
      </c>
      <c r="K95" s="28">
        <v>1</v>
      </c>
      <c r="L95" s="28">
        <v>1</v>
      </c>
      <c r="M95" s="28" t="str">
        <f t="shared" si="4"/>
        <v>לא לרכוש</v>
      </c>
      <c r="N95" s="28"/>
      <c r="O95" s="28">
        <v>1000</v>
      </c>
      <c r="P95" s="27"/>
      <c r="Q95" s="27"/>
    </row>
    <row r="96" spans="1:17" s="32" customFormat="1" ht="14.25" customHeight="1">
      <c r="A96" s="33" t="s">
        <v>1056</v>
      </c>
      <c r="B96" s="40" t="s">
        <v>219</v>
      </c>
      <c r="C96" s="34" t="s">
        <v>171</v>
      </c>
      <c r="D96" s="28" t="s">
        <v>101</v>
      </c>
      <c r="E96" s="66" t="s">
        <v>173</v>
      </c>
      <c r="F96" s="28">
        <v>3596.5</v>
      </c>
      <c r="G96" s="28">
        <v>1</v>
      </c>
      <c r="H96" s="28">
        <f t="shared" si="5"/>
        <v>3596.5</v>
      </c>
      <c r="I96" s="69"/>
      <c r="J96" s="28">
        <v>1</v>
      </c>
      <c r="K96" s="28">
        <v>1</v>
      </c>
      <c r="L96" s="28">
        <v>1</v>
      </c>
      <c r="M96" s="28" t="str">
        <f t="shared" si="4"/>
        <v>לרכוש</v>
      </c>
      <c r="N96" s="28"/>
      <c r="O96" s="28">
        <v>1000</v>
      </c>
      <c r="P96" s="27"/>
      <c r="Q96" s="27" t="s">
        <v>194</v>
      </c>
    </row>
    <row r="97" spans="1:17" s="32" customFormat="1" ht="14.25" customHeight="1">
      <c r="A97" s="33" t="s">
        <v>1056</v>
      </c>
      <c r="B97" s="27" t="s">
        <v>227</v>
      </c>
      <c r="C97" s="34" t="s">
        <v>172</v>
      </c>
      <c r="D97" s="28" t="s">
        <v>101</v>
      </c>
      <c r="E97" s="66" t="s">
        <v>173</v>
      </c>
      <c r="F97" s="28">
        <v>3596.5</v>
      </c>
      <c r="G97" s="28">
        <v>1</v>
      </c>
      <c r="H97" s="28">
        <f t="shared" si="5"/>
        <v>3596.5</v>
      </c>
      <c r="I97" s="69"/>
      <c r="J97" s="28">
        <v>1</v>
      </c>
      <c r="K97" s="28">
        <v>1</v>
      </c>
      <c r="L97" s="28">
        <v>1</v>
      </c>
      <c r="M97" s="28" t="str">
        <f t="shared" si="4"/>
        <v>לרכוש</v>
      </c>
      <c r="N97" s="28"/>
      <c r="O97" s="28">
        <v>1000</v>
      </c>
      <c r="P97" s="27"/>
      <c r="Q97" s="27" t="s">
        <v>194</v>
      </c>
    </row>
    <row r="98" spans="1:17" s="32" customFormat="1" ht="14.25" customHeight="1">
      <c r="A98" s="37" t="s">
        <v>1056</v>
      </c>
      <c r="B98" s="37" t="s">
        <v>88</v>
      </c>
      <c r="C98" s="44" t="s">
        <v>115</v>
      </c>
      <c r="D98" s="28" t="s">
        <v>101</v>
      </c>
      <c r="E98" s="37" t="s">
        <v>112</v>
      </c>
      <c r="F98" s="28">
        <v>3500</v>
      </c>
      <c r="G98" s="28">
        <v>1</v>
      </c>
      <c r="H98" s="28">
        <f t="shared" si="5"/>
        <v>3500</v>
      </c>
      <c r="I98" s="69" t="s">
        <v>82</v>
      </c>
      <c r="J98" s="28">
        <v>1</v>
      </c>
      <c r="K98" s="28">
        <v>1</v>
      </c>
      <c r="L98" s="28">
        <v>1.2</v>
      </c>
      <c r="M98" s="28" t="str">
        <f t="shared" si="4"/>
        <v>לא לרכוש</v>
      </c>
      <c r="N98" s="28"/>
      <c r="O98" s="28">
        <v>1000</v>
      </c>
      <c r="P98" s="27"/>
      <c r="Q98" s="27"/>
    </row>
    <row r="99" spans="1:17" s="32" customFormat="1" ht="14.25" customHeight="1">
      <c r="A99" s="45" t="s">
        <v>1056</v>
      </c>
      <c r="B99" s="37" t="s">
        <v>140</v>
      </c>
      <c r="C99" s="57" t="s">
        <v>160</v>
      </c>
      <c r="D99" s="28" t="s">
        <v>101</v>
      </c>
      <c r="E99" s="58" t="s">
        <v>156</v>
      </c>
      <c r="F99" s="28">
        <v>3500</v>
      </c>
      <c r="G99" s="28">
        <v>1</v>
      </c>
      <c r="H99" s="28">
        <f t="shared" si="5"/>
        <v>3500</v>
      </c>
      <c r="I99" s="69" t="s">
        <v>82</v>
      </c>
      <c r="J99" s="28">
        <v>1</v>
      </c>
      <c r="K99" s="28">
        <v>1</v>
      </c>
      <c r="L99" s="28">
        <v>1</v>
      </c>
      <c r="M99" s="28" t="str">
        <f t="shared" si="4"/>
        <v>לא לרכוש</v>
      </c>
      <c r="N99" s="28"/>
      <c r="O99" s="28">
        <v>1000</v>
      </c>
      <c r="P99" s="27"/>
      <c r="Q99" s="27"/>
    </row>
    <row r="100" spans="1:17" s="32" customFormat="1" ht="14.25" customHeight="1">
      <c r="A100" s="37" t="s">
        <v>83</v>
      </c>
      <c r="B100" s="30" t="s">
        <v>23</v>
      </c>
      <c r="C100" s="54" t="s">
        <v>37</v>
      </c>
      <c r="D100" s="28" t="s">
        <v>56</v>
      </c>
      <c r="E100" s="37" t="s">
        <v>72</v>
      </c>
      <c r="F100" s="28">
        <v>3000</v>
      </c>
      <c r="G100" s="28">
        <v>1</v>
      </c>
      <c r="H100" s="28">
        <f t="shared" si="5"/>
        <v>3000</v>
      </c>
      <c r="I100" s="69"/>
      <c r="J100" s="28">
        <v>1</v>
      </c>
      <c r="K100" s="28">
        <v>1</v>
      </c>
      <c r="L100" s="28">
        <v>0.5</v>
      </c>
      <c r="M100" s="28" t="str">
        <f t="shared" si="4"/>
        <v>לרכוש</v>
      </c>
      <c r="N100" s="28"/>
      <c r="O100" s="28">
        <v>1000</v>
      </c>
      <c r="P100" s="27"/>
      <c r="Q100" s="27"/>
    </row>
    <row r="101" spans="1:17" s="32" customFormat="1" ht="14.25" customHeight="1">
      <c r="A101" s="37" t="s">
        <v>18</v>
      </c>
      <c r="B101" s="30" t="s">
        <v>23</v>
      </c>
      <c r="C101" s="54" t="s">
        <v>38</v>
      </c>
      <c r="D101" s="28" t="s">
        <v>50</v>
      </c>
      <c r="E101" s="37" t="s">
        <v>73</v>
      </c>
      <c r="F101" s="28">
        <v>3000</v>
      </c>
      <c r="G101" s="28">
        <v>1</v>
      </c>
      <c r="H101" s="28">
        <f t="shared" si="5"/>
        <v>3000</v>
      </c>
      <c r="I101" s="69"/>
      <c r="J101" s="28">
        <v>1</v>
      </c>
      <c r="K101" s="28">
        <v>1</v>
      </c>
      <c r="L101" s="28">
        <v>1.5</v>
      </c>
      <c r="M101" s="28" t="str">
        <f t="shared" si="4"/>
        <v>לרכוש</v>
      </c>
      <c r="N101" s="28"/>
      <c r="O101" s="28">
        <v>1000</v>
      </c>
      <c r="P101" s="27"/>
      <c r="Q101" s="27"/>
    </row>
    <row r="102" spans="1:17" s="32" customFormat="1" ht="14.25" customHeight="1">
      <c r="A102" s="37" t="s">
        <v>19</v>
      </c>
      <c r="B102" s="30" t="s">
        <v>87</v>
      </c>
      <c r="C102" s="38" t="s">
        <v>40</v>
      </c>
      <c r="D102" s="37" t="s">
        <v>57</v>
      </c>
      <c r="E102" s="37" t="s">
        <v>74</v>
      </c>
      <c r="F102" s="28">
        <v>3000</v>
      </c>
      <c r="G102" s="28">
        <v>1</v>
      </c>
      <c r="H102" s="28">
        <f t="shared" si="5"/>
        <v>3000</v>
      </c>
      <c r="I102" s="69"/>
      <c r="J102" s="28">
        <v>1</v>
      </c>
      <c r="K102" s="28">
        <v>1</v>
      </c>
      <c r="L102" s="28">
        <v>1</v>
      </c>
      <c r="M102" s="28" t="str">
        <f t="shared" si="4"/>
        <v>לרכוש</v>
      </c>
      <c r="N102" s="28"/>
      <c r="O102" s="28">
        <v>1000</v>
      </c>
      <c r="P102" s="27"/>
      <c r="Q102" s="27"/>
    </row>
    <row r="103" spans="1:17" s="32" customFormat="1" ht="14.25" customHeight="1">
      <c r="A103" s="37" t="s">
        <v>117</v>
      </c>
      <c r="B103" s="37" t="s">
        <v>116</v>
      </c>
      <c r="C103" s="38" t="s">
        <v>120</v>
      </c>
      <c r="D103" s="37" t="s">
        <v>128</v>
      </c>
      <c r="E103" s="37" t="s">
        <v>135</v>
      </c>
      <c r="F103" s="28">
        <v>3000</v>
      </c>
      <c r="G103" s="28">
        <v>1</v>
      </c>
      <c r="H103" s="28">
        <f t="shared" si="5"/>
        <v>3000</v>
      </c>
      <c r="I103" s="69"/>
      <c r="J103" s="28">
        <v>1</v>
      </c>
      <c r="K103" s="28">
        <v>1</v>
      </c>
      <c r="L103" s="28">
        <v>1.2</v>
      </c>
      <c r="M103" s="28" t="str">
        <f t="shared" si="4"/>
        <v>לרכוש</v>
      </c>
      <c r="N103" s="28"/>
      <c r="O103" s="28">
        <v>1000</v>
      </c>
      <c r="P103" s="27"/>
      <c r="Q103" s="27"/>
    </row>
    <row r="104" spans="1:17" s="32" customFormat="1" ht="14.25" customHeight="1">
      <c r="A104" s="33" t="s">
        <v>11</v>
      </c>
      <c r="B104" s="27" t="s">
        <v>346</v>
      </c>
      <c r="C104" s="34" t="s">
        <v>367</v>
      </c>
      <c r="D104" s="27" t="s">
        <v>149</v>
      </c>
      <c r="E104" s="33" t="s">
        <v>411</v>
      </c>
      <c r="F104" s="28">
        <v>3000</v>
      </c>
      <c r="G104" s="28">
        <v>1</v>
      </c>
      <c r="H104" s="28">
        <f t="shared" si="5"/>
        <v>3000</v>
      </c>
      <c r="I104" s="69"/>
      <c r="J104" s="28">
        <v>1</v>
      </c>
      <c r="K104" s="28">
        <v>1</v>
      </c>
      <c r="L104" s="28">
        <v>1.5</v>
      </c>
      <c r="M104" s="28" t="str">
        <f t="shared" si="4"/>
        <v>לרכוש</v>
      </c>
      <c r="N104" s="28"/>
      <c r="O104" s="28">
        <v>1000</v>
      </c>
      <c r="P104" s="27"/>
      <c r="Q104" s="27"/>
    </row>
    <row r="105" spans="1:17" s="32" customFormat="1" ht="14.25" customHeight="1">
      <c r="A105" s="33" t="s">
        <v>11</v>
      </c>
      <c r="B105" s="27" t="s">
        <v>346</v>
      </c>
      <c r="C105" s="34" t="s">
        <v>368</v>
      </c>
      <c r="D105" s="27" t="s">
        <v>149</v>
      </c>
      <c r="E105" s="33" t="s">
        <v>411</v>
      </c>
      <c r="F105" s="28">
        <v>3000</v>
      </c>
      <c r="G105" s="28">
        <v>1</v>
      </c>
      <c r="H105" s="28">
        <f t="shared" si="5"/>
        <v>3000</v>
      </c>
      <c r="I105" s="69"/>
      <c r="J105" s="28">
        <v>1</v>
      </c>
      <c r="K105" s="28">
        <v>1</v>
      </c>
      <c r="L105" s="28">
        <v>1.5</v>
      </c>
      <c r="M105" s="28" t="str">
        <f t="shared" si="4"/>
        <v>לרכוש</v>
      </c>
      <c r="N105" s="28"/>
      <c r="O105" s="28">
        <v>1000</v>
      </c>
      <c r="P105" s="27"/>
      <c r="Q105" s="27"/>
    </row>
    <row r="106" spans="1:17" s="32" customFormat="1" ht="14.25" customHeight="1">
      <c r="A106" s="33" t="s">
        <v>1048</v>
      </c>
      <c r="B106" s="27" t="s">
        <v>431</v>
      </c>
      <c r="C106" s="34" t="s">
        <v>573</v>
      </c>
      <c r="D106" s="27" t="s">
        <v>589</v>
      </c>
      <c r="E106" s="33" t="s">
        <v>601</v>
      </c>
      <c r="F106" s="28">
        <v>3000</v>
      </c>
      <c r="G106" s="28">
        <v>1</v>
      </c>
      <c r="H106" s="28">
        <f t="shared" si="5"/>
        <v>3000</v>
      </c>
      <c r="I106" s="69" t="s">
        <v>82</v>
      </c>
      <c r="J106" s="28">
        <v>1</v>
      </c>
      <c r="K106" s="28">
        <v>1</v>
      </c>
      <c r="L106" s="28">
        <v>0.5</v>
      </c>
      <c r="M106" s="28" t="str">
        <f t="shared" si="4"/>
        <v>לא לרכוש</v>
      </c>
      <c r="N106" s="28"/>
      <c r="O106" s="28">
        <v>1000</v>
      </c>
      <c r="P106" s="27"/>
      <c r="Q106" s="27"/>
    </row>
    <row r="107" spans="1:17" s="32" customFormat="1" ht="14.25" customHeight="1">
      <c r="A107" s="27" t="s">
        <v>1048</v>
      </c>
      <c r="B107" s="33" t="s">
        <v>436</v>
      </c>
      <c r="C107" s="34" t="s">
        <v>714</v>
      </c>
      <c r="D107" s="63" t="s">
        <v>60</v>
      </c>
      <c r="E107" s="33" t="s">
        <v>766</v>
      </c>
      <c r="F107" s="28">
        <v>3000</v>
      </c>
      <c r="G107" s="28">
        <v>1</v>
      </c>
      <c r="H107" s="28">
        <f t="shared" si="5"/>
        <v>3000</v>
      </c>
      <c r="I107" s="69"/>
      <c r="J107" s="28">
        <v>1</v>
      </c>
      <c r="K107" s="28">
        <v>1</v>
      </c>
      <c r="L107" s="28">
        <v>0.5</v>
      </c>
      <c r="M107" s="28" t="str">
        <f t="shared" si="4"/>
        <v>לרכוש</v>
      </c>
      <c r="N107" s="28"/>
      <c r="O107" s="28">
        <v>1000</v>
      </c>
      <c r="P107" s="27"/>
      <c r="Q107" s="27"/>
    </row>
    <row r="108" spans="1:17" s="32" customFormat="1" ht="14.25" customHeight="1">
      <c r="A108" s="27" t="s">
        <v>1048</v>
      </c>
      <c r="B108" s="33" t="s">
        <v>437</v>
      </c>
      <c r="C108" s="34" t="s">
        <v>729</v>
      </c>
      <c r="D108" s="63" t="s">
        <v>589</v>
      </c>
      <c r="E108" s="33" t="s">
        <v>771</v>
      </c>
      <c r="F108" s="28">
        <v>3000</v>
      </c>
      <c r="G108" s="28">
        <v>1</v>
      </c>
      <c r="H108" s="28">
        <f t="shared" si="5"/>
        <v>3000</v>
      </c>
      <c r="I108" s="69"/>
      <c r="J108" s="28">
        <v>1</v>
      </c>
      <c r="K108" s="28">
        <v>1</v>
      </c>
      <c r="L108" s="28">
        <v>0.5</v>
      </c>
      <c r="M108" s="28" t="str">
        <f t="shared" si="4"/>
        <v>לרכוש</v>
      </c>
      <c r="N108" s="28"/>
      <c r="O108" s="28">
        <v>1000</v>
      </c>
      <c r="P108" s="27"/>
      <c r="Q108" s="27"/>
    </row>
    <row r="109" spans="1:17" s="32" customFormat="1" ht="14.25" customHeight="1">
      <c r="A109" s="27" t="s">
        <v>1048</v>
      </c>
      <c r="B109" s="33" t="s">
        <v>436</v>
      </c>
      <c r="C109" s="34" t="s">
        <v>730</v>
      </c>
      <c r="D109" s="63" t="s">
        <v>589</v>
      </c>
      <c r="E109" s="33" t="s">
        <v>771</v>
      </c>
      <c r="F109" s="28">
        <v>3000</v>
      </c>
      <c r="G109" s="28">
        <v>1</v>
      </c>
      <c r="H109" s="28">
        <f t="shared" si="5"/>
        <v>3000</v>
      </c>
      <c r="I109" s="69"/>
      <c r="J109" s="28">
        <v>1</v>
      </c>
      <c r="K109" s="28">
        <v>1</v>
      </c>
      <c r="L109" s="28">
        <v>0.5</v>
      </c>
      <c r="M109" s="28" t="str">
        <f t="shared" si="4"/>
        <v>לרכוש</v>
      </c>
      <c r="N109" s="28"/>
      <c r="O109" s="28">
        <v>1000</v>
      </c>
      <c r="P109" s="27"/>
      <c r="Q109" s="27"/>
    </row>
    <row r="110" spans="1:17" s="32" customFormat="1" ht="14.25" customHeight="1">
      <c r="A110" s="33" t="s">
        <v>1048</v>
      </c>
      <c r="B110" s="27" t="s">
        <v>438</v>
      </c>
      <c r="C110" s="34" t="s">
        <v>776</v>
      </c>
      <c r="D110" s="27" t="s">
        <v>589</v>
      </c>
      <c r="E110" s="33" t="s">
        <v>601</v>
      </c>
      <c r="F110" s="28">
        <v>3000</v>
      </c>
      <c r="G110" s="28">
        <v>1</v>
      </c>
      <c r="H110" s="28">
        <f t="shared" si="5"/>
        <v>3000</v>
      </c>
      <c r="I110" s="69" t="s">
        <v>82</v>
      </c>
      <c r="J110" s="28">
        <v>1</v>
      </c>
      <c r="K110" s="28">
        <v>1</v>
      </c>
      <c r="L110" s="28">
        <v>1</v>
      </c>
      <c r="M110" s="28" t="str">
        <f t="shared" si="4"/>
        <v>לא לרכוש</v>
      </c>
      <c r="N110" s="28"/>
      <c r="O110" s="28">
        <v>1000</v>
      </c>
      <c r="P110" s="27"/>
      <c r="Q110" s="27"/>
    </row>
    <row r="111" spans="1:17" s="32" customFormat="1" ht="14.25" customHeight="1">
      <c r="A111" s="33" t="s">
        <v>1070</v>
      </c>
      <c r="B111" s="27" t="s">
        <v>447</v>
      </c>
      <c r="C111" s="34" t="s">
        <v>975</v>
      </c>
      <c r="D111" s="27" t="s">
        <v>130</v>
      </c>
      <c r="E111" s="33" t="s">
        <v>130</v>
      </c>
      <c r="F111" s="28">
        <v>3000</v>
      </c>
      <c r="G111" s="28">
        <v>1</v>
      </c>
      <c r="H111" s="28">
        <f t="shared" si="5"/>
        <v>3000</v>
      </c>
      <c r="I111" s="69"/>
      <c r="J111" s="28">
        <v>1</v>
      </c>
      <c r="K111" s="28">
        <v>1</v>
      </c>
      <c r="L111" s="28">
        <v>1</v>
      </c>
      <c r="M111" s="28" t="str">
        <f t="shared" si="4"/>
        <v>לרכוש</v>
      </c>
      <c r="N111" s="28"/>
      <c r="O111" s="28">
        <v>1000</v>
      </c>
      <c r="P111" s="27"/>
      <c r="Q111" s="27"/>
    </row>
    <row r="112" spans="1:17" s="32" customFormat="1" ht="14.25" customHeight="1">
      <c r="A112" s="33" t="s">
        <v>1070</v>
      </c>
      <c r="B112" s="27" t="s">
        <v>447</v>
      </c>
      <c r="C112" s="34" t="s">
        <v>976</v>
      </c>
      <c r="D112" s="27" t="s">
        <v>130</v>
      </c>
      <c r="E112" s="33" t="s">
        <v>130</v>
      </c>
      <c r="F112" s="28">
        <v>3000</v>
      </c>
      <c r="G112" s="28">
        <v>1</v>
      </c>
      <c r="H112" s="28">
        <f t="shared" si="5"/>
        <v>3000</v>
      </c>
      <c r="I112" s="69"/>
      <c r="J112" s="28">
        <v>1</v>
      </c>
      <c r="K112" s="28">
        <v>1</v>
      </c>
      <c r="L112" s="28">
        <v>1</v>
      </c>
      <c r="M112" s="28" t="str">
        <f t="shared" si="4"/>
        <v>לרכוש</v>
      </c>
      <c r="N112" s="28"/>
      <c r="O112" s="28">
        <v>1000</v>
      </c>
      <c r="P112" s="27"/>
      <c r="Q112" s="27"/>
    </row>
    <row r="113" spans="1:17" s="32" customFormat="1" ht="14.25" customHeight="1">
      <c r="A113" s="37" t="s">
        <v>17</v>
      </c>
      <c r="B113" s="30" t="s">
        <v>23</v>
      </c>
      <c r="C113" s="38" t="s">
        <v>34</v>
      </c>
      <c r="D113" s="37" t="s">
        <v>53</v>
      </c>
      <c r="E113" s="37" t="s">
        <v>68</v>
      </c>
      <c r="F113" s="28">
        <v>2600</v>
      </c>
      <c r="G113" s="28">
        <v>1</v>
      </c>
      <c r="H113" s="28">
        <f t="shared" si="5"/>
        <v>2600</v>
      </c>
      <c r="I113" s="69"/>
      <c r="J113" s="28">
        <v>1</v>
      </c>
      <c r="K113" s="28">
        <v>0</v>
      </c>
      <c r="L113" s="28">
        <v>1.5</v>
      </c>
      <c r="M113" s="28" t="str">
        <f t="shared" si="4"/>
        <v>לא לרכוש</v>
      </c>
      <c r="N113" s="28"/>
      <c r="O113" s="28">
        <v>1000</v>
      </c>
      <c r="P113" s="27"/>
      <c r="Q113" s="27"/>
    </row>
    <row r="114" spans="1:17" s="32" customFormat="1" ht="14.25" customHeight="1">
      <c r="A114" s="37" t="s">
        <v>1058</v>
      </c>
      <c r="B114" s="30" t="s">
        <v>23</v>
      </c>
      <c r="C114" s="54" t="s">
        <v>36</v>
      </c>
      <c r="D114" s="28" t="s">
        <v>55</v>
      </c>
      <c r="E114" s="37" t="s">
        <v>70</v>
      </c>
      <c r="F114" s="28">
        <v>2500</v>
      </c>
      <c r="G114" s="28">
        <v>1</v>
      </c>
      <c r="H114" s="28">
        <f t="shared" ref="H114:H145" si="6">G114*F114</f>
        <v>2500</v>
      </c>
      <c r="I114" s="69"/>
      <c r="J114" s="28">
        <v>1</v>
      </c>
      <c r="K114" s="28">
        <v>1</v>
      </c>
      <c r="L114" s="28">
        <v>1</v>
      </c>
      <c r="M114" s="28" t="str">
        <f t="shared" si="4"/>
        <v>לרכוש</v>
      </c>
      <c r="N114" s="28"/>
      <c r="O114" s="28">
        <v>1000</v>
      </c>
      <c r="P114" s="27"/>
      <c r="Q114" s="27"/>
    </row>
    <row r="115" spans="1:17" s="32" customFormat="1" ht="14.25" customHeight="1">
      <c r="A115" s="37" t="s">
        <v>1058</v>
      </c>
      <c r="B115" s="30" t="s">
        <v>23</v>
      </c>
      <c r="C115" s="54" t="s">
        <v>39</v>
      </c>
      <c r="D115" s="28" t="s">
        <v>55</v>
      </c>
      <c r="E115" s="37" t="s">
        <v>70</v>
      </c>
      <c r="F115" s="28">
        <v>2500</v>
      </c>
      <c r="G115" s="28">
        <v>1</v>
      </c>
      <c r="H115" s="28">
        <f t="shared" si="6"/>
        <v>2500</v>
      </c>
      <c r="I115" s="69"/>
      <c r="J115" s="28">
        <v>1</v>
      </c>
      <c r="K115" s="28">
        <v>1</v>
      </c>
      <c r="L115" s="28">
        <v>1</v>
      </c>
      <c r="M115" s="28" t="str">
        <f t="shared" si="4"/>
        <v>לרכוש</v>
      </c>
      <c r="N115" s="28"/>
      <c r="O115" s="28">
        <v>1000</v>
      </c>
      <c r="P115" s="27"/>
      <c r="Q115" s="27"/>
    </row>
    <row r="116" spans="1:17" s="32" customFormat="1" ht="14.25" customHeight="1">
      <c r="A116" s="37" t="s">
        <v>1059</v>
      </c>
      <c r="B116" s="42" t="s">
        <v>88</v>
      </c>
      <c r="C116" s="43" t="s">
        <v>91</v>
      </c>
      <c r="D116" s="37" t="s">
        <v>106</v>
      </c>
      <c r="E116" s="37" t="s">
        <v>107</v>
      </c>
      <c r="F116" s="28">
        <v>2500</v>
      </c>
      <c r="G116" s="28">
        <v>1</v>
      </c>
      <c r="H116" s="28">
        <f t="shared" si="6"/>
        <v>2500</v>
      </c>
      <c r="I116" s="69"/>
      <c r="J116" s="28">
        <v>1</v>
      </c>
      <c r="K116" s="28">
        <v>1</v>
      </c>
      <c r="L116" s="28">
        <v>1</v>
      </c>
      <c r="M116" s="28" t="str">
        <f t="shared" si="4"/>
        <v>לרכוש</v>
      </c>
      <c r="N116" s="28"/>
      <c r="O116" s="28">
        <v>1000</v>
      </c>
      <c r="P116" s="27"/>
      <c r="Q116" s="27"/>
    </row>
    <row r="117" spans="1:17" s="32" customFormat="1" ht="14.25" customHeight="1">
      <c r="A117" s="37" t="s">
        <v>1059</v>
      </c>
      <c r="B117" s="42" t="s">
        <v>88</v>
      </c>
      <c r="C117" s="43" t="s">
        <v>92</v>
      </c>
      <c r="D117" s="37" t="s">
        <v>106</v>
      </c>
      <c r="E117" s="37" t="s">
        <v>111</v>
      </c>
      <c r="F117" s="28">
        <v>2500</v>
      </c>
      <c r="G117" s="28">
        <v>1</v>
      </c>
      <c r="H117" s="28">
        <f t="shared" si="6"/>
        <v>2500</v>
      </c>
      <c r="I117" s="69" t="s">
        <v>82</v>
      </c>
      <c r="J117" s="28">
        <v>1</v>
      </c>
      <c r="K117" s="28">
        <v>1</v>
      </c>
      <c r="L117" s="28">
        <v>1</v>
      </c>
      <c r="M117" s="28" t="str">
        <f t="shared" si="4"/>
        <v>לא לרכוש</v>
      </c>
      <c r="N117" s="28"/>
      <c r="O117" s="28">
        <v>1000</v>
      </c>
      <c r="P117" s="27"/>
      <c r="Q117" s="27"/>
    </row>
    <row r="118" spans="1:17" s="32" customFormat="1" ht="14.25" customHeight="1">
      <c r="A118" s="37" t="s">
        <v>1059</v>
      </c>
      <c r="B118" s="42" t="s">
        <v>88</v>
      </c>
      <c r="C118" s="43" t="s">
        <v>93</v>
      </c>
      <c r="D118" s="37" t="s">
        <v>106</v>
      </c>
      <c r="E118" s="37" t="s">
        <v>107</v>
      </c>
      <c r="F118" s="28">
        <v>2500</v>
      </c>
      <c r="G118" s="28">
        <v>1</v>
      </c>
      <c r="H118" s="28">
        <f t="shared" si="6"/>
        <v>2500</v>
      </c>
      <c r="I118" s="69" t="s">
        <v>82</v>
      </c>
      <c r="J118" s="28">
        <v>1</v>
      </c>
      <c r="K118" s="28">
        <v>1</v>
      </c>
      <c r="L118" s="28">
        <v>1</v>
      </c>
      <c r="M118" s="28" t="str">
        <f t="shared" si="4"/>
        <v>לא לרכוש</v>
      </c>
      <c r="N118" s="28"/>
      <c r="O118" s="28">
        <v>1000</v>
      </c>
      <c r="P118" s="27"/>
      <c r="Q118" s="27"/>
    </row>
    <row r="119" spans="1:17" s="32" customFormat="1" ht="14.25" customHeight="1">
      <c r="A119" s="37" t="s">
        <v>19</v>
      </c>
      <c r="B119" s="42" t="s">
        <v>88</v>
      </c>
      <c r="C119" s="43" t="s">
        <v>95</v>
      </c>
      <c r="D119" s="28" t="s">
        <v>102</v>
      </c>
      <c r="E119" s="37" t="s">
        <v>114</v>
      </c>
      <c r="F119" s="28">
        <v>2500</v>
      </c>
      <c r="G119" s="28">
        <v>1</v>
      </c>
      <c r="H119" s="28">
        <f t="shared" si="6"/>
        <v>2500</v>
      </c>
      <c r="I119" s="69"/>
      <c r="J119" s="28">
        <v>1</v>
      </c>
      <c r="K119" s="28">
        <v>1</v>
      </c>
      <c r="L119" s="28">
        <v>1</v>
      </c>
      <c r="M119" s="28" t="str">
        <f t="shared" si="4"/>
        <v>לרכוש</v>
      </c>
      <c r="N119" s="28"/>
      <c r="O119" s="28">
        <v>1000</v>
      </c>
      <c r="P119" s="27"/>
      <c r="Q119" s="27"/>
    </row>
    <row r="120" spans="1:17" s="32" customFormat="1" ht="14.25" customHeight="1">
      <c r="A120" s="37" t="s">
        <v>83</v>
      </c>
      <c r="B120" s="37" t="s">
        <v>116</v>
      </c>
      <c r="C120" s="38" t="s">
        <v>121</v>
      </c>
      <c r="D120" s="28" t="s">
        <v>129</v>
      </c>
      <c r="E120" s="37" t="s">
        <v>136</v>
      </c>
      <c r="F120" s="28">
        <v>2500</v>
      </c>
      <c r="G120" s="28">
        <v>1</v>
      </c>
      <c r="H120" s="28">
        <f t="shared" si="6"/>
        <v>2500</v>
      </c>
      <c r="I120" s="69"/>
      <c r="J120" s="28">
        <v>1</v>
      </c>
      <c r="K120" s="28">
        <v>1</v>
      </c>
      <c r="L120" s="28">
        <v>0.5</v>
      </c>
      <c r="M120" s="28" t="str">
        <f t="shared" si="4"/>
        <v>לרכוש</v>
      </c>
      <c r="N120" s="28"/>
      <c r="O120" s="28">
        <v>1000</v>
      </c>
      <c r="P120" s="27"/>
      <c r="Q120" s="27"/>
    </row>
    <row r="121" spans="1:17" s="32" customFormat="1" ht="14.25" customHeight="1">
      <c r="A121" s="37" t="s">
        <v>1059</v>
      </c>
      <c r="B121" s="37" t="s">
        <v>116</v>
      </c>
      <c r="C121" s="38" t="s">
        <v>124</v>
      </c>
      <c r="D121" s="37" t="s">
        <v>106</v>
      </c>
      <c r="E121" s="37" t="s">
        <v>107</v>
      </c>
      <c r="F121" s="28">
        <v>2500</v>
      </c>
      <c r="G121" s="28">
        <v>1</v>
      </c>
      <c r="H121" s="28">
        <f t="shared" si="6"/>
        <v>2500</v>
      </c>
      <c r="I121" s="69" t="s">
        <v>82</v>
      </c>
      <c r="J121" s="28">
        <v>1</v>
      </c>
      <c r="K121" s="46">
        <v>1</v>
      </c>
      <c r="L121" s="28">
        <v>1</v>
      </c>
      <c r="M121" s="28" t="str">
        <f t="shared" si="4"/>
        <v>לא לרכוש</v>
      </c>
      <c r="N121" s="28"/>
      <c r="O121" s="28">
        <v>1000</v>
      </c>
      <c r="P121" s="27"/>
      <c r="Q121" s="27"/>
    </row>
    <row r="122" spans="1:17" s="32" customFormat="1" ht="14.25" customHeight="1">
      <c r="A122" s="33" t="s">
        <v>273</v>
      </c>
      <c r="B122" s="27" t="s">
        <v>275</v>
      </c>
      <c r="C122" s="34" t="s">
        <v>296</v>
      </c>
      <c r="D122" s="27" t="s">
        <v>304</v>
      </c>
      <c r="E122" s="33" t="s">
        <v>309</v>
      </c>
      <c r="F122" s="28">
        <v>2500</v>
      </c>
      <c r="G122" s="28">
        <v>1</v>
      </c>
      <c r="H122" s="28">
        <f t="shared" si="6"/>
        <v>2500</v>
      </c>
      <c r="I122" s="69" t="s">
        <v>82</v>
      </c>
      <c r="J122" s="28">
        <v>1</v>
      </c>
      <c r="K122" s="28">
        <v>1</v>
      </c>
      <c r="L122" s="28">
        <v>1.5</v>
      </c>
      <c r="M122" s="28" t="str">
        <f t="shared" si="4"/>
        <v>לא לרכוש</v>
      </c>
      <c r="N122" s="28"/>
      <c r="O122" s="28">
        <v>1000</v>
      </c>
      <c r="P122" s="27"/>
      <c r="Q122" s="27"/>
    </row>
    <row r="123" spans="1:17" s="32" customFormat="1" ht="14.25" customHeight="1">
      <c r="A123" s="33" t="s">
        <v>1056</v>
      </c>
      <c r="B123" s="27" t="s">
        <v>346</v>
      </c>
      <c r="C123" s="34" t="s">
        <v>369</v>
      </c>
      <c r="D123" s="27" t="s">
        <v>221</v>
      </c>
      <c r="E123" s="33" t="s">
        <v>412</v>
      </c>
      <c r="F123" s="28">
        <v>2500</v>
      </c>
      <c r="G123" s="28">
        <v>1</v>
      </c>
      <c r="H123" s="28">
        <f t="shared" si="6"/>
        <v>2500</v>
      </c>
      <c r="I123" s="69"/>
      <c r="J123" s="28">
        <v>1</v>
      </c>
      <c r="K123" s="28">
        <v>1</v>
      </c>
      <c r="L123" s="28">
        <v>1.5</v>
      </c>
      <c r="M123" s="28" t="str">
        <f t="shared" si="4"/>
        <v>לרכוש</v>
      </c>
      <c r="N123" s="28"/>
      <c r="O123" s="28">
        <v>1000</v>
      </c>
      <c r="P123" s="27"/>
      <c r="Q123" s="27"/>
    </row>
    <row r="124" spans="1:17" s="32" customFormat="1" ht="14.25" customHeight="1">
      <c r="A124" s="33" t="s">
        <v>389</v>
      </c>
      <c r="B124" s="27" t="s">
        <v>346</v>
      </c>
      <c r="C124" s="34" t="s">
        <v>370</v>
      </c>
      <c r="D124" s="27" t="s">
        <v>221</v>
      </c>
      <c r="E124" s="33" t="s">
        <v>413</v>
      </c>
      <c r="F124" s="28">
        <v>2500</v>
      </c>
      <c r="G124" s="28">
        <v>1</v>
      </c>
      <c r="H124" s="28">
        <f t="shared" si="6"/>
        <v>2500</v>
      </c>
      <c r="I124" s="69"/>
      <c r="J124" s="28">
        <v>1</v>
      </c>
      <c r="K124" s="28">
        <v>1</v>
      </c>
      <c r="L124" s="28">
        <v>1.5</v>
      </c>
      <c r="M124" s="28" t="str">
        <f t="shared" si="4"/>
        <v>לרכוש</v>
      </c>
      <c r="N124" s="28"/>
      <c r="O124" s="28">
        <v>1000</v>
      </c>
      <c r="P124" s="27"/>
      <c r="Q124" s="27"/>
    </row>
    <row r="125" spans="1:17" s="32" customFormat="1" ht="14.25" customHeight="1">
      <c r="A125" s="33" t="s">
        <v>1056</v>
      </c>
      <c r="B125" s="27" t="s">
        <v>346</v>
      </c>
      <c r="C125" s="34" t="s">
        <v>371</v>
      </c>
      <c r="D125" s="27" t="s">
        <v>221</v>
      </c>
      <c r="E125" s="33" t="s">
        <v>412</v>
      </c>
      <c r="F125" s="28">
        <v>2500</v>
      </c>
      <c r="G125" s="28">
        <v>1</v>
      </c>
      <c r="H125" s="28">
        <f t="shared" si="6"/>
        <v>2500</v>
      </c>
      <c r="I125" s="69"/>
      <c r="J125" s="28">
        <v>1</v>
      </c>
      <c r="K125" s="28">
        <v>1</v>
      </c>
      <c r="L125" s="28">
        <v>1.5</v>
      </c>
      <c r="M125" s="28" t="str">
        <f t="shared" si="4"/>
        <v>לרכוש</v>
      </c>
      <c r="N125" s="28"/>
      <c r="O125" s="28">
        <v>1000</v>
      </c>
      <c r="P125" s="27"/>
      <c r="Q125" s="27"/>
    </row>
    <row r="126" spans="1:17" s="32" customFormat="1" ht="14.25" customHeight="1">
      <c r="A126" s="33" t="s">
        <v>389</v>
      </c>
      <c r="B126" s="27" t="s">
        <v>346</v>
      </c>
      <c r="C126" s="34" t="s">
        <v>372</v>
      </c>
      <c r="D126" s="27" t="s">
        <v>221</v>
      </c>
      <c r="E126" s="33" t="s">
        <v>413</v>
      </c>
      <c r="F126" s="28">
        <v>2500</v>
      </c>
      <c r="G126" s="28">
        <v>1</v>
      </c>
      <c r="H126" s="28">
        <f t="shared" si="6"/>
        <v>2500</v>
      </c>
      <c r="I126" s="69"/>
      <c r="J126" s="28">
        <v>1</v>
      </c>
      <c r="K126" s="28">
        <v>1</v>
      </c>
      <c r="L126" s="28">
        <v>1.5</v>
      </c>
      <c r="M126" s="28" t="str">
        <f t="shared" si="4"/>
        <v>לרכוש</v>
      </c>
      <c r="N126" s="28"/>
      <c r="O126" s="28">
        <v>1000</v>
      </c>
      <c r="P126" s="27"/>
      <c r="Q126" s="27"/>
    </row>
    <row r="127" spans="1:17" s="32" customFormat="1" ht="14.25" customHeight="1">
      <c r="A127" s="33" t="s">
        <v>1056</v>
      </c>
      <c r="B127" s="27" t="s">
        <v>346</v>
      </c>
      <c r="C127" s="34" t="s">
        <v>373</v>
      </c>
      <c r="D127" s="27" t="s">
        <v>221</v>
      </c>
      <c r="E127" s="33" t="s">
        <v>412</v>
      </c>
      <c r="F127" s="28">
        <v>2500</v>
      </c>
      <c r="G127" s="28">
        <v>1</v>
      </c>
      <c r="H127" s="28">
        <f t="shared" si="6"/>
        <v>2500</v>
      </c>
      <c r="I127" s="69"/>
      <c r="J127" s="28">
        <v>1</v>
      </c>
      <c r="K127" s="28">
        <v>1</v>
      </c>
      <c r="L127" s="28">
        <v>1.5</v>
      </c>
      <c r="M127" s="28" t="str">
        <f t="shared" si="4"/>
        <v>לרכוש</v>
      </c>
      <c r="N127" s="28"/>
      <c r="O127" s="28">
        <v>1000</v>
      </c>
      <c r="P127" s="27"/>
      <c r="Q127" s="27"/>
    </row>
    <row r="128" spans="1:17" s="32" customFormat="1" ht="14.25" customHeight="1">
      <c r="A128" s="33" t="s">
        <v>389</v>
      </c>
      <c r="B128" s="27" t="s">
        <v>346</v>
      </c>
      <c r="C128" s="34" t="s">
        <v>374</v>
      </c>
      <c r="D128" s="27" t="s">
        <v>221</v>
      </c>
      <c r="E128" s="33" t="s">
        <v>413</v>
      </c>
      <c r="F128" s="28">
        <v>2500</v>
      </c>
      <c r="G128" s="28">
        <v>1</v>
      </c>
      <c r="H128" s="28">
        <f t="shared" si="6"/>
        <v>2500</v>
      </c>
      <c r="I128" s="69"/>
      <c r="J128" s="28">
        <v>1</v>
      </c>
      <c r="K128" s="28">
        <v>1</v>
      </c>
      <c r="L128" s="28">
        <v>1.5</v>
      </c>
      <c r="M128" s="28" t="str">
        <f t="shared" si="4"/>
        <v>לרכוש</v>
      </c>
      <c r="N128" s="28"/>
      <c r="O128" s="28">
        <v>1000</v>
      </c>
      <c r="P128" s="27"/>
      <c r="Q128" s="27"/>
    </row>
    <row r="129" spans="1:17" s="32" customFormat="1" ht="14.25" customHeight="1">
      <c r="A129" s="33" t="s">
        <v>392</v>
      </c>
      <c r="B129" s="27" t="s">
        <v>346</v>
      </c>
      <c r="C129" s="34" t="s">
        <v>379</v>
      </c>
      <c r="D129" s="27" t="s">
        <v>149</v>
      </c>
      <c r="E129" s="33" t="s">
        <v>415</v>
      </c>
      <c r="F129" s="28">
        <v>2500</v>
      </c>
      <c r="G129" s="28">
        <v>1</v>
      </c>
      <c r="H129" s="28">
        <f t="shared" si="6"/>
        <v>2500</v>
      </c>
      <c r="I129" s="69"/>
      <c r="J129" s="28">
        <v>1</v>
      </c>
      <c r="K129" s="28">
        <v>1</v>
      </c>
      <c r="L129" s="28">
        <v>1.5</v>
      </c>
      <c r="M129" s="28" t="str">
        <f t="shared" si="4"/>
        <v>לרכוש</v>
      </c>
      <c r="N129" s="28"/>
      <c r="O129" s="28">
        <v>1000</v>
      </c>
      <c r="P129" s="27"/>
      <c r="Q129" s="27"/>
    </row>
    <row r="130" spans="1:17" s="32" customFormat="1" ht="14.25" customHeight="1">
      <c r="A130" s="33" t="s">
        <v>1056</v>
      </c>
      <c r="B130" s="27" t="s">
        <v>347</v>
      </c>
      <c r="C130" s="34" t="s">
        <v>383</v>
      </c>
      <c r="D130" s="27" t="s">
        <v>221</v>
      </c>
      <c r="E130" s="33" t="s">
        <v>412</v>
      </c>
      <c r="F130" s="28">
        <v>2500</v>
      </c>
      <c r="G130" s="28">
        <v>1</v>
      </c>
      <c r="H130" s="28">
        <f t="shared" si="6"/>
        <v>2500</v>
      </c>
      <c r="I130" s="69" t="s">
        <v>82</v>
      </c>
      <c r="J130" s="28">
        <v>1</v>
      </c>
      <c r="K130" s="28">
        <v>1</v>
      </c>
      <c r="L130" s="28">
        <v>1.5</v>
      </c>
      <c r="M130" s="28" t="str">
        <f t="shared" si="4"/>
        <v>לא לרכוש</v>
      </c>
      <c r="N130" s="28"/>
      <c r="O130" s="28">
        <v>1000</v>
      </c>
      <c r="P130" s="27"/>
      <c r="Q130" s="27"/>
    </row>
    <row r="131" spans="1:17" s="32" customFormat="1" ht="14.25" customHeight="1">
      <c r="A131" s="33" t="s">
        <v>393</v>
      </c>
      <c r="B131" s="27" t="s">
        <v>347</v>
      </c>
      <c r="C131" s="34" t="s">
        <v>384</v>
      </c>
      <c r="D131" s="27" t="s">
        <v>221</v>
      </c>
      <c r="E131" s="33" t="s">
        <v>413</v>
      </c>
      <c r="F131" s="28">
        <v>2500</v>
      </c>
      <c r="G131" s="28">
        <v>1</v>
      </c>
      <c r="H131" s="28">
        <f t="shared" si="6"/>
        <v>2500</v>
      </c>
      <c r="I131" s="69" t="s">
        <v>82</v>
      </c>
      <c r="J131" s="28">
        <v>1</v>
      </c>
      <c r="K131" s="28">
        <v>1</v>
      </c>
      <c r="L131" s="28">
        <v>1.5</v>
      </c>
      <c r="M131" s="28" t="str">
        <f t="shared" si="4"/>
        <v>לא לרכוש</v>
      </c>
      <c r="N131" s="28"/>
      <c r="O131" s="28">
        <v>1000</v>
      </c>
      <c r="P131" s="27"/>
      <c r="Q131" s="27"/>
    </row>
    <row r="132" spans="1:17" s="32" customFormat="1" ht="14.25" customHeight="1">
      <c r="A132" s="33" t="s">
        <v>1056</v>
      </c>
      <c r="B132" s="27" t="s">
        <v>347</v>
      </c>
      <c r="C132" s="34" t="s">
        <v>385</v>
      </c>
      <c r="D132" s="27" t="s">
        <v>221</v>
      </c>
      <c r="E132" s="33" t="s">
        <v>412</v>
      </c>
      <c r="F132" s="28">
        <v>2500</v>
      </c>
      <c r="G132" s="28">
        <v>1</v>
      </c>
      <c r="H132" s="28">
        <f t="shared" si="6"/>
        <v>2500</v>
      </c>
      <c r="I132" s="69" t="s">
        <v>82</v>
      </c>
      <c r="J132" s="28">
        <v>1</v>
      </c>
      <c r="K132" s="28">
        <v>1</v>
      </c>
      <c r="L132" s="28">
        <v>1.5</v>
      </c>
      <c r="M132" s="28" t="str">
        <f t="shared" si="4"/>
        <v>לא לרכוש</v>
      </c>
      <c r="N132" s="28"/>
      <c r="O132" s="28">
        <v>1000</v>
      </c>
      <c r="P132" s="27"/>
      <c r="Q132" s="27"/>
    </row>
    <row r="133" spans="1:17" s="32" customFormat="1" ht="14.25" customHeight="1">
      <c r="A133" s="33" t="s">
        <v>1056</v>
      </c>
      <c r="B133" s="27" t="s">
        <v>427</v>
      </c>
      <c r="C133" s="34" t="s">
        <v>497</v>
      </c>
      <c r="D133" s="27" t="s">
        <v>221</v>
      </c>
      <c r="E133" s="33" t="s">
        <v>476</v>
      </c>
      <c r="F133" s="28">
        <v>2500</v>
      </c>
      <c r="G133" s="28">
        <v>1</v>
      </c>
      <c r="H133" s="28">
        <f t="shared" si="6"/>
        <v>2500</v>
      </c>
      <c r="I133" s="69" t="s">
        <v>82</v>
      </c>
      <c r="J133" s="28">
        <v>1</v>
      </c>
      <c r="K133" s="28">
        <v>1</v>
      </c>
      <c r="L133" s="28">
        <v>1.5</v>
      </c>
      <c r="M133" s="28" t="str">
        <f t="shared" si="4"/>
        <v>לא לרכוש</v>
      </c>
      <c r="N133" s="28"/>
      <c r="O133" s="28">
        <v>1000</v>
      </c>
      <c r="P133" s="27"/>
      <c r="Q133" s="27"/>
    </row>
    <row r="134" spans="1:17" s="32" customFormat="1" ht="14.25" customHeight="1">
      <c r="A134" s="33" t="s">
        <v>83</v>
      </c>
      <c r="B134" s="27" t="s">
        <v>425</v>
      </c>
      <c r="C134" s="34" t="s">
        <v>952</v>
      </c>
      <c r="D134" s="27" t="s">
        <v>56</v>
      </c>
      <c r="E134" s="33" t="s">
        <v>1038</v>
      </c>
      <c r="F134" s="28">
        <v>2500</v>
      </c>
      <c r="G134" s="28">
        <v>1</v>
      </c>
      <c r="H134" s="28">
        <f t="shared" si="6"/>
        <v>2500</v>
      </c>
      <c r="I134" s="69"/>
      <c r="J134" s="28">
        <v>1</v>
      </c>
      <c r="K134" s="28">
        <v>1</v>
      </c>
      <c r="L134" s="28">
        <v>1</v>
      </c>
      <c r="M134" s="28" t="str">
        <f t="shared" si="4"/>
        <v>לרכוש</v>
      </c>
      <c r="N134" s="28"/>
      <c r="O134" s="28">
        <v>1000</v>
      </c>
      <c r="P134" s="27"/>
      <c r="Q134" s="27"/>
    </row>
    <row r="135" spans="1:17" s="32" customFormat="1" ht="14.25" customHeight="1">
      <c r="A135" s="37" t="s">
        <v>17</v>
      </c>
      <c r="B135" s="30" t="s">
        <v>23</v>
      </c>
      <c r="C135" s="38" t="s">
        <v>35</v>
      </c>
      <c r="D135" s="37" t="s">
        <v>53</v>
      </c>
      <c r="E135" s="37" t="s">
        <v>68</v>
      </c>
      <c r="F135" s="28">
        <v>2300</v>
      </c>
      <c r="G135" s="28">
        <v>1</v>
      </c>
      <c r="H135" s="28">
        <f t="shared" si="6"/>
        <v>2300</v>
      </c>
      <c r="I135" s="69"/>
      <c r="J135" s="28">
        <v>1</v>
      </c>
      <c r="K135" s="28">
        <v>0</v>
      </c>
      <c r="L135" s="28">
        <v>1.5</v>
      </c>
      <c r="M135" s="28" t="str">
        <f t="shared" si="4"/>
        <v>לא לרכוש</v>
      </c>
      <c r="N135" s="28"/>
      <c r="O135" s="28">
        <v>1000</v>
      </c>
      <c r="P135" s="27"/>
      <c r="Q135" s="27"/>
    </row>
    <row r="136" spans="1:17" s="32" customFormat="1" ht="14.25" customHeight="1">
      <c r="A136" s="33" t="s">
        <v>83</v>
      </c>
      <c r="B136" s="30" t="s">
        <v>87</v>
      </c>
      <c r="C136" s="34" t="s">
        <v>47</v>
      </c>
      <c r="D136" s="27" t="s">
        <v>59</v>
      </c>
      <c r="E136" s="33" t="s">
        <v>78</v>
      </c>
      <c r="F136" s="27">
        <v>2000</v>
      </c>
      <c r="G136" s="28">
        <v>1</v>
      </c>
      <c r="H136" s="28">
        <f t="shared" si="6"/>
        <v>2000</v>
      </c>
      <c r="I136" s="68"/>
      <c r="J136" s="28">
        <v>1</v>
      </c>
      <c r="K136" s="28">
        <v>1</v>
      </c>
      <c r="L136" s="27">
        <v>0.5</v>
      </c>
      <c r="M136" s="28" t="str">
        <f t="shared" si="4"/>
        <v>לרכוש</v>
      </c>
      <c r="N136" s="28"/>
      <c r="O136" s="28">
        <v>1000</v>
      </c>
      <c r="P136" s="27"/>
      <c r="Q136" s="27"/>
    </row>
    <row r="137" spans="1:17" s="32" customFormat="1" ht="14.25" customHeight="1">
      <c r="A137" s="55" t="s">
        <v>19</v>
      </c>
      <c r="B137" s="37" t="s">
        <v>140</v>
      </c>
      <c r="C137" s="60" t="s">
        <v>148</v>
      </c>
      <c r="D137" s="37" t="s">
        <v>152</v>
      </c>
      <c r="E137" s="37" t="s">
        <v>158</v>
      </c>
      <c r="F137" s="28">
        <v>2000</v>
      </c>
      <c r="G137" s="28">
        <v>1</v>
      </c>
      <c r="H137" s="28">
        <f t="shared" si="6"/>
        <v>2000</v>
      </c>
      <c r="I137" s="69"/>
      <c r="J137" s="28">
        <v>1</v>
      </c>
      <c r="K137" s="28">
        <v>1</v>
      </c>
      <c r="L137" s="28">
        <v>1</v>
      </c>
      <c r="M137" s="28" t="str">
        <f t="shared" si="4"/>
        <v>לרכוש</v>
      </c>
      <c r="N137" s="28"/>
      <c r="O137" s="28">
        <v>1000</v>
      </c>
      <c r="P137" s="27"/>
      <c r="Q137" s="27"/>
    </row>
    <row r="138" spans="1:17" s="32" customFormat="1" ht="14.25" customHeight="1">
      <c r="A138" s="33" t="s">
        <v>12</v>
      </c>
      <c r="B138" s="27" t="s">
        <v>251</v>
      </c>
      <c r="C138" s="34" t="s">
        <v>252</v>
      </c>
      <c r="D138" s="27" t="s">
        <v>258</v>
      </c>
      <c r="E138" s="33" t="s">
        <v>258</v>
      </c>
      <c r="F138" s="28">
        <v>2000</v>
      </c>
      <c r="G138" s="28">
        <v>1</v>
      </c>
      <c r="H138" s="28">
        <f t="shared" si="6"/>
        <v>2000</v>
      </c>
      <c r="I138" s="69"/>
      <c r="J138" s="28">
        <v>1</v>
      </c>
      <c r="K138" s="28">
        <v>1</v>
      </c>
      <c r="L138" s="28">
        <v>0.5</v>
      </c>
      <c r="M138" s="28" t="str">
        <f t="shared" si="4"/>
        <v>לרכוש</v>
      </c>
      <c r="N138" s="28"/>
      <c r="O138" s="28">
        <v>1000</v>
      </c>
      <c r="P138" s="27"/>
      <c r="Q138" s="27"/>
    </row>
    <row r="139" spans="1:17" s="32" customFormat="1" ht="14.25" customHeight="1">
      <c r="A139" s="33" t="s">
        <v>12</v>
      </c>
      <c r="B139" s="27" t="s">
        <v>251</v>
      </c>
      <c r="C139" s="34" t="s">
        <v>253</v>
      </c>
      <c r="D139" s="27" t="s">
        <v>258</v>
      </c>
      <c r="E139" s="33" t="s">
        <v>258</v>
      </c>
      <c r="F139" s="28">
        <v>2000</v>
      </c>
      <c r="G139" s="28">
        <v>1</v>
      </c>
      <c r="H139" s="28">
        <f t="shared" si="6"/>
        <v>2000</v>
      </c>
      <c r="I139" s="69"/>
      <c r="J139" s="28">
        <v>1</v>
      </c>
      <c r="K139" s="28">
        <v>1</v>
      </c>
      <c r="L139" s="28">
        <v>0.5</v>
      </c>
      <c r="M139" s="28" t="str">
        <f t="shared" ref="M139:M202" si="7">IF(AND(K139*L139*30*O139&gt;H139/J139,I139=""),"לרכוש","לא לרכוש")</f>
        <v>לרכוש</v>
      </c>
      <c r="N139" s="28"/>
      <c r="O139" s="28">
        <v>1000</v>
      </c>
      <c r="P139" s="27"/>
      <c r="Q139" s="27"/>
    </row>
    <row r="140" spans="1:17" s="32" customFormat="1" ht="14.25" customHeight="1">
      <c r="A140" s="33" t="s">
        <v>83</v>
      </c>
      <c r="B140" s="27" t="s">
        <v>344</v>
      </c>
      <c r="C140" s="34" t="s">
        <v>350</v>
      </c>
      <c r="D140" s="27" t="s">
        <v>395</v>
      </c>
      <c r="E140" s="33">
        <v>18.605</v>
      </c>
      <c r="F140" s="28">
        <v>2000</v>
      </c>
      <c r="G140" s="28">
        <v>1</v>
      </c>
      <c r="H140" s="28">
        <f t="shared" si="6"/>
        <v>2000</v>
      </c>
      <c r="I140" s="69"/>
      <c r="J140" s="28">
        <v>1</v>
      </c>
      <c r="K140" s="28">
        <v>1</v>
      </c>
      <c r="L140" s="28">
        <v>1</v>
      </c>
      <c r="M140" s="28" t="str">
        <f t="shared" si="7"/>
        <v>לרכוש</v>
      </c>
      <c r="N140" s="28"/>
      <c r="O140" s="28">
        <v>1000</v>
      </c>
      <c r="P140" s="27"/>
      <c r="Q140" s="27"/>
    </row>
    <row r="141" spans="1:17" s="32" customFormat="1" ht="14.25" customHeight="1">
      <c r="A141" s="33" t="s">
        <v>391</v>
      </c>
      <c r="B141" s="27" t="s">
        <v>346</v>
      </c>
      <c r="C141" s="34" t="s">
        <v>376</v>
      </c>
      <c r="D141" s="27" t="s">
        <v>149</v>
      </c>
      <c r="E141" s="33" t="s">
        <v>414</v>
      </c>
      <c r="F141" s="28">
        <v>2000</v>
      </c>
      <c r="G141" s="28">
        <v>1</v>
      </c>
      <c r="H141" s="28">
        <f t="shared" si="6"/>
        <v>2000</v>
      </c>
      <c r="I141" s="69" t="s">
        <v>82</v>
      </c>
      <c r="J141" s="28">
        <v>1</v>
      </c>
      <c r="K141" s="28">
        <v>0</v>
      </c>
      <c r="L141" s="28">
        <v>1.5</v>
      </c>
      <c r="M141" s="28" t="str">
        <f t="shared" si="7"/>
        <v>לא לרכוש</v>
      </c>
      <c r="N141" s="28"/>
      <c r="O141" s="28">
        <v>1000</v>
      </c>
      <c r="P141" s="27"/>
      <c r="Q141" s="27"/>
    </row>
    <row r="142" spans="1:17" s="32" customFormat="1" ht="14.25" customHeight="1">
      <c r="A142" s="33" t="s">
        <v>391</v>
      </c>
      <c r="B142" s="27" t="s">
        <v>346</v>
      </c>
      <c r="C142" s="34" t="s">
        <v>377</v>
      </c>
      <c r="D142" s="27" t="s">
        <v>149</v>
      </c>
      <c r="E142" s="33" t="s">
        <v>414</v>
      </c>
      <c r="F142" s="28">
        <v>2000</v>
      </c>
      <c r="G142" s="28">
        <v>1</v>
      </c>
      <c r="H142" s="28">
        <f t="shared" si="6"/>
        <v>2000</v>
      </c>
      <c r="I142" s="69" t="s">
        <v>82</v>
      </c>
      <c r="J142" s="28">
        <v>1</v>
      </c>
      <c r="K142" s="28">
        <v>0</v>
      </c>
      <c r="L142" s="28">
        <v>1.5</v>
      </c>
      <c r="M142" s="28" t="str">
        <f t="shared" si="7"/>
        <v>לא לרכוש</v>
      </c>
      <c r="N142" s="28"/>
      <c r="O142" s="28">
        <v>1000</v>
      </c>
      <c r="P142" s="27"/>
      <c r="Q142" s="27"/>
    </row>
    <row r="143" spans="1:17" s="32" customFormat="1" ht="14.25" customHeight="1">
      <c r="A143" s="33" t="s">
        <v>19</v>
      </c>
      <c r="B143" s="27" t="s">
        <v>347</v>
      </c>
      <c r="C143" s="34" t="s">
        <v>386</v>
      </c>
      <c r="D143" s="27" t="s">
        <v>399</v>
      </c>
      <c r="E143" s="33" t="s">
        <v>417</v>
      </c>
      <c r="F143" s="28">
        <v>2000</v>
      </c>
      <c r="G143" s="28">
        <v>1</v>
      </c>
      <c r="H143" s="28">
        <f t="shared" si="6"/>
        <v>2000</v>
      </c>
      <c r="I143" s="69"/>
      <c r="J143" s="28">
        <v>1</v>
      </c>
      <c r="K143" s="28">
        <v>1</v>
      </c>
      <c r="L143" s="28">
        <v>0.5</v>
      </c>
      <c r="M143" s="28" t="str">
        <f t="shared" si="7"/>
        <v>לרכוש</v>
      </c>
      <c r="N143" s="28"/>
      <c r="O143" s="28">
        <v>1000</v>
      </c>
      <c r="P143" s="27"/>
      <c r="Q143" s="27"/>
    </row>
    <row r="144" spans="1:17" s="32" customFormat="1" ht="14.25" customHeight="1">
      <c r="A144" s="33" t="s">
        <v>19</v>
      </c>
      <c r="B144" s="27" t="s">
        <v>347</v>
      </c>
      <c r="C144" s="34" t="s">
        <v>387</v>
      </c>
      <c r="D144" s="27" t="s">
        <v>399</v>
      </c>
      <c r="E144" s="33" t="s">
        <v>417</v>
      </c>
      <c r="F144" s="28">
        <v>2000</v>
      </c>
      <c r="G144" s="28">
        <v>1</v>
      </c>
      <c r="H144" s="28">
        <f t="shared" si="6"/>
        <v>2000</v>
      </c>
      <c r="I144" s="69"/>
      <c r="J144" s="28">
        <v>1</v>
      </c>
      <c r="K144" s="28">
        <v>1</v>
      </c>
      <c r="L144" s="28">
        <v>0.5</v>
      </c>
      <c r="M144" s="28" t="str">
        <f t="shared" si="7"/>
        <v>לרכוש</v>
      </c>
      <c r="N144" s="28"/>
      <c r="O144" s="28">
        <v>1000</v>
      </c>
      <c r="P144" s="27"/>
      <c r="Q144" s="27"/>
    </row>
    <row r="145" spans="1:17" s="32" customFormat="1" ht="14.25" customHeight="1">
      <c r="A145" s="15" t="s">
        <v>89</v>
      </c>
      <c r="B145" s="14" t="s">
        <v>439</v>
      </c>
      <c r="C145" s="13" t="s">
        <v>785</v>
      </c>
      <c r="D145" s="14" t="s">
        <v>1002</v>
      </c>
      <c r="E145" s="15" t="s">
        <v>1003</v>
      </c>
      <c r="F145" s="16">
        <v>2000</v>
      </c>
      <c r="G145" s="28">
        <v>1</v>
      </c>
      <c r="H145" s="16">
        <f t="shared" si="6"/>
        <v>2000</v>
      </c>
      <c r="I145" s="72"/>
      <c r="J145" s="16">
        <v>1</v>
      </c>
      <c r="K145" s="16"/>
      <c r="L145" s="16">
        <v>1</v>
      </c>
      <c r="M145" s="16" t="str">
        <f t="shared" si="7"/>
        <v>לא לרכוש</v>
      </c>
      <c r="N145" s="16"/>
      <c r="O145" s="28">
        <v>1000</v>
      </c>
      <c r="P145" s="17"/>
      <c r="Q145" s="14"/>
    </row>
    <row r="146" spans="1:17" s="32" customFormat="1" ht="14.25" customHeight="1">
      <c r="A146" s="15" t="s">
        <v>89</v>
      </c>
      <c r="B146" s="14" t="s">
        <v>439</v>
      </c>
      <c r="C146" s="13" t="s">
        <v>786</v>
      </c>
      <c r="D146" s="14" t="s">
        <v>1002</v>
      </c>
      <c r="E146" s="15" t="s">
        <v>1003</v>
      </c>
      <c r="F146" s="16">
        <v>2000</v>
      </c>
      <c r="G146" s="28">
        <v>1</v>
      </c>
      <c r="H146" s="16">
        <f t="shared" ref="H146:H177" si="8">G146*F146</f>
        <v>2000</v>
      </c>
      <c r="I146" s="72"/>
      <c r="J146" s="16">
        <v>1</v>
      </c>
      <c r="K146" s="16"/>
      <c r="L146" s="16">
        <v>1</v>
      </c>
      <c r="M146" s="16" t="str">
        <f t="shared" si="7"/>
        <v>לא לרכוש</v>
      </c>
      <c r="N146" s="16"/>
      <c r="O146" s="28">
        <v>1000</v>
      </c>
      <c r="P146" s="17"/>
      <c r="Q146" s="14"/>
    </row>
    <row r="147" spans="1:17" s="32" customFormat="1" ht="14.25" customHeight="1">
      <c r="A147" s="33" t="s">
        <v>163</v>
      </c>
      <c r="B147" s="27" t="s">
        <v>167</v>
      </c>
      <c r="C147" s="34" t="s">
        <v>168</v>
      </c>
      <c r="D147" s="27" t="s">
        <v>221</v>
      </c>
      <c r="E147" s="74" t="s">
        <v>1033</v>
      </c>
      <c r="F147" s="28">
        <v>2000</v>
      </c>
      <c r="G147" s="28">
        <v>1</v>
      </c>
      <c r="H147" s="28">
        <f t="shared" si="8"/>
        <v>2000</v>
      </c>
      <c r="I147" s="69" t="s">
        <v>82</v>
      </c>
      <c r="J147" s="28">
        <v>3</v>
      </c>
      <c r="K147" s="28">
        <v>1</v>
      </c>
      <c r="L147" s="28">
        <v>1</v>
      </c>
      <c r="M147" s="28" t="str">
        <f t="shared" si="7"/>
        <v>לא לרכוש</v>
      </c>
      <c r="N147" s="28"/>
      <c r="O147" s="28">
        <v>1000</v>
      </c>
      <c r="P147" s="27"/>
      <c r="Q147" s="27"/>
    </row>
    <row r="148" spans="1:17" s="32" customFormat="1" ht="14.25" customHeight="1">
      <c r="A148" s="33" t="s">
        <v>1056</v>
      </c>
      <c r="B148" s="27" t="s">
        <v>167</v>
      </c>
      <c r="C148" s="34" t="s">
        <v>176</v>
      </c>
      <c r="D148" s="27" t="s">
        <v>221</v>
      </c>
      <c r="E148" s="33" t="s">
        <v>1034</v>
      </c>
      <c r="F148" s="28">
        <v>2000</v>
      </c>
      <c r="G148" s="28">
        <v>1</v>
      </c>
      <c r="H148" s="28">
        <f t="shared" si="8"/>
        <v>2000</v>
      </c>
      <c r="I148" s="69" t="s">
        <v>82</v>
      </c>
      <c r="J148" s="28">
        <v>1</v>
      </c>
      <c r="K148" s="28">
        <v>1</v>
      </c>
      <c r="L148" s="28">
        <v>1</v>
      </c>
      <c r="M148" s="28" t="str">
        <f t="shared" si="7"/>
        <v>לא לרכוש</v>
      </c>
      <c r="N148" s="28"/>
      <c r="O148" s="28">
        <v>1000</v>
      </c>
      <c r="P148" s="27"/>
      <c r="Q148" s="27"/>
    </row>
    <row r="149" spans="1:17" s="32" customFormat="1" ht="14.25" customHeight="1">
      <c r="A149" s="33" t="s">
        <v>159</v>
      </c>
      <c r="B149" s="27" t="s">
        <v>167</v>
      </c>
      <c r="C149" s="34" t="s">
        <v>928</v>
      </c>
      <c r="D149" s="27" t="s">
        <v>130</v>
      </c>
      <c r="E149" s="33" t="s">
        <v>130</v>
      </c>
      <c r="F149" s="28">
        <v>2000</v>
      </c>
      <c r="G149" s="28">
        <v>1</v>
      </c>
      <c r="H149" s="28">
        <f t="shared" si="8"/>
        <v>2000</v>
      </c>
      <c r="I149" s="69"/>
      <c r="J149" s="28">
        <v>1</v>
      </c>
      <c r="K149" s="28">
        <v>1</v>
      </c>
      <c r="L149" s="28">
        <v>1</v>
      </c>
      <c r="M149" s="28" t="str">
        <f t="shared" si="7"/>
        <v>לרכוש</v>
      </c>
      <c r="N149" s="28"/>
      <c r="O149" s="28">
        <v>1000</v>
      </c>
      <c r="P149" s="27"/>
      <c r="Q149" s="27"/>
    </row>
    <row r="150" spans="1:17" s="32" customFormat="1" ht="14.25" customHeight="1">
      <c r="A150" s="33" t="s">
        <v>163</v>
      </c>
      <c r="B150" s="27" t="s">
        <v>166</v>
      </c>
      <c r="C150" s="34" t="s">
        <v>933</v>
      </c>
      <c r="D150" s="27" t="s">
        <v>221</v>
      </c>
      <c r="E150" s="74" t="s">
        <v>1035</v>
      </c>
      <c r="F150" s="28">
        <v>2000</v>
      </c>
      <c r="G150" s="28">
        <v>1</v>
      </c>
      <c r="H150" s="28">
        <f t="shared" si="8"/>
        <v>2000</v>
      </c>
      <c r="I150" s="69" t="s">
        <v>82</v>
      </c>
      <c r="J150" s="28">
        <v>3</v>
      </c>
      <c r="K150" s="28">
        <v>1</v>
      </c>
      <c r="L150" s="28">
        <v>1</v>
      </c>
      <c r="M150" s="28" t="str">
        <f t="shared" si="7"/>
        <v>לא לרכוש</v>
      </c>
      <c r="N150" s="28"/>
      <c r="O150" s="28">
        <v>1000</v>
      </c>
      <c r="P150" s="27"/>
      <c r="Q150" s="27"/>
    </row>
    <row r="151" spans="1:17" s="32" customFormat="1" ht="14.25" customHeight="1">
      <c r="A151" s="33" t="s">
        <v>170</v>
      </c>
      <c r="B151" s="27" t="s">
        <v>166</v>
      </c>
      <c r="C151" s="34" t="s">
        <v>940</v>
      </c>
      <c r="D151" s="27" t="s">
        <v>221</v>
      </c>
      <c r="E151" s="33" t="s">
        <v>1029</v>
      </c>
      <c r="F151" s="28">
        <v>2000</v>
      </c>
      <c r="G151" s="28">
        <v>1</v>
      </c>
      <c r="H151" s="28">
        <f t="shared" si="8"/>
        <v>2000</v>
      </c>
      <c r="I151" s="69" t="s">
        <v>82</v>
      </c>
      <c r="J151" s="28">
        <v>1</v>
      </c>
      <c r="K151" s="28">
        <v>1</v>
      </c>
      <c r="L151" s="28">
        <v>1</v>
      </c>
      <c r="M151" s="28" t="str">
        <f t="shared" si="7"/>
        <v>לא לרכוש</v>
      </c>
      <c r="N151" s="28"/>
      <c r="O151" s="28">
        <v>1000</v>
      </c>
      <c r="P151" s="27"/>
      <c r="Q151" s="27"/>
    </row>
    <row r="152" spans="1:17" s="32" customFormat="1" ht="14.25" customHeight="1">
      <c r="A152" s="33" t="s">
        <v>163</v>
      </c>
      <c r="B152" s="27" t="s">
        <v>166</v>
      </c>
      <c r="C152" s="34" t="s">
        <v>941</v>
      </c>
      <c r="D152" s="27" t="s">
        <v>221</v>
      </c>
      <c r="E152" s="74" t="s">
        <v>1035</v>
      </c>
      <c r="F152" s="28">
        <v>2000</v>
      </c>
      <c r="G152" s="28">
        <v>1</v>
      </c>
      <c r="H152" s="28">
        <f t="shared" si="8"/>
        <v>2000</v>
      </c>
      <c r="I152" s="69" t="s">
        <v>82</v>
      </c>
      <c r="J152" s="28">
        <v>3</v>
      </c>
      <c r="K152" s="28">
        <v>1</v>
      </c>
      <c r="L152" s="28">
        <v>1</v>
      </c>
      <c r="M152" s="28" t="str">
        <f t="shared" si="7"/>
        <v>לא לרכוש</v>
      </c>
      <c r="N152" s="28"/>
      <c r="O152" s="28">
        <v>1000</v>
      </c>
      <c r="P152" s="27"/>
      <c r="Q152" s="27"/>
    </row>
    <row r="153" spans="1:17" s="32" customFormat="1" ht="14.25" customHeight="1">
      <c r="A153" s="33" t="s">
        <v>163</v>
      </c>
      <c r="B153" s="27" t="s">
        <v>425</v>
      </c>
      <c r="C153" s="34" t="s">
        <v>162</v>
      </c>
      <c r="D153" s="27" t="s">
        <v>221</v>
      </c>
      <c r="E153" s="74" t="s">
        <v>1029</v>
      </c>
      <c r="F153" s="28">
        <v>2000</v>
      </c>
      <c r="G153" s="28">
        <v>1</v>
      </c>
      <c r="H153" s="28">
        <f t="shared" si="8"/>
        <v>2000</v>
      </c>
      <c r="I153" s="69" t="s">
        <v>82</v>
      </c>
      <c r="J153" s="28">
        <v>1</v>
      </c>
      <c r="K153" s="28">
        <v>1</v>
      </c>
      <c r="L153" s="28">
        <v>1</v>
      </c>
      <c r="M153" s="28" t="str">
        <f t="shared" si="7"/>
        <v>לא לרכוש</v>
      </c>
      <c r="N153" s="28"/>
      <c r="O153" s="28">
        <v>1000</v>
      </c>
      <c r="P153" s="27"/>
      <c r="Q153" s="27"/>
    </row>
    <row r="154" spans="1:17" s="32" customFormat="1" ht="14.25" customHeight="1">
      <c r="A154" s="33" t="s">
        <v>170</v>
      </c>
      <c r="B154" s="27" t="s">
        <v>425</v>
      </c>
      <c r="C154" s="34" t="s">
        <v>948</v>
      </c>
      <c r="D154" s="27" t="s">
        <v>221</v>
      </c>
      <c r="E154" s="33" t="s">
        <v>1035</v>
      </c>
      <c r="F154" s="28">
        <v>2000</v>
      </c>
      <c r="G154" s="28">
        <v>1</v>
      </c>
      <c r="H154" s="28">
        <f t="shared" si="8"/>
        <v>2000</v>
      </c>
      <c r="I154" s="69" t="s">
        <v>82</v>
      </c>
      <c r="J154" s="28">
        <v>3</v>
      </c>
      <c r="K154" s="28">
        <v>1</v>
      </c>
      <c r="L154" s="28">
        <v>1</v>
      </c>
      <c r="M154" s="28" t="str">
        <f t="shared" si="7"/>
        <v>לא לרכוש</v>
      </c>
      <c r="N154" s="28"/>
      <c r="O154" s="28">
        <v>1000</v>
      </c>
      <c r="P154" s="27"/>
      <c r="Q154" s="27"/>
    </row>
    <row r="155" spans="1:17" s="32" customFormat="1" ht="14.25" customHeight="1">
      <c r="A155" s="33" t="s">
        <v>163</v>
      </c>
      <c r="B155" s="27" t="s">
        <v>447</v>
      </c>
      <c r="C155" s="34" t="s">
        <v>967</v>
      </c>
      <c r="D155" s="27" t="s">
        <v>221</v>
      </c>
      <c r="E155" s="74" t="s">
        <v>1043</v>
      </c>
      <c r="F155" s="28">
        <v>2000</v>
      </c>
      <c r="G155" s="28">
        <v>1</v>
      </c>
      <c r="H155" s="28">
        <f t="shared" si="8"/>
        <v>2000</v>
      </c>
      <c r="I155" s="69" t="s">
        <v>82</v>
      </c>
      <c r="J155" s="28">
        <v>3</v>
      </c>
      <c r="K155" s="28">
        <v>1</v>
      </c>
      <c r="L155" s="28">
        <v>1</v>
      </c>
      <c r="M155" s="28" t="str">
        <f t="shared" si="7"/>
        <v>לא לרכוש</v>
      </c>
      <c r="N155" s="28"/>
      <c r="O155" s="28">
        <v>1000</v>
      </c>
      <c r="P155" s="27"/>
      <c r="Q155" s="27"/>
    </row>
    <row r="156" spans="1:17" s="32" customFormat="1" ht="14.25" customHeight="1">
      <c r="A156" s="33" t="s">
        <v>163</v>
      </c>
      <c r="B156" s="27" t="s">
        <v>447</v>
      </c>
      <c r="C156" s="34" t="s">
        <v>968</v>
      </c>
      <c r="D156" s="27" t="s">
        <v>221</v>
      </c>
      <c r="E156" s="74" t="s">
        <v>1043</v>
      </c>
      <c r="F156" s="28">
        <v>2000</v>
      </c>
      <c r="G156" s="28">
        <v>1</v>
      </c>
      <c r="H156" s="28">
        <f t="shared" si="8"/>
        <v>2000</v>
      </c>
      <c r="I156" s="69" t="s">
        <v>82</v>
      </c>
      <c r="J156" s="28">
        <v>3</v>
      </c>
      <c r="K156" s="28">
        <v>1</v>
      </c>
      <c r="L156" s="28">
        <v>1</v>
      </c>
      <c r="M156" s="28" t="str">
        <f t="shared" si="7"/>
        <v>לא לרכוש</v>
      </c>
      <c r="N156" s="28"/>
      <c r="O156" s="28">
        <v>1000</v>
      </c>
      <c r="P156" s="27"/>
      <c r="Q156" s="27"/>
    </row>
    <row r="157" spans="1:17" s="32" customFormat="1" ht="14.25" customHeight="1">
      <c r="A157" s="33" t="s">
        <v>163</v>
      </c>
      <c r="B157" s="27" t="s">
        <v>447</v>
      </c>
      <c r="C157" s="34" t="s">
        <v>969</v>
      </c>
      <c r="D157" s="27" t="s">
        <v>221</v>
      </c>
      <c r="E157" s="74" t="s">
        <v>1043</v>
      </c>
      <c r="F157" s="28">
        <v>2000</v>
      </c>
      <c r="G157" s="28">
        <v>1</v>
      </c>
      <c r="H157" s="28">
        <f t="shared" si="8"/>
        <v>2000</v>
      </c>
      <c r="I157" s="69" t="s">
        <v>82</v>
      </c>
      <c r="J157" s="28">
        <v>3</v>
      </c>
      <c r="K157" s="28">
        <v>1</v>
      </c>
      <c r="L157" s="28">
        <v>1</v>
      </c>
      <c r="M157" s="28" t="str">
        <f t="shared" si="7"/>
        <v>לא לרכוש</v>
      </c>
      <c r="N157" s="28"/>
      <c r="O157" s="28">
        <v>1000</v>
      </c>
      <c r="P157" s="27"/>
      <c r="Q157" s="27"/>
    </row>
    <row r="158" spans="1:17" s="32" customFormat="1" ht="14.25" customHeight="1">
      <c r="A158" s="33" t="s">
        <v>163</v>
      </c>
      <c r="B158" s="27" t="s">
        <v>447</v>
      </c>
      <c r="C158" s="34" t="s">
        <v>970</v>
      </c>
      <c r="D158" s="27" t="s">
        <v>221</v>
      </c>
      <c r="E158" s="74" t="s">
        <v>1043</v>
      </c>
      <c r="F158" s="28">
        <v>2000</v>
      </c>
      <c r="G158" s="28">
        <v>1</v>
      </c>
      <c r="H158" s="28">
        <f t="shared" si="8"/>
        <v>2000</v>
      </c>
      <c r="I158" s="69" t="s">
        <v>82</v>
      </c>
      <c r="J158" s="28">
        <v>3</v>
      </c>
      <c r="K158" s="28">
        <v>1</v>
      </c>
      <c r="L158" s="28">
        <v>1</v>
      </c>
      <c r="M158" s="28" t="str">
        <f t="shared" si="7"/>
        <v>לא לרכוש</v>
      </c>
      <c r="N158" s="28"/>
      <c r="O158" s="28">
        <v>1000</v>
      </c>
      <c r="P158" s="27"/>
      <c r="Q158" s="27"/>
    </row>
    <row r="159" spans="1:17" s="32" customFormat="1" ht="14.25" customHeight="1">
      <c r="A159" s="33" t="s">
        <v>170</v>
      </c>
      <c r="B159" s="27" t="s">
        <v>447</v>
      </c>
      <c r="C159" s="34" t="s">
        <v>971</v>
      </c>
      <c r="D159" s="27" t="s">
        <v>221</v>
      </c>
      <c r="E159" s="33" t="s">
        <v>1034</v>
      </c>
      <c r="F159" s="28">
        <v>2000</v>
      </c>
      <c r="G159" s="28">
        <v>1</v>
      </c>
      <c r="H159" s="28">
        <f t="shared" si="8"/>
        <v>2000</v>
      </c>
      <c r="I159" s="69" t="s">
        <v>82</v>
      </c>
      <c r="J159" s="28">
        <v>1</v>
      </c>
      <c r="K159" s="28">
        <v>1</v>
      </c>
      <c r="L159" s="28">
        <v>1</v>
      </c>
      <c r="M159" s="28" t="str">
        <f t="shared" si="7"/>
        <v>לא לרכוש</v>
      </c>
      <c r="N159" s="28"/>
      <c r="O159" s="28">
        <v>1000</v>
      </c>
      <c r="P159" s="27"/>
      <c r="Q159" s="27"/>
    </row>
    <row r="160" spans="1:17" s="32" customFormat="1" ht="14.25" customHeight="1">
      <c r="A160" s="33" t="s">
        <v>170</v>
      </c>
      <c r="B160" s="27" t="s">
        <v>447</v>
      </c>
      <c r="C160" s="34" t="s">
        <v>972</v>
      </c>
      <c r="D160" s="27" t="s">
        <v>221</v>
      </c>
      <c r="E160" s="33" t="s">
        <v>1034</v>
      </c>
      <c r="F160" s="28">
        <v>2000</v>
      </c>
      <c r="G160" s="28">
        <v>1</v>
      </c>
      <c r="H160" s="28">
        <f t="shared" si="8"/>
        <v>2000</v>
      </c>
      <c r="I160" s="69" t="s">
        <v>82</v>
      </c>
      <c r="J160" s="28">
        <v>1</v>
      </c>
      <c r="K160" s="28">
        <v>1</v>
      </c>
      <c r="L160" s="28">
        <v>1</v>
      </c>
      <c r="M160" s="28" t="str">
        <f t="shared" si="7"/>
        <v>לא לרכוש</v>
      </c>
      <c r="N160" s="28"/>
      <c r="O160" s="28">
        <v>1000</v>
      </c>
      <c r="P160" s="27"/>
      <c r="Q160" s="27"/>
    </row>
    <row r="161" spans="1:17" s="32" customFormat="1" ht="14.25" customHeight="1">
      <c r="A161" s="33" t="s">
        <v>170</v>
      </c>
      <c r="B161" s="27" t="s">
        <v>447</v>
      </c>
      <c r="C161" s="34" t="s">
        <v>973</v>
      </c>
      <c r="D161" s="27" t="s">
        <v>221</v>
      </c>
      <c r="E161" s="33" t="s">
        <v>1034</v>
      </c>
      <c r="F161" s="28">
        <v>2000</v>
      </c>
      <c r="G161" s="28">
        <v>1</v>
      </c>
      <c r="H161" s="28">
        <f t="shared" si="8"/>
        <v>2000</v>
      </c>
      <c r="I161" s="69" t="s">
        <v>82</v>
      </c>
      <c r="J161" s="28">
        <v>1</v>
      </c>
      <c r="K161" s="28">
        <v>1</v>
      </c>
      <c r="L161" s="28">
        <v>1</v>
      </c>
      <c r="M161" s="28" t="str">
        <f t="shared" si="7"/>
        <v>לא לרכוש</v>
      </c>
      <c r="N161" s="28"/>
      <c r="O161" s="28">
        <v>1000</v>
      </c>
      <c r="P161" s="27"/>
      <c r="Q161" s="27"/>
    </row>
    <row r="162" spans="1:17" s="51" customFormat="1" ht="51.75" customHeight="1">
      <c r="A162" s="33" t="s">
        <v>170</v>
      </c>
      <c r="B162" s="27" t="s">
        <v>447</v>
      </c>
      <c r="C162" s="34" t="s">
        <v>974</v>
      </c>
      <c r="D162" s="27" t="s">
        <v>221</v>
      </c>
      <c r="E162" s="33" t="s">
        <v>1034</v>
      </c>
      <c r="F162" s="28">
        <v>2000</v>
      </c>
      <c r="G162" s="28">
        <v>1</v>
      </c>
      <c r="H162" s="28">
        <f t="shared" si="8"/>
        <v>2000</v>
      </c>
      <c r="I162" s="69" t="s">
        <v>82</v>
      </c>
      <c r="J162" s="28">
        <v>1</v>
      </c>
      <c r="K162" s="28">
        <v>1</v>
      </c>
      <c r="L162" s="28">
        <v>1</v>
      </c>
      <c r="M162" s="28" t="str">
        <f t="shared" si="7"/>
        <v>לא לרכוש</v>
      </c>
      <c r="N162" s="28"/>
      <c r="O162" s="28">
        <v>1000</v>
      </c>
      <c r="P162" s="27"/>
      <c r="Q162" s="27"/>
    </row>
    <row r="163" spans="1:17" s="32" customFormat="1" ht="14.25" customHeight="1">
      <c r="A163" s="33" t="s">
        <v>1059</v>
      </c>
      <c r="B163" s="27" t="s">
        <v>447</v>
      </c>
      <c r="C163" s="34" t="s">
        <v>971</v>
      </c>
      <c r="D163" s="27" t="s">
        <v>221</v>
      </c>
      <c r="E163" s="33">
        <v>7100</v>
      </c>
      <c r="F163" s="28">
        <v>2000</v>
      </c>
      <c r="G163" s="28">
        <v>1</v>
      </c>
      <c r="H163" s="28">
        <f t="shared" si="8"/>
        <v>2000</v>
      </c>
      <c r="I163" s="69" t="s">
        <v>82</v>
      </c>
      <c r="J163" s="28">
        <v>1</v>
      </c>
      <c r="K163" s="28">
        <v>1</v>
      </c>
      <c r="L163" s="28">
        <v>1</v>
      </c>
      <c r="M163" s="28" t="str">
        <f t="shared" si="7"/>
        <v>לא לרכוש</v>
      </c>
      <c r="N163" s="28"/>
      <c r="O163" s="28">
        <v>1000</v>
      </c>
      <c r="P163" s="27"/>
      <c r="Q163" s="27"/>
    </row>
    <row r="164" spans="1:17" s="32" customFormat="1" ht="14.25" customHeight="1">
      <c r="A164" s="33" t="s">
        <v>1059</v>
      </c>
      <c r="B164" s="27" t="s">
        <v>447</v>
      </c>
      <c r="C164" s="34" t="s">
        <v>972</v>
      </c>
      <c r="D164" s="27" t="s">
        <v>221</v>
      </c>
      <c r="E164" s="33">
        <v>7100</v>
      </c>
      <c r="F164" s="28">
        <v>2000</v>
      </c>
      <c r="G164" s="28">
        <v>1</v>
      </c>
      <c r="H164" s="28">
        <f t="shared" si="8"/>
        <v>2000</v>
      </c>
      <c r="I164" s="69" t="s">
        <v>82</v>
      </c>
      <c r="J164" s="28">
        <v>1</v>
      </c>
      <c r="K164" s="28">
        <v>1</v>
      </c>
      <c r="L164" s="28">
        <v>1</v>
      </c>
      <c r="M164" s="28" t="str">
        <f t="shared" si="7"/>
        <v>לא לרכוש</v>
      </c>
      <c r="N164" s="28"/>
      <c r="O164" s="28">
        <v>1000</v>
      </c>
      <c r="P164" s="27"/>
      <c r="Q164" s="27"/>
    </row>
    <row r="165" spans="1:17" s="32" customFormat="1" ht="27" customHeight="1">
      <c r="A165" s="33" t="s">
        <v>1059</v>
      </c>
      <c r="B165" s="27" t="s">
        <v>447</v>
      </c>
      <c r="C165" s="34" t="s">
        <v>973</v>
      </c>
      <c r="D165" s="27" t="s">
        <v>221</v>
      </c>
      <c r="E165" s="33">
        <v>7100</v>
      </c>
      <c r="F165" s="28">
        <v>2000</v>
      </c>
      <c r="G165" s="28">
        <v>1</v>
      </c>
      <c r="H165" s="28">
        <f t="shared" si="8"/>
        <v>2000</v>
      </c>
      <c r="I165" s="69" t="s">
        <v>82</v>
      </c>
      <c r="J165" s="28">
        <v>1</v>
      </c>
      <c r="K165" s="28">
        <v>1</v>
      </c>
      <c r="L165" s="28">
        <v>1</v>
      </c>
      <c r="M165" s="28" t="str">
        <f t="shared" si="7"/>
        <v>לא לרכוש</v>
      </c>
      <c r="N165" s="28"/>
      <c r="O165" s="28">
        <v>1000</v>
      </c>
      <c r="P165" s="27"/>
      <c r="Q165" s="27"/>
    </row>
    <row r="166" spans="1:17" s="32" customFormat="1" ht="14.25" customHeight="1">
      <c r="A166" s="33" t="s">
        <v>1059</v>
      </c>
      <c r="B166" s="27" t="s">
        <v>447</v>
      </c>
      <c r="C166" s="34" t="s">
        <v>974</v>
      </c>
      <c r="D166" s="27" t="s">
        <v>221</v>
      </c>
      <c r="E166" s="33">
        <v>7100</v>
      </c>
      <c r="F166" s="28">
        <v>2000</v>
      </c>
      <c r="G166" s="28">
        <v>1</v>
      </c>
      <c r="H166" s="28">
        <f t="shared" si="8"/>
        <v>2000</v>
      </c>
      <c r="I166" s="69" t="s">
        <v>82</v>
      </c>
      <c r="J166" s="28">
        <v>1</v>
      </c>
      <c r="K166" s="28">
        <v>1</v>
      </c>
      <c r="L166" s="28">
        <v>1</v>
      </c>
      <c r="M166" s="28" t="str">
        <f t="shared" si="7"/>
        <v>לא לרכוש</v>
      </c>
      <c r="N166" s="28"/>
      <c r="O166" s="28">
        <v>1000</v>
      </c>
      <c r="P166" s="27"/>
      <c r="Q166" s="27"/>
    </row>
    <row r="167" spans="1:17" s="32" customFormat="1" ht="14.25" customHeight="1">
      <c r="A167" s="33" t="s">
        <v>163</v>
      </c>
      <c r="B167" s="27" t="s">
        <v>448</v>
      </c>
      <c r="C167" s="34" t="s">
        <v>980</v>
      </c>
      <c r="D167" s="27" t="s">
        <v>221</v>
      </c>
      <c r="E167" s="74" t="s">
        <v>1033</v>
      </c>
      <c r="F167" s="28">
        <v>2000</v>
      </c>
      <c r="G167" s="28">
        <v>1</v>
      </c>
      <c r="H167" s="28">
        <f t="shared" si="8"/>
        <v>2000</v>
      </c>
      <c r="I167" s="69" t="s">
        <v>82</v>
      </c>
      <c r="J167" s="28">
        <v>3</v>
      </c>
      <c r="K167" s="28">
        <v>1</v>
      </c>
      <c r="L167" s="28">
        <v>1</v>
      </c>
      <c r="M167" s="28" t="str">
        <f t="shared" si="7"/>
        <v>לא לרכוש</v>
      </c>
      <c r="N167" s="28"/>
      <c r="O167" s="28">
        <v>1000</v>
      </c>
      <c r="P167" s="27"/>
      <c r="Q167" s="27"/>
    </row>
    <row r="168" spans="1:17" s="32" customFormat="1" ht="14.25" customHeight="1">
      <c r="A168" s="33" t="s">
        <v>170</v>
      </c>
      <c r="B168" s="27" t="s">
        <v>448</v>
      </c>
      <c r="C168" s="34" t="s">
        <v>981</v>
      </c>
      <c r="D168" s="27" t="s">
        <v>221</v>
      </c>
      <c r="E168" s="33" t="s">
        <v>1034</v>
      </c>
      <c r="F168" s="28">
        <v>2000</v>
      </c>
      <c r="G168" s="28">
        <v>1</v>
      </c>
      <c r="H168" s="28">
        <f t="shared" si="8"/>
        <v>2000</v>
      </c>
      <c r="I168" s="69" t="s">
        <v>82</v>
      </c>
      <c r="J168" s="28">
        <v>1</v>
      </c>
      <c r="K168" s="28">
        <v>1</v>
      </c>
      <c r="L168" s="28">
        <v>1</v>
      </c>
      <c r="M168" s="28" t="str">
        <f t="shared" si="7"/>
        <v>לא לרכוש</v>
      </c>
      <c r="N168" s="28"/>
      <c r="O168" s="28">
        <v>1000</v>
      </c>
      <c r="P168" s="27"/>
      <c r="Q168" s="27"/>
    </row>
    <row r="169" spans="1:17" s="32" customFormat="1" ht="14.25" customHeight="1">
      <c r="A169" s="33" t="s">
        <v>1062</v>
      </c>
      <c r="B169" s="27" t="s">
        <v>448</v>
      </c>
      <c r="C169" s="34" t="s">
        <v>984</v>
      </c>
      <c r="D169" s="27" t="s">
        <v>221</v>
      </c>
      <c r="E169" s="74" t="s">
        <v>1045</v>
      </c>
      <c r="F169" s="28">
        <v>2000</v>
      </c>
      <c r="G169" s="28">
        <v>1</v>
      </c>
      <c r="H169" s="28">
        <f t="shared" si="8"/>
        <v>2000</v>
      </c>
      <c r="I169" s="69" t="s">
        <v>82</v>
      </c>
      <c r="J169" s="28">
        <v>1</v>
      </c>
      <c r="K169" s="28">
        <v>1</v>
      </c>
      <c r="L169" s="28">
        <v>1</v>
      </c>
      <c r="M169" s="28" t="str">
        <f t="shared" si="7"/>
        <v>לא לרכוש</v>
      </c>
      <c r="N169" s="28"/>
      <c r="O169" s="28">
        <v>1000</v>
      </c>
      <c r="P169" s="27"/>
      <c r="Q169" s="27"/>
    </row>
    <row r="170" spans="1:17" s="32" customFormat="1" ht="14.25" customHeight="1">
      <c r="A170" s="33" t="s">
        <v>163</v>
      </c>
      <c r="B170" s="27" t="s">
        <v>448</v>
      </c>
      <c r="C170" s="34" t="s">
        <v>984</v>
      </c>
      <c r="D170" s="27" t="s">
        <v>221</v>
      </c>
      <c r="E170" s="74" t="s">
        <v>1043</v>
      </c>
      <c r="F170" s="28">
        <v>2000</v>
      </c>
      <c r="G170" s="28">
        <v>1</v>
      </c>
      <c r="H170" s="28">
        <f t="shared" si="8"/>
        <v>2000</v>
      </c>
      <c r="I170" s="69" t="s">
        <v>82</v>
      </c>
      <c r="J170" s="28">
        <v>3</v>
      </c>
      <c r="K170" s="28">
        <v>1</v>
      </c>
      <c r="L170" s="28">
        <v>1</v>
      </c>
      <c r="M170" s="28" t="str">
        <f t="shared" si="7"/>
        <v>לא לרכוש</v>
      </c>
      <c r="N170" s="28"/>
      <c r="O170" s="28">
        <v>1000</v>
      </c>
      <c r="P170" s="27"/>
      <c r="Q170" s="27"/>
    </row>
    <row r="171" spans="1:17" s="32" customFormat="1" ht="14.25" customHeight="1">
      <c r="A171" s="33" t="s">
        <v>170</v>
      </c>
      <c r="B171" s="27" t="s">
        <v>448</v>
      </c>
      <c r="C171" s="34" t="s">
        <v>985</v>
      </c>
      <c r="D171" s="27" t="s">
        <v>221</v>
      </c>
      <c r="E171" s="33" t="s">
        <v>1034</v>
      </c>
      <c r="F171" s="28">
        <v>2000</v>
      </c>
      <c r="G171" s="28">
        <v>1</v>
      </c>
      <c r="H171" s="28">
        <f t="shared" si="8"/>
        <v>2000</v>
      </c>
      <c r="I171" s="69" t="s">
        <v>82</v>
      </c>
      <c r="J171" s="28">
        <v>1</v>
      </c>
      <c r="K171" s="28">
        <v>1</v>
      </c>
      <c r="L171" s="28">
        <v>1</v>
      </c>
      <c r="M171" s="28" t="str">
        <f t="shared" si="7"/>
        <v>לא לרכוש</v>
      </c>
      <c r="N171" s="28"/>
      <c r="O171" s="28">
        <v>1000</v>
      </c>
      <c r="P171" s="27"/>
      <c r="Q171" s="27"/>
    </row>
    <row r="172" spans="1:17" s="32" customFormat="1" ht="14.25" customHeight="1">
      <c r="A172" s="33" t="s">
        <v>170</v>
      </c>
      <c r="B172" s="27" t="s">
        <v>449</v>
      </c>
      <c r="C172" s="34" t="s">
        <v>990</v>
      </c>
      <c r="D172" s="27" t="s">
        <v>221</v>
      </c>
      <c r="E172" s="33" t="s">
        <v>1029</v>
      </c>
      <c r="F172" s="28">
        <v>2000</v>
      </c>
      <c r="G172" s="28">
        <v>1</v>
      </c>
      <c r="H172" s="28">
        <f t="shared" si="8"/>
        <v>2000</v>
      </c>
      <c r="I172" s="69" t="s">
        <v>82</v>
      </c>
      <c r="J172" s="28">
        <v>1</v>
      </c>
      <c r="K172" s="28">
        <v>1</v>
      </c>
      <c r="L172" s="28">
        <v>1</v>
      </c>
      <c r="M172" s="28" t="str">
        <f t="shared" si="7"/>
        <v>לא לרכוש</v>
      </c>
      <c r="N172" s="28"/>
      <c r="O172" s="28">
        <v>1000</v>
      </c>
      <c r="P172" s="27"/>
      <c r="Q172" s="27"/>
    </row>
    <row r="173" spans="1:17" s="32" customFormat="1" ht="14.25" customHeight="1">
      <c r="A173" s="33" t="s">
        <v>163</v>
      </c>
      <c r="B173" s="27" t="s">
        <v>449</v>
      </c>
      <c r="C173" s="34" t="s">
        <v>991</v>
      </c>
      <c r="D173" s="27" t="s">
        <v>221</v>
      </c>
      <c r="E173" s="74" t="s">
        <v>1035</v>
      </c>
      <c r="F173" s="28">
        <v>2000</v>
      </c>
      <c r="G173" s="28">
        <v>1</v>
      </c>
      <c r="H173" s="28">
        <f t="shared" si="8"/>
        <v>2000</v>
      </c>
      <c r="I173" s="69" t="s">
        <v>82</v>
      </c>
      <c r="J173" s="28">
        <v>3</v>
      </c>
      <c r="K173" s="28">
        <v>1</v>
      </c>
      <c r="L173" s="28">
        <v>1</v>
      </c>
      <c r="M173" s="28" t="str">
        <f t="shared" si="7"/>
        <v>לא לרכוש</v>
      </c>
      <c r="N173" s="28"/>
      <c r="O173" s="28">
        <v>1000</v>
      </c>
      <c r="P173" s="27"/>
      <c r="Q173" s="27"/>
    </row>
    <row r="174" spans="1:17" s="32" customFormat="1" ht="14.25" customHeight="1">
      <c r="A174" s="33" t="s">
        <v>1051</v>
      </c>
      <c r="B174" s="27" t="s">
        <v>426</v>
      </c>
      <c r="C174" s="34" t="s">
        <v>1052</v>
      </c>
      <c r="D174" s="27" t="s">
        <v>1053</v>
      </c>
      <c r="E174" s="33" t="s">
        <v>601</v>
      </c>
      <c r="F174" s="28">
        <v>1600</v>
      </c>
      <c r="G174" s="28">
        <v>1</v>
      </c>
      <c r="H174" s="28">
        <f t="shared" si="8"/>
        <v>1600</v>
      </c>
      <c r="I174" s="69"/>
      <c r="J174" s="28">
        <v>1</v>
      </c>
      <c r="K174" s="28">
        <v>1</v>
      </c>
      <c r="L174" s="28">
        <v>0.5</v>
      </c>
      <c r="M174" s="28" t="str">
        <f t="shared" si="7"/>
        <v>לרכוש</v>
      </c>
      <c r="N174" s="28"/>
      <c r="O174" s="28">
        <v>1000</v>
      </c>
      <c r="P174" s="27"/>
      <c r="Q174" s="27"/>
    </row>
    <row r="175" spans="1:17" s="32" customFormat="1">
      <c r="A175" s="33" t="s">
        <v>163</v>
      </c>
      <c r="B175" s="27" t="s">
        <v>165</v>
      </c>
      <c r="C175" s="54" t="s">
        <v>162</v>
      </c>
      <c r="D175" s="28" t="s">
        <v>221</v>
      </c>
      <c r="E175" s="74" t="s">
        <v>161</v>
      </c>
      <c r="F175" s="28">
        <v>1505</v>
      </c>
      <c r="G175" s="28">
        <v>1</v>
      </c>
      <c r="H175" s="28">
        <f t="shared" si="8"/>
        <v>1505</v>
      </c>
      <c r="I175" s="69" t="s">
        <v>82</v>
      </c>
      <c r="J175" s="28">
        <v>3</v>
      </c>
      <c r="K175" s="28">
        <v>1</v>
      </c>
      <c r="L175" s="28">
        <v>1</v>
      </c>
      <c r="M175" s="28" t="str">
        <f t="shared" si="7"/>
        <v>לא לרכוש</v>
      </c>
      <c r="N175" s="28"/>
      <c r="O175" s="28">
        <v>1000</v>
      </c>
      <c r="P175" s="27"/>
      <c r="Q175" s="27" t="s">
        <v>194</v>
      </c>
    </row>
    <row r="176" spans="1:17" s="32" customFormat="1" ht="14.25" customHeight="1">
      <c r="A176" s="33" t="s">
        <v>163</v>
      </c>
      <c r="B176" s="27" t="s">
        <v>166</v>
      </c>
      <c r="C176" s="34" t="s">
        <v>164</v>
      </c>
      <c r="D176" s="28" t="s">
        <v>221</v>
      </c>
      <c r="E176" s="74" t="s">
        <v>161</v>
      </c>
      <c r="F176" s="28">
        <v>1505</v>
      </c>
      <c r="G176" s="28">
        <v>1</v>
      </c>
      <c r="H176" s="28">
        <f t="shared" si="8"/>
        <v>1505</v>
      </c>
      <c r="I176" s="69" t="s">
        <v>82</v>
      </c>
      <c r="J176" s="28">
        <v>3</v>
      </c>
      <c r="K176" s="28">
        <v>1</v>
      </c>
      <c r="L176" s="28">
        <v>1</v>
      </c>
      <c r="M176" s="28" t="str">
        <f t="shared" si="7"/>
        <v>לא לרכוש</v>
      </c>
      <c r="N176" s="28"/>
      <c r="O176" s="28">
        <v>1000</v>
      </c>
      <c r="P176" s="27"/>
      <c r="Q176" s="27" t="s">
        <v>194</v>
      </c>
    </row>
    <row r="177" spans="1:17" s="32" customFormat="1" ht="14.25" customHeight="1">
      <c r="A177" s="37" t="s">
        <v>1047</v>
      </c>
      <c r="B177" s="30" t="s">
        <v>87</v>
      </c>
      <c r="C177" s="38" t="s">
        <v>48</v>
      </c>
      <c r="D177" s="37" t="s">
        <v>60</v>
      </c>
      <c r="E177" s="37" t="s">
        <v>79</v>
      </c>
      <c r="F177" s="28">
        <v>1500</v>
      </c>
      <c r="G177" s="28">
        <v>1</v>
      </c>
      <c r="H177" s="28">
        <f t="shared" si="8"/>
        <v>1500</v>
      </c>
      <c r="I177" s="69" t="s">
        <v>82</v>
      </c>
      <c r="J177" s="28">
        <v>1</v>
      </c>
      <c r="K177" s="28">
        <v>0</v>
      </c>
      <c r="L177" s="28">
        <v>0.5</v>
      </c>
      <c r="M177" s="28" t="str">
        <f t="shared" si="7"/>
        <v>לא לרכוש</v>
      </c>
      <c r="N177" s="28"/>
      <c r="O177" s="28">
        <v>1000</v>
      </c>
      <c r="P177" s="27"/>
      <c r="Q177" s="33" t="s">
        <v>86</v>
      </c>
    </row>
    <row r="178" spans="1:17" s="32" customFormat="1" ht="14.25" customHeight="1">
      <c r="A178" s="55" t="s">
        <v>17</v>
      </c>
      <c r="B178" s="37" t="s">
        <v>140</v>
      </c>
      <c r="C178" s="60" t="s">
        <v>145</v>
      </c>
      <c r="D178" s="37" t="s">
        <v>151</v>
      </c>
      <c r="E178" s="37" t="s">
        <v>157</v>
      </c>
      <c r="F178" s="28">
        <v>1500</v>
      </c>
      <c r="G178" s="28">
        <v>1</v>
      </c>
      <c r="H178" s="28">
        <f t="shared" ref="H178:H209" si="9">G178*F178</f>
        <v>1500</v>
      </c>
      <c r="I178" s="69" t="s">
        <v>82</v>
      </c>
      <c r="J178" s="28">
        <v>1</v>
      </c>
      <c r="K178" s="28">
        <v>0</v>
      </c>
      <c r="L178" s="28">
        <v>1</v>
      </c>
      <c r="M178" s="28" t="str">
        <f t="shared" si="7"/>
        <v>לא לרכוש</v>
      </c>
      <c r="N178" s="28"/>
      <c r="O178" s="28">
        <v>1000</v>
      </c>
      <c r="P178" s="27"/>
      <c r="Q178" s="27"/>
    </row>
    <row r="179" spans="1:17" s="32" customFormat="1" ht="14.25" customHeight="1">
      <c r="A179" s="55" t="s">
        <v>17</v>
      </c>
      <c r="B179" s="37" t="s">
        <v>140</v>
      </c>
      <c r="C179" s="60" t="s">
        <v>146</v>
      </c>
      <c r="D179" s="37" t="s">
        <v>151</v>
      </c>
      <c r="E179" s="37" t="s">
        <v>157</v>
      </c>
      <c r="F179" s="28">
        <v>1500</v>
      </c>
      <c r="G179" s="28">
        <v>1</v>
      </c>
      <c r="H179" s="28">
        <f t="shared" si="9"/>
        <v>1500</v>
      </c>
      <c r="I179" s="69" t="s">
        <v>82</v>
      </c>
      <c r="J179" s="28">
        <v>1</v>
      </c>
      <c r="K179" s="28">
        <v>0</v>
      </c>
      <c r="L179" s="28">
        <v>1</v>
      </c>
      <c r="M179" s="28" t="str">
        <f t="shared" si="7"/>
        <v>לא לרכוש</v>
      </c>
      <c r="N179" s="28"/>
      <c r="O179" s="28">
        <v>1000</v>
      </c>
      <c r="P179" s="27"/>
      <c r="Q179" s="27"/>
    </row>
    <row r="180" spans="1:17" s="32" customFormat="1" ht="14.25" customHeight="1">
      <c r="A180" s="55" t="s">
        <v>17</v>
      </c>
      <c r="B180" s="37" t="s">
        <v>140</v>
      </c>
      <c r="C180" s="60" t="s">
        <v>147</v>
      </c>
      <c r="D180" s="37" t="s">
        <v>151</v>
      </c>
      <c r="E180" s="37" t="s">
        <v>157</v>
      </c>
      <c r="F180" s="28">
        <v>1500</v>
      </c>
      <c r="G180" s="28">
        <v>1</v>
      </c>
      <c r="H180" s="28">
        <f t="shared" si="9"/>
        <v>1500</v>
      </c>
      <c r="I180" s="69" t="s">
        <v>82</v>
      </c>
      <c r="J180" s="28">
        <v>1</v>
      </c>
      <c r="K180" s="28">
        <v>0</v>
      </c>
      <c r="L180" s="28">
        <v>1</v>
      </c>
      <c r="M180" s="28" t="str">
        <f t="shared" si="7"/>
        <v>לא לרכוש</v>
      </c>
      <c r="N180" s="28"/>
      <c r="O180" s="28">
        <v>1000</v>
      </c>
      <c r="P180" s="27"/>
      <c r="Q180" s="27"/>
    </row>
    <row r="181" spans="1:17" s="32" customFormat="1" ht="14.25" customHeight="1">
      <c r="A181" s="33" t="s">
        <v>19</v>
      </c>
      <c r="B181" s="40" t="s">
        <v>205</v>
      </c>
      <c r="C181" s="34" t="s">
        <v>207</v>
      </c>
      <c r="D181" s="27" t="s">
        <v>212</v>
      </c>
      <c r="E181" s="33" t="s">
        <v>214</v>
      </c>
      <c r="F181" s="28">
        <v>1500</v>
      </c>
      <c r="G181" s="28">
        <v>1</v>
      </c>
      <c r="H181" s="28">
        <f t="shared" si="9"/>
        <v>1500</v>
      </c>
      <c r="I181" s="69" t="s">
        <v>82</v>
      </c>
      <c r="J181" s="28">
        <v>1</v>
      </c>
      <c r="K181" s="28">
        <v>1</v>
      </c>
      <c r="L181" s="28">
        <v>1</v>
      </c>
      <c r="M181" s="28" t="str">
        <f t="shared" si="7"/>
        <v>לא לרכוש</v>
      </c>
      <c r="N181" s="28"/>
      <c r="O181" s="28">
        <v>1000</v>
      </c>
      <c r="P181" s="27"/>
      <c r="Q181" s="27"/>
    </row>
    <row r="182" spans="1:17" s="32" customFormat="1" ht="14.25" customHeight="1">
      <c r="A182" s="33" t="s">
        <v>19</v>
      </c>
      <c r="B182" s="40" t="s">
        <v>205</v>
      </c>
      <c r="C182" s="34" t="s">
        <v>208</v>
      </c>
      <c r="D182" s="27" t="s">
        <v>212</v>
      </c>
      <c r="E182" s="33" t="s">
        <v>214</v>
      </c>
      <c r="F182" s="28">
        <v>1500</v>
      </c>
      <c r="G182" s="28">
        <v>1</v>
      </c>
      <c r="H182" s="28">
        <f t="shared" si="9"/>
        <v>1500</v>
      </c>
      <c r="I182" s="69" t="s">
        <v>82</v>
      </c>
      <c r="J182" s="28">
        <v>1</v>
      </c>
      <c r="K182" s="28">
        <v>1</v>
      </c>
      <c r="L182" s="28">
        <v>1</v>
      </c>
      <c r="M182" s="28" t="str">
        <f t="shared" si="7"/>
        <v>לא לרכוש</v>
      </c>
      <c r="N182" s="28"/>
      <c r="O182" s="28">
        <v>1000</v>
      </c>
      <c r="P182" s="27"/>
      <c r="Q182" s="27"/>
    </row>
    <row r="183" spans="1:17" s="32" customFormat="1" ht="14.25" customHeight="1">
      <c r="A183" s="33" t="s">
        <v>19</v>
      </c>
      <c r="B183" s="40" t="s">
        <v>205</v>
      </c>
      <c r="C183" s="34" t="s">
        <v>209</v>
      </c>
      <c r="D183" s="27" t="s">
        <v>212</v>
      </c>
      <c r="E183" s="33" t="s">
        <v>214</v>
      </c>
      <c r="F183" s="28">
        <v>1500</v>
      </c>
      <c r="G183" s="28">
        <v>1</v>
      </c>
      <c r="H183" s="28">
        <f t="shared" si="9"/>
        <v>1500</v>
      </c>
      <c r="I183" s="69" t="s">
        <v>82</v>
      </c>
      <c r="J183" s="28">
        <v>1</v>
      </c>
      <c r="K183" s="28">
        <v>1</v>
      </c>
      <c r="L183" s="28">
        <v>1</v>
      </c>
      <c r="M183" s="28" t="str">
        <f t="shared" si="7"/>
        <v>לא לרכוש</v>
      </c>
      <c r="N183" s="28"/>
      <c r="O183" s="28">
        <v>1000</v>
      </c>
      <c r="P183" s="27"/>
      <c r="Q183" s="27"/>
    </row>
    <row r="184" spans="1:17" s="32" customFormat="1" ht="14.25" customHeight="1">
      <c r="A184" s="33" t="s">
        <v>19</v>
      </c>
      <c r="B184" s="27" t="s">
        <v>233</v>
      </c>
      <c r="C184" s="34" t="s">
        <v>237</v>
      </c>
      <c r="D184" s="27" t="s">
        <v>212</v>
      </c>
      <c r="E184" s="33" t="s">
        <v>214</v>
      </c>
      <c r="F184" s="28">
        <v>1500</v>
      </c>
      <c r="G184" s="28">
        <v>1</v>
      </c>
      <c r="H184" s="28">
        <f t="shared" si="9"/>
        <v>1500</v>
      </c>
      <c r="I184" s="69" t="s">
        <v>82</v>
      </c>
      <c r="J184" s="28">
        <v>1</v>
      </c>
      <c r="K184" s="28">
        <v>1</v>
      </c>
      <c r="L184" s="28">
        <v>1</v>
      </c>
      <c r="M184" s="28" t="str">
        <f t="shared" si="7"/>
        <v>לא לרכוש</v>
      </c>
      <c r="N184" s="28"/>
      <c r="O184" s="28">
        <v>1000</v>
      </c>
      <c r="P184" s="27"/>
      <c r="Q184" s="27"/>
    </row>
    <row r="185" spans="1:17" s="32" customFormat="1" ht="14.25" customHeight="1">
      <c r="A185" s="33" t="s">
        <v>17</v>
      </c>
      <c r="B185" s="64" t="s">
        <v>238</v>
      </c>
      <c r="C185" s="34" t="s">
        <v>242</v>
      </c>
      <c r="D185" s="27" t="s">
        <v>149</v>
      </c>
      <c r="E185" s="33" t="s">
        <v>249</v>
      </c>
      <c r="F185" s="28">
        <v>1500</v>
      </c>
      <c r="G185" s="28">
        <v>1</v>
      </c>
      <c r="H185" s="28">
        <f t="shared" si="9"/>
        <v>1500</v>
      </c>
      <c r="I185" s="69" t="s">
        <v>82</v>
      </c>
      <c r="J185" s="28">
        <v>1</v>
      </c>
      <c r="K185" s="28">
        <v>1</v>
      </c>
      <c r="L185" s="28">
        <v>1</v>
      </c>
      <c r="M185" s="28" t="str">
        <f t="shared" si="7"/>
        <v>לא לרכוש</v>
      </c>
      <c r="N185" s="28"/>
      <c r="O185" s="28">
        <v>1000</v>
      </c>
      <c r="P185" s="27"/>
      <c r="Q185" s="27"/>
    </row>
    <row r="186" spans="1:17" s="32" customFormat="1" ht="14.25" customHeight="1">
      <c r="A186" s="33" t="s">
        <v>19</v>
      </c>
      <c r="B186" s="27" t="s">
        <v>261</v>
      </c>
      <c r="C186" s="34" t="s">
        <v>262</v>
      </c>
      <c r="D186" s="27" t="s">
        <v>212</v>
      </c>
      <c r="E186" s="39" t="s">
        <v>269</v>
      </c>
      <c r="F186" s="28">
        <v>1500</v>
      </c>
      <c r="G186" s="28">
        <v>1</v>
      </c>
      <c r="H186" s="28">
        <f t="shared" si="9"/>
        <v>1500</v>
      </c>
      <c r="I186" s="69"/>
      <c r="J186" s="28">
        <v>1</v>
      </c>
      <c r="K186" s="28">
        <v>0</v>
      </c>
      <c r="L186" s="28">
        <v>1</v>
      </c>
      <c r="M186" s="28" t="str">
        <f t="shared" si="7"/>
        <v>לא לרכוש</v>
      </c>
      <c r="N186" s="28"/>
      <c r="O186" s="28">
        <v>1000</v>
      </c>
      <c r="P186" s="27"/>
      <c r="Q186" s="27"/>
    </row>
    <row r="187" spans="1:17" s="32" customFormat="1" ht="14.25" customHeight="1">
      <c r="A187" s="33" t="s">
        <v>1048</v>
      </c>
      <c r="B187" s="27" t="s">
        <v>261</v>
      </c>
      <c r="C187" s="34" t="s">
        <v>264</v>
      </c>
      <c r="D187" s="27" t="s">
        <v>268</v>
      </c>
      <c r="E187" s="33" t="s">
        <v>270</v>
      </c>
      <c r="F187" s="28">
        <v>1500</v>
      </c>
      <c r="G187" s="28">
        <v>1</v>
      </c>
      <c r="H187" s="28">
        <f t="shared" si="9"/>
        <v>1500</v>
      </c>
      <c r="I187" s="69"/>
      <c r="J187" s="28">
        <v>1</v>
      </c>
      <c r="K187" s="28">
        <v>1</v>
      </c>
      <c r="L187" s="28">
        <v>1</v>
      </c>
      <c r="M187" s="28" t="str">
        <f t="shared" si="7"/>
        <v>לרכוש</v>
      </c>
      <c r="N187" s="28"/>
      <c r="O187" s="28">
        <v>1000</v>
      </c>
      <c r="P187" s="27"/>
      <c r="Q187" s="27"/>
    </row>
    <row r="188" spans="1:17" s="32" customFormat="1" ht="14.25" customHeight="1">
      <c r="A188" s="33" t="s">
        <v>1048</v>
      </c>
      <c r="B188" s="27" t="s">
        <v>261</v>
      </c>
      <c r="C188" s="34" t="s">
        <v>265</v>
      </c>
      <c r="D188" s="27" t="s">
        <v>268</v>
      </c>
      <c r="E188" s="33" t="s">
        <v>270</v>
      </c>
      <c r="F188" s="28">
        <v>1500</v>
      </c>
      <c r="G188" s="28">
        <v>1</v>
      </c>
      <c r="H188" s="28">
        <f t="shared" si="9"/>
        <v>1500</v>
      </c>
      <c r="I188" s="69"/>
      <c r="J188" s="28">
        <v>1</v>
      </c>
      <c r="K188" s="28">
        <v>1</v>
      </c>
      <c r="L188" s="28">
        <v>1</v>
      </c>
      <c r="M188" s="28" t="str">
        <f t="shared" si="7"/>
        <v>לרכוש</v>
      </c>
      <c r="N188" s="28"/>
      <c r="O188" s="28">
        <v>1000</v>
      </c>
      <c r="P188" s="27"/>
      <c r="Q188" s="27"/>
    </row>
    <row r="189" spans="1:17" s="32" customFormat="1" ht="14.25" customHeight="1">
      <c r="A189" s="33" t="s">
        <v>388</v>
      </c>
      <c r="B189" s="27" t="s">
        <v>345</v>
      </c>
      <c r="C189" s="34" t="s">
        <v>360</v>
      </c>
      <c r="D189" s="33" t="s">
        <v>1060</v>
      </c>
      <c r="E189" s="33" t="s">
        <v>1061</v>
      </c>
      <c r="F189" s="28">
        <v>1500</v>
      </c>
      <c r="G189" s="28">
        <v>1</v>
      </c>
      <c r="H189" s="28">
        <f t="shared" si="9"/>
        <v>1500</v>
      </c>
      <c r="I189" s="69" t="s">
        <v>82</v>
      </c>
      <c r="J189" s="28">
        <v>1</v>
      </c>
      <c r="K189" s="28">
        <v>1</v>
      </c>
      <c r="L189" s="28">
        <v>1</v>
      </c>
      <c r="M189" s="28" t="str">
        <f t="shared" si="7"/>
        <v>לא לרכוש</v>
      </c>
      <c r="N189" s="28"/>
      <c r="O189" s="28">
        <v>1000</v>
      </c>
      <c r="P189" s="27"/>
      <c r="Q189" s="27"/>
    </row>
    <row r="190" spans="1:17" s="32" customFormat="1" ht="14.25" customHeight="1">
      <c r="A190" s="33" t="s">
        <v>501</v>
      </c>
      <c r="B190" s="27" t="s">
        <v>427</v>
      </c>
      <c r="C190" s="34" t="s">
        <v>498</v>
      </c>
      <c r="D190" s="27" t="s">
        <v>477</v>
      </c>
      <c r="E190" s="33" t="s">
        <v>477</v>
      </c>
      <c r="F190" s="28">
        <v>500</v>
      </c>
      <c r="G190" s="28">
        <v>1</v>
      </c>
      <c r="H190" s="28">
        <f t="shared" si="9"/>
        <v>500</v>
      </c>
      <c r="I190" s="69"/>
      <c r="J190" s="28">
        <v>1</v>
      </c>
      <c r="K190" s="28">
        <v>1</v>
      </c>
      <c r="L190" s="28">
        <v>1</v>
      </c>
      <c r="M190" s="28" t="str">
        <f t="shared" si="7"/>
        <v>לרכוש</v>
      </c>
      <c r="N190" s="28"/>
      <c r="O190" s="28">
        <v>1000</v>
      </c>
      <c r="P190" s="27"/>
      <c r="Q190" s="27"/>
    </row>
    <row r="191" spans="1:17" s="32" customFormat="1" ht="14.25" customHeight="1">
      <c r="A191" s="33" t="s">
        <v>501</v>
      </c>
      <c r="B191" s="27" t="s">
        <v>427</v>
      </c>
      <c r="C191" s="34" t="s">
        <v>500</v>
      </c>
      <c r="D191" s="27" t="s">
        <v>477</v>
      </c>
      <c r="E191" s="33" t="s">
        <v>479</v>
      </c>
      <c r="F191" s="28">
        <v>500</v>
      </c>
      <c r="G191" s="28">
        <v>1</v>
      </c>
      <c r="H191" s="28">
        <f t="shared" si="9"/>
        <v>500</v>
      </c>
      <c r="I191" s="69"/>
      <c r="J191" s="28">
        <v>1</v>
      </c>
      <c r="K191" s="28">
        <v>1</v>
      </c>
      <c r="L191" s="28">
        <v>1</v>
      </c>
      <c r="M191" s="28" t="str">
        <f t="shared" si="7"/>
        <v>לרכוש</v>
      </c>
      <c r="N191" s="28"/>
      <c r="O191" s="28">
        <v>1000</v>
      </c>
      <c r="P191" s="27"/>
      <c r="Q191" s="27"/>
    </row>
    <row r="192" spans="1:17" s="32" customFormat="1" ht="14.25" customHeight="1">
      <c r="A192" s="33" t="s">
        <v>609</v>
      </c>
      <c r="B192" s="27" t="s">
        <v>429</v>
      </c>
      <c r="C192" s="34" t="s">
        <v>536</v>
      </c>
      <c r="D192" s="27" t="s">
        <v>584</v>
      </c>
      <c r="E192" s="33" t="s">
        <v>592</v>
      </c>
      <c r="F192" s="28">
        <v>1500</v>
      </c>
      <c r="G192" s="28">
        <v>1</v>
      </c>
      <c r="H192" s="28">
        <f t="shared" si="9"/>
        <v>1500</v>
      </c>
      <c r="I192" s="69"/>
      <c r="J192" s="28">
        <v>1</v>
      </c>
      <c r="K192" s="28">
        <v>0</v>
      </c>
      <c r="L192" s="28">
        <v>0.3</v>
      </c>
      <c r="M192" s="28" t="str">
        <f t="shared" si="7"/>
        <v>לא לרכוש</v>
      </c>
      <c r="N192" s="28"/>
      <c r="O192" s="28">
        <v>1000</v>
      </c>
      <c r="P192" s="27"/>
      <c r="Q192" s="27"/>
    </row>
    <row r="193" spans="1:17" s="32" customFormat="1" ht="14.25" customHeight="1">
      <c r="A193" s="33" t="s">
        <v>609</v>
      </c>
      <c r="B193" s="27" t="s">
        <v>429</v>
      </c>
      <c r="C193" s="34" t="s">
        <v>537</v>
      </c>
      <c r="D193" s="27" t="s">
        <v>584</v>
      </c>
      <c r="E193" s="33" t="s">
        <v>593</v>
      </c>
      <c r="F193" s="28">
        <v>1500</v>
      </c>
      <c r="G193" s="28">
        <v>1</v>
      </c>
      <c r="H193" s="28">
        <f t="shared" si="9"/>
        <v>1500</v>
      </c>
      <c r="I193" s="69"/>
      <c r="J193" s="28">
        <v>1</v>
      </c>
      <c r="K193" s="28">
        <v>0</v>
      </c>
      <c r="L193" s="28">
        <v>0.3</v>
      </c>
      <c r="M193" s="28" t="str">
        <f t="shared" si="7"/>
        <v>לא לרכוש</v>
      </c>
      <c r="N193" s="28"/>
      <c r="O193" s="28">
        <v>1000</v>
      </c>
      <c r="P193" s="27"/>
      <c r="Q193" s="27"/>
    </row>
    <row r="194" spans="1:17" s="32" customFormat="1" ht="14.25" customHeight="1">
      <c r="A194" s="33" t="s">
        <v>609</v>
      </c>
      <c r="B194" s="27" t="s">
        <v>429</v>
      </c>
      <c r="C194" s="34" t="s">
        <v>538</v>
      </c>
      <c r="D194" s="27" t="s">
        <v>584</v>
      </c>
      <c r="E194" s="33" t="s">
        <v>593</v>
      </c>
      <c r="F194" s="28">
        <v>1500</v>
      </c>
      <c r="G194" s="28">
        <v>1</v>
      </c>
      <c r="H194" s="28">
        <f t="shared" si="9"/>
        <v>1500</v>
      </c>
      <c r="I194" s="69"/>
      <c r="J194" s="28">
        <v>1</v>
      </c>
      <c r="K194" s="28">
        <v>0</v>
      </c>
      <c r="L194" s="28">
        <v>0.3</v>
      </c>
      <c r="M194" s="28" t="str">
        <f t="shared" si="7"/>
        <v>לא לרכוש</v>
      </c>
      <c r="N194" s="28"/>
      <c r="O194" s="28">
        <v>1000</v>
      </c>
      <c r="P194" s="27"/>
      <c r="Q194" s="27"/>
    </row>
    <row r="195" spans="1:17" s="32" customFormat="1">
      <c r="A195" s="33" t="s">
        <v>609</v>
      </c>
      <c r="B195" s="27" t="s">
        <v>429</v>
      </c>
      <c r="C195" s="34" t="s">
        <v>539</v>
      </c>
      <c r="D195" s="27" t="s">
        <v>584</v>
      </c>
      <c r="E195" s="33" t="s">
        <v>592</v>
      </c>
      <c r="F195" s="28">
        <v>1500</v>
      </c>
      <c r="G195" s="28">
        <v>1</v>
      </c>
      <c r="H195" s="28">
        <f t="shared" si="9"/>
        <v>1500</v>
      </c>
      <c r="I195" s="69"/>
      <c r="J195" s="28">
        <v>1</v>
      </c>
      <c r="K195" s="28">
        <v>0</v>
      </c>
      <c r="L195" s="28">
        <v>0.3</v>
      </c>
      <c r="M195" s="28" t="str">
        <f t="shared" si="7"/>
        <v>לא לרכוש</v>
      </c>
      <c r="N195" s="28"/>
      <c r="O195" s="28">
        <v>1000</v>
      </c>
      <c r="P195" s="27"/>
      <c r="Q195" s="27"/>
    </row>
    <row r="196" spans="1:17" s="32" customFormat="1" ht="14.25" customHeight="1">
      <c r="A196" s="33" t="s">
        <v>609</v>
      </c>
      <c r="B196" s="27" t="s">
        <v>430</v>
      </c>
      <c r="C196" s="34" t="s">
        <v>565</v>
      </c>
      <c r="D196" s="27" t="s">
        <v>586</v>
      </c>
      <c r="E196" s="33" t="s">
        <v>586</v>
      </c>
      <c r="F196" s="28">
        <v>1500</v>
      </c>
      <c r="G196" s="28">
        <v>1</v>
      </c>
      <c r="H196" s="28">
        <f t="shared" si="9"/>
        <v>1500</v>
      </c>
      <c r="I196" s="69"/>
      <c r="J196" s="28">
        <v>1</v>
      </c>
      <c r="K196" s="28">
        <v>0</v>
      </c>
      <c r="L196" s="28">
        <v>0.5</v>
      </c>
      <c r="M196" s="28" t="str">
        <f t="shared" si="7"/>
        <v>לא לרכוש</v>
      </c>
      <c r="N196" s="28"/>
      <c r="O196" s="28">
        <v>1000</v>
      </c>
      <c r="P196" s="27"/>
      <c r="Q196" s="27"/>
    </row>
    <row r="197" spans="1:17" s="32" customFormat="1" ht="14.25" customHeight="1">
      <c r="A197" s="27" t="s">
        <v>609</v>
      </c>
      <c r="B197" s="33" t="s">
        <v>432</v>
      </c>
      <c r="C197" s="34" t="s">
        <v>642</v>
      </c>
      <c r="D197" s="63" t="s">
        <v>751</v>
      </c>
      <c r="E197" s="33" t="s">
        <v>593</v>
      </c>
      <c r="F197" s="28">
        <v>1500</v>
      </c>
      <c r="G197" s="28">
        <v>1</v>
      </c>
      <c r="H197" s="28">
        <f t="shared" si="9"/>
        <v>1500</v>
      </c>
      <c r="I197" s="69" t="s">
        <v>82</v>
      </c>
      <c r="J197" s="28">
        <v>1</v>
      </c>
      <c r="K197" s="28">
        <v>0</v>
      </c>
      <c r="L197" s="28">
        <v>1</v>
      </c>
      <c r="M197" s="28" t="str">
        <f t="shared" si="7"/>
        <v>לא לרכוש</v>
      </c>
      <c r="N197" s="28"/>
      <c r="O197" s="28">
        <v>1000</v>
      </c>
      <c r="P197" s="27"/>
      <c r="Q197" s="27"/>
    </row>
    <row r="198" spans="1:17" s="32" customFormat="1" ht="14.25" customHeight="1">
      <c r="A198" s="27" t="s">
        <v>1065</v>
      </c>
      <c r="B198" s="33" t="s">
        <v>437</v>
      </c>
      <c r="C198" s="34" t="s">
        <v>712</v>
      </c>
      <c r="D198" s="63" t="s">
        <v>753</v>
      </c>
      <c r="E198" s="33" t="s">
        <v>765</v>
      </c>
      <c r="F198" s="28">
        <v>1500</v>
      </c>
      <c r="G198" s="28">
        <v>1</v>
      </c>
      <c r="H198" s="28">
        <f t="shared" si="9"/>
        <v>1500</v>
      </c>
      <c r="I198" s="69"/>
      <c r="J198" s="28">
        <v>1</v>
      </c>
      <c r="K198" s="28">
        <v>1</v>
      </c>
      <c r="L198" s="28">
        <v>1</v>
      </c>
      <c r="M198" s="28" t="str">
        <f t="shared" si="7"/>
        <v>לרכוש</v>
      </c>
      <c r="N198" s="28"/>
      <c r="O198" s="28">
        <v>1000</v>
      </c>
      <c r="P198" s="27"/>
      <c r="Q198" s="27"/>
    </row>
    <row r="199" spans="1:17" s="32" customFormat="1" ht="14.25" customHeight="1">
      <c r="A199" s="27" t="s">
        <v>1065</v>
      </c>
      <c r="B199" s="33" t="s">
        <v>436</v>
      </c>
      <c r="C199" s="34" t="s">
        <v>713</v>
      </c>
      <c r="D199" s="63" t="s">
        <v>753</v>
      </c>
      <c r="E199" s="33" t="s">
        <v>765</v>
      </c>
      <c r="F199" s="28">
        <v>1500</v>
      </c>
      <c r="G199" s="28">
        <v>1</v>
      </c>
      <c r="H199" s="28">
        <f t="shared" si="9"/>
        <v>1500</v>
      </c>
      <c r="I199" s="69"/>
      <c r="J199" s="28">
        <v>1</v>
      </c>
      <c r="K199" s="28">
        <v>1</v>
      </c>
      <c r="L199" s="28">
        <v>1</v>
      </c>
      <c r="M199" s="28" t="str">
        <f t="shared" si="7"/>
        <v>לרכוש</v>
      </c>
      <c r="N199" s="28"/>
      <c r="O199" s="28">
        <v>1000</v>
      </c>
      <c r="P199" s="27"/>
      <c r="Q199" s="27"/>
    </row>
    <row r="200" spans="1:17" s="32" customFormat="1" ht="14.25" customHeight="1">
      <c r="A200" s="33" t="s">
        <v>1067</v>
      </c>
      <c r="B200" s="27" t="s">
        <v>438</v>
      </c>
      <c r="C200" s="34" t="s">
        <v>783</v>
      </c>
      <c r="D200" s="27" t="s">
        <v>998</v>
      </c>
      <c r="E200" s="33" t="s">
        <v>999</v>
      </c>
      <c r="F200" s="28">
        <v>1500</v>
      </c>
      <c r="G200" s="28">
        <v>1</v>
      </c>
      <c r="H200" s="28">
        <f t="shared" si="9"/>
        <v>1500</v>
      </c>
      <c r="I200" s="69"/>
      <c r="J200" s="28">
        <v>1</v>
      </c>
      <c r="K200" s="28">
        <v>1</v>
      </c>
      <c r="L200" s="28">
        <v>0.7</v>
      </c>
      <c r="M200" s="28" t="str">
        <f t="shared" si="7"/>
        <v>לרכוש</v>
      </c>
      <c r="N200" s="28"/>
      <c r="O200" s="28">
        <v>1000</v>
      </c>
      <c r="P200" s="27"/>
      <c r="Q200" s="27"/>
    </row>
    <row r="201" spans="1:17" s="32" customFormat="1" ht="14.25" customHeight="1">
      <c r="A201" s="33" t="s">
        <v>1067</v>
      </c>
      <c r="B201" s="27" t="s">
        <v>438</v>
      </c>
      <c r="C201" s="34" t="s">
        <v>784</v>
      </c>
      <c r="D201" s="27" t="s">
        <v>998</v>
      </c>
      <c r="E201" s="33" t="s">
        <v>999</v>
      </c>
      <c r="F201" s="28">
        <v>1500</v>
      </c>
      <c r="G201" s="28">
        <v>1</v>
      </c>
      <c r="H201" s="28">
        <f t="shared" si="9"/>
        <v>1500</v>
      </c>
      <c r="I201" s="69"/>
      <c r="J201" s="28">
        <v>1</v>
      </c>
      <c r="K201" s="28">
        <v>0</v>
      </c>
      <c r="L201" s="28">
        <v>0.7</v>
      </c>
      <c r="M201" s="28" t="str">
        <f t="shared" si="7"/>
        <v>לא לרכוש</v>
      </c>
      <c r="N201" s="28"/>
      <c r="O201" s="28">
        <v>1000</v>
      </c>
      <c r="P201" s="27"/>
      <c r="Q201" s="27"/>
    </row>
    <row r="202" spans="1:17" s="32" customFormat="1" ht="14.25" customHeight="1">
      <c r="A202" s="33" t="s">
        <v>12</v>
      </c>
      <c r="B202" s="27" t="s">
        <v>440</v>
      </c>
      <c r="C202" s="34" t="s">
        <v>806</v>
      </c>
      <c r="D202" s="27" t="s">
        <v>1013</v>
      </c>
      <c r="E202" s="33" t="s">
        <v>1014</v>
      </c>
      <c r="F202" s="28">
        <v>1500</v>
      </c>
      <c r="G202" s="28">
        <v>1</v>
      </c>
      <c r="H202" s="28">
        <f t="shared" si="9"/>
        <v>1500</v>
      </c>
      <c r="I202" s="69" t="s">
        <v>82</v>
      </c>
      <c r="J202" s="28">
        <v>1</v>
      </c>
      <c r="K202" s="28">
        <v>1</v>
      </c>
      <c r="L202" s="28">
        <v>0.5</v>
      </c>
      <c r="M202" s="28" t="str">
        <f t="shared" si="7"/>
        <v>לא לרכוש</v>
      </c>
      <c r="N202" s="28"/>
      <c r="O202" s="28">
        <v>1000</v>
      </c>
      <c r="P202" s="27"/>
      <c r="Q202" s="27"/>
    </row>
    <row r="203" spans="1:17" s="32" customFormat="1" ht="14.25" customHeight="1">
      <c r="A203" s="33" t="s">
        <v>12</v>
      </c>
      <c r="B203" s="27" t="s">
        <v>440</v>
      </c>
      <c r="C203" s="34" t="s">
        <v>807</v>
      </c>
      <c r="D203" s="27" t="s">
        <v>1013</v>
      </c>
      <c r="E203" s="33" t="s">
        <v>1014</v>
      </c>
      <c r="F203" s="28">
        <v>1500</v>
      </c>
      <c r="G203" s="28">
        <v>1</v>
      </c>
      <c r="H203" s="28">
        <f t="shared" si="9"/>
        <v>1500</v>
      </c>
      <c r="I203" s="69" t="s">
        <v>82</v>
      </c>
      <c r="J203" s="28">
        <v>1</v>
      </c>
      <c r="K203" s="28">
        <v>1</v>
      </c>
      <c r="L203" s="28">
        <v>0.5</v>
      </c>
      <c r="M203" s="28" t="str">
        <f t="shared" ref="M203:M258" si="10">IF(AND(K203*L203*30*O203&gt;H203/J203,I203=""),"לרכוש","לא לרכוש")</f>
        <v>לא לרכוש</v>
      </c>
      <c r="N203" s="28"/>
      <c r="O203" s="28">
        <v>1000</v>
      </c>
      <c r="P203" s="27"/>
      <c r="Q203" s="27"/>
    </row>
    <row r="204" spans="1:17" s="32" customFormat="1" ht="14.25" customHeight="1">
      <c r="A204" s="33" t="s">
        <v>12</v>
      </c>
      <c r="B204" s="27" t="s">
        <v>440</v>
      </c>
      <c r="C204" s="34" t="s">
        <v>808</v>
      </c>
      <c r="D204" s="27" t="s">
        <v>1013</v>
      </c>
      <c r="E204" s="33" t="s">
        <v>1014</v>
      </c>
      <c r="F204" s="28">
        <v>1500</v>
      </c>
      <c r="G204" s="28">
        <v>1</v>
      </c>
      <c r="H204" s="28">
        <f t="shared" si="9"/>
        <v>1500</v>
      </c>
      <c r="I204" s="69" t="s">
        <v>82</v>
      </c>
      <c r="J204" s="28">
        <v>1</v>
      </c>
      <c r="K204" s="28">
        <v>1</v>
      </c>
      <c r="L204" s="28">
        <v>0.5</v>
      </c>
      <c r="M204" s="28" t="str">
        <f t="shared" si="10"/>
        <v>לא לרכוש</v>
      </c>
      <c r="N204" s="28"/>
      <c r="O204" s="28">
        <v>1000</v>
      </c>
      <c r="P204" s="27"/>
      <c r="Q204" s="27"/>
    </row>
    <row r="205" spans="1:17" s="32" customFormat="1" ht="14.25" customHeight="1">
      <c r="A205" s="33" t="s">
        <v>12</v>
      </c>
      <c r="B205" s="27" t="s">
        <v>440</v>
      </c>
      <c r="C205" s="34" t="s">
        <v>809</v>
      </c>
      <c r="D205" s="27" t="s">
        <v>1013</v>
      </c>
      <c r="E205" s="33" t="s">
        <v>1014</v>
      </c>
      <c r="F205" s="28">
        <v>1500</v>
      </c>
      <c r="G205" s="28">
        <v>1</v>
      </c>
      <c r="H205" s="28">
        <f t="shared" si="9"/>
        <v>1500</v>
      </c>
      <c r="I205" s="69" t="s">
        <v>82</v>
      </c>
      <c r="J205" s="28">
        <v>1</v>
      </c>
      <c r="K205" s="28">
        <v>1</v>
      </c>
      <c r="L205" s="28">
        <v>0.5</v>
      </c>
      <c r="M205" s="28" t="str">
        <f t="shared" si="10"/>
        <v>לא לרכוש</v>
      </c>
      <c r="N205" s="28"/>
      <c r="O205" s="28">
        <v>1000</v>
      </c>
      <c r="P205" s="27"/>
      <c r="Q205" s="27"/>
    </row>
    <row r="206" spans="1:17" s="32" customFormat="1" ht="14.25" customHeight="1">
      <c r="A206" s="33" t="s">
        <v>609</v>
      </c>
      <c r="B206" s="27" t="s">
        <v>440</v>
      </c>
      <c r="C206" s="34" t="s">
        <v>814</v>
      </c>
      <c r="D206" s="27" t="s">
        <v>584</v>
      </c>
      <c r="E206" s="33" t="s">
        <v>593</v>
      </c>
      <c r="F206" s="28">
        <v>1500</v>
      </c>
      <c r="G206" s="28">
        <v>1</v>
      </c>
      <c r="H206" s="28">
        <f t="shared" si="9"/>
        <v>1500</v>
      </c>
      <c r="I206" s="69"/>
      <c r="J206" s="28">
        <v>1</v>
      </c>
      <c r="K206" s="28">
        <v>0</v>
      </c>
      <c r="L206" s="28">
        <v>0.5</v>
      </c>
      <c r="M206" s="28" t="str">
        <f t="shared" si="10"/>
        <v>לא לרכוש</v>
      </c>
      <c r="N206" s="28"/>
      <c r="O206" s="28">
        <v>1000</v>
      </c>
      <c r="P206" s="27"/>
      <c r="Q206" s="27"/>
    </row>
    <row r="207" spans="1:17" s="32" customFormat="1" ht="14.25" customHeight="1">
      <c r="A207" s="33" t="s">
        <v>12</v>
      </c>
      <c r="B207" s="27" t="s">
        <v>441</v>
      </c>
      <c r="C207" s="34" t="s">
        <v>868</v>
      </c>
      <c r="D207" s="27" t="s">
        <v>1013</v>
      </c>
      <c r="E207" s="33" t="s">
        <v>1014</v>
      </c>
      <c r="F207" s="28">
        <v>1500</v>
      </c>
      <c r="G207" s="28">
        <v>1</v>
      </c>
      <c r="H207" s="28">
        <f t="shared" si="9"/>
        <v>1500</v>
      </c>
      <c r="I207" s="69" t="s">
        <v>82</v>
      </c>
      <c r="J207" s="28">
        <v>1</v>
      </c>
      <c r="K207" s="28">
        <v>1</v>
      </c>
      <c r="L207" s="28">
        <v>1</v>
      </c>
      <c r="M207" s="28" t="str">
        <f t="shared" si="10"/>
        <v>לא לרכוש</v>
      </c>
      <c r="N207" s="28"/>
      <c r="O207" s="28">
        <v>1000</v>
      </c>
      <c r="P207" s="27"/>
      <c r="Q207" s="27"/>
    </row>
    <row r="208" spans="1:17" s="32" customFormat="1" ht="14.25" customHeight="1">
      <c r="A208" s="33" t="s">
        <v>12</v>
      </c>
      <c r="B208" s="27" t="s">
        <v>441</v>
      </c>
      <c r="C208" s="34" t="s">
        <v>869</v>
      </c>
      <c r="D208" s="27" t="s">
        <v>1013</v>
      </c>
      <c r="E208" s="33" t="s">
        <v>1014</v>
      </c>
      <c r="F208" s="28">
        <v>1500</v>
      </c>
      <c r="G208" s="28">
        <v>1</v>
      </c>
      <c r="H208" s="28">
        <f t="shared" si="9"/>
        <v>1500</v>
      </c>
      <c r="I208" s="69" t="s">
        <v>82</v>
      </c>
      <c r="J208" s="28">
        <v>1</v>
      </c>
      <c r="K208" s="28">
        <v>1</v>
      </c>
      <c r="L208" s="28">
        <v>1</v>
      </c>
      <c r="M208" s="28" t="str">
        <f t="shared" si="10"/>
        <v>לא לרכוש</v>
      </c>
      <c r="N208" s="28"/>
      <c r="O208" s="28">
        <v>1000</v>
      </c>
      <c r="P208" s="27"/>
      <c r="Q208" s="27"/>
    </row>
    <row r="209" spans="1:17" s="32" customFormat="1" ht="14.25" customHeight="1">
      <c r="A209" s="33" t="s">
        <v>12</v>
      </c>
      <c r="B209" s="27" t="s">
        <v>441</v>
      </c>
      <c r="C209" s="34" t="s">
        <v>870</v>
      </c>
      <c r="D209" s="27" t="s">
        <v>1013</v>
      </c>
      <c r="E209" s="33" t="s">
        <v>1014</v>
      </c>
      <c r="F209" s="28">
        <v>1500</v>
      </c>
      <c r="G209" s="28">
        <v>1</v>
      </c>
      <c r="H209" s="28">
        <f t="shared" si="9"/>
        <v>1500</v>
      </c>
      <c r="I209" s="69" t="s">
        <v>82</v>
      </c>
      <c r="J209" s="28">
        <v>1</v>
      </c>
      <c r="K209" s="28">
        <v>1</v>
      </c>
      <c r="L209" s="28">
        <v>1</v>
      </c>
      <c r="M209" s="28" t="str">
        <f t="shared" si="10"/>
        <v>לא לרכוש</v>
      </c>
      <c r="N209" s="28"/>
      <c r="O209" s="28">
        <v>1000</v>
      </c>
      <c r="P209" s="27"/>
      <c r="Q209" s="27"/>
    </row>
    <row r="210" spans="1:17" s="32" customFormat="1" ht="14.25" customHeight="1">
      <c r="A210" s="33" t="s">
        <v>12</v>
      </c>
      <c r="B210" s="27" t="s">
        <v>441</v>
      </c>
      <c r="C210" s="34" t="s">
        <v>871</v>
      </c>
      <c r="D210" s="27" t="s">
        <v>1013</v>
      </c>
      <c r="E210" s="33" t="s">
        <v>1014</v>
      </c>
      <c r="F210" s="28">
        <v>1500</v>
      </c>
      <c r="G210" s="28">
        <v>1</v>
      </c>
      <c r="H210" s="28">
        <f t="shared" ref="H210:H218" si="11">G210*F210</f>
        <v>1500</v>
      </c>
      <c r="I210" s="69" t="s">
        <v>82</v>
      </c>
      <c r="J210" s="28">
        <v>1</v>
      </c>
      <c r="K210" s="28">
        <v>1</v>
      </c>
      <c r="L210" s="28">
        <v>1</v>
      </c>
      <c r="M210" s="28" t="str">
        <f t="shared" si="10"/>
        <v>לא לרכוש</v>
      </c>
      <c r="N210" s="28"/>
      <c r="O210" s="28">
        <v>1000</v>
      </c>
      <c r="P210" s="27"/>
      <c r="Q210" s="27"/>
    </row>
    <row r="211" spans="1:17" s="32" customFormat="1" ht="14.25" customHeight="1">
      <c r="A211" s="33" t="s">
        <v>12</v>
      </c>
      <c r="B211" s="27" t="s">
        <v>446</v>
      </c>
      <c r="C211" s="34" t="s">
        <v>912</v>
      </c>
      <c r="D211" s="27" t="s">
        <v>1021</v>
      </c>
      <c r="E211" s="33" t="s">
        <v>1014</v>
      </c>
      <c r="F211" s="28">
        <v>1500</v>
      </c>
      <c r="G211" s="28">
        <v>1</v>
      </c>
      <c r="H211" s="28">
        <f t="shared" si="11"/>
        <v>1500</v>
      </c>
      <c r="I211" s="69" t="s">
        <v>82</v>
      </c>
      <c r="J211" s="28">
        <v>1</v>
      </c>
      <c r="K211" s="28">
        <v>1</v>
      </c>
      <c r="L211" s="28">
        <v>0.5</v>
      </c>
      <c r="M211" s="28" t="str">
        <f t="shared" si="10"/>
        <v>לא לרכוש</v>
      </c>
      <c r="N211" s="28"/>
      <c r="O211" s="28">
        <v>1000</v>
      </c>
      <c r="P211" s="27"/>
      <c r="Q211" s="27"/>
    </row>
    <row r="212" spans="1:17" s="32" customFormat="1" ht="14.25" customHeight="1">
      <c r="A212" s="33" t="s">
        <v>12</v>
      </c>
      <c r="B212" s="27" t="s">
        <v>446</v>
      </c>
      <c r="C212" s="34" t="s">
        <v>913</v>
      </c>
      <c r="D212" s="27" t="s">
        <v>1021</v>
      </c>
      <c r="E212" s="33" t="s">
        <v>1014</v>
      </c>
      <c r="F212" s="28">
        <v>1500</v>
      </c>
      <c r="G212" s="28">
        <v>1</v>
      </c>
      <c r="H212" s="28">
        <f t="shared" si="11"/>
        <v>1500</v>
      </c>
      <c r="I212" s="69" t="s">
        <v>82</v>
      </c>
      <c r="J212" s="28">
        <v>1</v>
      </c>
      <c r="K212" s="28">
        <v>1</v>
      </c>
      <c r="L212" s="28">
        <v>0.5</v>
      </c>
      <c r="M212" s="28" t="str">
        <f t="shared" si="10"/>
        <v>לא לרכוש</v>
      </c>
      <c r="N212" s="28"/>
      <c r="O212" s="28">
        <v>1000</v>
      </c>
      <c r="P212" s="27"/>
      <c r="Q212" s="27"/>
    </row>
    <row r="213" spans="1:17" s="32" customFormat="1" ht="14.25" customHeight="1">
      <c r="A213" s="33" t="s">
        <v>17</v>
      </c>
      <c r="B213" s="27" t="s">
        <v>447</v>
      </c>
      <c r="C213" s="34" t="s">
        <v>962</v>
      </c>
      <c r="D213" s="27" t="s">
        <v>471</v>
      </c>
      <c r="E213" s="33" t="s">
        <v>1042</v>
      </c>
      <c r="F213" s="28">
        <v>1500</v>
      </c>
      <c r="G213" s="28">
        <v>1</v>
      </c>
      <c r="H213" s="28">
        <f t="shared" si="11"/>
        <v>1500</v>
      </c>
      <c r="I213" s="69" t="s">
        <v>82</v>
      </c>
      <c r="J213" s="28">
        <v>1</v>
      </c>
      <c r="K213" s="28">
        <v>1</v>
      </c>
      <c r="L213" s="28">
        <v>0.5</v>
      </c>
      <c r="M213" s="28" t="str">
        <f t="shared" si="10"/>
        <v>לא לרכוש</v>
      </c>
      <c r="N213" s="28"/>
      <c r="O213" s="28">
        <v>1000</v>
      </c>
      <c r="P213" s="27"/>
      <c r="Q213" s="27"/>
    </row>
    <row r="214" spans="1:17" s="32" customFormat="1" ht="14.25" customHeight="1">
      <c r="A214" s="33" t="s">
        <v>17</v>
      </c>
      <c r="B214" s="27" t="s">
        <v>447</v>
      </c>
      <c r="C214" s="34" t="s">
        <v>963</v>
      </c>
      <c r="D214" s="27" t="s">
        <v>1017</v>
      </c>
      <c r="E214" s="33" t="s">
        <v>1069</v>
      </c>
      <c r="F214" s="28">
        <v>1500</v>
      </c>
      <c r="G214" s="28">
        <v>1</v>
      </c>
      <c r="H214" s="28">
        <f t="shared" si="11"/>
        <v>1500</v>
      </c>
      <c r="I214" s="69"/>
      <c r="J214" s="28">
        <v>1</v>
      </c>
      <c r="K214" s="28">
        <v>1</v>
      </c>
      <c r="L214" s="28">
        <v>0.5</v>
      </c>
      <c r="M214" s="28" t="str">
        <f t="shared" si="10"/>
        <v>לרכוש</v>
      </c>
      <c r="N214" s="28"/>
      <c r="O214" s="28">
        <v>1000</v>
      </c>
      <c r="P214" s="27"/>
      <c r="Q214" s="27"/>
    </row>
    <row r="215" spans="1:17" s="32" customFormat="1" ht="14.25" customHeight="1">
      <c r="A215" s="33" t="s">
        <v>17</v>
      </c>
      <c r="B215" s="27" t="s">
        <v>447</v>
      </c>
      <c r="C215" s="34" t="s">
        <v>964</v>
      </c>
      <c r="D215" s="27" t="s">
        <v>1017</v>
      </c>
      <c r="E215" s="33" t="s">
        <v>1069</v>
      </c>
      <c r="F215" s="28">
        <v>1500</v>
      </c>
      <c r="G215" s="28">
        <v>1</v>
      </c>
      <c r="H215" s="28">
        <f t="shared" si="11"/>
        <v>1500</v>
      </c>
      <c r="I215" s="69"/>
      <c r="J215" s="28">
        <v>1</v>
      </c>
      <c r="K215" s="28">
        <v>1</v>
      </c>
      <c r="L215" s="28">
        <v>0.5</v>
      </c>
      <c r="M215" s="28" t="str">
        <f t="shared" si="10"/>
        <v>לרכוש</v>
      </c>
      <c r="N215" s="28"/>
      <c r="O215" s="28">
        <v>1000</v>
      </c>
      <c r="P215" s="27"/>
      <c r="Q215" s="27"/>
    </row>
    <row r="216" spans="1:17" s="32" customFormat="1" ht="14.25" customHeight="1">
      <c r="A216" s="33" t="s">
        <v>17</v>
      </c>
      <c r="B216" s="27" t="s">
        <v>447</v>
      </c>
      <c r="C216" s="34" t="s">
        <v>965</v>
      </c>
      <c r="D216" s="27" t="s">
        <v>1017</v>
      </c>
      <c r="E216" s="33" t="s">
        <v>1069</v>
      </c>
      <c r="F216" s="28">
        <v>1500</v>
      </c>
      <c r="G216" s="28">
        <v>1</v>
      </c>
      <c r="H216" s="28">
        <f t="shared" si="11"/>
        <v>1500</v>
      </c>
      <c r="I216" s="69"/>
      <c r="J216" s="28">
        <v>1</v>
      </c>
      <c r="K216" s="28">
        <v>1</v>
      </c>
      <c r="L216" s="28">
        <v>0.5</v>
      </c>
      <c r="M216" s="28" t="str">
        <f t="shared" si="10"/>
        <v>לרכוש</v>
      </c>
      <c r="N216" s="28"/>
      <c r="O216" s="28">
        <v>1000</v>
      </c>
      <c r="P216" s="27"/>
      <c r="Q216" s="27"/>
    </row>
    <row r="217" spans="1:17" s="32" customFormat="1" ht="14.25" customHeight="1">
      <c r="A217" s="33" t="s">
        <v>17</v>
      </c>
      <c r="B217" s="27" t="s">
        <v>447</v>
      </c>
      <c r="C217" s="34" t="s">
        <v>966</v>
      </c>
      <c r="D217" s="27" t="s">
        <v>1017</v>
      </c>
      <c r="E217" s="33" t="s">
        <v>1069</v>
      </c>
      <c r="F217" s="28">
        <v>1500</v>
      </c>
      <c r="G217" s="28">
        <v>1</v>
      </c>
      <c r="H217" s="28">
        <f t="shared" si="11"/>
        <v>1500</v>
      </c>
      <c r="I217" s="69"/>
      <c r="J217" s="28">
        <v>1</v>
      </c>
      <c r="K217" s="28">
        <v>1</v>
      </c>
      <c r="L217" s="28">
        <v>0.5</v>
      </c>
      <c r="M217" s="28" t="str">
        <f t="shared" si="10"/>
        <v>לרכוש</v>
      </c>
      <c r="N217" s="28"/>
      <c r="O217" s="28">
        <v>1000</v>
      </c>
      <c r="P217" s="27"/>
      <c r="Q217" s="27"/>
    </row>
    <row r="218" spans="1:17" s="32" customFormat="1" ht="14.25" customHeight="1">
      <c r="A218" s="33" t="s">
        <v>163</v>
      </c>
      <c r="B218" s="27" t="s">
        <v>167</v>
      </c>
      <c r="C218" s="34" t="s">
        <v>168</v>
      </c>
      <c r="D218" s="28" t="s">
        <v>221</v>
      </c>
      <c r="E218" s="74" t="s">
        <v>169</v>
      </c>
      <c r="F218" s="28">
        <v>1467</v>
      </c>
      <c r="G218" s="28">
        <v>1</v>
      </c>
      <c r="H218" s="28">
        <f t="shared" si="11"/>
        <v>1467</v>
      </c>
      <c r="I218" s="69" t="s">
        <v>82</v>
      </c>
      <c r="J218" s="28">
        <v>3</v>
      </c>
      <c r="K218" s="28">
        <v>1</v>
      </c>
      <c r="L218" s="28">
        <v>1</v>
      </c>
      <c r="M218" s="28" t="str">
        <f t="shared" si="10"/>
        <v>לא לרכוש</v>
      </c>
      <c r="N218" s="28"/>
      <c r="O218" s="28">
        <v>1000</v>
      </c>
      <c r="P218" s="27"/>
      <c r="Q218" s="27" t="s">
        <v>194</v>
      </c>
    </row>
    <row r="219" spans="1:17" s="32" customFormat="1" ht="14.25" customHeight="1">
      <c r="A219" s="37" t="s">
        <v>20</v>
      </c>
      <c r="B219" s="37" t="s">
        <v>116</v>
      </c>
      <c r="C219" s="38" t="s">
        <v>122</v>
      </c>
      <c r="D219" s="33" t="s">
        <v>131</v>
      </c>
      <c r="E219" s="37" t="s">
        <v>138</v>
      </c>
      <c r="F219" s="28">
        <v>1200</v>
      </c>
      <c r="G219" s="28">
        <v>1</v>
      </c>
      <c r="H219" s="28">
        <v>1200</v>
      </c>
      <c r="I219" s="69" t="s">
        <v>82</v>
      </c>
      <c r="J219" s="28">
        <v>1</v>
      </c>
      <c r="K219" s="28">
        <v>1</v>
      </c>
      <c r="L219" s="28">
        <v>1</v>
      </c>
      <c r="M219" s="28" t="str">
        <f t="shared" si="10"/>
        <v>לא לרכוש</v>
      </c>
      <c r="N219" s="28"/>
      <c r="O219" s="28">
        <v>1000</v>
      </c>
      <c r="P219" s="27"/>
      <c r="Q219" s="27"/>
    </row>
    <row r="220" spans="1:17" s="32" customFormat="1" ht="14.25" customHeight="1">
      <c r="A220" s="37" t="s">
        <v>20</v>
      </c>
      <c r="B220" s="37" t="s">
        <v>116</v>
      </c>
      <c r="C220" s="38" t="s">
        <v>125</v>
      </c>
      <c r="D220" s="37" t="s">
        <v>133</v>
      </c>
      <c r="E220" s="37" t="s">
        <v>138</v>
      </c>
      <c r="F220" s="28">
        <v>1200</v>
      </c>
      <c r="G220" s="28">
        <v>1</v>
      </c>
      <c r="H220" s="28">
        <f t="shared" ref="H220:H283" si="12">G220*F220</f>
        <v>1200</v>
      </c>
      <c r="I220" s="69" t="s">
        <v>82</v>
      </c>
      <c r="J220" s="28">
        <v>1</v>
      </c>
      <c r="K220" s="28">
        <v>0</v>
      </c>
      <c r="L220" s="28">
        <v>1</v>
      </c>
      <c r="M220" s="28" t="str">
        <f t="shared" si="10"/>
        <v>לא לרכוש</v>
      </c>
      <c r="N220" s="28"/>
      <c r="O220" s="28"/>
      <c r="P220" s="27"/>
      <c r="Q220" s="27"/>
    </row>
    <row r="221" spans="1:17" s="32" customFormat="1" ht="14.25" customHeight="1">
      <c r="A221" s="33" t="s">
        <v>159</v>
      </c>
      <c r="B221" s="40" t="s">
        <v>205</v>
      </c>
      <c r="C221" s="34" t="s">
        <v>210</v>
      </c>
      <c r="D221" s="27" t="s">
        <v>130</v>
      </c>
      <c r="E221" s="33" t="s">
        <v>215</v>
      </c>
      <c r="F221" s="28">
        <v>1200</v>
      </c>
      <c r="G221" s="28">
        <v>1</v>
      </c>
      <c r="H221" s="28">
        <f t="shared" si="12"/>
        <v>1200</v>
      </c>
      <c r="I221" s="69"/>
      <c r="J221" s="28">
        <v>1</v>
      </c>
      <c r="K221" s="28">
        <v>1</v>
      </c>
      <c r="L221" s="28">
        <v>1</v>
      </c>
      <c r="M221" s="28" t="str">
        <f t="shared" si="10"/>
        <v>לרכוש</v>
      </c>
      <c r="N221" s="28"/>
      <c r="O221" s="28">
        <v>1000</v>
      </c>
      <c r="P221" s="27"/>
      <c r="Q221" s="27"/>
    </row>
    <row r="222" spans="1:17" s="32" customFormat="1" ht="14.25" customHeight="1">
      <c r="A222" s="33" t="s">
        <v>159</v>
      </c>
      <c r="B222" s="27" t="s">
        <v>233</v>
      </c>
      <c r="C222" s="34" t="s">
        <v>236</v>
      </c>
      <c r="D222" s="27" t="s">
        <v>130</v>
      </c>
      <c r="E222" s="33" t="s">
        <v>215</v>
      </c>
      <c r="F222" s="28">
        <v>1200</v>
      </c>
      <c r="G222" s="28">
        <v>1</v>
      </c>
      <c r="H222" s="28">
        <f t="shared" si="12"/>
        <v>1200</v>
      </c>
      <c r="I222" s="69"/>
      <c r="J222" s="28">
        <v>1</v>
      </c>
      <c r="K222" s="28">
        <v>1</v>
      </c>
      <c r="L222" s="28">
        <v>1</v>
      </c>
      <c r="M222" s="28" t="str">
        <f t="shared" si="10"/>
        <v>לרכוש</v>
      </c>
      <c r="N222" s="28"/>
      <c r="O222" s="28">
        <v>1000</v>
      </c>
      <c r="P222" s="27"/>
      <c r="Q222" s="27"/>
    </row>
    <row r="223" spans="1:17" s="32" customFormat="1" ht="14.25" customHeight="1">
      <c r="A223" s="33" t="s">
        <v>271</v>
      </c>
      <c r="B223" s="27" t="s">
        <v>275</v>
      </c>
      <c r="C223" s="34" t="s">
        <v>276</v>
      </c>
      <c r="D223" s="27" t="s">
        <v>299</v>
      </c>
      <c r="E223" s="33" t="s">
        <v>305</v>
      </c>
      <c r="F223" s="28">
        <v>1200</v>
      </c>
      <c r="G223" s="28">
        <v>1</v>
      </c>
      <c r="H223" s="28">
        <f t="shared" si="12"/>
        <v>1200</v>
      </c>
      <c r="I223" s="69" t="s">
        <v>82</v>
      </c>
      <c r="J223" s="28">
        <v>1</v>
      </c>
      <c r="K223" s="28">
        <v>1</v>
      </c>
      <c r="L223" s="28">
        <v>1</v>
      </c>
      <c r="M223" s="28" t="str">
        <f t="shared" si="10"/>
        <v>לא לרכוש</v>
      </c>
      <c r="N223" s="28"/>
      <c r="O223" s="28">
        <v>1000</v>
      </c>
      <c r="P223" s="27"/>
      <c r="Q223" s="27"/>
    </row>
    <row r="224" spans="1:17" s="32" customFormat="1" ht="14.25" customHeight="1">
      <c r="A224" s="33" t="s">
        <v>271</v>
      </c>
      <c r="B224" s="27" t="s">
        <v>275</v>
      </c>
      <c r="C224" s="34" t="s">
        <v>278</v>
      </c>
      <c r="D224" s="27" t="s">
        <v>299</v>
      </c>
      <c r="E224" s="33" t="s">
        <v>305</v>
      </c>
      <c r="F224" s="28">
        <v>1200</v>
      </c>
      <c r="G224" s="28">
        <v>1</v>
      </c>
      <c r="H224" s="28">
        <f t="shared" si="12"/>
        <v>1200</v>
      </c>
      <c r="I224" s="69" t="s">
        <v>82</v>
      </c>
      <c r="J224" s="28">
        <v>1</v>
      </c>
      <c r="K224" s="28">
        <v>1</v>
      </c>
      <c r="L224" s="28">
        <v>1</v>
      </c>
      <c r="M224" s="28" t="str">
        <f t="shared" si="10"/>
        <v>לא לרכוש</v>
      </c>
      <c r="N224" s="28"/>
      <c r="O224" s="28">
        <v>1000</v>
      </c>
      <c r="P224" s="27"/>
      <c r="Q224" s="27"/>
    </row>
    <row r="225" spans="1:17" s="32" customFormat="1" ht="14.25" customHeight="1">
      <c r="A225" s="33" t="s">
        <v>271</v>
      </c>
      <c r="B225" s="27" t="s">
        <v>275</v>
      </c>
      <c r="C225" s="34" t="s">
        <v>280</v>
      </c>
      <c r="D225" s="27" t="s">
        <v>299</v>
      </c>
      <c r="E225" s="33" t="s">
        <v>305</v>
      </c>
      <c r="F225" s="28">
        <v>1200</v>
      </c>
      <c r="G225" s="28">
        <v>1</v>
      </c>
      <c r="H225" s="28">
        <f t="shared" si="12"/>
        <v>1200</v>
      </c>
      <c r="I225" s="69" t="s">
        <v>82</v>
      </c>
      <c r="J225" s="28">
        <v>1</v>
      </c>
      <c r="K225" s="28">
        <v>1</v>
      </c>
      <c r="L225" s="28">
        <v>1</v>
      </c>
      <c r="M225" s="28" t="str">
        <f t="shared" si="10"/>
        <v>לא לרכוש</v>
      </c>
      <c r="N225" s="28"/>
      <c r="O225" s="28">
        <v>1000</v>
      </c>
      <c r="P225" s="27"/>
      <c r="Q225" s="27"/>
    </row>
    <row r="226" spans="1:17" s="32" customFormat="1" ht="14.25" customHeight="1">
      <c r="A226" s="33" t="s">
        <v>271</v>
      </c>
      <c r="B226" s="27" t="s">
        <v>275</v>
      </c>
      <c r="C226" s="34" t="s">
        <v>282</v>
      </c>
      <c r="D226" s="27" t="s">
        <v>299</v>
      </c>
      <c r="E226" s="33" t="s">
        <v>305</v>
      </c>
      <c r="F226" s="28">
        <v>1200</v>
      </c>
      <c r="G226" s="28">
        <v>1</v>
      </c>
      <c r="H226" s="28">
        <f t="shared" si="12"/>
        <v>1200</v>
      </c>
      <c r="I226" s="69" t="s">
        <v>82</v>
      </c>
      <c r="J226" s="28">
        <v>1</v>
      </c>
      <c r="K226" s="28">
        <v>1</v>
      </c>
      <c r="L226" s="28">
        <v>1</v>
      </c>
      <c r="M226" s="28" t="str">
        <f t="shared" si="10"/>
        <v>לא לרכוש</v>
      </c>
      <c r="N226" s="28"/>
      <c r="O226" s="28">
        <v>1000</v>
      </c>
      <c r="P226" s="27"/>
      <c r="Q226" s="27"/>
    </row>
    <row r="227" spans="1:17" s="32" customFormat="1" ht="14.25" customHeight="1">
      <c r="A227" s="33" t="s">
        <v>271</v>
      </c>
      <c r="B227" s="27" t="s">
        <v>275</v>
      </c>
      <c r="C227" s="34" t="s">
        <v>284</v>
      </c>
      <c r="D227" s="27" t="s">
        <v>299</v>
      </c>
      <c r="E227" s="33" t="s">
        <v>305</v>
      </c>
      <c r="F227" s="28">
        <v>1200</v>
      </c>
      <c r="G227" s="28">
        <v>1</v>
      </c>
      <c r="H227" s="28">
        <f t="shared" si="12"/>
        <v>1200</v>
      </c>
      <c r="I227" s="69" t="s">
        <v>82</v>
      </c>
      <c r="J227" s="28">
        <v>1</v>
      </c>
      <c r="K227" s="28">
        <v>1</v>
      </c>
      <c r="L227" s="28">
        <v>1</v>
      </c>
      <c r="M227" s="28" t="str">
        <f t="shared" si="10"/>
        <v>לא לרכוש</v>
      </c>
      <c r="N227" s="28"/>
      <c r="O227" s="28">
        <v>1000</v>
      </c>
      <c r="P227" s="27"/>
      <c r="Q227" s="27"/>
    </row>
    <row r="228" spans="1:17" s="32" customFormat="1" ht="14.25" customHeight="1">
      <c r="A228" s="33" t="s">
        <v>271</v>
      </c>
      <c r="B228" s="27" t="s">
        <v>312</v>
      </c>
      <c r="C228" s="34" t="s">
        <v>313</v>
      </c>
      <c r="D228" s="27" t="s">
        <v>299</v>
      </c>
      <c r="E228" s="33" t="s">
        <v>305</v>
      </c>
      <c r="F228" s="28">
        <v>1200</v>
      </c>
      <c r="G228" s="28">
        <v>1</v>
      </c>
      <c r="H228" s="28">
        <f t="shared" si="12"/>
        <v>1200</v>
      </c>
      <c r="I228" s="69" t="s">
        <v>82</v>
      </c>
      <c r="J228" s="28">
        <v>1</v>
      </c>
      <c r="K228" s="28">
        <v>1</v>
      </c>
      <c r="L228" s="28">
        <v>1</v>
      </c>
      <c r="M228" s="28" t="str">
        <f t="shared" si="10"/>
        <v>לא לרכוש</v>
      </c>
      <c r="N228" s="28"/>
      <c r="O228" s="28">
        <v>1000</v>
      </c>
      <c r="P228" s="27"/>
      <c r="Q228" s="27"/>
    </row>
    <row r="229" spans="1:17" s="32" customFormat="1" ht="14.25" customHeight="1">
      <c r="A229" s="33" t="s">
        <v>271</v>
      </c>
      <c r="B229" s="27" t="s">
        <v>312</v>
      </c>
      <c r="C229" s="34" t="s">
        <v>315</v>
      </c>
      <c r="D229" s="27" t="s">
        <v>299</v>
      </c>
      <c r="E229" s="33" t="s">
        <v>305</v>
      </c>
      <c r="F229" s="28">
        <v>1200</v>
      </c>
      <c r="G229" s="28">
        <v>1</v>
      </c>
      <c r="H229" s="28">
        <f t="shared" si="12"/>
        <v>1200</v>
      </c>
      <c r="I229" s="69" t="s">
        <v>82</v>
      </c>
      <c r="J229" s="28">
        <v>1</v>
      </c>
      <c r="K229" s="28">
        <v>1</v>
      </c>
      <c r="L229" s="28">
        <v>1</v>
      </c>
      <c r="M229" s="28" t="str">
        <f t="shared" si="10"/>
        <v>לא לרכוש</v>
      </c>
      <c r="N229" s="28"/>
      <c r="O229" s="28">
        <v>1000</v>
      </c>
      <c r="P229" s="27"/>
      <c r="Q229" s="27"/>
    </row>
    <row r="230" spans="1:17" s="32" customFormat="1" ht="14.25" customHeight="1">
      <c r="A230" s="33" t="s">
        <v>271</v>
      </c>
      <c r="B230" s="27" t="s">
        <v>312</v>
      </c>
      <c r="C230" s="34" t="s">
        <v>317</v>
      </c>
      <c r="D230" s="27" t="s">
        <v>299</v>
      </c>
      <c r="E230" s="33" t="s">
        <v>305</v>
      </c>
      <c r="F230" s="28">
        <v>1200</v>
      </c>
      <c r="G230" s="28">
        <v>1</v>
      </c>
      <c r="H230" s="28">
        <f t="shared" si="12"/>
        <v>1200</v>
      </c>
      <c r="I230" s="69" t="s">
        <v>82</v>
      </c>
      <c r="J230" s="28">
        <v>1</v>
      </c>
      <c r="K230" s="28">
        <v>1</v>
      </c>
      <c r="L230" s="28">
        <v>1</v>
      </c>
      <c r="M230" s="28" t="str">
        <f t="shared" si="10"/>
        <v>לא לרכוש</v>
      </c>
      <c r="N230" s="28"/>
      <c r="O230" s="28">
        <v>1000</v>
      </c>
      <c r="P230" s="27"/>
      <c r="Q230" s="27"/>
    </row>
    <row r="231" spans="1:17" s="32" customFormat="1" ht="14.25" customHeight="1">
      <c r="A231" s="33" t="s">
        <v>271</v>
      </c>
      <c r="B231" s="27" t="s">
        <v>331</v>
      </c>
      <c r="C231" s="34" t="s">
        <v>333</v>
      </c>
      <c r="D231" s="27" t="s">
        <v>299</v>
      </c>
      <c r="E231" s="33" t="s">
        <v>305</v>
      </c>
      <c r="F231" s="28">
        <v>1200</v>
      </c>
      <c r="G231" s="28">
        <v>1</v>
      </c>
      <c r="H231" s="28">
        <f t="shared" si="12"/>
        <v>1200</v>
      </c>
      <c r="I231" s="69" t="s">
        <v>82</v>
      </c>
      <c r="J231" s="28">
        <v>1</v>
      </c>
      <c r="K231" s="28">
        <v>1</v>
      </c>
      <c r="L231" s="28">
        <v>1</v>
      </c>
      <c r="M231" s="28" t="str">
        <f t="shared" si="10"/>
        <v>לא לרכוש</v>
      </c>
      <c r="N231" s="28"/>
      <c r="O231" s="28">
        <v>1000</v>
      </c>
      <c r="P231" s="27"/>
      <c r="Q231" s="27"/>
    </row>
    <row r="232" spans="1:17" s="32" customFormat="1" ht="14.25" customHeight="1">
      <c r="A232" s="33" t="s">
        <v>274</v>
      </c>
      <c r="B232" s="27" t="s">
        <v>426</v>
      </c>
      <c r="C232" s="34" t="s">
        <v>453</v>
      </c>
      <c r="D232" s="27" t="s">
        <v>299</v>
      </c>
      <c r="E232" s="33" t="s">
        <v>305</v>
      </c>
      <c r="F232" s="28">
        <v>1200</v>
      </c>
      <c r="G232" s="28">
        <v>1</v>
      </c>
      <c r="H232" s="28">
        <f t="shared" si="12"/>
        <v>1200</v>
      </c>
      <c r="I232" s="69" t="s">
        <v>82</v>
      </c>
      <c r="J232" s="28">
        <v>1</v>
      </c>
      <c r="K232" s="28">
        <v>1</v>
      </c>
      <c r="L232" s="28">
        <v>0.5</v>
      </c>
      <c r="M232" s="28" t="str">
        <f t="shared" si="10"/>
        <v>לא לרכוש</v>
      </c>
      <c r="N232" s="28"/>
      <c r="O232" s="28">
        <v>1000</v>
      </c>
      <c r="P232" s="27"/>
      <c r="Q232" s="27"/>
    </row>
    <row r="233" spans="1:17" s="32" customFormat="1" ht="14.25" customHeight="1">
      <c r="A233" s="33" t="s">
        <v>271</v>
      </c>
      <c r="B233" s="27" t="s">
        <v>426</v>
      </c>
      <c r="C233" s="34" t="s">
        <v>454</v>
      </c>
      <c r="D233" s="27" t="s">
        <v>299</v>
      </c>
      <c r="E233" s="33" t="s">
        <v>305</v>
      </c>
      <c r="F233" s="28">
        <v>1200</v>
      </c>
      <c r="G233" s="28">
        <v>1</v>
      </c>
      <c r="H233" s="28">
        <f t="shared" si="12"/>
        <v>1200</v>
      </c>
      <c r="I233" s="69" t="s">
        <v>82</v>
      </c>
      <c r="J233" s="28">
        <v>1</v>
      </c>
      <c r="K233" s="28">
        <v>1</v>
      </c>
      <c r="L233" s="28">
        <v>0.5</v>
      </c>
      <c r="M233" s="28" t="str">
        <f t="shared" si="10"/>
        <v>לא לרכוש</v>
      </c>
      <c r="N233" s="28"/>
      <c r="O233" s="28">
        <v>1000</v>
      </c>
      <c r="P233" s="27"/>
      <c r="Q233" s="27"/>
    </row>
    <row r="234" spans="1:17" s="32" customFormat="1" ht="14.25" customHeight="1">
      <c r="A234" s="33" t="s">
        <v>271</v>
      </c>
      <c r="B234" s="27" t="s">
        <v>426</v>
      </c>
      <c r="C234" s="34" t="s">
        <v>455</v>
      </c>
      <c r="D234" s="27" t="s">
        <v>299</v>
      </c>
      <c r="E234" s="33" t="s">
        <v>305</v>
      </c>
      <c r="F234" s="28">
        <v>1200</v>
      </c>
      <c r="G234" s="28">
        <v>1</v>
      </c>
      <c r="H234" s="28">
        <f t="shared" si="12"/>
        <v>1200</v>
      </c>
      <c r="I234" s="69" t="s">
        <v>82</v>
      </c>
      <c r="J234" s="28">
        <v>1</v>
      </c>
      <c r="K234" s="28">
        <v>1</v>
      </c>
      <c r="L234" s="28">
        <v>0.5</v>
      </c>
      <c r="M234" s="28" t="str">
        <f t="shared" si="10"/>
        <v>לא לרכוש</v>
      </c>
      <c r="N234" s="28"/>
      <c r="O234" s="28">
        <v>1000</v>
      </c>
      <c r="P234" s="27"/>
      <c r="Q234" s="27"/>
    </row>
    <row r="235" spans="1:17" s="32" customFormat="1" ht="14.25" customHeight="1">
      <c r="A235" s="33" t="s">
        <v>271</v>
      </c>
      <c r="B235" s="27" t="s">
        <v>426</v>
      </c>
      <c r="C235" s="34" t="s">
        <v>456</v>
      </c>
      <c r="D235" s="27" t="s">
        <v>299</v>
      </c>
      <c r="E235" s="33" t="s">
        <v>305</v>
      </c>
      <c r="F235" s="28">
        <v>1200</v>
      </c>
      <c r="G235" s="28">
        <v>1</v>
      </c>
      <c r="H235" s="28">
        <f t="shared" si="12"/>
        <v>1200</v>
      </c>
      <c r="I235" s="69" t="s">
        <v>82</v>
      </c>
      <c r="J235" s="28">
        <v>1</v>
      </c>
      <c r="K235" s="28">
        <v>1</v>
      </c>
      <c r="L235" s="28">
        <v>0.5</v>
      </c>
      <c r="M235" s="28" t="str">
        <f t="shared" si="10"/>
        <v>לא לרכוש</v>
      </c>
      <c r="N235" s="28"/>
      <c r="O235" s="28">
        <v>1000</v>
      </c>
      <c r="P235" s="27"/>
      <c r="Q235" s="27"/>
    </row>
    <row r="236" spans="1:17" s="32" customFormat="1" ht="14.25" customHeight="1">
      <c r="A236" s="33" t="s">
        <v>271</v>
      </c>
      <c r="B236" s="27" t="s">
        <v>426</v>
      </c>
      <c r="C236" s="34" t="s">
        <v>457</v>
      </c>
      <c r="D236" s="27" t="s">
        <v>299</v>
      </c>
      <c r="E236" s="33" t="s">
        <v>305</v>
      </c>
      <c r="F236" s="28">
        <v>1200</v>
      </c>
      <c r="G236" s="28">
        <v>1</v>
      </c>
      <c r="H236" s="28">
        <f t="shared" si="12"/>
        <v>1200</v>
      </c>
      <c r="I236" s="69" t="s">
        <v>82</v>
      </c>
      <c r="J236" s="28">
        <v>1</v>
      </c>
      <c r="K236" s="28">
        <v>1</v>
      </c>
      <c r="L236" s="28">
        <v>0.5</v>
      </c>
      <c r="M236" s="28" t="str">
        <f t="shared" si="10"/>
        <v>לא לרכוש</v>
      </c>
      <c r="N236" s="28"/>
      <c r="O236" s="28">
        <v>1000</v>
      </c>
      <c r="P236" s="27"/>
      <c r="Q236" s="27"/>
    </row>
    <row r="237" spans="1:17" s="32" customFormat="1" ht="14.25" customHeight="1">
      <c r="A237" s="33" t="s">
        <v>271</v>
      </c>
      <c r="B237" s="27" t="s">
        <v>426</v>
      </c>
      <c r="C237" s="34" t="s">
        <v>458</v>
      </c>
      <c r="D237" s="27" t="s">
        <v>299</v>
      </c>
      <c r="E237" s="33" t="s">
        <v>305</v>
      </c>
      <c r="F237" s="28">
        <v>1200</v>
      </c>
      <c r="G237" s="28">
        <v>1</v>
      </c>
      <c r="H237" s="28">
        <f t="shared" si="12"/>
        <v>1200</v>
      </c>
      <c r="I237" s="69" t="s">
        <v>82</v>
      </c>
      <c r="J237" s="28">
        <v>1</v>
      </c>
      <c r="K237" s="28">
        <v>1</v>
      </c>
      <c r="L237" s="28">
        <v>0.5</v>
      </c>
      <c r="M237" s="28" t="str">
        <f t="shared" si="10"/>
        <v>לא לרכוש</v>
      </c>
      <c r="N237" s="28"/>
      <c r="O237" s="28">
        <v>1000</v>
      </c>
      <c r="P237" s="27"/>
      <c r="Q237" s="27"/>
    </row>
    <row r="238" spans="1:17" s="32" customFormat="1" ht="14.25" customHeight="1">
      <c r="A238" s="33" t="s">
        <v>271</v>
      </c>
      <c r="B238" s="27" t="s">
        <v>426</v>
      </c>
      <c r="C238" s="34" t="s">
        <v>459</v>
      </c>
      <c r="D238" s="27" t="s">
        <v>299</v>
      </c>
      <c r="E238" s="33" t="s">
        <v>305</v>
      </c>
      <c r="F238" s="28">
        <v>1200</v>
      </c>
      <c r="G238" s="28">
        <v>1</v>
      </c>
      <c r="H238" s="28">
        <f t="shared" si="12"/>
        <v>1200</v>
      </c>
      <c r="I238" s="69" t="s">
        <v>82</v>
      </c>
      <c r="J238" s="28">
        <v>1</v>
      </c>
      <c r="K238" s="28">
        <v>1</v>
      </c>
      <c r="L238" s="28">
        <v>0.5</v>
      </c>
      <c r="M238" s="28" t="str">
        <f t="shared" si="10"/>
        <v>לא לרכוש</v>
      </c>
      <c r="N238" s="28"/>
      <c r="O238" s="28">
        <v>1000</v>
      </c>
      <c r="P238" s="27"/>
      <c r="Q238" s="27"/>
    </row>
    <row r="239" spans="1:17" s="32" customFormat="1" ht="14.25" customHeight="1">
      <c r="A239" s="33" t="s">
        <v>271</v>
      </c>
      <c r="B239" s="27" t="s">
        <v>426</v>
      </c>
      <c r="C239" s="34" t="s">
        <v>460</v>
      </c>
      <c r="D239" s="27" t="s">
        <v>299</v>
      </c>
      <c r="E239" s="33" t="s">
        <v>305</v>
      </c>
      <c r="F239" s="28">
        <v>1200</v>
      </c>
      <c r="G239" s="28">
        <v>1</v>
      </c>
      <c r="H239" s="28">
        <f t="shared" si="12"/>
        <v>1200</v>
      </c>
      <c r="I239" s="69" t="s">
        <v>82</v>
      </c>
      <c r="J239" s="28">
        <v>1</v>
      </c>
      <c r="K239" s="28">
        <v>1</v>
      </c>
      <c r="L239" s="28">
        <v>0.5</v>
      </c>
      <c r="M239" s="28" t="str">
        <f t="shared" si="10"/>
        <v>לא לרכוש</v>
      </c>
      <c r="N239" s="28"/>
      <c r="O239" s="28">
        <v>1000</v>
      </c>
      <c r="P239" s="27"/>
      <c r="Q239" s="27"/>
    </row>
    <row r="240" spans="1:17" s="32" customFormat="1" ht="14.25" customHeight="1">
      <c r="A240" s="33" t="s">
        <v>271</v>
      </c>
      <c r="B240" s="27" t="s">
        <v>426</v>
      </c>
      <c r="C240" s="34" t="s">
        <v>462</v>
      </c>
      <c r="D240" s="27" t="s">
        <v>299</v>
      </c>
      <c r="E240" s="33" t="s">
        <v>305</v>
      </c>
      <c r="F240" s="28">
        <v>1200</v>
      </c>
      <c r="G240" s="28">
        <v>1</v>
      </c>
      <c r="H240" s="28">
        <f t="shared" si="12"/>
        <v>1200</v>
      </c>
      <c r="I240" s="69" t="s">
        <v>82</v>
      </c>
      <c r="J240" s="28">
        <v>1</v>
      </c>
      <c r="K240" s="28">
        <v>1</v>
      </c>
      <c r="L240" s="28">
        <v>0.5</v>
      </c>
      <c r="M240" s="28" t="str">
        <f t="shared" si="10"/>
        <v>לא לרכוש</v>
      </c>
      <c r="N240" s="28"/>
      <c r="O240" s="28">
        <v>1000</v>
      </c>
      <c r="P240" s="27"/>
      <c r="Q240" s="27"/>
    </row>
    <row r="241" spans="1:17" s="32" customFormat="1" ht="14.25" customHeight="1">
      <c r="A241" s="33" t="s">
        <v>271</v>
      </c>
      <c r="B241" s="27" t="s">
        <v>426</v>
      </c>
      <c r="C241" s="34" t="s">
        <v>464</v>
      </c>
      <c r="D241" s="27" t="s">
        <v>299</v>
      </c>
      <c r="E241" s="33" t="s">
        <v>305</v>
      </c>
      <c r="F241" s="28">
        <v>1200</v>
      </c>
      <c r="G241" s="28">
        <v>1</v>
      </c>
      <c r="H241" s="28">
        <f t="shared" si="12"/>
        <v>1200</v>
      </c>
      <c r="I241" s="69" t="s">
        <v>82</v>
      </c>
      <c r="J241" s="28">
        <v>1</v>
      </c>
      <c r="K241" s="28">
        <v>1</v>
      </c>
      <c r="L241" s="28">
        <v>0.5</v>
      </c>
      <c r="M241" s="28" t="str">
        <f t="shared" si="10"/>
        <v>לא לרכוש</v>
      </c>
      <c r="N241" s="28"/>
      <c r="O241" s="28">
        <v>1000</v>
      </c>
      <c r="P241" s="27"/>
      <c r="Q241" s="27"/>
    </row>
    <row r="242" spans="1:17" s="32" customFormat="1" ht="14.25" customHeight="1">
      <c r="A242" s="33" t="s">
        <v>17</v>
      </c>
      <c r="B242" s="27" t="s">
        <v>426</v>
      </c>
      <c r="C242" s="34" t="s">
        <v>465</v>
      </c>
      <c r="D242" s="27" t="s">
        <v>301</v>
      </c>
      <c r="E242" s="33" t="s">
        <v>474</v>
      </c>
      <c r="F242" s="28">
        <v>1200</v>
      </c>
      <c r="G242" s="28">
        <v>1</v>
      </c>
      <c r="H242" s="28">
        <f t="shared" si="12"/>
        <v>1200</v>
      </c>
      <c r="I242" s="69" t="s">
        <v>82</v>
      </c>
      <c r="J242" s="28">
        <v>1</v>
      </c>
      <c r="K242" s="28">
        <v>1</v>
      </c>
      <c r="L242" s="28">
        <v>0.5</v>
      </c>
      <c r="M242" s="28" t="str">
        <f t="shared" si="10"/>
        <v>לא לרכוש</v>
      </c>
      <c r="N242" s="28"/>
      <c r="O242" s="28">
        <v>1000</v>
      </c>
      <c r="P242" s="27"/>
      <c r="Q242" s="27"/>
    </row>
    <row r="243" spans="1:17" s="32" customFormat="1" ht="14.25" customHeight="1">
      <c r="A243" s="33" t="s">
        <v>271</v>
      </c>
      <c r="B243" s="27" t="s">
        <v>426</v>
      </c>
      <c r="C243" s="34" t="s">
        <v>482</v>
      </c>
      <c r="D243" s="27" t="s">
        <v>299</v>
      </c>
      <c r="E243" s="33" t="s">
        <v>305</v>
      </c>
      <c r="F243" s="28">
        <v>1200</v>
      </c>
      <c r="G243" s="28">
        <v>1</v>
      </c>
      <c r="H243" s="28">
        <f t="shared" si="12"/>
        <v>1200</v>
      </c>
      <c r="I243" s="69" t="s">
        <v>82</v>
      </c>
      <c r="J243" s="28">
        <v>1</v>
      </c>
      <c r="K243" s="28">
        <v>1</v>
      </c>
      <c r="L243" s="28">
        <v>0.5</v>
      </c>
      <c r="M243" s="28" t="str">
        <f t="shared" si="10"/>
        <v>לא לרכוש</v>
      </c>
      <c r="N243" s="28"/>
      <c r="O243" s="28">
        <v>1000</v>
      </c>
      <c r="P243" s="27"/>
      <c r="Q243" s="27"/>
    </row>
    <row r="244" spans="1:17" s="32" customFormat="1" ht="14.25" customHeight="1">
      <c r="A244" s="33" t="s">
        <v>332</v>
      </c>
      <c r="B244" s="27" t="s">
        <v>426</v>
      </c>
      <c r="C244" s="34" t="s">
        <v>483</v>
      </c>
      <c r="D244" s="27" t="s">
        <v>301</v>
      </c>
      <c r="E244" s="33" t="s">
        <v>474</v>
      </c>
      <c r="F244" s="28">
        <v>1200</v>
      </c>
      <c r="G244" s="28">
        <v>1</v>
      </c>
      <c r="H244" s="28">
        <f t="shared" si="12"/>
        <v>1200</v>
      </c>
      <c r="I244" s="69" t="s">
        <v>82</v>
      </c>
      <c r="J244" s="28">
        <v>1</v>
      </c>
      <c r="K244" s="28">
        <v>1</v>
      </c>
      <c r="L244" s="28">
        <v>0.5</v>
      </c>
      <c r="M244" s="28" t="str">
        <f t="shared" si="10"/>
        <v>לא לרכוש</v>
      </c>
      <c r="N244" s="28"/>
      <c r="O244" s="28">
        <v>1000</v>
      </c>
      <c r="P244" s="27"/>
      <c r="Q244" s="27"/>
    </row>
    <row r="245" spans="1:17" s="32" customFormat="1" ht="14.25" customHeight="1">
      <c r="A245" s="33" t="s">
        <v>20</v>
      </c>
      <c r="B245" s="27" t="s">
        <v>426</v>
      </c>
      <c r="C245" s="34" t="s">
        <v>484</v>
      </c>
      <c r="D245" s="27" t="s">
        <v>301</v>
      </c>
      <c r="E245" s="33" t="s">
        <v>474</v>
      </c>
      <c r="F245" s="28">
        <v>1200</v>
      </c>
      <c r="G245" s="28">
        <v>1</v>
      </c>
      <c r="H245" s="28">
        <f t="shared" si="12"/>
        <v>1200</v>
      </c>
      <c r="I245" s="69" t="s">
        <v>82</v>
      </c>
      <c r="J245" s="28">
        <v>1</v>
      </c>
      <c r="K245" s="28">
        <v>1</v>
      </c>
      <c r="L245" s="28">
        <v>0.5</v>
      </c>
      <c r="M245" s="28" t="str">
        <f t="shared" si="10"/>
        <v>לא לרכוש</v>
      </c>
      <c r="N245" s="28"/>
      <c r="O245" s="28">
        <v>1000</v>
      </c>
      <c r="P245" s="27"/>
      <c r="Q245" s="27"/>
    </row>
    <row r="246" spans="1:17" s="32" customFormat="1" ht="14.25" customHeight="1">
      <c r="A246" s="33" t="s">
        <v>271</v>
      </c>
      <c r="B246" s="27" t="s">
        <v>426</v>
      </c>
      <c r="C246" s="34" t="s">
        <v>486</v>
      </c>
      <c r="D246" s="27" t="s">
        <v>299</v>
      </c>
      <c r="E246" s="33" t="s">
        <v>305</v>
      </c>
      <c r="F246" s="28">
        <v>1200</v>
      </c>
      <c r="G246" s="28">
        <v>1</v>
      </c>
      <c r="H246" s="28">
        <f t="shared" si="12"/>
        <v>1200</v>
      </c>
      <c r="I246" s="69" t="s">
        <v>82</v>
      </c>
      <c r="J246" s="28">
        <v>1</v>
      </c>
      <c r="K246" s="28">
        <v>1</v>
      </c>
      <c r="L246" s="28">
        <v>0.5</v>
      </c>
      <c r="M246" s="28" t="str">
        <f t="shared" si="10"/>
        <v>לא לרכוש</v>
      </c>
      <c r="N246" s="28"/>
      <c r="O246" s="28">
        <v>1000</v>
      </c>
      <c r="P246" s="27"/>
      <c r="Q246" s="27"/>
    </row>
    <row r="247" spans="1:17" s="32" customFormat="1" ht="14.25" customHeight="1">
      <c r="A247" s="33" t="s">
        <v>271</v>
      </c>
      <c r="B247" s="27" t="s">
        <v>426</v>
      </c>
      <c r="C247" s="34" t="s">
        <v>489</v>
      </c>
      <c r="D247" s="27" t="s">
        <v>299</v>
      </c>
      <c r="E247" s="33" t="s">
        <v>305</v>
      </c>
      <c r="F247" s="28">
        <v>1200</v>
      </c>
      <c r="G247" s="28">
        <v>1</v>
      </c>
      <c r="H247" s="28">
        <f t="shared" si="12"/>
        <v>1200</v>
      </c>
      <c r="I247" s="69" t="s">
        <v>82</v>
      </c>
      <c r="J247" s="28">
        <v>1</v>
      </c>
      <c r="K247" s="28">
        <v>1</v>
      </c>
      <c r="L247" s="28">
        <v>0.5</v>
      </c>
      <c r="M247" s="28" t="str">
        <f t="shared" si="10"/>
        <v>לא לרכוש</v>
      </c>
      <c r="N247" s="28"/>
      <c r="O247" s="28">
        <v>1000</v>
      </c>
      <c r="P247" s="27"/>
      <c r="Q247" s="27"/>
    </row>
    <row r="248" spans="1:17" s="32" customFormat="1" ht="14.25" customHeight="1">
      <c r="A248" s="33" t="s">
        <v>332</v>
      </c>
      <c r="B248" s="27" t="s">
        <v>426</v>
      </c>
      <c r="C248" s="34" t="s">
        <v>490</v>
      </c>
      <c r="D248" s="27" t="s">
        <v>301</v>
      </c>
      <c r="E248" s="33" t="s">
        <v>474</v>
      </c>
      <c r="F248" s="28">
        <v>1200</v>
      </c>
      <c r="G248" s="28">
        <v>1</v>
      </c>
      <c r="H248" s="28">
        <f t="shared" si="12"/>
        <v>1200</v>
      </c>
      <c r="I248" s="69" t="s">
        <v>82</v>
      </c>
      <c r="J248" s="28">
        <v>1</v>
      </c>
      <c r="K248" s="28">
        <v>1</v>
      </c>
      <c r="L248" s="28">
        <v>0.5</v>
      </c>
      <c r="M248" s="28" t="str">
        <f t="shared" si="10"/>
        <v>לא לרכוש</v>
      </c>
      <c r="N248" s="28"/>
      <c r="O248" s="28">
        <v>1000</v>
      </c>
      <c r="P248" s="27"/>
      <c r="Q248" s="27"/>
    </row>
    <row r="249" spans="1:17" s="32" customFormat="1" ht="14.25" customHeight="1">
      <c r="A249" s="33" t="s">
        <v>20</v>
      </c>
      <c r="B249" s="27" t="s">
        <v>426</v>
      </c>
      <c r="C249" s="34" t="s">
        <v>491</v>
      </c>
      <c r="D249" s="27" t="s">
        <v>301</v>
      </c>
      <c r="E249" s="33" t="s">
        <v>474</v>
      </c>
      <c r="F249" s="28">
        <v>1200</v>
      </c>
      <c r="G249" s="28">
        <v>1</v>
      </c>
      <c r="H249" s="28">
        <f t="shared" si="12"/>
        <v>1200</v>
      </c>
      <c r="I249" s="69" t="s">
        <v>82</v>
      </c>
      <c r="J249" s="28">
        <v>1</v>
      </c>
      <c r="K249" s="28">
        <v>1</v>
      </c>
      <c r="L249" s="28">
        <v>0.5</v>
      </c>
      <c r="M249" s="28" t="str">
        <f t="shared" si="10"/>
        <v>לא לרכוש</v>
      </c>
      <c r="N249" s="28"/>
      <c r="O249" s="28">
        <v>1000</v>
      </c>
      <c r="P249" s="27"/>
      <c r="Q249" s="27"/>
    </row>
    <row r="250" spans="1:17" s="32" customFormat="1" ht="14.25" customHeight="1">
      <c r="A250" s="33" t="s">
        <v>271</v>
      </c>
      <c r="B250" s="27" t="s">
        <v>426</v>
      </c>
      <c r="C250" s="34" t="s">
        <v>492</v>
      </c>
      <c r="D250" s="27" t="s">
        <v>299</v>
      </c>
      <c r="E250" s="33" t="s">
        <v>305</v>
      </c>
      <c r="F250" s="28">
        <v>1200</v>
      </c>
      <c r="G250" s="28">
        <v>1</v>
      </c>
      <c r="H250" s="28">
        <f t="shared" si="12"/>
        <v>1200</v>
      </c>
      <c r="I250" s="69" t="s">
        <v>82</v>
      </c>
      <c r="J250" s="28">
        <v>1</v>
      </c>
      <c r="K250" s="28">
        <v>1</v>
      </c>
      <c r="L250" s="28">
        <v>0.5</v>
      </c>
      <c r="M250" s="28" t="str">
        <f t="shared" si="10"/>
        <v>לא לרכוש</v>
      </c>
      <c r="N250" s="28"/>
      <c r="O250" s="28">
        <v>1000</v>
      </c>
      <c r="P250" s="27"/>
      <c r="Q250" s="27"/>
    </row>
    <row r="251" spans="1:17" s="32" customFormat="1" ht="14.25" customHeight="1">
      <c r="A251" s="33" t="s">
        <v>20</v>
      </c>
      <c r="B251" s="27" t="s">
        <v>426</v>
      </c>
      <c r="C251" s="34" t="s">
        <v>493</v>
      </c>
      <c r="D251" s="27" t="s">
        <v>301</v>
      </c>
      <c r="E251" s="33" t="s">
        <v>474</v>
      </c>
      <c r="F251" s="28">
        <v>1200</v>
      </c>
      <c r="G251" s="28">
        <v>1</v>
      </c>
      <c r="H251" s="28">
        <f t="shared" si="12"/>
        <v>1200</v>
      </c>
      <c r="I251" s="69" t="s">
        <v>82</v>
      </c>
      <c r="J251" s="28">
        <v>1</v>
      </c>
      <c r="K251" s="28">
        <v>1</v>
      </c>
      <c r="L251" s="28">
        <v>0.5</v>
      </c>
      <c r="M251" s="28" t="str">
        <f t="shared" si="10"/>
        <v>לא לרכוש</v>
      </c>
      <c r="N251" s="28"/>
      <c r="O251" s="28">
        <v>1000</v>
      </c>
      <c r="P251" s="27"/>
      <c r="Q251" s="27"/>
    </row>
    <row r="252" spans="1:17" s="32" customFormat="1" ht="14.25" customHeight="1">
      <c r="A252" s="33" t="s">
        <v>271</v>
      </c>
      <c r="B252" s="27" t="s">
        <v>426</v>
      </c>
      <c r="C252" s="34" t="s">
        <v>495</v>
      </c>
      <c r="D252" s="27" t="s">
        <v>299</v>
      </c>
      <c r="E252" s="33" t="s">
        <v>305</v>
      </c>
      <c r="F252" s="28">
        <v>1200</v>
      </c>
      <c r="G252" s="28">
        <v>1</v>
      </c>
      <c r="H252" s="28">
        <f t="shared" si="12"/>
        <v>1200</v>
      </c>
      <c r="I252" s="69" t="s">
        <v>82</v>
      </c>
      <c r="J252" s="28">
        <v>1</v>
      </c>
      <c r="K252" s="28">
        <v>1</v>
      </c>
      <c r="L252" s="28">
        <v>0.5</v>
      </c>
      <c r="M252" s="28" t="str">
        <f t="shared" si="10"/>
        <v>לא לרכוש</v>
      </c>
      <c r="N252" s="28"/>
      <c r="O252" s="28">
        <v>1000</v>
      </c>
      <c r="P252" s="27"/>
      <c r="Q252" s="27"/>
    </row>
    <row r="253" spans="1:17" s="32" customFormat="1" ht="14.25" customHeight="1">
      <c r="A253" s="33" t="s">
        <v>583</v>
      </c>
      <c r="B253" s="27" t="s">
        <v>431</v>
      </c>
      <c r="C253" s="34" t="s">
        <v>570</v>
      </c>
      <c r="D253" s="27" t="s">
        <v>588</v>
      </c>
      <c r="E253" s="33" t="s">
        <v>598</v>
      </c>
      <c r="F253" s="28">
        <v>1200</v>
      </c>
      <c r="G253" s="28">
        <v>1</v>
      </c>
      <c r="H253" s="28">
        <f t="shared" si="12"/>
        <v>1200</v>
      </c>
      <c r="I253" s="69"/>
      <c r="J253" s="28">
        <v>1</v>
      </c>
      <c r="K253" s="28">
        <v>1</v>
      </c>
      <c r="L253" s="28">
        <v>1</v>
      </c>
      <c r="M253" s="28" t="str">
        <f t="shared" si="10"/>
        <v>לרכוש</v>
      </c>
      <c r="N253" s="28"/>
      <c r="O253" s="28">
        <v>1000</v>
      </c>
      <c r="P253" s="27"/>
      <c r="Q253" s="27"/>
    </row>
    <row r="254" spans="1:17" s="32" customFormat="1" ht="14.25" customHeight="1">
      <c r="A254" s="33" t="s">
        <v>332</v>
      </c>
      <c r="B254" s="27" t="s">
        <v>431</v>
      </c>
      <c r="C254" s="34" t="s">
        <v>578</v>
      </c>
      <c r="D254" s="27" t="s">
        <v>470</v>
      </c>
      <c r="E254" s="33" t="s">
        <v>602</v>
      </c>
      <c r="F254" s="28">
        <v>1200</v>
      </c>
      <c r="G254" s="28">
        <v>1</v>
      </c>
      <c r="H254" s="28">
        <f t="shared" si="12"/>
        <v>1200</v>
      </c>
      <c r="I254" s="69"/>
      <c r="J254" s="28">
        <v>1</v>
      </c>
      <c r="K254" s="28">
        <v>1</v>
      </c>
      <c r="L254" s="28">
        <v>1</v>
      </c>
      <c r="M254" s="28" t="str">
        <f t="shared" si="10"/>
        <v>לרכוש</v>
      </c>
      <c r="N254" s="28"/>
      <c r="O254" s="28">
        <v>1000</v>
      </c>
      <c r="P254" s="27"/>
      <c r="Q254" s="27"/>
    </row>
    <row r="255" spans="1:17" s="32" customFormat="1" ht="14.25" customHeight="1">
      <c r="A255" s="33" t="s">
        <v>20</v>
      </c>
      <c r="B255" s="27" t="s">
        <v>431</v>
      </c>
      <c r="C255" s="34" t="s">
        <v>579</v>
      </c>
      <c r="D255" s="27" t="s">
        <v>470</v>
      </c>
      <c r="E255" s="33" t="s">
        <v>602</v>
      </c>
      <c r="F255" s="28">
        <v>1200</v>
      </c>
      <c r="G255" s="28">
        <v>1</v>
      </c>
      <c r="H255" s="28">
        <f t="shared" si="12"/>
        <v>1200</v>
      </c>
      <c r="I255" s="69"/>
      <c r="J255" s="28">
        <v>1</v>
      </c>
      <c r="K255" s="28">
        <v>1</v>
      </c>
      <c r="L255" s="28">
        <v>1</v>
      </c>
      <c r="M255" s="28" t="str">
        <f t="shared" si="10"/>
        <v>לרכוש</v>
      </c>
      <c r="N255" s="28"/>
      <c r="O255" s="28">
        <v>1000</v>
      </c>
      <c r="P255" s="27"/>
      <c r="Q255" s="27"/>
    </row>
    <row r="256" spans="1:17" s="32" customFormat="1" ht="14.25" customHeight="1">
      <c r="A256" s="33" t="s">
        <v>271</v>
      </c>
      <c r="B256" s="27" t="s">
        <v>431</v>
      </c>
      <c r="C256" s="34" t="s">
        <v>580</v>
      </c>
      <c r="D256" s="27" t="s">
        <v>299</v>
      </c>
      <c r="E256" s="33" t="s">
        <v>603</v>
      </c>
      <c r="F256" s="28">
        <v>1200</v>
      </c>
      <c r="G256" s="28">
        <v>1</v>
      </c>
      <c r="H256" s="28">
        <f t="shared" si="12"/>
        <v>1200</v>
      </c>
      <c r="I256" s="69"/>
      <c r="J256" s="28">
        <v>1</v>
      </c>
      <c r="K256" s="28">
        <v>1</v>
      </c>
      <c r="L256" s="28">
        <v>0.5</v>
      </c>
      <c r="M256" s="28" t="str">
        <f t="shared" si="10"/>
        <v>לרכוש</v>
      </c>
      <c r="N256" s="28"/>
      <c r="O256" s="28">
        <v>1000</v>
      </c>
      <c r="P256" s="27"/>
      <c r="Q256" s="27"/>
    </row>
    <row r="257" spans="1:17" s="32" customFormat="1" ht="14.25" customHeight="1">
      <c r="A257" s="33" t="s">
        <v>332</v>
      </c>
      <c r="B257" s="27" t="s">
        <v>431</v>
      </c>
      <c r="C257" s="34" t="s">
        <v>581</v>
      </c>
      <c r="D257" s="27" t="s">
        <v>470</v>
      </c>
      <c r="E257" s="33" t="s">
        <v>602</v>
      </c>
      <c r="F257" s="28">
        <v>1200</v>
      </c>
      <c r="G257" s="28">
        <v>1</v>
      </c>
      <c r="H257" s="28">
        <f t="shared" si="12"/>
        <v>1200</v>
      </c>
      <c r="I257" s="69"/>
      <c r="J257" s="28">
        <v>1</v>
      </c>
      <c r="K257" s="28">
        <v>1</v>
      </c>
      <c r="L257" s="28">
        <v>1</v>
      </c>
      <c r="M257" s="28" t="str">
        <f t="shared" si="10"/>
        <v>לרכוש</v>
      </c>
      <c r="N257" s="28"/>
      <c r="O257" s="28">
        <v>1000</v>
      </c>
      <c r="P257" s="27"/>
      <c r="Q257" s="27"/>
    </row>
    <row r="258" spans="1:17" s="32" customFormat="1" ht="14.25" customHeight="1">
      <c r="A258" s="33" t="s">
        <v>20</v>
      </c>
      <c r="B258" s="27" t="s">
        <v>431</v>
      </c>
      <c r="C258" s="34" t="s">
        <v>582</v>
      </c>
      <c r="D258" s="27" t="s">
        <v>470</v>
      </c>
      <c r="E258" s="33" t="s">
        <v>602</v>
      </c>
      <c r="F258" s="28">
        <v>1200</v>
      </c>
      <c r="G258" s="28">
        <v>1</v>
      </c>
      <c r="H258" s="28">
        <f t="shared" si="12"/>
        <v>1200</v>
      </c>
      <c r="I258" s="69"/>
      <c r="J258" s="28">
        <v>1</v>
      </c>
      <c r="K258" s="28">
        <v>1</v>
      </c>
      <c r="L258" s="28">
        <v>1</v>
      </c>
      <c r="M258" s="28" t="str">
        <f t="shared" si="10"/>
        <v>לרכוש</v>
      </c>
      <c r="N258" s="28"/>
      <c r="O258" s="28">
        <v>1000</v>
      </c>
      <c r="P258" s="27"/>
      <c r="Q258" s="27"/>
    </row>
    <row r="259" spans="1:17" s="32" customFormat="1" ht="14.25" customHeight="1">
      <c r="A259" s="27" t="s">
        <v>17</v>
      </c>
      <c r="B259" s="33" t="s">
        <v>433</v>
      </c>
      <c r="C259" s="34" t="s">
        <v>646</v>
      </c>
      <c r="D259" s="63" t="s">
        <v>301</v>
      </c>
      <c r="E259" s="33" t="s">
        <v>759</v>
      </c>
      <c r="F259" s="28">
        <v>1200</v>
      </c>
      <c r="G259" s="28">
        <v>1</v>
      </c>
      <c r="H259" s="28">
        <f t="shared" si="12"/>
        <v>1200</v>
      </c>
      <c r="I259" s="69" t="s">
        <v>82</v>
      </c>
      <c r="J259" s="28">
        <v>1</v>
      </c>
      <c r="K259" s="28">
        <v>1</v>
      </c>
      <c r="L259" s="28">
        <v>0.5</v>
      </c>
      <c r="M259" s="28" t="e">
        <f>IF(AND(K259*L259*30*O259&gt;H259/#REF!,I259=""),"לרכוש","לא לרכוש")</f>
        <v>#REF!</v>
      </c>
      <c r="N259" s="28"/>
      <c r="O259" s="28">
        <v>1000</v>
      </c>
      <c r="P259" s="27"/>
      <c r="Q259" s="27"/>
    </row>
    <row r="260" spans="1:17" s="32" customFormat="1" ht="14.25" customHeight="1">
      <c r="A260" s="27" t="s">
        <v>332</v>
      </c>
      <c r="B260" s="33" t="s">
        <v>433</v>
      </c>
      <c r="C260" s="34" t="s">
        <v>649</v>
      </c>
      <c r="D260" s="63" t="s">
        <v>301</v>
      </c>
      <c r="E260" s="33" t="s">
        <v>759</v>
      </c>
      <c r="F260" s="28">
        <v>1200</v>
      </c>
      <c r="G260" s="28">
        <v>1</v>
      </c>
      <c r="H260" s="28">
        <f t="shared" si="12"/>
        <v>1200</v>
      </c>
      <c r="I260" s="69" t="s">
        <v>82</v>
      </c>
      <c r="J260" s="28">
        <v>1</v>
      </c>
      <c r="K260" s="28">
        <v>1</v>
      </c>
      <c r="L260" s="28">
        <v>0.5</v>
      </c>
      <c r="M260" s="28" t="str">
        <f t="shared" ref="M260:M295" si="13">IF(AND(K260*L260*30*O260&gt;H260/J260,I260=""),"לרכוש","לא לרכוש")</f>
        <v>לא לרכוש</v>
      </c>
      <c r="N260" s="28"/>
      <c r="O260" s="28">
        <v>1000</v>
      </c>
      <c r="P260" s="27"/>
      <c r="Q260" s="27"/>
    </row>
    <row r="261" spans="1:17" s="32" customFormat="1" ht="14.25" customHeight="1">
      <c r="A261" s="27" t="s">
        <v>159</v>
      </c>
      <c r="B261" s="33" t="s">
        <v>433</v>
      </c>
      <c r="C261" s="34" t="s">
        <v>650</v>
      </c>
      <c r="D261" s="63" t="s">
        <v>299</v>
      </c>
      <c r="E261" s="33" t="s">
        <v>305</v>
      </c>
      <c r="F261" s="28">
        <v>1200</v>
      </c>
      <c r="G261" s="28">
        <v>1</v>
      </c>
      <c r="H261" s="28">
        <f t="shared" si="12"/>
        <v>1200</v>
      </c>
      <c r="I261" s="69" t="s">
        <v>82</v>
      </c>
      <c r="J261" s="28">
        <v>1</v>
      </c>
      <c r="K261" s="28">
        <v>1</v>
      </c>
      <c r="L261" s="28">
        <v>0.5</v>
      </c>
      <c r="M261" s="28" t="str">
        <f t="shared" si="13"/>
        <v>לא לרכוש</v>
      </c>
      <c r="N261" s="28"/>
      <c r="O261" s="28">
        <v>1000</v>
      </c>
      <c r="P261" s="27"/>
      <c r="Q261" s="27"/>
    </row>
    <row r="262" spans="1:17" s="32" customFormat="1" ht="14.25" customHeight="1">
      <c r="A262" s="27" t="s">
        <v>17</v>
      </c>
      <c r="B262" s="33" t="s">
        <v>434</v>
      </c>
      <c r="C262" s="34" t="s">
        <v>652</v>
      </c>
      <c r="D262" s="63" t="s">
        <v>301</v>
      </c>
      <c r="E262" s="33" t="s">
        <v>762</v>
      </c>
      <c r="F262" s="28">
        <v>1200</v>
      </c>
      <c r="G262" s="28">
        <v>1</v>
      </c>
      <c r="H262" s="28">
        <f t="shared" si="12"/>
        <v>1200</v>
      </c>
      <c r="I262" s="69" t="s">
        <v>82</v>
      </c>
      <c r="J262" s="28">
        <v>1</v>
      </c>
      <c r="K262" s="28">
        <v>1</v>
      </c>
      <c r="L262" s="28">
        <v>0.5</v>
      </c>
      <c r="M262" s="28" t="str">
        <f t="shared" si="13"/>
        <v>לא לרכוש</v>
      </c>
      <c r="N262" s="28"/>
      <c r="O262" s="28">
        <v>1000</v>
      </c>
      <c r="P262" s="27"/>
      <c r="Q262" s="27"/>
    </row>
    <row r="263" spans="1:17" s="32" customFormat="1" ht="14.25" customHeight="1">
      <c r="A263" s="27" t="s">
        <v>332</v>
      </c>
      <c r="B263" s="33" t="s">
        <v>434</v>
      </c>
      <c r="C263" s="34" t="s">
        <v>653</v>
      </c>
      <c r="D263" s="63" t="s">
        <v>301</v>
      </c>
      <c r="E263" s="33" t="s">
        <v>762</v>
      </c>
      <c r="F263" s="28">
        <v>1200</v>
      </c>
      <c r="G263" s="28">
        <v>1</v>
      </c>
      <c r="H263" s="28">
        <f t="shared" si="12"/>
        <v>1200</v>
      </c>
      <c r="I263" s="69" t="s">
        <v>82</v>
      </c>
      <c r="J263" s="28">
        <v>1</v>
      </c>
      <c r="K263" s="28">
        <v>1</v>
      </c>
      <c r="L263" s="28">
        <v>0.5</v>
      </c>
      <c r="M263" s="28" t="str">
        <f t="shared" si="13"/>
        <v>לא לרכוש</v>
      </c>
      <c r="N263" s="28"/>
      <c r="O263" s="28">
        <v>1000</v>
      </c>
      <c r="P263" s="27"/>
      <c r="Q263" s="27"/>
    </row>
    <row r="264" spans="1:17" s="32" customFormat="1" ht="14.25" customHeight="1">
      <c r="A264" s="27" t="s">
        <v>17</v>
      </c>
      <c r="B264" s="33" t="s">
        <v>434</v>
      </c>
      <c r="C264" s="34" t="s">
        <v>654</v>
      </c>
      <c r="D264" s="63" t="s">
        <v>301</v>
      </c>
      <c r="E264" s="33" t="s">
        <v>762</v>
      </c>
      <c r="F264" s="28">
        <v>1200</v>
      </c>
      <c r="G264" s="28">
        <v>1</v>
      </c>
      <c r="H264" s="28">
        <f t="shared" si="12"/>
        <v>1200</v>
      </c>
      <c r="I264" s="69" t="s">
        <v>82</v>
      </c>
      <c r="J264" s="28">
        <v>1</v>
      </c>
      <c r="K264" s="28">
        <v>1</v>
      </c>
      <c r="L264" s="28">
        <v>0.5</v>
      </c>
      <c r="M264" s="28" t="str">
        <f t="shared" si="13"/>
        <v>לא לרכוש</v>
      </c>
      <c r="N264" s="28"/>
      <c r="O264" s="28">
        <v>1000</v>
      </c>
      <c r="P264" s="27"/>
      <c r="Q264" s="27"/>
    </row>
    <row r="265" spans="1:17" s="32" customFormat="1" ht="14.25" customHeight="1">
      <c r="A265" s="27" t="s">
        <v>17</v>
      </c>
      <c r="B265" s="33" t="s">
        <v>434</v>
      </c>
      <c r="C265" s="34" t="s">
        <v>655</v>
      </c>
      <c r="D265" s="63" t="s">
        <v>301</v>
      </c>
      <c r="E265" s="33" t="s">
        <v>762</v>
      </c>
      <c r="F265" s="28">
        <v>1200</v>
      </c>
      <c r="G265" s="28">
        <v>1</v>
      </c>
      <c r="H265" s="28">
        <f t="shared" si="12"/>
        <v>1200</v>
      </c>
      <c r="I265" s="69" t="s">
        <v>82</v>
      </c>
      <c r="J265" s="28">
        <v>1</v>
      </c>
      <c r="K265" s="28">
        <v>1</v>
      </c>
      <c r="L265" s="28">
        <v>0.5</v>
      </c>
      <c r="M265" s="28" t="str">
        <f t="shared" si="13"/>
        <v>לא לרכוש</v>
      </c>
      <c r="N265" s="28"/>
      <c r="O265" s="28">
        <v>1000</v>
      </c>
      <c r="P265" s="27"/>
      <c r="Q265" s="27"/>
    </row>
    <row r="266" spans="1:17" s="32" customFormat="1" ht="14.25" customHeight="1">
      <c r="A266" s="27" t="s">
        <v>17</v>
      </c>
      <c r="B266" s="33" t="s">
        <v>434</v>
      </c>
      <c r="C266" s="34" t="s">
        <v>656</v>
      </c>
      <c r="D266" s="63" t="s">
        <v>301</v>
      </c>
      <c r="E266" s="33" t="s">
        <v>762</v>
      </c>
      <c r="F266" s="28">
        <v>1200</v>
      </c>
      <c r="G266" s="28">
        <v>1</v>
      </c>
      <c r="H266" s="28">
        <f t="shared" si="12"/>
        <v>1200</v>
      </c>
      <c r="I266" s="69" t="s">
        <v>82</v>
      </c>
      <c r="J266" s="28">
        <v>1</v>
      </c>
      <c r="K266" s="28">
        <v>1</v>
      </c>
      <c r="L266" s="28">
        <v>0.5</v>
      </c>
      <c r="M266" s="28" t="str">
        <f t="shared" si="13"/>
        <v>לא לרכוש</v>
      </c>
      <c r="N266" s="28"/>
      <c r="O266" s="28">
        <v>1000</v>
      </c>
      <c r="P266" s="27"/>
      <c r="Q266" s="27"/>
    </row>
    <row r="267" spans="1:17" s="32" customFormat="1" ht="14.25" customHeight="1">
      <c r="A267" s="27" t="s">
        <v>17</v>
      </c>
      <c r="B267" s="33" t="s">
        <v>434</v>
      </c>
      <c r="C267" s="34" t="s">
        <v>657</v>
      </c>
      <c r="D267" s="63" t="s">
        <v>301</v>
      </c>
      <c r="E267" s="33" t="s">
        <v>762</v>
      </c>
      <c r="F267" s="28">
        <v>1200</v>
      </c>
      <c r="G267" s="28">
        <v>1</v>
      </c>
      <c r="H267" s="28">
        <f t="shared" si="12"/>
        <v>1200</v>
      </c>
      <c r="I267" s="69" t="s">
        <v>82</v>
      </c>
      <c r="J267" s="28">
        <v>1</v>
      </c>
      <c r="K267" s="28">
        <v>1</v>
      </c>
      <c r="L267" s="28">
        <v>0.5</v>
      </c>
      <c r="M267" s="28" t="str">
        <f t="shared" si="13"/>
        <v>לא לרכוש</v>
      </c>
      <c r="N267" s="28"/>
      <c r="O267" s="28">
        <v>1000</v>
      </c>
      <c r="P267" s="27"/>
      <c r="Q267" s="27"/>
    </row>
    <row r="268" spans="1:17" s="32" customFormat="1" ht="14.25" customHeight="1">
      <c r="A268" s="27" t="s">
        <v>610</v>
      </c>
      <c r="B268" s="33" t="s">
        <v>434</v>
      </c>
      <c r="C268" s="34" t="s">
        <v>658</v>
      </c>
      <c r="D268" s="63" t="s">
        <v>299</v>
      </c>
      <c r="E268" s="33" t="s">
        <v>305</v>
      </c>
      <c r="F268" s="28">
        <v>1200</v>
      </c>
      <c r="G268" s="28">
        <v>1</v>
      </c>
      <c r="H268" s="28">
        <f t="shared" si="12"/>
        <v>1200</v>
      </c>
      <c r="I268" s="69" t="s">
        <v>82</v>
      </c>
      <c r="J268" s="28">
        <v>1</v>
      </c>
      <c r="K268" s="28">
        <v>1</v>
      </c>
      <c r="L268" s="28">
        <v>0.5</v>
      </c>
      <c r="M268" s="28" t="str">
        <f t="shared" si="13"/>
        <v>לא לרכוש</v>
      </c>
      <c r="N268" s="28"/>
      <c r="O268" s="28">
        <v>1000</v>
      </c>
      <c r="P268" s="27"/>
      <c r="Q268" s="27"/>
    </row>
    <row r="269" spans="1:17" s="32" customFormat="1" ht="14.25" customHeight="1">
      <c r="A269" s="27" t="s">
        <v>610</v>
      </c>
      <c r="B269" s="33" t="s">
        <v>434</v>
      </c>
      <c r="C269" s="34" t="s">
        <v>659</v>
      </c>
      <c r="D269" s="63" t="s">
        <v>299</v>
      </c>
      <c r="E269" s="33" t="s">
        <v>305</v>
      </c>
      <c r="F269" s="28">
        <v>1200</v>
      </c>
      <c r="G269" s="28">
        <v>1</v>
      </c>
      <c r="H269" s="28">
        <f t="shared" si="12"/>
        <v>1200</v>
      </c>
      <c r="I269" s="69" t="s">
        <v>82</v>
      </c>
      <c r="J269" s="28">
        <v>1</v>
      </c>
      <c r="K269" s="28">
        <v>1</v>
      </c>
      <c r="L269" s="28">
        <v>0.5</v>
      </c>
      <c r="M269" s="28" t="str">
        <f t="shared" si="13"/>
        <v>לא לרכוש</v>
      </c>
      <c r="N269" s="28"/>
      <c r="O269" s="28">
        <v>1000</v>
      </c>
      <c r="P269" s="27"/>
      <c r="Q269" s="27"/>
    </row>
    <row r="270" spans="1:17" s="32" customFormat="1" ht="14.25" customHeight="1">
      <c r="A270" s="27" t="s">
        <v>610</v>
      </c>
      <c r="B270" s="33" t="s">
        <v>434</v>
      </c>
      <c r="C270" s="34" t="s">
        <v>660</v>
      </c>
      <c r="D270" s="63" t="s">
        <v>299</v>
      </c>
      <c r="E270" s="33" t="s">
        <v>305</v>
      </c>
      <c r="F270" s="28">
        <v>1200</v>
      </c>
      <c r="G270" s="28">
        <v>1</v>
      </c>
      <c r="H270" s="28">
        <f t="shared" si="12"/>
        <v>1200</v>
      </c>
      <c r="I270" s="69" t="s">
        <v>82</v>
      </c>
      <c r="J270" s="28">
        <v>1</v>
      </c>
      <c r="K270" s="28">
        <v>1</v>
      </c>
      <c r="L270" s="28">
        <v>0.5</v>
      </c>
      <c r="M270" s="28" t="str">
        <f t="shared" si="13"/>
        <v>לא לרכוש</v>
      </c>
      <c r="N270" s="28"/>
      <c r="O270" s="28">
        <v>1000</v>
      </c>
      <c r="P270" s="27"/>
      <c r="Q270" s="27"/>
    </row>
    <row r="271" spans="1:17" s="32" customFormat="1" ht="14.25" customHeight="1">
      <c r="A271" s="27" t="s">
        <v>610</v>
      </c>
      <c r="B271" s="33" t="s">
        <v>434</v>
      </c>
      <c r="C271" s="34" t="s">
        <v>661</v>
      </c>
      <c r="D271" s="63" t="s">
        <v>299</v>
      </c>
      <c r="E271" s="33" t="s">
        <v>305</v>
      </c>
      <c r="F271" s="28">
        <v>1200</v>
      </c>
      <c r="G271" s="28">
        <v>1</v>
      </c>
      <c r="H271" s="28">
        <f t="shared" si="12"/>
        <v>1200</v>
      </c>
      <c r="I271" s="69" t="s">
        <v>82</v>
      </c>
      <c r="J271" s="28">
        <v>1</v>
      </c>
      <c r="K271" s="28">
        <v>1</v>
      </c>
      <c r="L271" s="28">
        <v>0.5</v>
      </c>
      <c r="M271" s="28" t="str">
        <f t="shared" si="13"/>
        <v>לא לרכוש</v>
      </c>
      <c r="N271" s="28"/>
      <c r="O271" s="28">
        <v>1000</v>
      </c>
      <c r="P271" s="27"/>
      <c r="Q271" s="27"/>
    </row>
    <row r="272" spans="1:17" s="32" customFormat="1" ht="14.25" customHeight="1">
      <c r="A272" s="27" t="s">
        <v>610</v>
      </c>
      <c r="B272" s="33" t="s">
        <v>434</v>
      </c>
      <c r="C272" s="34" t="s">
        <v>662</v>
      </c>
      <c r="D272" s="63" t="s">
        <v>299</v>
      </c>
      <c r="E272" s="33" t="s">
        <v>305</v>
      </c>
      <c r="F272" s="28">
        <v>1200</v>
      </c>
      <c r="G272" s="28">
        <v>1</v>
      </c>
      <c r="H272" s="28">
        <f t="shared" si="12"/>
        <v>1200</v>
      </c>
      <c r="I272" s="69" t="s">
        <v>82</v>
      </c>
      <c r="J272" s="28">
        <v>1</v>
      </c>
      <c r="K272" s="28">
        <v>1</v>
      </c>
      <c r="L272" s="28">
        <v>0.5</v>
      </c>
      <c r="M272" s="28" t="str">
        <f t="shared" si="13"/>
        <v>לא לרכוש</v>
      </c>
      <c r="N272" s="28"/>
      <c r="O272" s="28">
        <v>1000</v>
      </c>
      <c r="P272" s="27"/>
      <c r="Q272" s="27"/>
    </row>
    <row r="273" spans="1:17" s="32" customFormat="1" ht="14.25" customHeight="1">
      <c r="A273" s="27" t="s">
        <v>17</v>
      </c>
      <c r="B273" s="33" t="s">
        <v>435</v>
      </c>
      <c r="C273" s="34" t="s">
        <v>667</v>
      </c>
      <c r="D273" s="63" t="s">
        <v>301</v>
      </c>
      <c r="E273" s="33" t="s">
        <v>307</v>
      </c>
      <c r="F273" s="28">
        <v>1200</v>
      </c>
      <c r="G273" s="28">
        <v>1</v>
      </c>
      <c r="H273" s="28">
        <f t="shared" si="12"/>
        <v>1200</v>
      </c>
      <c r="I273" s="69" t="s">
        <v>82</v>
      </c>
      <c r="J273" s="28">
        <v>1</v>
      </c>
      <c r="K273" s="28">
        <v>1</v>
      </c>
      <c r="L273" s="28">
        <v>0.5</v>
      </c>
      <c r="M273" s="28" t="str">
        <f t="shared" si="13"/>
        <v>לא לרכוש</v>
      </c>
      <c r="N273" s="28"/>
      <c r="O273" s="28">
        <v>1000</v>
      </c>
      <c r="P273" s="27"/>
      <c r="Q273" s="27"/>
    </row>
    <row r="274" spans="1:17" s="32" customFormat="1" ht="14.25" customHeight="1">
      <c r="A274" s="27" t="s">
        <v>17</v>
      </c>
      <c r="B274" s="33" t="s">
        <v>435</v>
      </c>
      <c r="C274" s="34" t="s">
        <v>668</v>
      </c>
      <c r="D274" s="63" t="s">
        <v>301</v>
      </c>
      <c r="E274" s="33" t="s">
        <v>307</v>
      </c>
      <c r="F274" s="28">
        <v>1200</v>
      </c>
      <c r="G274" s="28">
        <v>1</v>
      </c>
      <c r="H274" s="28">
        <f t="shared" si="12"/>
        <v>1200</v>
      </c>
      <c r="I274" s="69" t="s">
        <v>82</v>
      </c>
      <c r="J274" s="28">
        <v>1</v>
      </c>
      <c r="K274" s="28">
        <v>1</v>
      </c>
      <c r="L274" s="28">
        <v>0.5</v>
      </c>
      <c r="M274" s="28" t="str">
        <f t="shared" si="13"/>
        <v>לא לרכוש</v>
      </c>
      <c r="N274" s="28"/>
      <c r="O274" s="28">
        <v>1000</v>
      </c>
      <c r="P274" s="27"/>
      <c r="Q274" s="27"/>
    </row>
    <row r="275" spans="1:17" s="32" customFormat="1" ht="14.25" customHeight="1">
      <c r="A275" s="27" t="s">
        <v>17</v>
      </c>
      <c r="B275" s="33" t="s">
        <v>435</v>
      </c>
      <c r="C275" s="34" t="s">
        <v>669</v>
      </c>
      <c r="D275" s="63" t="s">
        <v>301</v>
      </c>
      <c r="E275" s="33" t="s">
        <v>307</v>
      </c>
      <c r="F275" s="28">
        <v>1200</v>
      </c>
      <c r="G275" s="28">
        <v>1</v>
      </c>
      <c r="H275" s="28">
        <f t="shared" si="12"/>
        <v>1200</v>
      </c>
      <c r="I275" s="69" t="s">
        <v>82</v>
      </c>
      <c r="J275" s="28">
        <v>1</v>
      </c>
      <c r="K275" s="28">
        <v>1</v>
      </c>
      <c r="L275" s="28">
        <v>0.5</v>
      </c>
      <c r="M275" s="28" t="str">
        <f t="shared" si="13"/>
        <v>לא לרכוש</v>
      </c>
      <c r="N275" s="28"/>
      <c r="O275" s="28">
        <v>1000</v>
      </c>
      <c r="P275" s="27"/>
      <c r="Q275" s="27"/>
    </row>
    <row r="276" spans="1:17" s="32" customFormat="1" ht="14.25" customHeight="1">
      <c r="A276" s="27" t="s">
        <v>17</v>
      </c>
      <c r="B276" s="33" t="s">
        <v>435</v>
      </c>
      <c r="C276" s="34" t="s">
        <v>670</v>
      </c>
      <c r="D276" s="63" t="s">
        <v>301</v>
      </c>
      <c r="E276" s="33" t="s">
        <v>762</v>
      </c>
      <c r="F276" s="28">
        <v>1200</v>
      </c>
      <c r="G276" s="28">
        <v>1</v>
      </c>
      <c r="H276" s="28">
        <f t="shared" si="12"/>
        <v>1200</v>
      </c>
      <c r="I276" s="69" t="s">
        <v>82</v>
      </c>
      <c r="J276" s="28">
        <v>1</v>
      </c>
      <c r="K276" s="28">
        <v>1</v>
      </c>
      <c r="L276" s="28">
        <v>0.5</v>
      </c>
      <c r="M276" s="28" t="str">
        <f t="shared" si="13"/>
        <v>לא לרכוש</v>
      </c>
      <c r="N276" s="28"/>
      <c r="O276" s="28">
        <v>1000</v>
      </c>
      <c r="P276" s="27"/>
      <c r="Q276" s="27"/>
    </row>
    <row r="277" spans="1:17" s="32" customFormat="1" ht="14.25" customHeight="1">
      <c r="A277" s="27" t="s">
        <v>17</v>
      </c>
      <c r="B277" s="33" t="s">
        <v>435</v>
      </c>
      <c r="C277" s="34" t="s">
        <v>671</v>
      </c>
      <c r="D277" s="63" t="s">
        <v>301</v>
      </c>
      <c r="E277" s="33" t="s">
        <v>762</v>
      </c>
      <c r="F277" s="28">
        <v>1200</v>
      </c>
      <c r="G277" s="28">
        <v>1</v>
      </c>
      <c r="H277" s="28">
        <f t="shared" si="12"/>
        <v>1200</v>
      </c>
      <c r="I277" s="69" t="s">
        <v>82</v>
      </c>
      <c r="J277" s="28">
        <v>1</v>
      </c>
      <c r="K277" s="28">
        <v>1</v>
      </c>
      <c r="L277" s="28">
        <v>0.5</v>
      </c>
      <c r="M277" s="28" t="str">
        <f t="shared" si="13"/>
        <v>לא לרכוש</v>
      </c>
      <c r="N277" s="28"/>
      <c r="O277" s="28">
        <v>1000</v>
      </c>
      <c r="P277" s="27"/>
      <c r="Q277" s="27"/>
    </row>
    <row r="278" spans="1:17" s="32" customFormat="1" ht="14.25" customHeight="1">
      <c r="A278" s="27" t="s">
        <v>17</v>
      </c>
      <c r="B278" s="33" t="s">
        <v>435</v>
      </c>
      <c r="C278" s="34" t="s">
        <v>672</v>
      </c>
      <c r="D278" s="63" t="s">
        <v>301</v>
      </c>
      <c r="E278" s="33" t="s">
        <v>307</v>
      </c>
      <c r="F278" s="28">
        <v>1200</v>
      </c>
      <c r="G278" s="28">
        <v>1</v>
      </c>
      <c r="H278" s="28">
        <f t="shared" si="12"/>
        <v>1200</v>
      </c>
      <c r="I278" s="69" t="s">
        <v>82</v>
      </c>
      <c r="J278" s="28">
        <v>1</v>
      </c>
      <c r="K278" s="28">
        <v>1</v>
      </c>
      <c r="L278" s="28">
        <v>0.5</v>
      </c>
      <c r="M278" s="28" t="str">
        <f t="shared" si="13"/>
        <v>לא לרכוש</v>
      </c>
      <c r="N278" s="28"/>
      <c r="O278" s="28">
        <v>1000</v>
      </c>
      <c r="P278" s="27"/>
      <c r="Q278" s="27"/>
    </row>
    <row r="279" spans="1:17" s="32" customFormat="1" ht="14.25" customHeight="1">
      <c r="A279" s="27" t="s">
        <v>17</v>
      </c>
      <c r="B279" s="33" t="s">
        <v>435</v>
      </c>
      <c r="C279" s="34" t="s">
        <v>673</v>
      </c>
      <c r="D279" s="63" t="s">
        <v>301</v>
      </c>
      <c r="E279" s="33" t="s">
        <v>762</v>
      </c>
      <c r="F279" s="28">
        <v>1200</v>
      </c>
      <c r="G279" s="28">
        <v>1</v>
      </c>
      <c r="H279" s="28">
        <f t="shared" si="12"/>
        <v>1200</v>
      </c>
      <c r="I279" s="69" t="s">
        <v>82</v>
      </c>
      <c r="J279" s="28">
        <v>1</v>
      </c>
      <c r="K279" s="28">
        <v>1</v>
      </c>
      <c r="L279" s="28">
        <v>0.5</v>
      </c>
      <c r="M279" s="28" t="str">
        <f t="shared" si="13"/>
        <v>לא לרכוש</v>
      </c>
      <c r="N279" s="28"/>
      <c r="O279" s="28">
        <v>1000</v>
      </c>
      <c r="P279" s="27"/>
      <c r="Q279" s="27"/>
    </row>
    <row r="280" spans="1:17" s="32" customFormat="1" ht="14.25" customHeight="1">
      <c r="A280" s="27" t="s">
        <v>332</v>
      </c>
      <c r="B280" s="33" t="s">
        <v>435</v>
      </c>
      <c r="C280" s="34" t="s">
        <v>674</v>
      </c>
      <c r="D280" s="63" t="s">
        <v>301</v>
      </c>
      <c r="E280" s="33" t="s">
        <v>762</v>
      </c>
      <c r="F280" s="28">
        <v>1200</v>
      </c>
      <c r="G280" s="28">
        <v>1</v>
      </c>
      <c r="H280" s="28">
        <f t="shared" si="12"/>
        <v>1200</v>
      </c>
      <c r="I280" s="69" t="s">
        <v>82</v>
      </c>
      <c r="J280" s="28">
        <v>1</v>
      </c>
      <c r="K280" s="28">
        <v>1</v>
      </c>
      <c r="L280" s="28">
        <v>0.5</v>
      </c>
      <c r="M280" s="28" t="str">
        <f t="shared" si="13"/>
        <v>לא לרכוש</v>
      </c>
      <c r="N280" s="28"/>
      <c r="O280" s="28">
        <v>1000</v>
      </c>
      <c r="P280" s="27"/>
      <c r="Q280" s="27"/>
    </row>
    <row r="281" spans="1:17" s="32" customFormat="1" ht="14.25" customHeight="1">
      <c r="A281" s="27" t="s">
        <v>17</v>
      </c>
      <c r="B281" s="33" t="s">
        <v>435</v>
      </c>
      <c r="C281" s="34" t="s">
        <v>675</v>
      </c>
      <c r="D281" s="63" t="s">
        <v>301</v>
      </c>
      <c r="E281" s="33" t="s">
        <v>762</v>
      </c>
      <c r="F281" s="28">
        <v>1200</v>
      </c>
      <c r="G281" s="28">
        <v>1</v>
      </c>
      <c r="H281" s="28">
        <f t="shared" si="12"/>
        <v>1200</v>
      </c>
      <c r="I281" s="69" t="s">
        <v>82</v>
      </c>
      <c r="J281" s="28">
        <v>1</v>
      </c>
      <c r="K281" s="28">
        <v>1</v>
      </c>
      <c r="L281" s="28">
        <v>0.5</v>
      </c>
      <c r="M281" s="28" t="str">
        <f t="shared" si="13"/>
        <v>לא לרכוש</v>
      </c>
      <c r="N281" s="28"/>
      <c r="O281" s="28">
        <v>1000</v>
      </c>
      <c r="P281" s="27"/>
      <c r="Q281" s="27"/>
    </row>
    <row r="282" spans="1:17" s="32" customFormat="1" ht="14.25" customHeight="1">
      <c r="A282" s="27" t="s">
        <v>332</v>
      </c>
      <c r="B282" s="33" t="s">
        <v>435</v>
      </c>
      <c r="C282" s="34" t="s">
        <v>676</v>
      </c>
      <c r="D282" s="63" t="s">
        <v>301</v>
      </c>
      <c r="E282" s="33" t="s">
        <v>762</v>
      </c>
      <c r="F282" s="28">
        <v>1200</v>
      </c>
      <c r="G282" s="28">
        <v>1</v>
      </c>
      <c r="H282" s="28">
        <f t="shared" si="12"/>
        <v>1200</v>
      </c>
      <c r="I282" s="69" t="s">
        <v>82</v>
      </c>
      <c r="J282" s="28">
        <v>1</v>
      </c>
      <c r="K282" s="28">
        <v>1</v>
      </c>
      <c r="L282" s="28">
        <v>0.5</v>
      </c>
      <c r="M282" s="28" t="str">
        <f t="shared" si="13"/>
        <v>לא לרכוש</v>
      </c>
      <c r="N282" s="28"/>
      <c r="O282" s="28">
        <v>1000</v>
      </c>
      <c r="P282" s="27"/>
      <c r="Q282" s="27"/>
    </row>
    <row r="283" spans="1:17" s="32" customFormat="1" ht="14.25" customHeight="1">
      <c r="A283" s="27" t="s">
        <v>17</v>
      </c>
      <c r="B283" s="33" t="s">
        <v>435</v>
      </c>
      <c r="C283" s="34" t="s">
        <v>677</v>
      </c>
      <c r="D283" s="63" t="s">
        <v>301</v>
      </c>
      <c r="E283" s="33" t="s">
        <v>307</v>
      </c>
      <c r="F283" s="28">
        <v>1200</v>
      </c>
      <c r="G283" s="28">
        <v>1</v>
      </c>
      <c r="H283" s="28">
        <f t="shared" si="12"/>
        <v>1200</v>
      </c>
      <c r="I283" s="69" t="s">
        <v>82</v>
      </c>
      <c r="J283" s="28">
        <v>1</v>
      </c>
      <c r="K283" s="28">
        <v>1</v>
      </c>
      <c r="L283" s="28">
        <v>0.5</v>
      </c>
      <c r="M283" s="28" t="str">
        <f t="shared" si="13"/>
        <v>לא לרכוש</v>
      </c>
      <c r="N283" s="28"/>
      <c r="O283" s="28">
        <v>1000</v>
      </c>
      <c r="P283" s="27"/>
      <c r="Q283" s="27"/>
    </row>
    <row r="284" spans="1:17" s="32" customFormat="1" ht="14.25" customHeight="1">
      <c r="A284" s="27" t="s">
        <v>17</v>
      </c>
      <c r="B284" s="33" t="s">
        <v>435</v>
      </c>
      <c r="C284" s="34" t="s">
        <v>678</v>
      </c>
      <c r="D284" s="63" t="s">
        <v>301</v>
      </c>
      <c r="E284" s="33" t="s">
        <v>307</v>
      </c>
      <c r="F284" s="28">
        <v>1200</v>
      </c>
      <c r="G284" s="28">
        <v>1</v>
      </c>
      <c r="H284" s="28">
        <f t="shared" ref="H284:H347" si="14">G284*F284</f>
        <v>1200</v>
      </c>
      <c r="I284" s="69" t="s">
        <v>82</v>
      </c>
      <c r="J284" s="28">
        <v>1</v>
      </c>
      <c r="K284" s="28">
        <v>1</v>
      </c>
      <c r="L284" s="28">
        <v>0.5</v>
      </c>
      <c r="M284" s="28" t="str">
        <f t="shared" si="13"/>
        <v>לא לרכוש</v>
      </c>
      <c r="N284" s="28"/>
      <c r="O284" s="28">
        <v>1000</v>
      </c>
      <c r="P284" s="27"/>
      <c r="Q284" s="27"/>
    </row>
    <row r="285" spans="1:17" s="32" customFormat="1" ht="14.25" customHeight="1">
      <c r="A285" s="27" t="s">
        <v>332</v>
      </c>
      <c r="B285" s="33" t="s">
        <v>435</v>
      </c>
      <c r="C285" s="34" t="s">
        <v>679</v>
      </c>
      <c r="D285" s="63" t="s">
        <v>301</v>
      </c>
      <c r="E285" s="33" t="s">
        <v>762</v>
      </c>
      <c r="F285" s="28">
        <v>1200</v>
      </c>
      <c r="G285" s="28">
        <v>1</v>
      </c>
      <c r="H285" s="28">
        <f t="shared" si="14"/>
        <v>1200</v>
      </c>
      <c r="I285" s="69" t="s">
        <v>82</v>
      </c>
      <c r="J285" s="28">
        <v>1</v>
      </c>
      <c r="K285" s="28">
        <v>1</v>
      </c>
      <c r="L285" s="28">
        <v>0.5</v>
      </c>
      <c r="M285" s="28" t="str">
        <f t="shared" si="13"/>
        <v>לא לרכוש</v>
      </c>
      <c r="N285" s="28"/>
      <c r="O285" s="28">
        <v>1000</v>
      </c>
      <c r="P285" s="27"/>
      <c r="Q285" s="27"/>
    </row>
    <row r="286" spans="1:17" s="32" customFormat="1" ht="14.25" customHeight="1">
      <c r="A286" s="27" t="s">
        <v>1064</v>
      </c>
      <c r="B286" s="33" t="s">
        <v>435</v>
      </c>
      <c r="C286" s="34" t="s">
        <v>680</v>
      </c>
      <c r="D286" s="63" t="s">
        <v>299</v>
      </c>
      <c r="E286" s="33" t="s">
        <v>305</v>
      </c>
      <c r="F286" s="28">
        <v>1200</v>
      </c>
      <c r="G286" s="28">
        <v>1</v>
      </c>
      <c r="H286" s="28">
        <f t="shared" si="14"/>
        <v>1200</v>
      </c>
      <c r="I286" s="69" t="s">
        <v>82</v>
      </c>
      <c r="J286" s="28">
        <v>1</v>
      </c>
      <c r="K286" s="28">
        <v>1</v>
      </c>
      <c r="L286" s="28">
        <v>0.5</v>
      </c>
      <c r="M286" s="28" t="str">
        <f t="shared" si="13"/>
        <v>לא לרכוש</v>
      </c>
      <c r="N286" s="28"/>
      <c r="O286" s="28">
        <v>1000</v>
      </c>
      <c r="P286" s="27"/>
      <c r="Q286" s="27"/>
    </row>
    <row r="287" spans="1:17" s="32" customFormat="1" ht="14.25" customHeight="1">
      <c r="A287" s="27" t="s">
        <v>1064</v>
      </c>
      <c r="B287" s="33" t="s">
        <v>435</v>
      </c>
      <c r="C287" s="34" t="s">
        <v>681</v>
      </c>
      <c r="D287" s="63" t="s">
        <v>299</v>
      </c>
      <c r="E287" s="33" t="s">
        <v>305</v>
      </c>
      <c r="F287" s="28">
        <v>1200</v>
      </c>
      <c r="G287" s="28">
        <v>1</v>
      </c>
      <c r="H287" s="28">
        <f t="shared" si="14"/>
        <v>1200</v>
      </c>
      <c r="I287" s="69" t="s">
        <v>82</v>
      </c>
      <c r="J287" s="28">
        <v>1</v>
      </c>
      <c r="K287" s="28">
        <v>1</v>
      </c>
      <c r="L287" s="28">
        <v>0.5</v>
      </c>
      <c r="M287" s="28" t="str">
        <f t="shared" si="13"/>
        <v>לא לרכוש</v>
      </c>
      <c r="N287" s="28"/>
      <c r="O287" s="28">
        <v>1000</v>
      </c>
      <c r="P287" s="27"/>
      <c r="Q287" s="27"/>
    </row>
    <row r="288" spans="1:17" s="32" customFormat="1" ht="14.25" customHeight="1">
      <c r="A288" s="27" t="s">
        <v>1064</v>
      </c>
      <c r="B288" s="33" t="s">
        <v>435</v>
      </c>
      <c r="C288" s="34" t="s">
        <v>682</v>
      </c>
      <c r="D288" s="63" t="s">
        <v>299</v>
      </c>
      <c r="E288" s="33" t="s">
        <v>305</v>
      </c>
      <c r="F288" s="28">
        <v>1200</v>
      </c>
      <c r="G288" s="28">
        <v>1</v>
      </c>
      <c r="H288" s="28">
        <f t="shared" si="14"/>
        <v>1200</v>
      </c>
      <c r="I288" s="69" t="s">
        <v>82</v>
      </c>
      <c r="J288" s="28">
        <v>1</v>
      </c>
      <c r="K288" s="28">
        <v>1</v>
      </c>
      <c r="L288" s="28">
        <v>0.5</v>
      </c>
      <c r="M288" s="28" t="str">
        <f t="shared" si="13"/>
        <v>לא לרכוש</v>
      </c>
      <c r="N288" s="28"/>
      <c r="O288" s="28">
        <v>1000</v>
      </c>
      <c r="P288" s="27"/>
      <c r="Q288" s="27"/>
    </row>
    <row r="289" spans="1:17" s="32" customFormat="1" ht="14.25" customHeight="1">
      <c r="A289" s="27" t="s">
        <v>1064</v>
      </c>
      <c r="B289" s="33" t="s">
        <v>435</v>
      </c>
      <c r="C289" s="34" t="s">
        <v>683</v>
      </c>
      <c r="D289" s="63" t="s">
        <v>299</v>
      </c>
      <c r="E289" s="33" t="s">
        <v>305</v>
      </c>
      <c r="F289" s="28">
        <v>1200</v>
      </c>
      <c r="G289" s="28">
        <v>1</v>
      </c>
      <c r="H289" s="28">
        <f t="shared" si="14"/>
        <v>1200</v>
      </c>
      <c r="I289" s="69" t="s">
        <v>82</v>
      </c>
      <c r="J289" s="28">
        <v>1</v>
      </c>
      <c r="K289" s="28">
        <v>1</v>
      </c>
      <c r="L289" s="28">
        <v>0.5</v>
      </c>
      <c r="M289" s="28" t="str">
        <f t="shared" si="13"/>
        <v>לא לרכוש</v>
      </c>
      <c r="N289" s="28"/>
      <c r="O289" s="28">
        <v>1000</v>
      </c>
      <c r="P289" s="27"/>
      <c r="Q289" s="27"/>
    </row>
    <row r="290" spans="1:17" s="32" customFormat="1" ht="14.25" customHeight="1">
      <c r="A290" s="27" t="s">
        <v>1064</v>
      </c>
      <c r="B290" s="33" t="s">
        <v>435</v>
      </c>
      <c r="C290" s="34" t="s">
        <v>684</v>
      </c>
      <c r="D290" s="63" t="s">
        <v>299</v>
      </c>
      <c r="E290" s="33" t="s">
        <v>305</v>
      </c>
      <c r="F290" s="28">
        <v>1200</v>
      </c>
      <c r="G290" s="28">
        <v>1</v>
      </c>
      <c r="H290" s="28">
        <f t="shared" si="14"/>
        <v>1200</v>
      </c>
      <c r="I290" s="69" t="s">
        <v>82</v>
      </c>
      <c r="J290" s="28">
        <v>1</v>
      </c>
      <c r="K290" s="28">
        <v>1</v>
      </c>
      <c r="L290" s="28">
        <v>0.5</v>
      </c>
      <c r="M290" s="28" t="str">
        <f t="shared" si="13"/>
        <v>לא לרכוש</v>
      </c>
      <c r="N290" s="28"/>
      <c r="O290" s="28">
        <v>1000</v>
      </c>
      <c r="P290" s="27"/>
      <c r="Q290" s="27"/>
    </row>
    <row r="291" spans="1:17" s="32" customFormat="1" ht="14.25" customHeight="1">
      <c r="A291" s="27" t="s">
        <v>1064</v>
      </c>
      <c r="B291" s="33" t="s">
        <v>435</v>
      </c>
      <c r="C291" s="34" t="s">
        <v>685</v>
      </c>
      <c r="D291" s="63" t="s">
        <v>299</v>
      </c>
      <c r="E291" s="33" t="s">
        <v>305</v>
      </c>
      <c r="F291" s="28">
        <v>1200</v>
      </c>
      <c r="G291" s="28">
        <v>1</v>
      </c>
      <c r="H291" s="28">
        <f t="shared" si="14"/>
        <v>1200</v>
      </c>
      <c r="I291" s="69" t="s">
        <v>82</v>
      </c>
      <c r="J291" s="28">
        <v>1</v>
      </c>
      <c r="K291" s="28">
        <v>1</v>
      </c>
      <c r="L291" s="28">
        <v>0.5</v>
      </c>
      <c r="M291" s="28" t="str">
        <f t="shared" si="13"/>
        <v>לא לרכוש</v>
      </c>
      <c r="N291" s="28"/>
      <c r="O291" s="28">
        <v>1000</v>
      </c>
      <c r="P291" s="27"/>
      <c r="Q291" s="27"/>
    </row>
    <row r="292" spans="1:17" s="32" customFormat="1" ht="14.25" customHeight="1">
      <c r="A292" s="27" t="s">
        <v>1064</v>
      </c>
      <c r="B292" s="33" t="s">
        <v>435</v>
      </c>
      <c r="C292" s="34" t="s">
        <v>686</v>
      </c>
      <c r="D292" s="63" t="s">
        <v>299</v>
      </c>
      <c r="E292" s="33" t="s">
        <v>305</v>
      </c>
      <c r="F292" s="28">
        <v>1200</v>
      </c>
      <c r="G292" s="28">
        <v>1</v>
      </c>
      <c r="H292" s="28">
        <f t="shared" si="14"/>
        <v>1200</v>
      </c>
      <c r="I292" s="69" t="s">
        <v>82</v>
      </c>
      <c r="J292" s="28">
        <v>1</v>
      </c>
      <c r="K292" s="28">
        <v>1</v>
      </c>
      <c r="L292" s="28">
        <v>0.5</v>
      </c>
      <c r="M292" s="28" t="str">
        <f t="shared" si="13"/>
        <v>לא לרכוש</v>
      </c>
      <c r="N292" s="28"/>
      <c r="O292" s="28">
        <v>1000</v>
      </c>
      <c r="P292" s="27"/>
      <c r="Q292" s="27"/>
    </row>
    <row r="293" spans="1:17" s="32" customFormat="1" ht="14.25" customHeight="1">
      <c r="A293" s="27" t="s">
        <v>1064</v>
      </c>
      <c r="B293" s="33" t="s">
        <v>435</v>
      </c>
      <c r="C293" s="34" t="s">
        <v>687</v>
      </c>
      <c r="D293" s="63" t="s">
        <v>299</v>
      </c>
      <c r="E293" s="33" t="s">
        <v>305</v>
      </c>
      <c r="F293" s="28">
        <v>1200</v>
      </c>
      <c r="G293" s="28">
        <v>1</v>
      </c>
      <c r="H293" s="28">
        <f t="shared" si="14"/>
        <v>1200</v>
      </c>
      <c r="I293" s="69" t="s">
        <v>82</v>
      </c>
      <c r="J293" s="28">
        <v>1</v>
      </c>
      <c r="K293" s="28">
        <v>1</v>
      </c>
      <c r="L293" s="28">
        <v>0.5</v>
      </c>
      <c r="M293" s="28" t="str">
        <f t="shared" si="13"/>
        <v>לא לרכוש</v>
      </c>
      <c r="N293" s="28"/>
      <c r="O293" s="28">
        <v>1000</v>
      </c>
      <c r="P293" s="27"/>
      <c r="Q293" s="27"/>
    </row>
    <row r="294" spans="1:17" s="32" customFormat="1" ht="14.25" customHeight="1">
      <c r="A294" s="27" t="s">
        <v>1064</v>
      </c>
      <c r="B294" s="33" t="s">
        <v>435</v>
      </c>
      <c r="C294" s="34" t="s">
        <v>688</v>
      </c>
      <c r="D294" s="63" t="s">
        <v>299</v>
      </c>
      <c r="E294" s="33" t="s">
        <v>305</v>
      </c>
      <c r="F294" s="28">
        <v>1200</v>
      </c>
      <c r="G294" s="28">
        <v>1</v>
      </c>
      <c r="H294" s="28">
        <f t="shared" si="14"/>
        <v>1200</v>
      </c>
      <c r="I294" s="69" t="s">
        <v>82</v>
      </c>
      <c r="J294" s="28">
        <v>1</v>
      </c>
      <c r="K294" s="28">
        <v>1</v>
      </c>
      <c r="L294" s="28">
        <v>0.5</v>
      </c>
      <c r="M294" s="28" t="str">
        <f t="shared" si="13"/>
        <v>לא לרכוש</v>
      </c>
      <c r="N294" s="28"/>
      <c r="O294" s="28">
        <v>1000</v>
      </c>
      <c r="P294" s="27"/>
      <c r="Q294" s="27"/>
    </row>
    <row r="295" spans="1:17" s="32" customFormat="1" ht="14.25" customHeight="1">
      <c r="A295" s="27" t="s">
        <v>1064</v>
      </c>
      <c r="B295" s="33" t="s">
        <v>435</v>
      </c>
      <c r="C295" s="34" t="s">
        <v>689</v>
      </c>
      <c r="D295" s="63" t="s">
        <v>299</v>
      </c>
      <c r="E295" s="33" t="s">
        <v>305</v>
      </c>
      <c r="F295" s="28">
        <v>1200</v>
      </c>
      <c r="G295" s="28">
        <v>1</v>
      </c>
      <c r="H295" s="28">
        <f t="shared" si="14"/>
        <v>1200</v>
      </c>
      <c r="I295" s="69" t="s">
        <v>82</v>
      </c>
      <c r="J295" s="28">
        <v>1</v>
      </c>
      <c r="K295" s="28">
        <v>1</v>
      </c>
      <c r="L295" s="28">
        <v>0.5</v>
      </c>
      <c r="M295" s="28" t="str">
        <f t="shared" si="13"/>
        <v>לא לרכוש</v>
      </c>
      <c r="N295" s="28"/>
      <c r="O295" s="28">
        <v>1000</v>
      </c>
      <c r="P295" s="27"/>
      <c r="Q295" s="27"/>
    </row>
    <row r="296" spans="1:17" s="32" customFormat="1" ht="14.25" customHeight="1">
      <c r="A296" s="27" t="s">
        <v>271</v>
      </c>
      <c r="B296" s="33" t="s">
        <v>437</v>
      </c>
      <c r="C296" s="34" t="s">
        <v>698</v>
      </c>
      <c r="D296" s="63" t="s">
        <v>299</v>
      </c>
      <c r="E296" s="33" t="s">
        <v>305</v>
      </c>
      <c r="F296" s="28">
        <v>1200</v>
      </c>
      <c r="G296" s="28">
        <v>1</v>
      </c>
      <c r="H296" s="28">
        <f t="shared" si="14"/>
        <v>1200</v>
      </c>
      <c r="I296" s="69" t="s">
        <v>82</v>
      </c>
      <c r="J296" s="28">
        <v>1</v>
      </c>
      <c r="K296" s="28">
        <v>1</v>
      </c>
      <c r="L296" s="28">
        <v>0.5</v>
      </c>
      <c r="M296" s="28" t="str">
        <f>IF(AND(K296*L297*30*O296&gt;H296/J296,I296=""),"לרכוש","לא לרכוש")</f>
        <v>לא לרכוש</v>
      </c>
      <c r="N296" s="28"/>
      <c r="O296" s="28">
        <v>1000</v>
      </c>
      <c r="P296" s="27"/>
      <c r="Q296" s="27"/>
    </row>
    <row r="297" spans="1:17" s="32" customFormat="1" ht="14.25" customHeight="1">
      <c r="A297" s="27" t="s">
        <v>271</v>
      </c>
      <c r="B297" s="33" t="s">
        <v>437</v>
      </c>
      <c r="C297" s="34" t="s">
        <v>699</v>
      </c>
      <c r="D297" s="63" t="s">
        <v>299</v>
      </c>
      <c r="E297" s="33" t="s">
        <v>305</v>
      </c>
      <c r="F297" s="28">
        <v>1200</v>
      </c>
      <c r="G297" s="28">
        <v>1</v>
      </c>
      <c r="H297" s="28">
        <f t="shared" si="14"/>
        <v>1200</v>
      </c>
      <c r="I297" s="69" t="s">
        <v>82</v>
      </c>
      <c r="J297" s="28">
        <v>1</v>
      </c>
      <c r="K297" s="28">
        <v>1</v>
      </c>
      <c r="L297" s="28">
        <v>0.5</v>
      </c>
      <c r="M297" s="28" t="str">
        <f>IF(AND(K297*L298*30*O297&gt;H297/J297,I297=""),"לרכוש","לא לרכוש")</f>
        <v>לא לרכוש</v>
      </c>
      <c r="N297" s="28"/>
      <c r="O297" s="28">
        <v>1000</v>
      </c>
      <c r="P297" s="27"/>
      <c r="Q297" s="27"/>
    </row>
    <row r="298" spans="1:17" s="32" customFormat="1" ht="14.25" customHeight="1">
      <c r="A298" s="27" t="s">
        <v>271</v>
      </c>
      <c r="B298" s="33" t="s">
        <v>436</v>
      </c>
      <c r="C298" s="34" t="s">
        <v>701</v>
      </c>
      <c r="D298" s="63" t="s">
        <v>299</v>
      </c>
      <c r="E298" s="33" t="s">
        <v>305</v>
      </c>
      <c r="F298" s="28">
        <v>1200</v>
      </c>
      <c r="G298" s="28">
        <v>1</v>
      </c>
      <c r="H298" s="28">
        <f t="shared" si="14"/>
        <v>1200</v>
      </c>
      <c r="I298" s="69" t="s">
        <v>82</v>
      </c>
      <c r="J298" s="28">
        <v>1</v>
      </c>
      <c r="K298" s="28">
        <v>1</v>
      </c>
      <c r="L298" s="28">
        <v>0.5</v>
      </c>
      <c r="M298" s="28" t="str">
        <f t="shared" ref="M298:M329" si="15">IF(AND(K298*L298*30*O298&gt;H298/J298,I298=""),"לרכוש","לא לרכוש")</f>
        <v>לא לרכוש</v>
      </c>
      <c r="N298" s="28"/>
      <c r="O298" s="28">
        <v>1000</v>
      </c>
      <c r="P298" s="27"/>
      <c r="Q298" s="27"/>
    </row>
    <row r="299" spans="1:17" s="32" customFormat="1" ht="14.25" customHeight="1">
      <c r="A299" s="27" t="s">
        <v>271</v>
      </c>
      <c r="B299" s="33" t="s">
        <v>436</v>
      </c>
      <c r="C299" s="34" t="s">
        <v>702</v>
      </c>
      <c r="D299" s="63" t="s">
        <v>299</v>
      </c>
      <c r="E299" s="33" t="s">
        <v>305</v>
      </c>
      <c r="F299" s="28">
        <v>1200</v>
      </c>
      <c r="G299" s="28">
        <v>1</v>
      </c>
      <c r="H299" s="28">
        <f t="shared" si="14"/>
        <v>1200</v>
      </c>
      <c r="I299" s="69" t="s">
        <v>82</v>
      </c>
      <c r="J299" s="28">
        <v>1</v>
      </c>
      <c r="K299" s="28">
        <v>1</v>
      </c>
      <c r="L299" s="28">
        <v>0.5</v>
      </c>
      <c r="M299" s="28" t="str">
        <f t="shared" si="15"/>
        <v>לא לרכוש</v>
      </c>
      <c r="N299" s="28"/>
      <c r="O299" s="28">
        <v>1000</v>
      </c>
      <c r="P299" s="27"/>
      <c r="Q299" s="27"/>
    </row>
    <row r="300" spans="1:17" s="32" customFormat="1" ht="14.25" customHeight="1">
      <c r="A300" s="27" t="s">
        <v>271</v>
      </c>
      <c r="B300" s="33" t="s">
        <v>437</v>
      </c>
      <c r="C300" s="34" t="s">
        <v>703</v>
      </c>
      <c r="D300" s="63" t="s">
        <v>299</v>
      </c>
      <c r="E300" s="33" t="s">
        <v>305</v>
      </c>
      <c r="F300" s="28">
        <v>1200</v>
      </c>
      <c r="G300" s="28">
        <v>1</v>
      </c>
      <c r="H300" s="28">
        <f t="shared" si="14"/>
        <v>1200</v>
      </c>
      <c r="I300" s="69" t="s">
        <v>82</v>
      </c>
      <c r="J300" s="28">
        <v>1</v>
      </c>
      <c r="K300" s="28">
        <v>1</v>
      </c>
      <c r="L300" s="28">
        <v>0.5</v>
      </c>
      <c r="M300" s="28" t="str">
        <f t="shared" si="15"/>
        <v>לא לרכוש</v>
      </c>
      <c r="N300" s="28"/>
      <c r="O300" s="28">
        <v>1000</v>
      </c>
      <c r="P300" s="27"/>
      <c r="Q300" s="27"/>
    </row>
    <row r="301" spans="1:17" s="32" customFormat="1" ht="14.25" customHeight="1">
      <c r="A301" s="27" t="s">
        <v>271</v>
      </c>
      <c r="B301" s="33" t="s">
        <v>437</v>
      </c>
      <c r="C301" s="34" t="s">
        <v>704</v>
      </c>
      <c r="D301" s="63" t="s">
        <v>299</v>
      </c>
      <c r="E301" s="33" t="s">
        <v>305</v>
      </c>
      <c r="F301" s="28">
        <v>1200</v>
      </c>
      <c r="G301" s="28">
        <v>1</v>
      </c>
      <c r="H301" s="28">
        <f t="shared" si="14"/>
        <v>1200</v>
      </c>
      <c r="I301" s="69" t="s">
        <v>82</v>
      </c>
      <c r="J301" s="28">
        <v>1</v>
      </c>
      <c r="K301" s="28">
        <v>1</v>
      </c>
      <c r="L301" s="28">
        <v>0.5</v>
      </c>
      <c r="M301" s="28" t="str">
        <f t="shared" si="15"/>
        <v>לא לרכוש</v>
      </c>
      <c r="N301" s="28"/>
      <c r="O301" s="28">
        <v>1000</v>
      </c>
      <c r="P301" s="27"/>
      <c r="Q301" s="27"/>
    </row>
    <row r="302" spans="1:17" s="32" customFormat="1" ht="14.25" customHeight="1">
      <c r="A302" s="27" t="s">
        <v>271</v>
      </c>
      <c r="B302" s="33" t="s">
        <v>437</v>
      </c>
      <c r="C302" s="34" t="s">
        <v>705</v>
      </c>
      <c r="D302" s="63" t="s">
        <v>299</v>
      </c>
      <c r="E302" s="33" t="s">
        <v>305</v>
      </c>
      <c r="F302" s="28">
        <v>1200</v>
      </c>
      <c r="G302" s="28">
        <v>1</v>
      </c>
      <c r="H302" s="28">
        <f t="shared" si="14"/>
        <v>1200</v>
      </c>
      <c r="I302" s="69" t="s">
        <v>82</v>
      </c>
      <c r="J302" s="28">
        <v>1</v>
      </c>
      <c r="K302" s="28">
        <v>1</v>
      </c>
      <c r="L302" s="28">
        <v>0.5</v>
      </c>
      <c r="M302" s="28" t="str">
        <f t="shared" si="15"/>
        <v>לא לרכוש</v>
      </c>
      <c r="N302" s="28"/>
      <c r="O302" s="28">
        <v>1000</v>
      </c>
      <c r="P302" s="27"/>
      <c r="Q302" s="27"/>
    </row>
    <row r="303" spans="1:17" s="32" customFormat="1" ht="14.25" customHeight="1">
      <c r="A303" s="27" t="s">
        <v>271</v>
      </c>
      <c r="B303" s="33" t="s">
        <v>436</v>
      </c>
      <c r="C303" s="34" t="s">
        <v>706</v>
      </c>
      <c r="D303" s="63" t="s">
        <v>299</v>
      </c>
      <c r="E303" s="33" t="s">
        <v>305</v>
      </c>
      <c r="F303" s="28">
        <v>1200</v>
      </c>
      <c r="G303" s="28">
        <v>1</v>
      </c>
      <c r="H303" s="28">
        <f t="shared" si="14"/>
        <v>1200</v>
      </c>
      <c r="I303" s="69" t="s">
        <v>82</v>
      </c>
      <c r="J303" s="28">
        <v>1</v>
      </c>
      <c r="K303" s="28">
        <v>1</v>
      </c>
      <c r="L303" s="28">
        <v>0.5</v>
      </c>
      <c r="M303" s="28" t="str">
        <f t="shared" si="15"/>
        <v>לא לרכוש</v>
      </c>
      <c r="N303" s="28"/>
      <c r="O303" s="28">
        <v>1000</v>
      </c>
      <c r="P303" s="27"/>
      <c r="Q303" s="27"/>
    </row>
    <row r="304" spans="1:17" s="32" customFormat="1" ht="14.25" customHeight="1">
      <c r="A304" s="27" t="s">
        <v>271</v>
      </c>
      <c r="B304" s="33" t="s">
        <v>436</v>
      </c>
      <c r="C304" s="34" t="s">
        <v>707</v>
      </c>
      <c r="D304" s="63" t="s">
        <v>299</v>
      </c>
      <c r="E304" s="33" t="s">
        <v>305</v>
      </c>
      <c r="F304" s="28">
        <v>1200</v>
      </c>
      <c r="G304" s="28">
        <v>1</v>
      </c>
      <c r="H304" s="28">
        <f t="shared" si="14"/>
        <v>1200</v>
      </c>
      <c r="I304" s="69" t="s">
        <v>82</v>
      </c>
      <c r="J304" s="28">
        <v>1</v>
      </c>
      <c r="K304" s="28">
        <v>1</v>
      </c>
      <c r="L304" s="28">
        <v>0.5</v>
      </c>
      <c r="M304" s="28" t="str">
        <f t="shared" si="15"/>
        <v>לא לרכוש</v>
      </c>
      <c r="N304" s="28"/>
      <c r="O304" s="28">
        <v>1000</v>
      </c>
      <c r="P304" s="27"/>
      <c r="Q304" s="27"/>
    </row>
    <row r="305" spans="1:17" s="32" customFormat="1" ht="14.25" customHeight="1">
      <c r="A305" s="27" t="s">
        <v>271</v>
      </c>
      <c r="B305" s="33" t="s">
        <v>436</v>
      </c>
      <c r="C305" s="34" t="s">
        <v>708</v>
      </c>
      <c r="D305" s="63" t="s">
        <v>299</v>
      </c>
      <c r="E305" s="33" t="s">
        <v>305</v>
      </c>
      <c r="F305" s="28">
        <v>1200</v>
      </c>
      <c r="G305" s="28">
        <v>1</v>
      </c>
      <c r="H305" s="28">
        <f t="shared" si="14"/>
        <v>1200</v>
      </c>
      <c r="I305" s="69" t="s">
        <v>82</v>
      </c>
      <c r="J305" s="28">
        <v>1</v>
      </c>
      <c r="K305" s="28">
        <v>1</v>
      </c>
      <c r="L305" s="28">
        <v>0.5</v>
      </c>
      <c r="M305" s="28" t="str">
        <f t="shared" si="15"/>
        <v>לא לרכוש</v>
      </c>
      <c r="N305" s="28"/>
      <c r="O305" s="28">
        <v>1000</v>
      </c>
      <c r="P305" s="27"/>
      <c r="Q305" s="27"/>
    </row>
    <row r="306" spans="1:17" s="32" customFormat="1" ht="14.25" customHeight="1">
      <c r="A306" s="27" t="s">
        <v>271</v>
      </c>
      <c r="B306" s="33" t="s">
        <v>436</v>
      </c>
      <c r="C306" s="34" t="s">
        <v>709</v>
      </c>
      <c r="D306" s="63" t="s">
        <v>299</v>
      </c>
      <c r="E306" s="33" t="s">
        <v>305</v>
      </c>
      <c r="F306" s="28">
        <v>1200</v>
      </c>
      <c r="G306" s="28">
        <v>1</v>
      </c>
      <c r="H306" s="28">
        <f t="shared" si="14"/>
        <v>1200</v>
      </c>
      <c r="I306" s="69" t="s">
        <v>82</v>
      </c>
      <c r="J306" s="28">
        <v>1</v>
      </c>
      <c r="K306" s="28">
        <v>1</v>
      </c>
      <c r="L306" s="28">
        <v>0.5</v>
      </c>
      <c r="M306" s="28" t="str">
        <f t="shared" si="15"/>
        <v>לא לרכוש</v>
      </c>
      <c r="N306" s="28"/>
      <c r="O306" s="28">
        <v>1000</v>
      </c>
      <c r="P306" s="27"/>
      <c r="Q306" s="27"/>
    </row>
    <row r="307" spans="1:17" s="32" customFormat="1" ht="14.25" customHeight="1">
      <c r="A307" s="27" t="s">
        <v>271</v>
      </c>
      <c r="B307" s="33" t="s">
        <v>436</v>
      </c>
      <c r="C307" s="34" t="s">
        <v>710</v>
      </c>
      <c r="D307" s="63" t="s">
        <v>299</v>
      </c>
      <c r="E307" s="33" t="s">
        <v>305</v>
      </c>
      <c r="F307" s="28">
        <v>1200</v>
      </c>
      <c r="G307" s="28">
        <v>1</v>
      </c>
      <c r="H307" s="28">
        <f t="shared" si="14"/>
        <v>1200</v>
      </c>
      <c r="I307" s="69" t="s">
        <v>82</v>
      </c>
      <c r="J307" s="28">
        <v>1</v>
      </c>
      <c r="K307" s="28">
        <v>1</v>
      </c>
      <c r="L307" s="28">
        <v>0.5</v>
      </c>
      <c r="M307" s="28" t="str">
        <f t="shared" si="15"/>
        <v>לא לרכוש</v>
      </c>
      <c r="N307" s="28"/>
      <c r="O307" s="28">
        <v>1000</v>
      </c>
      <c r="P307" s="27"/>
      <c r="Q307" s="27"/>
    </row>
    <row r="308" spans="1:17" s="32" customFormat="1" ht="14.25" customHeight="1">
      <c r="A308" s="27" t="s">
        <v>271</v>
      </c>
      <c r="B308" s="33" t="s">
        <v>436</v>
      </c>
      <c r="C308" s="34" t="s">
        <v>711</v>
      </c>
      <c r="D308" s="63" t="s">
        <v>299</v>
      </c>
      <c r="E308" s="33" t="s">
        <v>305</v>
      </c>
      <c r="F308" s="28">
        <v>1200</v>
      </c>
      <c r="G308" s="28">
        <v>1</v>
      </c>
      <c r="H308" s="28">
        <f t="shared" si="14"/>
        <v>1200</v>
      </c>
      <c r="I308" s="69" t="s">
        <v>82</v>
      </c>
      <c r="J308" s="28">
        <v>1</v>
      </c>
      <c r="K308" s="28">
        <v>1</v>
      </c>
      <c r="L308" s="28">
        <v>0.5</v>
      </c>
      <c r="M308" s="28" t="str">
        <f t="shared" si="15"/>
        <v>לא לרכוש</v>
      </c>
      <c r="N308" s="28"/>
      <c r="O308" s="28">
        <v>1000</v>
      </c>
      <c r="P308" s="27"/>
      <c r="Q308" s="27"/>
    </row>
    <row r="309" spans="1:17" s="32" customFormat="1" ht="14.25" customHeight="1">
      <c r="A309" s="15" t="s">
        <v>17</v>
      </c>
      <c r="B309" s="14" t="s">
        <v>438</v>
      </c>
      <c r="C309" s="13" t="s">
        <v>779</v>
      </c>
      <c r="D309" s="14" t="s">
        <v>998</v>
      </c>
      <c r="E309" s="15" t="s">
        <v>999</v>
      </c>
      <c r="F309" s="16">
        <v>1200</v>
      </c>
      <c r="G309" s="28">
        <v>1</v>
      </c>
      <c r="H309" s="16">
        <f t="shared" si="14"/>
        <v>1200</v>
      </c>
      <c r="I309" s="72"/>
      <c r="J309" s="16">
        <v>1</v>
      </c>
      <c r="K309" s="16"/>
      <c r="L309" s="16">
        <v>0.5</v>
      </c>
      <c r="M309" s="16" t="str">
        <f t="shared" si="15"/>
        <v>לא לרכוש</v>
      </c>
      <c r="N309" s="16"/>
      <c r="O309" s="28">
        <v>1000</v>
      </c>
      <c r="P309" s="17"/>
      <c r="Q309" s="14"/>
    </row>
    <row r="310" spans="1:17" s="32" customFormat="1" ht="14.25" customHeight="1">
      <c r="A310" s="33" t="s">
        <v>17</v>
      </c>
      <c r="B310" s="27" t="s">
        <v>441</v>
      </c>
      <c r="C310" s="34" t="s">
        <v>849</v>
      </c>
      <c r="D310" s="27" t="s">
        <v>998</v>
      </c>
      <c r="E310" s="33" t="s">
        <v>1016</v>
      </c>
      <c r="F310" s="28">
        <v>1200</v>
      </c>
      <c r="G310" s="28">
        <v>1</v>
      </c>
      <c r="H310" s="28">
        <f t="shared" si="14"/>
        <v>1200</v>
      </c>
      <c r="I310" s="69"/>
      <c r="J310" s="28">
        <v>1</v>
      </c>
      <c r="K310" s="28">
        <v>1</v>
      </c>
      <c r="L310" s="28">
        <v>0.5</v>
      </c>
      <c r="M310" s="28" t="str">
        <f t="shared" si="15"/>
        <v>לרכוש</v>
      </c>
      <c r="N310" s="28"/>
      <c r="O310" s="28">
        <v>1000</v>
      </c>
      <c r="P310" s="27"/>
      <c r="Q310" s="27"/>
    </row>
    <row r="311" spans="1:17" s="32" customFormat="1" ht="14.25" customHeight="1">
      <c r="A311" s="33" t="s">
        <v>1066</v>
      </c>
      <c r="B311" s="27" t="s">
        <v>441</v>
      </c>
      <c r="C311" s="34" t="s">
        <v>850</v>
      </c>
      <c r="D311" s="27" t="s">
        <v>998</v>
      </c>
      <c r="E311" s="33" t="s">
        <v>1016</v>
      </c>
      <c r="F311" s="28">
        <v>1200</v>
      </c>
      <c r="G311" s="28">
        <v>1</v>
      </c>
      <c r="H311" s="28">
        <f t="shared" si="14"/>
        <v>1200</v>
      </c>
      <c r="I311" s="69"/>
      <c r="J311" s="28">
        <v>1</v>
      </c>
      <c r="K311" s="28">
        <v>1</v>
      </c>
      <c r="L311" s="28">
        <v>0.5</v>
      </c>
      <c r="M311" s="28" t="str">
        <f t="shared" si="15"/>
        <v>לרכוש</v>
      </c>
      <c r="N311" s="28"/>
      <c r="O311" s="28">
        <v>1000</v>
      </c>
      <c r="P311" s="27"/>
      <c r="Q311" s="27"/>
    </row>
    <row r="312" spans="1:17" s="32" customFormat="1" ht="14.25" customHeight="1">
      <c r="A312" s="33" t="s">
        <v>17</v>
      </c>
      <c r="B312" s="27" t="s">
        <v>441</v>
      </c>
      <c r="C312" s="34" t="s">
        <v>851</v>
      </c>
      <c r="D312" s="27" t="s">
        <v>998</v>
      </c>
      <c r="E312" s="33" t="s">
        <v>1016</v>
      </c>
      <c r="F312" s="28">
        <v>1200</v>
      </c>
      <c r="G312" s="28">
        <v>1</v>
      </c>
      <c r="H312" s="28">
        <f t="shared" si="14"/>
        <v>1200</v>
      </c>
      <c r="I312" s="69"/>
      <c r="J312" s="28">
        <v>1</v>
      </c>
      <c r="K312" s="28">
        <v>1</v>
      </c>
      <c r="L312" s="28">
        <v>0.5</v>
      </c>
      <c r="M312" s="28" t="str">
        <f t="shared" si="15"/>
        <v>לרכוש</v>
      </c>
      <c r="N312" s="28"/>
      <c r="O312" s="28">
        <v>1000</v>
      </c>
      <c r="P312" s="27"/>
      <c r="Q312" s="27"/>
    </row>
    <row r="313" spans="1:17" s="32" customFormat="1" ht="14.25" customHeight="1">
      <c r="A313" s="33" t="s">
        <v>1066</v>
      </c>
      <c r="B313" s="27" t="s">
        <v>441</v>
      </c>
      <c r="C313" s="34" t="s">
        <v>852</v>
      </c>
      <c r="D313" s="27" t="s">
        <v>998</v>
      </c>
      <c r="E313" s="33" t="s">
        <v>1016</v>
      </c>
      <c r="F313" s="28">
        <v>1200</v>
      </c>
      <c r="G313" s="28">
        <v>1</v>
      </c>
      <c r="H313" s="28">
        <f t="shared" si="14"/>
        <v>1200</v>
      </c>
      <c r="I313" s="69"/>
      <c r="J313" s="28">
        <v>1</v>
      </c>
      <c r="K313" s="28">
        <v>1</v>
      </c>
      <c r="L313" s="28">
        <v>0.5</v>
      </c>
      <c r="M313" s="28" t="str">
        <f t="shared" si="15"/>
        <v>לרכוש</v>
      </c>
      <c r="N313" s="28"/>
      <c r="O313" s="28">
        <v>1000</v>
      </c>
      <c r="P313" s="27"/>
      <c r="Q313" s="27"/>
    </row>
    <row r="314" spans="1:17" s="32" customFormat="1" ht="14.25" customHeight="1">
      <c r="A314" s="33" t="s">
        <v>17</v>
      </c>
      <c r="B314" s="27" t="s">
        <v>441</v>
      </c>
      <c r="C314" s="34" t="s">
        <v>853</v>
      </c>
      <c r="D314" s="27" t="s">
        <v>998</v>
      </c>
      <c r="E314" s="33" t="s">
        <v>1016</v>
      </c>
      <c r="F314" s="28">
        <v>1200</v>
      </c>
      <c r="G314" s="28">
        <v>1</v>
      </c>
      <c r="H314" s="28">
        <f t="shared" si="14"/>
        <v>1200</v>
      </c>
      <c r="I314" s="69"/>
      <c r="J314" s="28">
        <v>1</v>
      </c>
      <c r="K314" s="28">
        <v>1</v>
      </c>
      <c r="L314" s="28">
        <v>0.5</v>
      </c>
      <c r="M314" s="28" t="str">
        <f t="shared" si="15"/>
        <v>לרכוש</v>
      </c>
      <c r="N314" s="28"/>
      <c r="O314" s="28">
        <v>1000</v>
      </c>
      <c r="P314" s="27"/>
      <c r="Q314" s="27"/>
    </row>
    <row r="315" spans="1:17" s="32" customFormat="1" ht="14.25" customHeight="1">
      <c r="A315" s="33" t="s">
        <v>1066</v>
      </c>
      <c r="B315" s="27" t="s">
        <v>441</v>
      </c>
      <c r="C315" s="34" t="s">
        <v>854</v>
      </c>
      <c r="D315" s="27" t="s">
        <v>998</v>
      </c>
      <c r="E315" s="33" t="s">
        <v>1016</v>
      </c>
      <c r="F315" s="28">
        <v>1200</v>
      </c>
      <c r="G315" s="28">
        <v>1</v>
      </c>
      <c r="H315" s="28">
        <f t="shared" si="14"/>
        <v>1200</v>
      </c>
      <c r="I315" s="69"/>
      <c r="J315" s="28">
        <v>1</v>
      </c>
      <c r="K315" s="28">
        <v>1</v>
      </c>
      <c r="L315" s="28">
        <v>0.5</v>
      </c>
      <c r="M315" s="28" t="str">
        <f t="shared" si="15"/>
        <v>לרכוש</v>
      </c>
      <c r="N315" s="28"/>
      <c r="O315" s="28">
        <v>1000</v>
      </c>
      <c r="P315" s="27"/>
      <c r="Q315" s="27"/>
    </row>
    <row r="316" spans="1:17" s="32" customFormat="1" ht="14.25" customHeight="1">
      <c r="A316" s="33" t="s">
        <v>17</v>
      </c>
      <c r="B316" s="27" t="s">
        <v>441</v>
      </c>
      <c r="C316" s="34" t="s">
        <v>855</v>
      </c>
      <c r="D316" s="27" t="s">
        <v>998</v>
      </c>
      <c r="E316" s="33" t="s">
        <v>1016</v>
      </c>
      <c r="F316" s="28">
        <v>1200</v>
      </c>
      <c r="G316" s="28">
        <v>1</v>
      </c>
      <c r="H316" s="28">
        <f t="shared" si="14"/>
        <v>1200</v>
      </c>
      <c r="I316" s="69"/>
      <c r="J316" s="28">
        <v>1</v>
      </c>
      <c r="K316" s="28">
        <v>1</v>
      </c>
      <c r="L316" s="28">
        <v>0.5</v>
      </c>
      <c r="M316" s="28" t="str">
        <f t="shared" si="15"/>
        <v>לרכוש</v>
      </c>
      <c r="N316" s="28"/>
      <c r="O316" s="28">
        <v>1000</v>
      </c>
      <c r="P316" s="27"/>
      <c r="Q316" s="27"/>
    </row>
    <row r="317" spans="1:17" s="32" customFormat="1" ht="14.25" customHeight="1">
      <c r="A317" s="33" t="s">
        <v>1066</v>
      </c>
      <c r="B317" s="27" t="s">
        <v>441</v>
      </c>
      <c r="C317" s="34" t="s">
        <v>856</v>
      </c>
      <c r="D317" s="27" t="s">
        <v>998</v>
      </c>
      <c r="E317" s="33" t="s">
        <v>1016</v>
      </c>
      <c r="F317" s="28">
        <v>1200</v>
      </c>
      <c r="G317" s="28">
        <v>1</v>
      </c>
      <c r="H317" s="28">
        <f t="shared" si="14"/>
        <v>1200</v>
      </c>
      <c r="I317" s="69"/>
      <c r="J317" s="28">
        <v>1</v>
      </c>
      <c r="K317" s="28">
        <v>1</v>
      </c>
      <c r="L317" s="28">
        <v>0.5</v>
      </c>
      <c r="M317" s="28" t="str">
        <f t="shared" si="15"/>
        <v>לרכוש</v>
      </c>
      <c r="N317" s="28"/>
      <c r="O317" s="28">
        <v>1000</v>
      </c>
      <c r="P317" s="27"/>
      <c r="Q317" s="27"/>
    </row>
    <row r="318" spans="1:17" s="32" customFormat="1" ht="14.25" customHeight="1">
      <c r="A318" s="33" t="s">
        <v>17</v>
      </c>
      <c r="B318" s="27" t="s">
        <v>441</v>
      </c>
      <c r="C318" s="34" t="s">
        <v>857</v>
      </c>
      <c r="D318" s="27" t="s">
        <v>998</v>
      </c>
      <c r="E318" s="33" t="s">
        <v>1016</v>
      </c>
      <c r="F318" s="28">
        <v>1200</v>
      </c>
      <c r="G318" s="28">
        <v>1</v>
      </c>
      <c r="H318" s="28">
        <f t="shared" si="14"/>
        <v>1200</v>
      </c>
      <c r="I318" s="69"/>
      <c r="J318" s="28">
        <v>1</v>
      </c>
      <c r="K318" s="28">
        <v>1</v>
      </c>
      <c r="L318" s="28">
        <v>0.5</v>
      </c>
      <c r="M318" s="28" t="str">
        <f t="shared" si="15"/>
        <v>לרכוש</v>
      </c>
      <c r="N318" s="28"/>
      <c r="O318" s="28">
        <v>1000</v>
      </c>
      <c r="P318" s="27"/>
      <c r="Q318" s="27"/>
    </row>
    <row r="319" spans="1:17" s="32" customFormat="1" ht="14.25" customHeight="1">
      <c r="A319" s="33" t="s">
        <v>1066</v>
      </c>
      <c r="B319" s="27" t="s">
        <v>441</v>
      </c>
      <c r="C319" s="34" t="s">
        <v>858</v>
      </c>
      <c r="D319" s="27" t="s">
        <v>998</v>
      </c>
      <c r="E319" s="33" t="s">
        <v>1016</v>
      </c>
      <c r="F319" s="28">
        <v>1200</v>
      </c>
      <c r="G319" s="28">
        <v>1</v>
      </c>
      <c r="H319" s="28">
        <f t="shared" si="14"/>
        <v>1200</v>
      </c>
      <c r="I319" s="69"/>
      <c r="J319" s="28">
        <v>1</v>
      </c>
      <c r="K319" s="28">
        <v>1</v>
      </c>
      <c r="L319" s="28">
        <v>0.5</v>
      </c>
      <c r="M319" s="28" t="str">
        <f t="shared" si="15"/>
        <v>לרכוש</v>
      </c>
      <c r="N319" s="28"/>
      <c r="O319" s="28">
        <v>1000</v>
      </c>
      <c r="P319" s="27"/>
      <c r="Q319" s="27"/>
    </row>
    <row r="320" spans="1:17" s="32" customFormat="1" ht="14.25" customHeight="1">
      <c r="A320" s="33" t="s">
        <v>17</v>
      </c>
      <c r="B320" s="27" t="s">
        <v>441</v>
      </c>
      <c r="C320" s="34" t="s">
        <v>860</v>
      </c>
      <c r="D320" s="27" t="s">
        <v>998</v>
      </c>
      <c r="E320" s="33" t="s">
        <v>1016</v>
      </c>
      <c r="F320" s="28">
        <v>1200</v>
      </c>
      <c r="G320" s="28">
        <v>1</v>
      </c>
      <c r="H320" s="28">
        <f t="shared" si="14"/>
        <v>1200</v>
      </c>
      <c r="I320" s="69"/>
      <c r="J320" s="28">
        <v>1</v>
      </c>
      <c r="K320" s="28">
        <v>1</v>
      </c>
      <c r="L320" s="28">
        <v>0.5</v>
      </c>
      <c r="M320" s="28" t="str">
        <f t="shared" si="15"/>
        <v>לרכוש</v>
      </c>
      <c r="N320" s="28"/>
      <c r="O320" s="28">
        <v>1000</v>
      </c>
      <c r="P320" s="27"/>
      <c r="Q320" s="27"/>
    </row>
    <row r="321" spans="1:17" s="32" customFormat="1" ht="14.25" customHeight="1">
      <c r="A321" s="33" t="s">
        <v>1066</v>
      </c>
      <c r="B321" s="27" t="s">
        <v>441</v>
      </c>
      <c r="C321" s="34" t="s">
        <v>861</v>
      </c>
      <c r="D321" s="27" t="s">
        <v>998</v>
      </c>
      <c r="E321" s="33" t="s">
        <v>1016</v>
      </c>
      <c r="F321" s="28">
        <v>1200</v>
      </c>
      <c r="G321" s="28">
        <v>1</v>
      </c>
      <c r="H321" s="28">
        <f t="shared" si="14"/>
        <v>1200</v>
      </c>
      <c r="I321" s="69"/>
      <c r="J321" s="28">
        <v>1</v>
      </c>
      <c r="K321" s="28">
        <v>1</v>
      </c>
      <c r="L321" s="28">
        <v>0.5</v>
      </c>
      <c r="M321" s="28" t="str">
        <f t="shared" si="15"/>
        <v>לרכוש</v>
      </c>
      <c r="N321" s="28"/>
      <c r="O321" s="28">
        <v>1000</v>
      </c>
      <c r="P321" s="27"/>
      <c r="Q321" s="27"/>
    </row>
    <row r="322" spans="1:17" s="32" customFormat="1" ht="14.25" customHeight="1">
      <c r="A322" s="33" t="s">
        <v>17</v>
      </c>
      <c r="B322" s="27" t="s">
        <v>441</v>
      </c>
      <c r="C322" s="34" t="s">
        <v>862</v>
      </c>
      <c r="D322" s="27" t="s">
        <v>998</v>
      </c>
      <c r="E322" s="33" t="s">
        <v>1016</v>
      </c>
      <c r="F322" s="28">
        <v>1200</v>
      </c>
      <c r="G322" s="28">
        <v>1</v>
      </c>
      <c r="H322" s="28">
        <f t="shared" si="14"/>
        <v>1200</v>
      </c>
      <c r="I322" s="69"/>
      <c r="J322" s="28">
        <v>1</v>
      </c>
      <c r="K322" s="28">
        <v>1</v>
      </c>
      <c r="L322" s="28">
        <v>0.5</v>
      </c>
      <c r="M322" s="28" t="str">
        <f t="shared" si="15"/>
        <v>לרכוש</v>
      </c>
      <c r="N322" s="28"/>
      <c r="O322" s="28">
        <v>1000</v>
      </c>
      <c r="P322" s="27"/>
      <c r="Q322" s="27"/>
    </row>
    <row r="323" spans="1:17" s="32" customFormat="1" ht="14.25" customHeight="1">
      <c r="A323" s="33" t="s">
        <v>17</v>
      </c>
      <c r="B323" s="27" t="s">
        <v>441</v>
      </c>
      <c r="C323" s="34" t="s">
        <v>863</v>
      </c>
      <c r="D323" s="27" t="s">
        <v>998</v>
      </c>
      <c r="E323" s="33" t="s">
        <v>1016</v>
      </c>
      <c r="F323" s="28">
        <v>1200</v>
      </c>
      <c r="G323" s="28">
        <v>1</v>
      </c>
      <c r="H323" s="28">
        <f t="shared" si="14"/>
        <v>1200</v>
      </c>
      <c r="I323" s="69"/>
      <c r="J323" s="28">
        <v>1</v>
      </c>
      <c r="K323" s="28">
        <v>1</v>
      </c>
      <c r="L323" s="28">
        <v>0.5</v>
      </c>
      <c r="M323" s="28" t="str">
        <f t="shared" si="15"/>
        <v>לרכוש</v>
      </c>
      <c r="N323" s="28"/>
      <c r="O323" s="28">
        <v>1000</v>
      </c>
      <c r="P323" s="27"/>
      <c r="Q323" s="27"/>
    </row>
    <row r="324" spans="1:17" s="32" customFormat="1" ht="14.25" customHeight="1">
      <c r="A324" s="33" t="s">
        <v>1066</v>
      </c>
      <c r="B324" s="27" t="s">
        <v>441</v>
      </c>
      <c r="C324" s="34" t="s">
        <v>864</v>
      </c>
      <c r="D324" s="27" t="s">
        <v>998</v>
      </c>
      <c r="E324" s="33" t="s">
        <v>1016</v>
      </c>
      <c r="F324" s="28">
        <v>1200</v>
      </c>
      <c r="G324" s="28">
        <v>1</v>
      </c>
      <c r="H324" s="28">
        <f t="shared" si="14"/>
        <v>1200</v>
      </c>
      <c r="I324" s="69"/>
      <c r="J324" s="28">
        <v>1</v>
      </c>
      <c r="K324" s="28">
        <v>1</v>
      </c>
      <c r="L324" s="28">
        <v>0.5</v>
      </c>
      <c r="M324" s="28" t="str">
        <f t="shared" si="15"/>
        <v>לרכוש</v>
      </c>
      <c r="N324" s="28"/>
      <c r="O324" s="28">
        <v>1000</v>
      </c>
      <c r="P324" s="27"/>
      <c r="Q324" s="27"/>
    </row>
    <row r="325" spans="1:17" s="32" customFormat="1" ht="14.25" customHeight="1">
      <c r="A325" s="33" t="s">
        <v>17</v>
      </c>
      <c r="B325" s="27" t="s">
        <v>441</v>
      </c>
      <c r="C325" s="34" t="s">
        <v>865</v>
      </c>
      <c r="D325" s="27" t="s">
        <v>998</v>
      </c>
      <c r="E325" s="33" t="s">
        <v>1016</v>
      </c>
      <c r="F325" s="28">
        <v>1200</v>
      </c>
      <c r="G325" s="28">
        <v>1</v>
      </c>
      <c r="H325" s="28">
        <f t="shared" si="14"/>
        <v>1200</v>
      </c>
      <c r="I325" s="69"/>
      <c r="J325" s="28">
        <v>1</v>
      </c>
      <c r="K325" s="28">
        <v>1</v>
      </c>
      <c r="L325" s="28">
        <v>0.5</v>
      </c>
      <c r="M325" s="28" t="str">
        <f t="shared" si="15"/>
        <v>לרכוש</v>
      </c>
      <c r="N325" s="28"/>
      <c r="O325" s="28">
        <v>1000</v>
      </c>
      <c r="P325" s="27"/>
      <c r="Q325" s="27"/>
    </row>
    <row r="326" spans="1:17" s="32" customFormat="1" ht="14.25" customHeight="1">
      <c r="A326" s="33" t="s">
        <v>1066</v>
      </c>
      <c r="B326" s="27" t="s">
        <v>441</v>
      </c>
      <c r="C326" s="34" t="s">
        <v>866</v>
      </c>
      <c r="D326" s="27" t="s">
        <v>998</v>
      </c>
      <c r="E326" s="33" t="s">
        <v>1016</v>
      </c>
      <c r="F326" s="28">
        <v>1200</v>
      </c>
      <c r="G326" s="28">
        <v>1</v>
      </c>
      <c r="H326" s="28">
        <f t="shared" si="14"/>
        <v>1200</v>
      </c>
      <c r="I326" s="69"/>
      <c r="J326" s="28">
        <v>1</v>
      </c>
      <c r="K326" s="28">
        <v>1</v>
      </c>
      <c r="L326" s="28">
        <v>0.5</v>
      </c>
      <c r="M326" s="28" t="str">
        <f t="shared" si="15"/>
        <v>לרכוש</v>
      </c>
      <c r="N326" s="28"/>
      <c r="O326" s="28">
        <v>1000</v>
      </c>
      <c r="P326" s="27"/>
      <c r="Q326" s="27"/>
    </row>
    <row r="327" spans="1:17" s="32" customFormat="1" ht="14.25" customHeight="1">
      <c r="A327" s="33" t="s">
        <v>271</v>
      </c>
      <c r="B327" s="27" t="s">
        <v>442</v>
      </c>
      <c r="C327" s="34" t="s">
        <v>878</v>
      </c>
      <c r="D327" s="27" t="s">
        <v>1018</v>
      </c>
      <c r="E327" s="33" t="s">
        <v>1019</v>
      </c>
      <c r="F327" s="28">
        <v>1200</v>
      </c>
      <c r="G327" s="28">
        <v>1</v>
      </c>
      <c r="H327" s="28">
        <f t="shared" si="14"/>
        <v>1200</v>
      </c>
      <c r="I327" s="69" t="s">
        <v>82</v>
      </c>
      <c r="J327" s="28">
        <v>1</v>
      </c>
      <c r="K327" s="28">
        <v>1</v>
      </c>
      <c r="L327" s="28">
        <v>1</v>
      </c>
      <c r="M327" s="28" t="str">
        <f t="shared" si="15"/>
        <v>לא לרכוש</v>
      </c>
      <c r="N327" s="28"/>
      <c r="O327" s="28">
        <v>1000</v>
      </c>
      <c r="P327" s="27"/>
      <c r="Q327" s="27"/>
    </row>
    <row r="328" spans="1:17" s="32" customFormat="1" ht="14.25" customHeight="1">
      <c r="A328" s="33" t="s">
        <v>271</v>
      </c>
      <c r="B328" s="27" t="s">
        <v>444</v>
      </c>
      <c r="C328" s="34" t="s">
        <v>896</v>
      </c>
      <c r="D328" s="27" t="s">
        <v>1018</v>
      </c>
      <c r="E328" s="33" t="s">
        <v>1019</v>
      </c>
      <c r="F328" s="28">
        <v>1200</v>
      </c>
      <c r="G328" s="28">
        <v>1</v>
      </c>
      <c r="H328" s="28">
        <f t="shared" si="14"/>
        <v>1200</v>
      </c>
      <c r="I328" s="69"/>
      <c r="J328" s="28">
        <v>1</v>
      </c>
      <c r="K328" s="28">
        <v>1</v>
      </c>
      <c r="L328" s="28">
        <v>0.5</v>
      </c>
      <c r="M328" s="28" t="str">
        <f t="shared" si="15"/>
        <v>לרכוש</v>
      </c>
      <c r="N328" s="28"/>
      <c r="O328" s="28">
        <v>1000</v>
      </c>
      <c r="P328" s="27"/>
      <c r="Q328" s="27"/>
    </row>
    <row r="329" spans="1:17" s="32" customFormat="1" ht="14.25" customHeight="1">
      <c r="A329" s="33" t="s">
        <v>271</v>
      </c>
      <c r="B329" s="27" t="s">
        <v>445</v>
      </c>
      <c r="C329" s="34" t="s">
        <v>903</v>
      </c>
      <c r="D329" s="27" t="s">
        <v>1018</v>
      </c>
      <c r="E329" s="33" t="s">
        <v>1019</v>
      </c>
      <c r="F329" s="28">
        <v>1200</v>
      </c>
      <c r="G329" s="28">
        <v>1</v>
      </c>
      <c r="H329" s="28">
        <f t="shared" si="14"/>
        <v>1200</v>
      </c>
      <c r="I329" s="69" t="s">
        <v>82</v>
      </c>
      <c r="J329" s="28">
        <v>1</v>
      </c>
      <c r="K329" s="28">
        <v>1</v>
      </c>
      <c r="L329" s="28">
        <v>1</v>
      </c>
      <c r="M329" s="28" t="str">
        <f t="shared" si="15"/>
        <v>לא לרכוש</v>
      </c>
      <c r="N329" s="28"/>
      <c r="O329" s="28">
        <v>1000</v>
      </c>
      <c r="P329" s="27"/>
      <c r="Q329" s="27"/>
    </row>
    <row r="330" spans="1:17" s="32" customFormat="1" ht="14.25" customHeight="1">
      <c r="A330" s="33" t="s">
        <v>271</v>
      </c>
      <c r="B330" s="27" t="s">
        <v>445</v>
      </c>
      <c r="C330" s="34" t="s">
        <v>904</v>
      </c>
      <c r="D330" s="27" t="s">
        <v>1018</v>
      </c>
      <c r="E330" s="33" t="s">
        <v>1019</v>
      </c>
      <c r="F330" s="28">
        <v>1200</v>
      </c>
      <c r="G330" s="28">
        <v>1</v>
      </c>
      <c r="H330" s="28">
        <f t="shared" si="14"/>
        <v>1200</v>
      </c>
      <c r="I330" s="69" t="s">
        <v>82</v>
      </c>
      <c r="J330" s="28">
        <v>1</v>
      </c>
      <c r="K330" s="28">
        <v>1</v>
      </c>
      <c r="L330" s="28">
        <v>1</v>
      </c>
      <c r="M330" s="28" t="str">
        <f t="shared" ref="M330:M361" si="16">IF(AND(K330*L330*30*O330&gt;H330/J330,I330=""),"לרכוש","לא לרכוש")</f>
        <v>לא לרכוש</v>
      </c>
      <c r="N330" s="28"/>
      <c r="O330" s="28">
        <v>1000</v>
      </c>
      <c r="P330" s="27"/>
      <c r="Q330" s="27"/>
    </row>
    <row r="331" spans="1:17" s="32" customFormat="1" ht="14.25" customHeight="1">
      <c r="A331" s="33" t="s">
        <v>271</v>
      </c>
      <c r="B331" s="27" t="s">
        <v>445</v>
      </c>
      <c r="C331" s="34" t="s">
        <v>905</v>
      </c>
      <c r="D331" s="27" t="s">
        <v>1018</v>
      </c>
      <c r="E331" s="33" t="s">
        <v>1019</v>
      </c>
      <c r="F331" s="28">
        <v>1200</v>
      </c>
      <c r="G331" s="28">
        <v>1</v>
      </c>
      <c r="H331" s="28">
        <f t="shared" si="14"/>
        <v>1200</v>
      </c>
      <c r="I331" s="69" t="s">
        <v>82</v>
      </c>
      <c r="J331" s="28">
        <v>1</v>
      </c>
      <c r="K331" s="28">
        <v>1</v>
      </c>
      <c r="L331" s="28">
        <v>1</v>
      </c>
      <c r="M331" s="28" t="str">
        <f t="shared" si="16"/>
        <v>לא לרכוש</v>
      </c>
      <c r="N331" s="28"/>
      <c r="O331" s="28">
        <v>1000</v>
      </c>
      <c r="P331" s="27"/>
      <c r="Q331" s="27"/>
    </row>
    <row r="332" spans="1:17" s="32" customFormat="1" ht="14.25" customHeight="1">
      <c r="A332" s="33" t="s">
        <v>17</v>
      </c>
      <c r="B332" s="27" t="s">
        <v>275</v>
      </c>
      <c r="C332" s="34" t="s">
        <v>286</v>
      </c>
      <c r="D332" s="27" t="s">
        <v>301</v>
      </c>
      <c r="E332" s="33" t="s">
        <v>307</v>
      </c>
      <c r="F332" s="28">
        <v>1100</v>
      </c>
      <c r="G332" s="28">
        <v>1</v>
      </c>
      <c r="H332" s="28">
        <f t="shared" si="14"/>
        <v>1100</v>
      </c>
      <c r="I332" s="69" t="s">
        <v>82</v>
      </c>
      <c r="J332" s="28">
        <v>1</v>
      </c>
      <c r="K332" s="28">
        <v>1</v>
      </c>
      <c r="L332" s="28">
        <v>0.5</v>
      </c>
      <c r="M332" s="28" t="str">
        <f t="shared" si="16"/>
        <v>לא לרכוש</v>
      </c>
      <c r="N332" s="28"/>
      <c r="O332" s="28">
        <v>1000</v>
      </c>
      <c r="P332" s="27"/>
      <c r="Q332" s="27"/>
    </row>
    <row r="333" spans="1:17" s="32" customFormat="1" ht="14.25" customHeight="1">
      <c r="A333" s="33" t="s">
        <v>17</v>
      </c>
      <c r="B333" s="27" t="s">
        <v>275</v>
      </c>
      <c r="C333" s="34" t="s">
        <v>287</v>
      </c>
      <c r="D333" s="27" t="s">
        <v>301</v>
      </c>
      <c r="E333" s="33" t="s">
        <v>307</v>
      </c>
      <c r="F333" s="28">
        <v>1100</v>
      </c>
      <c r="G333" s="28">
        <v>1</v>
      </c>
      <c r="H333" s="28">
        <f t="shared" si="14"/>
        <v>1100</v>
      </c>
      <c r="I333" s="69" t="s">
        <v>82</v>
      </c>
      <c r="J333" s="28">
        <v>1</v>
      </c>
      <c r="K333" s="28">
        <v>1</v>
      </c>
      <c r="L333" s="28">
        <v>0.5</v>
      </c>
      <c r="M333" s="28" t="str">
        <f t="shared" si="16"/>
        <v>לא לרכוש</v>
      </c>
      <c r="N333" s="28"/>
      <c r="O333" s="28">
        <v>1000</v>
      </c>
      <c r="P333" s="27"/>
      <c r="Q333" s="27"/>
    </row>
    <row r="334" spans="1:17" s="32" customFormat="1" ht="14.25" customHeight="1">
      <c r="A334" s="33" t="s">
        <v>17</v>
      </c>
      <c r="B334" s="27" t="s">
        <v>275</v>
      </c>
      <c r="C334" s="34" t="s">
        <v>288</v>
      </c>
      <c r="D334" s="27" t="s">
        <v>301</v>
      </c>
      <c r="E334" s="33" t="s">
        <v>307</v>
      </c>
      <c r="F334" s="28">
        <v>1100</v>
      </c>
      <c r="G334" s="28">
        <v>1</v>
      </c>
      <c r="H334" s="28">
        <f t="shared" si="14"/>
        <v>1100</v>
      </c>
      <c r="I334" s="69" t="s">
        <v>82</v>
      </c>
      <c r="J334" s="28">
        <v>1</v>
      </c>
      <c r="K334" s="28">
        <v>1</v>
      </c>
      <c r="L334" s="28">
        <v>0.5</v>
      </c>
      <c r="M334" s="28" t="str">
        <f t="shared" si="16"/>
        <v>לא לרכוש</v>
      </c>
      <c r="N334" s="28"/>
      <c r="O334" s="28">
        <v>1000</v>
      </c>
      <c r="P334" s="27"/>
      <c r="Q334" s="27"/>
    </row>
    <row r="335" spans="1:17" s="32" customFormat="1" ht="14.25" customHeight="1">
      <c r="A335" s="33" t="s">
        <v>17</v>
      </c>
      <c r="B335" s="27" t="s">
        <v>275</v>
      </c>
      <c r="C335" s="34" t="s">
        <v>289</v>
      </c>
      <c r="D335" s="27" t="s">
        <v>301</v>
      </c>
      <c r="E335" s="33" t="s">
        <v>307</v>
      </c>
      <c r="F335" s="28">
        <v>1100</v>
      </c>
      <c r="G335" s="28">
        <v>1</v>
      </c>
      <c r="H335" s="28">
        <f t="shared" si="14"/>
        <v>1100</v>
      </c>
      <c r="I335" s="69" t="s">
        <v>82</v>
      </c>
      <c r="J335" s="28">
        <v>1</v>
      </c>
      <c r="K335" s="28">
        <v>1</v>
      </c>
      <c r="L335" s="28">
        <v>0.5</v>
      </c>
      <c r="M335" s="28" t="str">
        <f t="shared" si="16"/>
        <v>לא לרכוש</v>
      </c>
      <c r="N335" s="28"/>
      <c r="O335" s="28">
        <v>1000</v>
      </c>
      <c r="P335" s="27"/>
      <c r="Q335" s="27"/>
    </row>
    <row r="336" spans="1:17" s="32" customFormat="1" ht="14.25" customHeight="1">
      <c r="A336" s="33" t="s">
        <v>17</v>
      </c>
      <c r="B336" s="27" t="s">
        <v>275</v>
      </c>
      <c r="C336" s="34" t="s">
        <v>290</v>
      </c>
      <c r="D336" s="27" t="s">
        <v>301</v>
      </c>
      <c r="E336" s="33" t="s">
        <v>307</v>
      </c>
      <c r="F336" s="28">
        <v>1100</v>
      </c>
      <c r="G336" s="28">
        <v>1</v>
      </c>
      <c r="H336" s="28">
        <f t="shared" si="14"/>
        <v>1100</v>
      </c>
      <c r="I336" s="69" t="s">
        <v>82</v>
      </c>
      <c r="J336" s="28">
        <v>1</v>
      </c>
      <c r="K336" s="28">
        <v>1</v>
      </c>
      <c r="L336" s="28">
        <v>0.5</v>
      </c>
      <c r="M336" s="28" t="str">
        <f t="shared" si="16"/>
        <v>לא לרכוש</v>
      </c>
      <c r="N336" s="28"/>
      <c r="O336" s="28">
        <v>1000</v>
      </c>
      <c r="P336" s="27"/>
      <c r="Q336" s="27"/>
    </row>
    <row r="337" spans="1:17" s="32" customFormat="1" ht="14.25" customHeight="1">
      <c r="A337" s="33" t="s">
        <v>17</v>
      </c>
      <c r="B337" s="27" t="s">
        <v>275</v>
      </c>
      <c r="C337" s="34" t="s">
        <v>291</v>
      </c>
      <c r="D337" s="27" t="s">
        <v>301</v>
      </c>
      <c r="E337" s="33" t="s">
        <v>307</v>
      </c>
      <c r="F337" s="28">
        <v>1100</v>
      </c>
      <c r="G337" s="28">
        <v>1</v>
      </c>
      <c r="H337" s="28">
        <f t="shared" si="14"/>
        <v>1100</v>
      </c>
      <c r="I337" s="69" t="s">
        <v>82</v>
      </c>
      <c r="J337" s="28">
        <v>1</v>
      </c>
      <c r="K337" s="28">
        <v>1</v>
      </c>
      <c r="L337" s="28">
        <v>0.5</v>
      </c>
      <c r="M337" s="28" t="str">
        <f t="shared" si="16"/>
        <v>לא לרכוש</v>
      </c>
      <c r="N337" s="28"/>
      <c r="O337" s="28">
        <v>1000</v>
      </c>
      <c r="P337" s="27"/>
      <c r="Q337" s="27"/>
    </row>
    <row r="338" spans="1:17" s="32" customFormat="1" ht="14.25" customHeight="1">
      <c r="A338" s="33" t="s">
        <v>17</v>
      </c>
      <c r="B338" s="27" t="s">
        <v>275</v>
      </c>
      <c r="C338" s="34" t="s">
        <v>292</v>
      </c>
      <c r="D338" s="27" t="s">
        <v>301</v>
      </c>
      <c r="E338" s="33" t="s">
        <v>307</v>
      </c>
      <c r="F338" s="28">
        <v>1100</v>
      </c>
      <c r="G338" s="28">
        <v>1</v>
      </c>
      <c r="H338" s="28">
        <f t="shared" si="14"/>
        <v>1100</v>
      </c>
      <c r="I338" s="69" t="s">
        <v>82</v>
      </c>
      <c r="J338" s="28">
        <v>1</v>
      </c>
      <c r="K338" s="28">
        <v>1</v>
      </c>
      <c r="L338" s="28">
        <v>0.5</v>
      </c>
      <c r="M338" s="28" t="str">
        <f t="shared" si="16"/>
        <v>לא לרכוש</v>
      </c>
      <c r="N338" s="28"/>
      <c r="O338" s="28">
        <v>1000</v>
      </c>
      <c r="P338" s="27"/>
      <c r="Q338" s="27"/>
    </row>
    <row r="339" spans="1:17" s="32" customFormat="1" ht="14.25" customHeight="1">
      <c r="A339" s="33" t="s">
        <v>17</v>
      </c>
      <c r="B339" s="27" t="s">
        <v>312</v>
      </c>
      <c r="C339" s="34" t="s">
        <v>319</v>
      </c>
      <c r="D339" s="27" t="s">
        <v>301</v>
      </c>
      <c r="E339" s="33" t="s">
        <v>307</v>
      </c>
      <c r="F339" s="28">
        <v>1100</v>
      </c>
      <c r="G339" s="28">
        <v>1</v>
      </c>
      <c r="H339" s="28">
        <f t="shared" si="14"/>
        <v>1100</v>
      </c>
      <c r="I339" s="69" t="s">
        <v>82</v>
      </c>
      <c r="J339" s="28">
        <v>1</v>
      </c>
      <c r="K339" s="28">
        <v>1</v>
      </c>
      <c r="L339" s="28">
        <v>0.5</v>
      </c>
      <c r="M339" s="28" t="str">
        <f t="shared" si="16"/>
        <v>לא לרכוש</v>
      </c>
      <c r="N339" s="28"/>
      <c r="O339" s="28">
        <v>1000</v>
      </c>
      <c r="P339" s="27"/>
      <c r="Q339" s="27"/>
    </row>
    <row r="340" spans="1:17" s="32" customFormat="1" ht="14.25" customHeight="1">
      <c r="A340" s="33" t="s">
        <v>17</v>
      </c>
      <c r="B340" s="27" t="s">
        <v>312</v>
      </c>
      <c r="C340" s="34" t="s">
        <v>320</v>
      </c>
      <c r="D340" s="27" t="s">
        <v>301</v>
      </c>
      <c r="E340" s="33" t="s">
        <v>307</v>
      </c>
      <c r="F340" s="28">
        <v>1100</v>
      </c>
      <c r="G340" s="28">
        <v>1</v>
      </c>
      <c r="H340" s="28">
        <f t="shared" si="14"/>
        <v>1100</v>
      </c>
      <c r="I340" s="69" t="s">
        <v>82</v>
      </c>
      <c r="J340" s="28">
        <v>1</v>
      </c>
      <c r="K340" s="28">
        <v>1</v>
      </c>
      <c r="L340" s="28">
        <v>0.5</v>
      </c>
      <c r="M340" s="28" t="str">
        <f t="shared" si="16"/>
        <v>לא לרכוש</v>
      </c>
      <c r="N340" s="28"/>
      <c r="O340" s="28">
        <v>1000</v>
      </c>
      <c r="P340" s="27"/>
      <c r="Q340" s="27"/>
    </row>
    <row r="341" spans="1:17" s="32" customFormat="1" ht="14.25" customHeight="1">
      <c r="A341" s="33" t="s">
        <v>17</v>
      </c>
      <c r="B341" s="27" t="s">
        <v>312</v>
      </c>
      <c r="C341" s="34" t="s">
        <v>321</v>
      </c>
      <c r="D341" s="27" t="s">
        <v>301</v>
      </c>
      <c r="E341" s="33" t="s">
        <v>307</v>
      </c>
      <c r="F341" s="28">
        <v>1100</v>
      </c>
      <c r="G341" s="28">
        <v>1</v>
      </c>
      <c r="H341" s="28">
        <f t="shared" si="14"/>
        <v>1100</v>
      </c>
      <c r="I341" s="69" t="s">
        <v>82</v>
      </c>
      <c r="J341" s="28">
        <v>1</v>
      </c>
      <c r="K341" s="28">
        <v>1</v>
      </c>
      <c r="L341" s="28">
        <v>0.5</v>
      </c>
      <c r="M341" s="28" t="str">
        <f t="shared" si="16"/>
        <v>לא לרכוש</v>
      </c>
      <c r="N341" s="28"/>
      <c r="O341" s="28">
        <v>1000</v>
      </c>
      <c r="P341" s="27"/>
      <c r="Q341" s="27"/>
    </row>
    <row r="342" spans="1:17" s="32" customFormat="1" ht="14.25" customHeight="1">
      <c r="A342" s="33" t="s">
        <v>17</v>
      </c>
      <c r="B342" s="27" t="s">
        <v>331</v>
      </c>
      <c r="C342" s="34" t="s">
        <v>335</v>
      </c>
      <c r="D342" s="27" t="s">
        <v>301</v>
      </c>
      <c r="E342" s="33" t="s">
        <v>307</v>
      </c>
      <c r="F342" s="28">
        <v>1100</v>
      </c>
      <c r="G342" s="28">
        <v>1</v>
      </c>
      <c r="H342" s="28">
        <f t="shared" si="14"/>
        <v>1100</v>
      </c>
      <c r="I342" s="69" t="s">
        <v>82</v>
      </c>
      <c r="J342" s="28">
        <v>1</v>
      </c>
      <c r="K342" s="28">
        <v>1</v>
      </c>
      <c r="L342" s="28">
        <v>1</v>
      </c>
      <c r="M342" s="28" t="str">
        <f t="shared" si="16"/>
        <v>לא לרכוש</v>
      </c>
      <c r="N342" s="28"/>
      <c r="O342" s="28">
        <v>1000</v>
      </c>
      <c r="P342" s="27"/>
      <c r="Q342" s="27"/>
    </row>
    <row r="343" spans="1:17" s="32" customFormat="1" ht="14.25" customHeight="1">
      <c r="A343" s="33" t="s">
        <v>17</v>
      </c>
      <c r="B343" s="27" t="s">
        <v>331</v>
      </c>
      <c r="C343" s="34" t="s">
        <v>336</v>
      </c>
      <c r="D343" s="27" t="s">
        <v>301</v>
      </c>
      <c r="E343" s="33" t="s">
        <v>307</v>
      </c>
      <c r="F343" s="28">
        <v>1100</v>
      </c>
      <c r="G343" s="28">
        <v>1</v>
      </c>
      <c r="H343" s="28">
        <f t="shared" si="14"/>
        <v>1100</v>
      </c>
      <c r="I343" s="69" t="s">
        <v>82</v>
      </c>
      <c r="J343" s="28">
        <v>1</v>
      </c>
      <c r="K343" s="28">
        <v>1</v>
      </c>
      <c r="L343" s="28">
        <v>1</v>
      </c>
      <c r="M343" s="28" t="str">
        <f t="shared" si="16"/>
        <v>לא לרכוש</v>
      </c>
      <c r="N343" s="28"/>
      <c r="O343" s="28">
        <v>1000</v>
      </c>
      <c r="P343" s="27"/>
      <c r="Q343" s="27"/>
    </row>
    <row r="344" spans="1:17" s="32" customFormat="1" ht="14.25" customHeight="1">
      <c r="A344" s="37" t="s">
        <v>118</v>
      </c>
      <c r="B344" s="37" t="s">
        <v>116</v>
      </c>
      <c r="C344" s="38" t="s">
        <v>123</v>
      </c>
      <c r="D344" s="28" t="s">
        <v>132</v>
      </c>
      <c r="E344" s="37" t="s">
        <v>139</v>
      </c>
      <c r="F344" s="28">
        <v>1000</v>
      </c>
      <c r="G344" s="28">
        <v>1</v>
      </c>
      <c r="H344" s="28">
        <f t="shared" si="14"/>
        <v>1000</v>
      </c>
      <c r="I344" s="69" t="s">
        <v>82</v>
      </c>
      <c r="J344" s="28">
        <v>1</v>
      </c>
      <c r="K344" s="28">
        <v>0</v>
      </c>
      <c r="L344" s="28">
        <v>0.2</v>
      </c>
      <c r="M344" s="28" t="str">
        <f t="shared" si="16"/>
        <v>לא לרכוש</v>
      </c>
      <c r="N344" s="28"/>
      <c r="O344" s="28">
        <v>1000</v>
      </c>
      <c r="P344" s="27"/>
      <c r="Q344" s="27"/>
    </row>
    <row r="345" spans="1:17" s="32" customFormat="1" ht="14.25" customHeight="1">
      <c r="A345" s="33" t="s">
        <v>17</v>
      </c>
      <c r="B345" s="27" t="s">
        <v>251</v>
      </c>
      <c r="C345" s="34" t="s">
        <v>257</v>
      </c>
      <c r="D345" s="27" t="s">
        <v>258</v>
      </c>
      <c r="E345" s="33" t="s">
        <v>250</v>
      </c>
      <c r="F345" s="28">
        <v>1000</v>
      </c>
      <c r="G345" s="28">
        <v>1</v>
      </c>
      <c r="H345" s="28">
        <f t="shared" si="14"/>
        <v>1000</v>
      </c>
      <c r="I345" s="69"/>
      <c r="J345" s="28">
        <v>1</v>
      </c>
      <c r="K345" s="28">
        <v>1</v>
      </c>
      <c r="L345" s="28">
        <v>0.5</v>
      </c>
      <c r="M345" s="28" t="str">
        <f t="shared" si="16"/>
        <v>לרכוש</v>
      </c>
      <c r="N345" s="28"/>
      <c r="O345" s="28">
        <v>1000</v>
      </c>
      <c r="P345" s="27"/>
      <c r="Q345" s="27"/>
    </row>
    <row r="346" spans="1:17" s="32" customFormat="1" ht="14.25" customHeight="1">
      <c r="A346" s="33" t="s">
        <v>332</v>
      </c>
      <c r="B346" s="27" t="s">
        <v>275</v>
      </c>
      <c r="C346" s="34" t="s">
        <v>298</v>
      </c>
      <c r="D346" s="27" t="s">
        <v>302</v>
      </c>
      <c r="E346" s="33" t="s">
        <v>311</v>
      </c>
      <c r="F346" s="28">
        <v>1000</v>
      </c>
      <c r="G346" s="28">
        <v>1</v>
      </c>
      <c r="H346" s="28">
        <f t="shared" si="14"/>
        <v>1000</v>
      </c>
      <c r="I346" s="69"/>
      <c r="J346" s="28">
        <v>1</v>
      </c>
      <c r="K346" s="28">
        <v>1</v>
      </c>
      <c r="L346" s="28">
        <v>1</v>
      </c>
      <c r="M346" s="28" t="str">
        <f t="shared" si="16"/>
        <v>לרכוש</v>
      </c>
      <c r="N346" s="28"/>
      <c r="O346" s="28">
        <v>1000</v>
      </c>
      <c r="P346" s="27"/>
      <c r="Q346" s="27"/>
    </row>
    <row r="347" spans="1:17" s="32" customFormat="1" ht="14.25" customHeight="1">
      <c r="A347" s="33" t="s">
        <v>332</v>
      </c>
      <c r="B347" s="27" t="s">
        <v>331</v>
      </c>
      <c r="C347" s="34" t="s">
        <v>342</v>
      </c>
      <c r="D347" s="27" t="s">
        <v>302</v>
      </c>
      <c r="E347" s="33" t="s">
        <v>311</v>
      </c>
      <c r="F347" s="28">
        <v>1000</v>
      </c>
      <c r="G347" s="28">
        <v>1</v>
      </c>
      <c r="H347" s="28">
        <f t="shared" si="14"/>
        <v>1000</v>
      </c>
      <c r="I347" s="69"/>
      <c r="J347" s="28">
        <v>1</v>
      </c>
      <c r="K347" s="28">
        <v>1</v>
      </c>
      <c r="L347" s="28">
        <v>1</v>
      </c>
      <c r="M347" s="28" t="str">
        <f t="shared" si="16"/>
        <v>לרכוש</v>
      </c>
      <c r="N347" s="28"/>
      <c r="O347" s="28">
        <v>1000</v>
      </c>
      <c r="P347" s="27"/>
      <c r="Q347" s="27"/>
    </row>
    <row r="348" spans="1:17" s="32" customFormat="1" ht="14.25" customHeight="1">
      <c r="A348" s="33" t="s">
        <v>17</v>
      </c>
      <c r="B348" s="27" t="s">
        <v>344</v>
      </c>
      <c r="C348" s="34" t="s">
        <v>349</v>
      </c>
      <c r="D348" s="27" t="s">
        <v>130</v>
      </c>
      <c r="E348" s="33" t="s">
        <v>157</v>
      </c>
      <c r="F348" s="28">
        <v>1000</v>
      </c>
      <c r="G348" s="28">
        <v>1</v>
      </c>
      <c r="H348" s="28">
        <f t="shared" ref="H348:H411" si="17">G348*F348</f>
        <v>1000</v>
      </c>
      <c r="I348" s="69"/>
      <c r="J348" s="28">
        <v>1</v>
      </c>
      <c r="K348" s="28">
        <v>0</v>
      </c>
      <c r="L348" s="28">
        <v>0.5</v>
      </c>
      <c r="M348" s="28" t="str">
        <f t="shared" si="16"/>
        <v>לא לרכוש</v>
      </c>
      <c r="N348" s="28"/>
      <c r="O348" s="28">
        <v>1000</v>
      </c>
      <c r="P348" s="27"/>
      <c r="Q348" s="27"/>
    </row>
    <row r="349" spans="1:17" s="32" customFormat="1" ht="14.25" customHeight="1">
      <c r="A349" s="33" t="s">
        <v>89</v>
      </c>
      <c r="B349" s="27" t="s">
        <v>344</v>
      </c>
      <c r="C349" s="34" t="s">
        <v>354</v>
      </c>
      <c r="D349" s="27" t="s">
        <v>397</v>
      </c>
      <c r="E349" s="33" t="s">
        <v>404</v>
      </c>
      <c r="F349" s="28">
        <v>1000</v>
      </c>
      <c r="G349" s="28">
        <v>1</v>
      </c>
      <c r="H349" s="28">
        <f t="shared" si="17"/>
        <v>1000</v>
      </c>
      <c r="I349" s="69" t="s">
        <v>82</v>
      </c>
      <c r="J349" s="28">
        <v>1</v>
      </c>
      <c r="K349" s="28">
        <v>1</v>
      </c>
      <c r="L349" s="28">
        <v>0.5</v>
      </c>
      <c r="M349" s="28" t="str">
        <f t="shared" si="16"/>
        <v>לא לרכוש</v>
      </c>
      <c r="N349" s="28"/>
      <c r="O349" s="28">
        <v>1000</v>
      </c>
      <c r="P349" s="27"/>
      <c r="Q349" s="27"/>
    </row>
    <row r="350" spans="1:17" s="32" customFormat="1" ht="14.25" customHeight="1">
      <c r="A350" s="33" t="s">
        <v>89</v>
      </c>
      <c r="B350" s="27" t="s">
        <v>344</v>
      </c>
      <c r="C350" s="34" t="s">
        <v>355</v>
      </c>
      <c r="D350" s="27" t="s">
        <v>397</v>
      </c>
      <c r="E350" s="33" t="s">
        <v>404</v>
      </c>
      <c r="F350" s="28">
        <v>1000</v>
      </c>
      <c r="G350" s="28">
        <v>1</v>
      </c>
      <c r="H350" s="28">
        <f t="shared" si="17"/>
        <v>1000</v>
      </c>
      <c r="I350" s="69" t="s">
        <v>82</v>
      </c>
      <c r="J350" s="28">
        <v>1</v>
      </c>
      <c r="K350" s="28">
        <v>1</v>
      </c>
      <c r="L350" s="28">
        <v>0.5</v>
      </c>
      <c r="M350" s="28" t="str">
        <f t="shared" si="16"/>
        <v>לא לרכוש</v>
      </c>
      <c r="N350" s="28"/>
      <c r="O350" s="28">
        <v>1000</v>
      </c>
      <c r="P350" s="27"/>
      <c r="Q350" s="27"/>
    </row>
    <row r="351" spans="1:17" s="32" customFormat="1" ht="14.25" customHeight="1">
      <c r="A351" s="33" t="s">
        <v>89</v>
      </c>
      <c r="B351" s="27" t="s">
        <v>344</v>
      </c>
      <c r="C351" s="34" t="s">
        <v>356</v>
      </c>
      <c r="D351" s="27" t="s">
        <v>397</v>
      </c>
      <c r="E351" s="33" t="s">
        <v>404</v>
      </c>
      <c r="F351" s="28">
        <v>1000</v>
      </c>
      <c r="G351" s="28">
        <v>1</v>
      </c>
      <c r="H351" s="28">
        <f t="shared" si="17"/>
        <v>1000</v>
      </c>
      <c r="I351" s="69" t="s">
        <v>82</v>
      </c>
      <c r="J351" s="28">
        <v>1</v>
      </c>
      <c r="K351" s="28">
        <v>1</v>
      </c>
      <c r="L351" s="28">
        <v>0.5</v>
      </c>
      <c r="M351" s="28" t="str">
        <f t="shared" si="16"/>
        <v>לא לרכוש</v>
      </c>
      <c r="N351" s="28"/>
      <c r="O351" s="28">
        <v>1000</v>
      </c>
      <c r="P351" s="27"/>
      <c r="Q351" s="27"/>
    </row>
    <row r="352" spans="1:17" s="32" customFormat="1" ht="14.25" customHeight="1">
      <c r="A352" s="33" t="s">
        <v>89</v>
      </c>
      <c r="B352" s="27" t="s">
        <v>344</v>
      </c>
      <c r="C352" s="34" t="s">
        <v>357</v>
      </c>
      <c r="D352" s="27" t="s">
        <v>397</v>
      </c>
      <c r="E352" s="33" t="s">
        <v>404</v>
      </c>
      <c r="F352" s="28">
        <v>1000</v>
      </c>
      <c r="G352" s="28">
        <v>1</v>
      </c>
      <c r="H352" s="28">
        <f t="shared" si="17"/>
        <v>1000</v>
      </c>
      <c r="I352" s="69" t="s">
        <v>82</v>
      </c>
      <c r="J352" s="28">
        <v>1</v>
      </c>
      <c r="K352" s="28">
        <v>1</v>
      </c>
      <c r="L352" s="28">
        <v>0.5</v>
      </c>
      <c r="M352" s="28" t="str">
        <f t="shared" si="16"/>
        <v>לא לרכוש</v>
      </c>
      <c r="N352" s="28"/>
      <c r="O352" s="28">
        <v>1000</v>
      </c>
      <c r="P352" s="27"/>
      <c r="Q352" s="27"/>
    </row>
    <row r="353" spans="1:17" s="32" customFormat="1" ht="14.25" customHeight="1">
      <c r="A353" s="33" t="s">
        <v>89</v>
      </c>
      <c r="B353" s="27" t="s">
        <v>344</v>
      </c>
      <c r="C353" s="34" t="s">
        <v>358</v>
      </c>
      <c r="D353" s="27" t="s">
        <v>397</v>
      </c>
      <c r="E353" s="33" t="s">
        <v>405</v>
      </c>
      <c r="F353" s="28">
        <v>1000</v>
      </c>
      <c r="G353" s="28">
        <v>1</v>
      </c>
      <c r="H353" s="28">
        <f t="shared" si="17"/>
        <v>1000</v>
      </c>
      <c r="I353" s="69" t="s">
        <v>82</v>
      </c>
      <c r="J353" s="28">
        <v>1</v>
      </c>
      <c r="K353" s="28">
        <v>1</v>
      </c>
      <c r="L353" s="28">
        <v>0.5</v>
      </c>
      <c r="M353" s="28" t="str">
        <f t="shared" si="16"/>
        <v>לא לרכוש</v>
      </c>
      <c r="N353" s="28"/>
      <c r="O353" s="28">
        <v>1000</v>
      </c>
      <c r="P353" s="27"/>
      <c r="Q353" s="27"/>
    </row>
    <row r="354" spans="1:17" s="32" customFormat="1" ht="14.25" customHeight="1">
      <c r="A354" s="33" t="s">
        <v>89</v>
      </c>
      <c r="B354" s="27" t="s">
        <v>344</v>
      </c>
      <c r="C354" s="34" t="s">
        <v>359</v>
      </c>
      <c r="D354" s="27" t="s">
        <v>397</v>
      </c>
      <c r="E354" s="33" t="s">
        <v>405</v>
      </c>
      <c r="F354" s="28">
        <v>1000</v>
      </c>
      <c r="G354" s="28">
        <v>1</v>
      </c>
      <c r="H354" s="28">
        <f t="shared" si="17"/>
        <v>1000</v>
      </c>
      <c r="I354" s="69" t="s">
        <v>82</v>
      </c>
      <c r="J354" s="28">
        <v>1</v>
      </c>
      <c r="K354" s="28">
        <v>1</v>
      </c>
      <c r="L354" s="28">
        <v>0.5</v>
      </c>
      <c r="M354" s="28" t="str">
        <f t="shared" si="16"/>
        <v>לא לרכוש</v>
      </c>
      <c r="N354" s="28"/>
      <c r="O354" s="28">
        <v>1000</v>
      </c>
      <c r="P354" s="27"/>
      <c r="Q354" s="27"/>
    </row>
    <row r="355" spans="1:17" s="32" customFormat="1" ht="14.25" customHeight="1">
      <c r="A355" s="33" t="s">
        <v>17</v>
      </c>
      <c r="B355" s="27" t="s">
        <v>345</v>
      </c>
      <c r="C355" s="34" t="s">
        <v>363</v>
      </c>
      <c r="D355" s="27" t="s">
        <v>130</v>
      </c>
      <c r="E355" s="33" t="s">
        <v>408</v>
      </c>
      <c r="F355" s="28">
        <v>1000</v>
      </c>
      <c r="G355" s="28">
        <v>1</v>
      </c>
      <c r="H355" s="28">
        <f t="shared" si="17"/>
        <v>1000</v>
      </c>
      <c r="I355" s="69"/>
      <c r="J355" s="28">
        <v>1</v>
      </c>
      <c r="K355" s="28">
        <v>0</v>
      </c>
      <c r="L355" s="28">
        <v>0.5</v>
      </c>
      <c r="M355" s="28" t="str">
        <f t="shared" si="16"/>
        <v>לא לרכוש</v>
      </c>
      <c r="N355" s="28"/>
      <c r="O355" s="28">
        <v>1000</v>
      </c>
      <c r="P355" s="27"/>
      <c r="Q355" s="27"/>
    </row>
    <row r="356" spans="1:17" s="32" customFormat="1" ht="14.25" customHeight="1">
      <c r="A356" s="33" t="s">
        <v>17</v>
      </c>
      <c r="B356" s="27" t="s">
        <v>345</v>
      </c>
      <c r="C356" s="34" t="s">
        <v>364</v>
      </c>
      <c r="D356" s="27" t="s">
        <v>130</v>
      </c>
      <c r="E356" s="33" t="s">
        <v>408</v>
      </c>
      <c r="F356" s="28">
        <v>1000</v>
      </c>
      <c r="G356" s="28">
        <v>1</v>
      </c>
      <c r="H356" s="28">
        <f t="shared" si="17"/>
        <v>1000</v>
      </c>
      <c r="I356" s="69"/>
      <c r="J356" s="28">
        <v>1</v>
      </c>
      <c r="K356" s="28">
        <v>0</v>
      </c>
      <c r="L356" s="28">
        <v>0.5</v>
      </c>
      <c r="M356" s="28" t="str">
        <f t="shared" si="16"/>
        <v>לא לרכוש</v>
      </c>
      <c r="N356" s="28"/>
      <c r="O356" s="28">
        <v>1000</v>
      </c>
      <c r="P356" s="27"/>
      <c r="Q356" s="27"/>
    </row>
    <row r="357" spans="1:17" s="32" customFormat="1" ht="14.25" customHeight="1">
      <c r="A357" s="33" t="s">
        <v>393</v>
      </c>
      <c r="B357" s="27" t="s">
        <v>347</v>
      </c>
      <c r="C357" s="34" t="s">
        <v>382</v>
      </c>
      <c r="D357" s="27" t="s">
        <v>221</v>
      </c>
      <c r="E357" s="33" t="s">
        <v>413</v>
      </c>
      <c r="F357" s="28">
        <v>1000</v>
      </c>
      <c r="G357" s="28">
        <v>1</v>
      </c>
      <c r="H357" s="28">
        <f t="shared" si="17"/>
        <v>1000</v>
      </c>
      <c r="I357" s="69" t="s">
        <v>82</v>
      </c>
      <c r="J357" s="28">
        <v>1</v>
      </c>
      <c r="K357" s="28">
        <v>1</v>
      </c>
      <c r="L357" s="28">
        <v>1.5</v>
      </c>
      <c r="M357" s="28" t="str">
        <f t="shared" si="16"/>
        <v>לא לרכוש</v>
      </c>
      <c r="N357" s="28"/>
      <c r="O357" s="28">
        <v>1000</v>
      </c>
      <c r="P357" s="27"/>
      <c r="Q357" s="27"/>
    </row>
    <row r="358" spans="1:17" s="32" customFormat="1" ht="14.25" customHeight="1">
      <c r="A358" s="33" t="s">
        <v>159</v>
      </c>
      <c r="B358" s="27" t="s">
        <v>428</v>
      </c>
      <c r="C358" s="34" t="s">
        <v>504</v>
      </c>
      <c r="D358" s="27" t="s">
        <v>103</v>
      </c>
      <c r="E358" s="33" t="s">
        <v>103</v>
      </c>
      <c r="F358" s="28">
        <v>1000</v>
      </c>
      <c r="G358" s="28">
        <v>1</v>
      </c>
      <c r="H358" s="28">
        <f t="shared" si="17"/>
        <v>1000</v>
      </c>
      <c r="I358" s="69"/>
      <c r="J358" s="28">
        <v>1</v>
      </c>
      <c r="K358" s="28">
        <v>1</v>
      </c>
      <c r="L358" s="28">
        <v>1</v>
      </c>
      <c r="M358" s="28" t="str">
        <f t="shared" si="16"/>
        <v>לרכוש</v>
      </c>
      <c r="N358" s="28"/>
      <c r="O358" s="28">
        <v>1000</v>
      </c>
      <c r="P358" s="27"/>
      <c r="Q358" s="27"/>
    </row>
    <row r="359" spans="1:17" s="32" customFormat="1" ht="14.25" customHeight="1">
      <c r="A359" s="33" t="s">
        <v>20</v>
      </c>
      <c r="B359" s="27" t="s">
        <v>429</v>
      </c>
      <c r="C359" s="34" t="s">
        <v>510</v>
      </c>
      <c r="D359" s="27" t="s">
        <v>301</v>
      </c>
      <c r="E359" s="33" t="s">
        <v>591</v>
      </c>
      <c r="F359" s="28">
        <v>1000</v>
      </c>
      <c r="G359" s="28">
        <v>1</v>
      </c>
      <c r="H359" s="28">
        <f t="shared" si="17"/>
        <v>1000</v>
      </c>
      <c r="I359" s="69" t="s">
        <v>82</v>
      </c>
      <c r="J359" s="28">
        <v>1</v>
      </c>
      <c r="K359" s="28">
        <v>1</v>
      </c>
      <c r="L359" s="28">
        <v>0.7</v>
      </c>
      <c r="M359" s="28" t="str">
        <f t="shared" si="16"/>
        <v>לא לרכוש</v>
      </c>
      <c r="N359" s="28"/>
      <c r="O359" s="28">
        <v>1000</v>
      </c>
      <c r="P359" s="27"/>
      <c r="Q359" s="27"/>
    </row>
    <row r="360" spans="1:17" s="32" customFormat="1" ht="14.25" customHeight="1">
      <c r="A360" s="33" t="s">
        <v>20</v>
      </c>
      <c r="B360" s="27" t="s">
        <v>429</v>
      </c>
      <c r="C360" s="34" t="s">
        <v>511</v>
      </c>
      <c r="D360" s="27" t="s">
        <v>301</v>
      </c>
      <c r="E360" s="33" t="s">
        <v>591</v>
      </c>
      <c r="F360" s="28">
        <v>1000</v>
      </c>
      <c r="G360" s="28">
        <v>1</v>
      </c>
      <c r="H360" s="28">
        <f t="shared" si="17"/>
        <v>1000</v>
      </c>
      <c r="I360" s="69" t="s">
        <v>82</v>
      </c>
      <c r="J360" s="28">
        <v>1</v>
      </c>
      <c r="K360" s="28">
        <v>1</v>
      </c>
      <c r="L360" s="28">
        <v>0.7</v>
      </c>
      <c r="M360" s="28" t="str">
        <f t="shared" si="16"/>
        <v>לא לרכוש</v>
      </c>
      <c r="N360" s="28"/>
      <c r="O360" s="28">
        <v>1000</v>
      </c>
      <c r="P360" s="27"/>
      <c r="Q360" s="27"/>
    </row>
    <row r="361" spans="1:17" s="32" customFormat="1" ht="14.25" customHeight="1">
      <c r="A361" s="33" t="s">
        <v>20</v>
      </c>
      <c r="B361" s="27" t="s">
        <v>429</v>
      </c>
      <c r="C361" s="34" t="s">
        <v>512</v>
      </c>
      <c r="D361" s="27" t="s">
        <v>301</v>
      </c>
      <c r="E361" s="33" t="s">
        <v>591</v>
      </c>
      <c r="F361" s="28">
        <v>1000</v>
      </c>
      <c r="G361" s="28">
        <v>1</v>
      </c>
      <c r="H361" s="28">
        <f t="shared" si="17"/>
        <v>1000</v>
      </c>
      <c r="I361" s="69" t="s">
        <v>82</v>
      </c>
      <c r="J361" s="28">
        <v>1</v>
      </c>
      <c r="K361" s="28">
        <v>1</v>
      </c>
      <c r="L361" s="28">
        <v>0.7</v>
      </c>
      <c r="M361" s="28" t="str">
        <f t="shared" si="16"/>
        <v>לא לרכוש</v>
      </c>
      <c r="N361" s="28"/>
      <c r="O361" s="28">
        <v>1000</v>
      </c>
      <c r="P361" s="27"/>
      <c r="Q361" s="27"/>
    </row>
    <row r="362" spans="1:17" s="32" customFormat="1" ht="14.25" customHeight="1">
      <c r="A362" s="33" t="s">
        <v>20</v>
      </c>
      <c r="B362" s="27" t="s">
        <v>429</v>
      </c>
      <c r="C362" s="34" t="s">
        <v>513</v>
      </c>
      <c r="D362" s="27" t="s">
        <v>301</v>
      </c>
      <c r="E362" s="33" t="s">
        <v>591</v>
      </c>
      <c r="F362" s="28">
        <v>1000</v>
      </c>
      <c r="G362" s="28">
        <v>1</v>
      </c>
      <c r="H362" s="28">
        <f t="shared" si="17"/>
        <v>1000</v>
      </c>
      <c r="I362" s="69" t="s">
        <v>82</v>
      </c>
      <c r="J362" s="28">
        <v>1</v>
      </c>
      <c r="K362" s="28">
        <v>1</v>
      </c>
      <c r="L362" s="28">
        <v>0.7</v>
      </c>
      <c r="M362" s="28" t="str">
        <f t="shared" ref="M362:M393" si="18">IF(AND(K362*L362*30*O362&gt;H362/J362,I362=""),"לרכוש","לא לרכוש")</f>
        <v>לא לרכוש</v>
      </c>
      <c r="N362" s="28"/>
      <c r="O362" s="28">
        <v>1000</v>
      </c>
      <c r="P362" s="27"/>
      <c r="Q362" s="27"/>
    </row>
    <row r="363" spans="1:17" s="32" customFormat="1" ht="14.25" customHeight="1">
      <c r="A363" s="33" t="s">
        <v>20</v>
      </c>
      <c r="B363" s="27" t="s">
        <v>429</v>
      </c>
      <c r="C363" s="34" t="s">
        <v>514</v>
      </c>
      <c r="D363" s="27" t="s">
        <v>301</v>
      </c>
      <c r="E363" s="33" t="s">
        <v>591</v>
      </c>
      <c r="F363" s="28">
        <v>1000</v>
      </c>
      <c r="G363" s="28">
        <v>1</v>
      </c>
      <c r="H363" s="28">
        <f t="shared" si="17"/>
        <v>1000</v>
      </c>
      <c r="I363" s="69" t="s">
        <v>82</v>
      </c>
      <c r="J363" s="28">
        <v>1</v>
      </c>
      <c r="K363" s="28">
        <v>1</v>
      </c>
      <c r="L363" s="28">
        <v>0.7</v>
      </c>
      <c r="M363" s="28" t="str">
        <f t="shared" si="18"/>
        <v>לא לרכוש</v>
      </c>
      <c r="N363" s="28"/>
      <c r="O363" s="28">
        <v>1000</v>
      </c>
      <c r="P363" s="27"/>
      <c r="Q363" s="27"/>
    </row>
    <row r="364" spans="1:17" s="32" customFormat="1" ht="14.25" customHeight="1">
      <c r="A364" s="33" t="s">
        <v>20</v>
      </c>
      <c r="B364" s="27" t="s">
        <v>429</v>
      </c>
      <c r="C364" s="34" t="s">
        <v>515</v>
      </c>
      <c r="D364" s="27" t="s">
        <v>301</v>
      </c>
      <c r="E364" s="33" t="s">
        <v>591</v>
      </c>
      <c r="F364" s="28">
        <v>1000</v>
      </c>
      <c r="G364" s="28">
        <v>1</v>
      </c>
      <c r="H364" s="28">
        <f t="shared" si="17"/>
        <v>1000</v>
      </c>
      <c r="I364" s="69" t="s">
        <v>82</v>
      </c>
      <c r="J364" s="28">
        <v>1</v>
      </c>
      <c r="K364" s="28">
        <v>1</v>
      </c>
      <c r="L364" s="28">
        <v>0.7</v>
      </c>
      <c r="M364" s="28" t="str">
        <f t="shared" si="18"/>
        <v>לא לרכוש</v>
      </c>
      <c r="N364" s="28"/>
      <c r="O364" s="28">
        <v>1000</v>
      </c>
      <c r="P364" s="27"/>
      <c r="Q364" s="27"/>
    </row>
    <row r="365" spans="1:17" s="32" customFormat="1" ht="14.25" customHeight="1">
      <c r="A365" s="33" t="s">
        <v>20</v>
      </c>
      <c r="B365" s="27" t="s">
        <v>429</v>
      </c>
      <c r="C365" s="34" t="s">
        <v>516</v>
      </c>
      <c r="D365" s="27" t="s">
        <v>301</v>
      </c>
      <c r="E365" s="33" t="s">
        <v>591</v>
      </c>
      <c r="F365" s="28">
        <v>1000</v>
      </c>
      <c r="G365" s="28">
        <v>1</v>
      </c>
      <c r="H365" s="28">
        <f t="shared" si="17"/>
        <v>1000</v>
      </c>
      <c r="I365" s="69" t="s">
        <v>82</v>
      </c>
      <c r="J365" s="28">
        <v>1</v>
      </c>
      <c r="K365" s="28">
        <v>1</v>
      </c>
      <c r="L365" s="28">
        <v>0.7</v>
      </c>
      <c r="M365" s="28" t="str">
        <f t="shared" si="18"/>
        <v>לא לרכוש</v>
      </c>
      <c r="N365" s="28"/>
      <c r="O365" s="28">
        <v>1000</v>
      </c>
      <c r="P365" s="27"/>
      <c r="Q365" s="27"/>
    </row>
    <row r="366" spans="1:17" s="32" customFormat="1" ht="14.25" customHeight="1">
      <c r="A366" s="33" t="s">
        <v>20</v>
      </c>
      <c r="B366" s="27" t="s">
        <v>429</v>
      </c>
      <c r="C366" s="34" t="s">
        <v>517</v>
      </c>
      <c r="D366" s="27" t="s">
        <v>301</v>
      </c>
      <c r="E366" s="33" t="s">
        <v>591</v>
      </c>
      <c r="F366" s="28">
        <v>1000</v>
      </c>
      <c r="G366" s="28">
        <v>1</v>
      </c>
      <c r="H366" s="28">
        <f t="shared" si="17"/>
        <v>1000</v>
      </c>
      <c r="I366" s="69" t="s">
        <v>82</v>
      </c>
      <c r="J366" s="28">
        <v>1</v>
      </c>
      <c r="K366" s="28">
        <v>1</v>
      </c>
      <c r="L366" s="28">
        <v>0.7</v>
      </c>
      <c r="M366" s="28" t="str">
        <f t="shared" si="18"/>
        <v>לא לרכוש</v>
      </c>
      <c r="N366" s="28"/>
      <c r="O366" s="28">
        <v>1000</v>
      </c>
      <c r="P366" s="27"/>
      <c r="Q366" s="27"/>
    </row>
    <row r="367" spans="1:17" s="32" customFormat="1" ht="14.25" customHeight="1">
      <c r="A367" s="33" t="s">
        <v>20</v>
      </c>
      <c r="B367" s="27" t="s">
        <v>429</v>
      </c>
      <c r="C367" s="34" t="s">
        <v>518</v>
      </c>
      <c r="D367" s="27" t="s">
        <v>301</v>
      </c>
      <c r="E367" s="33" t="s">
        <v>591</v>
      </c>
      <c r="F367" s="28">
        <v>1000</v>
      </c>
      <c r="G367" s="28">
        <v>1</v>
      </c>
      <c r="H367" s="28">
        <f t="shared" si="17"/>
        <v>1000</v>
      </c>
      <c r="I367" s="69" t="s">
        <v>82</v>
      </c>
      <c r="J367" s="28">
        <v>1</v>
      </c>
      <c r="K367" s="28">
        <v>1</v>
      </c>
      <c r="L367" s="28">
        <v>0.7</v>
      </c>
      <c r="M367" s="28" t="str">
        <f t="shared" si="18"/>
        <v>לא לרכוש</v>
      </c>
      <c r="N367" s="28"/>
      <c r="O367" s="28">
        <v>1000</v>
      </c>
      <c r="P367" s="27"/>
      <c r="Q367" s="27"/>
    </row>
    <row r="368" spans="1:17" s="32" customFormat="1" ht="14.25" customHeight="1">
      <c r="A368" s="33" t="s">
        <v>20</v>
      </c>
      <c r="B368" s="27" t="s">
        <v>429</v>
      </c>
      <c r="C368" s="34" t="s">
        <v>519</v>
      </c>
      <c r="D368" s="27" t="s">
        <v>301</v>
      </c>
      <c r="E368" s="33" t="s">
        <v>591</v>
      </c>
      <c r="F368" s="28">
        <v>1000</v>
      </c>
      <c r="G368" s="28">
        <v>1</v>
      </c>
      <c r="H368" s="28">
        <f t="shared" si="17"/>
        <v>1000</v>
      </c>
      <c r="I368" s="69" t="s">
        <v>82</v>
      </c>
      <c r="J368" s="28">
        <v>1</v>
      </c>
      <c r="K368" s="28">
        <v>1</v>
      </c>
      <c r="L368" s="28">
        <v>0.7</v>
      </c>
      <c r="M368" s="28" t="str">
        <f t="shared" si="18"/>
        <v>לא לרכוש</v>
      </c>
      <c r="N368" s="28"/>
      <c r="O368" s="28">
        <v>1000</v>
      </c>
      <c r="P368" s="27"/>
      <c r="Q368" s="27"/>
    </row>
    <row r="369" spans="1:17" s="32" customFormat="1" ht="14.25" customHeight="1">
      <c r="A369" s="33" t="s">
        <v>20</v>
      </c>
      <c r="B369" s="27" t="s">
        <v>429</v>
      </c>
      <c r="C369" s="34" t="s">
        <v>520</v>
      </c>
      <c r="D369" s="27" t="s">
        <v>301</v>
      </c>
      <c r="E369" s="33" t="s">
        <v>591</v>
      </c>
      <c r="F369" s="28">
        <v>1000</v>
      </c>
      <c r="G369" s="28">
        <v>1</v>
      </c>
      <c r="H369" s="28">
        <f t="shared" si="17"/>
        <v>1000</v>
      </c>
      <c r="I369" s="69" t="s">
        <v>82</v>
      </c>
      <c r="J369" s="28">
        <v>1</v>
      </c>
      <c r="K369" s="28">
        <v>1</v>
      </c>
      <c r="L369" s="28">
        <v>0.7</v>
      </c>
      <c r="M369" s="28" t="str">
        <f t="shared" si="18"/>
        <v>לא לרכוש</v>
      </c>
      <c r="N369" s="28"/>
      <c r="O369" s="28">
        <v>1000</v>
      </c>
      <c r="P369" s="27"/>
      <c r="Q369" s="27"/>
    </row>
    <row r="370" spans="1:17" s="32" customFormat="1" ht="14.25" customHeight="1">
      <c r="A370" s="33" t="s">
        <v>20</v>
      </c>
      <c r="B370" s="27" t="s">
        <v>429</v>
      </c>
      <c r="C370" s="34" t="s">
        <v>521</v>
      </c>
      <c r="D370" s="27" t="s">
        <v>301</v>
      </c>
      <c r="E370" s="33" t="s">
        <v>591</v>
      </c>
      <c r="F370" s="28">
        <v>1000</v>
      </c>
      <c r="G370" s="28">
        <v>1</v>
      </c>
      <c r="H370" s="28">
        <f t="shared" si="17"/>
        <v>1000</v>
      </c>
      <c r="I370" s="69" t="s">
        <v>82</v>
      </c>
      <c r="J370" s="28">
        <v>1</v>
      </c>
      <c r="K370" s="28">
        <v>1</v>
      </c>
      <c r="L370" s="28">
        <v>0.7</v>
      </c>
      <c r="M370" s="28" t="str">
        <f t="shared" si="18"/>
        <v>לא לרכוש</v>
      </c>
      <c r="N370" s="28"/>
      <c r="O370" s="28">
        <v>1000</v>
      </c>
      <c r="P370" s="27"/>
      <c r="Q370" s="27"/>
    </row>
    <row r="371" spans="1:17" s="32" customFormat="1" ht="14.25" customHeight="1">
      <c r="A371" s="33" t="s">
        <v>20</v>
      </c>
      <c r="B371" s="27" t="s">
        <v>429</v>
      </c>
      <c r="C371" s="34" t="s">
        <v>526</v>
      </c>
      <c r="D371" s="27" t="s">
        <v>301</v>
      </c>
      <c r="E371" s="33" t="s">
        <v>591</v>
      </c>
      <c r="F371" s="28">
        <v>1000</v>
      </c>
      <c r="G371" s="28">
        <v>1</v>
      </c>
      <c r="H371" s="28">
        <f t="shared" si="17"/>
        <v>1000</v>
      </c>
      <c r="I371" s="69" t="s">
        <v>82</v>
      </c>
      <c r="J371" s="28">
        <v>1</v>
      </c>
      <c r="K371" s="28">
        <v>1</v>
      </c>
      <c r="L371" s="28">
        <v>0.7</v>
      </c>
      <c r="M371" s="28" t="str">
        <f t="shared" si="18"/>
        <v>לא לרכוש</v>
      </c>
      <c r="N371" s="28"/>
      <c r="O371" s="28">
        <v>1000</v>
      </c>
      <c r="P371" s="27"/>
      <c r="Q371" s="27"/>
    </row>
    <row r="372" spans="1:17" s="32" customFormat="1" ht="14.25" customHeight="1">
      <c r="A372" s="33" t="s">
        <v>609</v>
      </c>
      <c r="B372" s="27" t="s">
        <v>429</v>
      </c>
      <c r="C372" s="34" t="s">
        <v>542</v>
      </c>
      <c r="D372" s="27" t="s">
        <v>301</v>
      </c>
      <c r="E372" s="33" t="s">
        <v>474</v>
      </c>
      <c r="F372" s="28">
        <v>1000</v>
      </c>
      <c r="G372" s="28">
        <v>1</v>
      </c>
      <c r="H372" s="28">
        <f t="shared" si="17"/>
        <v>1000</v>
      </c>
      <c r="I372" s="69" t="s">
        <v>82</v>
      </c>
      <c r="J372" s="28">
        <v>1</v>
      </c>
      <c r="K372" s="28">
        <v>1</v>
      </c>
      <c r="L372" s="28">
        <v>0.5</v>
      </c>
      <c r="M372" s="28" t="str">
        <f t="shared" si="18"/>
        <v>לא לרכוש</v>
      </c>
      <c r="N372" s="28"/>
      <c r="O372" s="28">
        <v>1000</v>
      </c>
      <c r="P372" s="27"/>
      <c r="Q372" s="27"/>
    </row>
    <row r="373" spans="1:17" s="32" customFormat="1" ht="14.25" customHeight="1">
      <c r="A373" s="33" t="s">
        <v>609</v>
      </c>
      <c r="B373" s="27" t="s">
        <v>429</v>
      </c>
      <c r="C373" s="34" t="s">
        <v>543</v>
      </c>
      <c r="D373" s="27" t="s">
        <v>301</v>
      </c>
      <c r="E373" s="33" t="s">
        <v>474</v>
      </c>
      <c r="F373" s="28">
        <v>1000</v>
      </c>
      <c r="G373" s="28">
        <v>1</v>
      </c>
      <c r="H373" s="28">
        <f t="shared" si="17"/>
        <v>1000</v>
      </c>
      <c r="I373" s="69" t="s">
        <v>82</v>
      </c>
      <c r="J373" s="28">
        <v>1</v>
      </c>
      <c r="K373" s="28">
        <v>1</v>
      </c>
      <c r="L373" s="28">
        <v>0.5</v>
      </c>
      <c r="M373" s="28" t="str">
        <f t="shared" si="18"/>
        <v>לא לרכוש</v>
      </c>
      <c r="N373" s="28"/>
      <c r="O373" s="28">
        <v>1000</v>
      </c>
      <c r="P373" s="27"/>
      <c r="Q373" s="27"/>
    </row>
    <row r="374" spans="1:17" s="32" customFormat="1" ht="14.25" customHeight="1">
      <c r="A374" s="33" t="s">
        <v>271</v>
      </c>
      <c r="B374" s="27" t="s">
        <v>431</v>
      </c>
      <c r="C374" s="34" t="s">
        <v>567</v>
      </c>
      <c r="D374" s="27" t="s">
        <v>302</v>
      </c>
      <c r="E374" s="33" t="s">
        <v>596</v>
      </c>
      <c r="F374" s="28">
        <v>1000</v>
      </c>
      <c r="G374" s="28">
        <v>1</v>
      </c>
      <c r="H374" s="28">
        <f t="shared" si="17"/>
        <v>1000</v>
      </c>
      <c r="I374" s="69"/>
      <c r="J374" s="28">
        <v>1</v>
      </c>
      <c r="K374" s="28">
        <v>1</v>
      </c>
      <c r="L374" s="28">
        <v>0.7</v>
      </c>
      <c r="M374" s="28" t="str">
        <f t="shared" si="18"/>
        <v>לרכוש</v>
      </c>
      <c r="N374" s="28"/>
      <c r="O374" s="28">
        <v>1000</v>
      </c>
      <c r="P374" s="27"/>
      <c r="Q374" s="27"/>
    </row>
    <row r="375" spans="1:17" s="32" customFormat="1" ht="14.25" customHeight="1">
      <c r="A375" s="33" t="s">
        <v>1048</v>
      </c>
      <c r="B375" s="27" t="s">
        <v>431</v>
      </c>
      <c r="C375" s="34" t="s">
        <v>571</v>
      </c>
      <c r="D375" s="27" t="s">
        <v>268</v>
      </c>
      <c r="E375" s="33" t="s">
        <v>599</v>
      </c>
      <c r="F375" s="28">
        <v>1000</v>
      </c>
      <c r="G375" s="28">
        <v>1</v>
      </c>
      <c r="H375" s="28">
        <f t="shared" si="17"/>
        <v>1000</v>
      </c>
      <c r="I375" s="69"/>
      <c r="J375" s="28">
        <v>1</v>
      </c>
      <c r="K375" s="28">
        <v>1</v>
      </c>
      <c r="L375" s="28">
        <v>0.5</v>
      </c>
      <c r="M375" s="28" t="str">
        <f t="shared" si="18"/>
        <v>לרכוש</v>
      </c>
      <c r="N375" s="28"/>
      <c r="O375" s="28">
        <v>1000</v>
      </c>
      <c r="P375" s="27"/>
      <c r="Q375" s="27"/>
    </row>
    <row r="376" spans="1:17" s="32" customFormat="1" ht="14.25" customHeight="1">
      <c r="A376" s="33" t="s">
        <v>1048</v>
      </c>
      <c r="B376" s="27" t="s">
        <v>431</v>
      </c>
      <c r="C376" s="34" t="s">
        <v>572</v>
      </c>
      <c r="D376" s="27" t="s">
        <v>268</v>
      </c>
      <c r="E376" s="33" t="s">
        <v>600</v>
      </c>
      <c r="F376" s="28">
        <v>1000</v>
      </c>
      <c r="G376" s="28">
        <v>1</v>
      </c>
      <c r="H376" s="28">
        <f t="shared" si="17"/>
        <v>1000</v>
      </c>
      <c r="I376" s="69"/>
      <c r="J376" s="28">
        <v>1</v>
      </c>
      <c r="K376" s="28">
        <v>1</v>
      </c>
      <c r="L376" s="28">
        <v>0.5</v>
      </c>
      <c r="M376" s="28" t="str">
        <f t="shared" si="18"/>
        <v>לרכוש</v>
      </c>
      <c r="N376" s="28"/>
      <c r="O376" s="28">
        <v>1000</v>
      </c>
      <c r="P376" s="27"/>
      <c r="Q376" s="27"/>
    </row>
    <row r="377" spans="1:17" s="32" customFormat="1" ht="14.25" customHeight="1">
      <c r="A377" s="27" t="s">
        <v>17</v>
      </c>
      <c r="B377" s="33" t="s">
        <v>432</v>
      </c>
      <c r="C377" s="34" t="s">
        <v>640</v>
      </c>
      <c r="D377" s="63" t="s">
        <v>471</v>
      </c>
      <c r="E377" s="33" t="s">
        <v>757</v>
      </c>
      <c r="F377" s="28">
        <v>1000</v>
      </c>
      <c r="G377" s="28">
        <v>1</v>
      </c>
      <c r="H377" s="28">
        <f t="shared" si="17"/>
        <v>1000</v>
      </c>
      <c r="I377" s="69" t="s">
        <v>82</v>
      </c>
      <c r="J377" s="28">
        <v>1</v>
      </c>
      <c r="K377" s="28">
        <v>1</v>
      </c>
      <c r="L377" s="28">
        <v>1</v>
      </c>
      <c r="M377" s="28" t="str">
        <f t="shared" si="18"/>
        <v>לא לרכוש</v>
      </c>
      <c r="N377" s="28"/>
      <c r="O377" s="28">
        <v>1000</v>
      </c>
      <c r="P377" s="27"/>
      <c r="Q377" s="27"/>
    </row>
    <row r="378" spans="1:17" s="32" customFormat="1" ht="14.25" customHeight="1">
      <c r="A378" s="27" t="s">
        <v>17</v>
      </c>
      <c r="B378" s="33" t="s">
        <v>432</v>
      </c>
      <c r="C378" s="34" t="s">
        <v>641</v>
      </c>
      <c r="D378" s="63" t="s">
        <v>471</v>
      </c>
      <c r="E378" s="33" t="s">
        <v>757</v>
      </c>
      <c r="F378" s="28">
        <v>1000</v>
      </c>
      <c r="G378" s="28">
        <v>1</v>
      </c>
      <c r="H378" s="28">
        <f t="shared" si="17"/>
        <v>1000</v>
      </c>
      <c r="I378" s="69" t="s">
        <v>82</v>
      </c>
      <c r="J378" s="28">
        <v>1</v>
      </c>
      <c r="K378" s="28">
        <v>1</v>
      </c>
      <c r="L378" s="28">
        <v>1</v>
      </c>
      <c r="M378" s="28" t="str">
        <f t="shared" si="18"/>
        <v>לא לרכוש</v>
      </c>
      <c r="N378" s="28"/>
      <c r="O378" s="28">
        <v>1000</v>
      </c>
      <c r="P378" s="27"/>
      <c r="Q378" s="27"/>
    </row>
    <row r="379" spans="1:17" s="32" customFormat="1" ht="14.25" customHeight="1">
      <c r="A379" s="27" t="s">
        <v>1066</v>
      </c>
      <c r="B379" s="33" t="s">
        <v>437</v>
      </c>
      <c r="C379" s="34" t="s">
        <v>743</v>
      </c>
      <c r="D379" s="63" t="s">
        <v>302</v>
      </c>
      <c r="E379" s="33" t="s">
        <v>311</v>
      </c>
      <c r="F379" s="28">
        <v>1000</v>
      </c>
      <c r="G379" s="28">
        <v>1</v>
      </c>
      <c r="H379" s="28">
        <f t="shared" si="17"/>
        <v>1000</v>
      </c>
      <c r="I379" s="69"/>
      <c r="J379" s="28">
        <v>1</v>
      </c>
      <c r="K379" s="28">
        <v>1</v>
      </c>
      <c r="L379" s="28">
        <v>1</v>
      </c>
      <c r="M379" s="28" t="str">
        <f t="shared" si="18"/>
        <v>לרכוש</v>
      </c>
      <c r="N379" s="28"/>
      <c r="O379" s="28">
        <v>1000</v>
      </c>
      <c r="P379" s="27"/>
      <c r="Q379" s="27"/>
    </row>
    <row r="380" spans="1:17" s="32" customFormat="1" ht="14.25" customHeight="1">
      <c r="A380" s="33" t="s">
        <v>1048</v>
      </c>
      <c r="B380" s="27" t="s">
        <v>442</v>
      </c>
      <c r="C380" s="34" t="s">
        <v>882</v>
      </c>
      <c r="D380" s="27" t="s">
        <v>268</v>
      </c>
      <c r="E380" s="33" t="s">
        <v>1020</v>
      </c>
      <c r="F380" s="28">
        <v>1000</v>
      </c>
      <c r="G380" s="28">
        <v>1</v>
      </c>
      <c r="H380" s="28">
        <f t="shared" si="17"/>
        <v>1000</v>
      </c>
      <c r="I380" s="69"/>
      <c r="J380" s="28">
        <v>1</v>
      </c>
      <c r="K380" s="28">
        <v>1</v>
      </c>
      <c r="L380" s="28">
        <v>0.5</v>
      </c>
      <c r="M380" s="28" t="str">
        <f t="shared" si="18"/>
        <v>לרכוש</v>
      </c>
      <c r="N380" s="28"/>
      <c r="O380" s="28">
        <v>1000</v>
      </c>
      <c r="P380" s="27"/>
      <c r="Q380" s="27"/>
    </row>
    <row r="381" spans="1:17" s="32" customFormat="1" ht="14.25" customHeight="1">
      <c r="A381" s="33" t="s">
        <v>1048</v>
      </c>
      <c r="B381" s="27" t="s">
        <v>443</v>
      </c>
      <c r="C381" s="34" t="s">
        <v>892</v>
      </c>
      <c r="D381" s="27" t="s">
        <v>268</v>
      </c>
      <c r="E381" s="33" t="s">
        <v>1020</v>
      </c>
      <c r="F381" s="28">
        <v>1000</v>
      </c>
      <c r="G381" s="28">
        <v>1</v>
      </c>
      <c r="H381" s="28">
        <f t="shared" si="17"/>
        <v>1000</v>
      </c>
      <c r="I381" s="69"/>
      <c r="J381" s="28">
        <v>1</v>
      </c>
      <c r="K381" s="28">
        <v>1</v>
      </c>
      <c r="L381" s="28">
        <v>0.5</v>
      </c>
      <c r="M381" s="28" t="str">
        <f t="shared" si="18"/>
        <v>לרכוש</v>
      </c>
      <c r="N381" s="28"/>
      <c r="O381" s="28">
        <v>1000</v>
      </c>
      <c r="P381" s="27"/>
      <c r="Q381" s="27"/>
    </row>
    <row r="382" spans="1:17" s="32" customFormat="1" ht="14.25" customHeight="1">
      <c r="A382" s="33" t="s">
        <v>1048</v>
      </c>
      <c r="B382" s="27" t="s">
        <v>444</v>
      </c>
      <c r="C382" s="34" t="s">
        <v>900</v>
      </c>
      <c r="D382" s="27" t="s">
        <v>268</v>
      </c>
      <c r="E382" s="33" t="s">
        <v>1020</v>
      </c>
      <c r="F382" s="28">
        <v>1000</v>
      </c>
      <c r="G382" s="28">
        <v>1</v>
      </c>
      <c r="H382" s="28">
        <f t="shared" si="17"/>
        <v>1000</v>
      </c>
      <c r="I382" s="69"/>
      <c r="J382" s="28">
        <v>1</v>
      </c>
      <c r="K382" s="28">
        <v>1</v>
      </c>
      <c r="L382" s="28">
        <v>0.5</v>
      </c>
      <c r="M382" s="28" t="str">
        <f t="shared" si="18"/>
        <v>לרכוש</v>
      </c>
      <c r="N382" s="28"/>
      <c r="O382" s="28">
        <v>1000</v>
      </c>
      <c r="P382" s="27"/>
      <c r="Q382" s="27"/>
    </row>
    <row r="383" spans="1:17" s="32" customFormat="1" ht="14.25" customHeight="1">
      <c r="A383" s="33" t="s">
        <v>1048</v>
      </c>
      <c r="B383" s="27" t="s">
        <v>445</v>
      </c>
      <c r="C383" s="34" t="s">
        <v>910</v>
      </c>
      <c r="D383" s="27" t="s">
        <v>268</v>
      </c>
      <c r="E383" s="33" t="s">
        <v>1020</v>
      </c>
      <c r="F383" s="28">
        <v>1000</v>
      </c>
      <c r="G383" s="28">
        <v>1</v>
      </c>
      <c r="H383" s="28">
        <f t="shared" si="17"/>
        <v>1000</v>
      </c>
      <c r="I383" s="69"/>
      <c r="J383" s="28">
        <v>1</v>
      </c>
      <c r="K383" s="28">
        <v>1</v>
      </c>
      <c r="L383" s="28">
        <v>0.5</v>
      </c>
      <c r="M383" s="28" t="str">
        <f t="shared" si="18"/>
        <v>לרכוש</v>
      </c>
      <c r="N383" s="28"/>
      <c r="O383" s="28">
        <v>1000</v>
      </c>
      <c r="P383" s="27"/>
      <c r="Q383" s="27"/>
    </row>
    <row r="384" spans="1:17" s="32" customFormat="1" ht="14.25" customHeight="1">
      <c r="A384" s="33" t="s">
        <v>20</v>
      </c>
      <c r="B384" s="33" t="s">
        <v>1049</v>
      </c>
      <c r="C384" s="34" t="s">
        <v>916</v>
      </c>
      <c r="D384" s="27" t="s">
        <v>1023</v>
      </c>
      <c r="E384" s="33" t="s">
        <v>1024</v>
      </c>
      <c r="F384" s="28">
        <v>1000</v>
      </c>
      <c r="G384" s="28">
        <v>1</v>
      </c>
      <c r="H384" s="28">
        <f t="shared" si="17"/>
        <v>1000</v>
      </c>
      <c r="I384" s="69"/>
      <c r="J384" s="28">
        <v>1</v>
      </c>
      <c r="K384" s="28">
        <v>0</v>
      </c>
      <c r="L384" s="28">
        <v>1</v>
      </c>
      <c r="M384" s="28" t="str">
        <f t="shared" si="18"/>
        <v>לא לרכוש</v>
      </c>
      <c r="N384" s="28"/>
      <c r="O384" s="28">
        <v>1000</v>
      </c>
      <c r="P384" s="27"/>
      <c r="Q384" s="27"/>
    </row>
    <row r="385" spans="1:17" s="32" customFormat="1" ht="14.25" customHeight="1">
      <c r="A385" s="33" t="s">
        <v>15</v>
      </c>
      <c r="B385" s="33" t="s">
        <v>1049</v>
      </c>
      <c r="C385" s="34" t="s">
        <v>917</v>
      </c>
      <c r="D385" s="27" t="s">
        <v>1025</v>
      </c>
      <c r="E385" s="33" t="s">
        <v>1026</v>
      </c>
      <c r="F385" s="28">
        <v>1000</v>
      </c>
      <c r="G385" s="28">
        <v>1</v>
      </c>
      <c r="H385" s="28">
        <f t="shared" si="17"/>
        <v>1000</v>
      </c>
      <c r="I385" s="69"/>
      <c r="J385" s="28">
        <v>1</v>
      </c>
      <c r="K385" s="28">
        <v>0</v>
      </c>
      <c r="L385" s="28">
        <v>1</v>
      </c>
      <c r="M385" s="28" t="str">
        <f t="shared" si="18"/>
        <v>לא לרכוש</v>
      </c>
      <c r="N385" s="28"/>
      <c r="O385" s="28">
        <v>1000</v>
      </c>
      <c r="P385" s="27"/>
      <c r="Q385" s="27"/>
    </row>
    <row r="386" spans="1:17" s="32" customFormat="1" ht="14.25" customHeight="1">
      <c r="A386" s="33" t="s">
        <v>1048</v>
      </c>
      <c r="B386" s="27" t="s">
        <v>167</v>
      </c>
      <c r="C386" s="34" t="s">
        <v>924</v>
      </c>
      <c r="D386" s="27" t="s">
        <v>268</v>
      </c>
      <c r="E386" s="33" t="s">
        <v>1031</v>
      </c>
      <c r="F386" s="28">
        <v>1000</v>
      </c>
      <c r="G386" s="28">
        <v>1</v>
      </c>
      <c r="H386" s="28">
        <f t="shared" si="17"/>
        <v>1000</v>
      </c>
      <c r="I386" s="69"/>
      <c r="J386" s="28">
        <v>1</v>
      </c>
      <c r="K386" s="28">
        <v>1</v>
      </c>
      <c r="L386" s="28">
        <v>0.5</v>
      </c>
      <c r="M386" s="28" t="str">
        <f t="shared" si="18"/>
        <v>לרכוש</v>
      </c>
      <c r="N386" s="28"/>
      <c r="O386" s="28">
        <v>1000</v>
      </c>
      <c r="P386" s="27"/>
      <c r="Q386" s="27"/>
    </row>
    <row r="387" spans="1:17" s="32" customFormat="1" ht="14.25" customHeight="1">
      <c r="A387" s="33" t="s">
        <v>17</v>
      </c>
      <c r="B387" s="27" t="s">
        <v>167</v>
      </c>
      <c r="C387" s="34" t="s">
        <v>926</v>
      </c>
      <c r="D387" s="27" t="s">
        <v>1017</v>
      </c>
      <c r="E387" s="33" t="s">
        <v>1001</v>
      </c>
      <c r="F387" s="28">
        <v>1000</v>
      </c>
      <c r="G387" s="28">
        <v>1</v>
      </c>
      <c r="H387" s="28">
        <f t="shared" si="17"/>
        <v>1000</v>
      </c>
      <c r="I387" s="69"/>
      <c r="J387" s="28">
        <v>1</v>
      </c>
      <c r="K387" s="28">
        <v>1</v>
      </c>
      <c r="L387" s="28">
        <v>0.5</v>
      </c>
      <c r="M387" s="28" t="str">
        <f t="shared" si="18"/>
        <v>לרכוש</v>
      </c>
      <c r="N387" s="28"/>
      <c r="O387" s="28">
        <v>1000</v>
      </c>
      <c r="P387" s="27"/>
      <c r="Q387" s="27"/>
    </row>
    <row r="388" spans="1:17" s="32" customFormat="1" ht="14.25" customHeight="1">
      <c r="A388" s="33" t="s">
        <v>17</v>
      </c>
      <c r="B388" s="27" t="s">
        <v>167</v>
      </c>
      <c r="C388" s="34" t="s">
        <v>927</v>
      </c>
      <c r="D388" s="27" t="s">
        <v>1017</v>
      </c>
      <c r="E388" s="33" t="s">
        <v>1001</v>
      </c>
      <c r="F388" s="28">
        <v>1000</v>
      </c>
      <c r="G388" s="28">
        <v>1</v>
      </c>
      <c r="H388" s="28">
        <f t="shared" si="17"/>
        <v>1000</v>
      </c>
      <c r="I388" s="69"/>
      <c r="J388" s="28">
        <v>1</v>
      </c>
      <c r="K388" s="28">
        <v>1</v>
      </c>
      <c r="L388" s="28">
        <v>0.5</v>
      </c>
      <c r="M388" s="28" t="str">
        <f t="shared" si="18"/>
        <v>לרכוש</v>
      </c>
      <c r="N388" s="28"/>
      <c r="O388" s="28">
        <v>1000</v>
      </c>
      <c r="P388" s="27"/>
      <c r="Q388" s="27"/>
    </row>
    <row r="389" spans="1:17" s="32" customFormat="1" ht="14.25" customHeight="1">
      <c r="A389" s="33" t="s">
        <v>17</v>
      </c>
      <c r="B389" s="27" t="s">
        <v>166</v>
      </c>
      <c r="C389" s="34" t="s">
        <v>931</v>
      </c>
      <c r="D389" s="27" t="s">
        <v>1017</v>
      </c>
      <c r="E389" s="33" t="s">
        <v>1069</v>
      </c>
      <c r="F389" s="28">
        <v>1000</v>
      </c>
      <c r="G389" s="28">
        <v>1</v>
      </c>
      <c r="H389" s="28">
        <f t="shared" si="17"/>
        <v>1000</v>
      </c>
      <c r="I389" s="69"/>
      <c r="J389" s="28">
        <v>1</v>
      </c>
      <c r="K389" s="28">
        <v>1</v>
      </c>
      <c r="L389" s="28">
        <v>0.5</v>
      </c>
      <c r="M389" s="28" t="str">
        <f t="shared" si="18"/>
        <v>לרכוש</v>
      </c>
      <c r="N389" s="28"/>
      <c r="O389" s="28">
        <v>1000</v>
      </c>
      <c r="P389" s="27"/>
      <c r="Q389" s="27"/>
    </row>
    <row r="390" spans="1:17" s="32" customFormat="1" ht="14.25" customHeight="1">
      <c r="A390" s="33" t="s">
        <v>1048</v>
      </c>
      <c r="B390" s="27" t="s">
        <v>166</v>
      </c>
      <c r="C390" s="34" t="s">
        <v>935</v>
      </c>
      <c r="D390" s="27" t="s">
        <v>268</v>
      </c>
      <c r="E390" s="33" t="s">
        <v>1037</v>
      </c>
      <c r="F390" s="28">
        <v>1000</v>
      </c>
      <c r="G390" s="28">
        <v>1</v>
      </c>
      <c r="H390" s="28">
        <f t="shared" si="17"/>
        <v>1000</v>
      </c>
      <c r="I390" s="69"/>
      <c r="J390" s="28">
        <v>1</v>
      </c>
      <c r="K390" s="28">
        <v>1</v>
      </c>
      <c r="L390" s="28">
        <v>0.5</v>
      </c>
      <c r="M390" s="28" t="str">
        <f t="shared" si="18"/>
        <v>לרכוש</v>
      </c>
      <c r="N390" s="28"/>
      <c r="O390" s="28">
        <v>1000</v>
      </c>
      <c r="P390" s="27"/>
      <c r="Q390" s="27"/>
    </row>
    <row r="391" spans="1:17" s="32" customFormat="1" ht="14.25" customHeight="1">
      <c r="A391" s="33" t="s">
        <v>1048</v>
      </c>
      <c r="B391" s="27" t="s">
        <v>166</v>
      </c>
      <c r="C391" s="34" t="s">
        <v>936</v>
      </c>
      <c r="D391" s="27" t="s">
        <v>268</v>
      </c>
      <c r="E391" s="33" t="s">
        <v>760</v>
      </c>
      <c r="F391" s="28">
        <v>1000</v>
      </c>
      <c r="G391" s="28">
        <v>1</v>
      </c>
      <c r="H391" s="28">
        <f t="shared" si="17"/>
        <v>1000</v>
      </c>
      <c r="I391" s="69"/>
      <c r="J391" s="28">
        <v>1</v>
      </c>
      <c r="K391" s="28">
        <v>1</v>
      </c>
      <c r="L391" s="28">
        <v>0.5</v>
      </c>
      <c r="M391" s="28" t="str">
        <f t="shared" si="18"/>
        <v>לרכוש</v>
      </c>
      <c r="N391" s="28"/>
      <c r="O391" s="28">
        <v>1000</v>
      </c>
      <c r="P391" s="27"/>
      <c r="Q391" s="27"/>
    </row>
    <row r="392" spans="1:17" s="32" customFormat="1" ht="14.25" customHeight="1">
      <c r="A392" s="33" t="s">
        <v>17</v>
      </c>
      <c r="B392" s="27" t="s">
        <v>166</v>
      </c>
      <c r="C392" s="34" t="s">
        <v>938</v>
      </c>
      <c r="D392" s="27" t="s">
        <v>1017</v>
      </c>
      <c r="E392" s="33" t="s">
        <v>1069</v>
      </c>
      <c r="F392" s="28">
        <v>1000</v>
      </c>
      <c r="G392" s="28">
        <v>1</v>
      </c>
      <c r="H392" s="28">
        <f t="shared" si="17"/>
        <v>1000</v>
      </c>
      <c r="I392" s="69"/>
      <c r="J392" s="28">
        <v>1</v>
      </c>
      <c r="K392" s="28">
        <v>1</v>
      </c>
      <c r="L392" s="28">
        <v>0.5</v>
      </c>
      <c r="M392" s="28" t="str">
        <f t="shared" si="18"/>
        <v>לרכוש</v>
      </c>
      <c r="N392" s="28"/>
      <c r="O392" s="28">
        <v>1000</v>
      </c>
      <c r="P392" s="27"/>
      <c r="Q392" s="27"/>
    </row>
    <row r="393" spans="1:17" s="32" customFormat="1" ht="14.25" customHeight="1">
      <c r="A393" s="33" t="s">
        <v>17</v>
      </c>
      <c r="B393" s="27" t="s">
        <v>166</v>
      </c>
      <c r="C393" s="34" t="s">
        <v>939</v>
      </c>
      <c r="D393" s="27" t="s">
        <v>1017</v>
      </c>
      <c r="E393" s="33" t="s">
        <v>1069</v>
      </c>
      <c r="F393" s="28">
        <v>1000</v>
      </c>
      <c r="G393" s="28">
        <v>1</v>
      </c>
      <c r="H393" s="28">
        <f t="shared" si="17"/>
        <v>1000</v>
      </c>
      <c r="I393" s="69"/>
      <c r="J393" s="28">
        <v>1</v>
      </c>
      <c r="K393" s="28">
        <v>1</v>
      </c>
      <c r="L393" s="28">
        <v>0.5</v>
      </c>
      <c r="M393" s="28" t="str">
        <f t="shared" si="18"/>
        <v>לרכוש</v>
      </c>
      <c r="N393" s="28"/>
      <c r="O393" s="28">
        <v>1000</v>
      </c>
      <c r="P393" s="27"/>
      <c r="Q393" s="27"/>
    </row>
    <row r="394" spans="1:17" s="32" customFormat="1" ht="14.25" customHeight="1">
      <c r="A394" s="33" t="s">
        <v>17</v>
      </c>
      <c r="B394" s="27" t="s">
        <v>425</v>
      </c>
      <c r="C394" s="34" t="s">
        <v>947</v>
      </c>
      <c r="D394" s="27" t="s">
        <v>1017</v>
      </c>
      <c r="E394" s="33" t="s">
        <v>1069</v>
      </c>
      <c r="F394" s="28">
        <v>1000</v>
      </c>
      <c r="G394" s="28">
        <v>1</v>
      </c>
      <c r="H394" s="28">
        <f t="shared" si="17"/>
        <v>1000</v>
      </c>
      <c r="I394" s="69"/>
      <c r="J394" s="28">
        <v>1</v>
      </c>
      <c r="K394" s="28">
        <v>1</v>
      </c>
      <c r="L394" s="28">
        <v>0.5</v>
      </c>
      <c r="M394" s="28" t="str">
        <f t="shared" ref="M394:M416" si="19">IF(AND(K394*L394*30*O394&gt;H394/J394,I394=""),"לרכוש","לא לרכוש")</f>
        <v>לרכוש</v>
      </c>
      <c r="N394" s="28"/>
      <c r="O394" s="28">
        <v>1000</v>
      </c>
      <c r="P394" s="27"/>
      <c r="Q394" s="27"/>
    </row>
    <row r="395" spans="1:17" s="32" customFormat="1" ht="14.25" customHeight="1">
      <c r="A395" s="33" t="s">
        <v>1048</v>
      </c>
      <c r="B395" s="27" t="s">
        <v>425</v>
      </c>
      <c r="C395" s="34" t="s">
        <v>949</v>
      </c>
      <c r="D395" s="27" t="s">
        <v>268</v>
      </c>
      <c r="E395" s="33" t="s">
        <v>760</v>
      </c>
      <c r="F395" s="28">
        <v>1000</v>
      </c>
      <c r="G395" s="28">
        <v>1</v>
      </c>
      <c r="H395" s="28">
        <f t="shared" si="17"/>
        <v>1000</v>
      </c>
      <c r="I395" s="69"/>
      <c r="J395" s="28">
        <v>1</v>
      </c>
      <c r="K395" s="28">
        <v>1</v>
      </c>
      <c r="L395" s="28">
        <v>0.5</v>
      </c>
      <c r="M395" s="28" t="str">
        <f t="shared" si="19"/>
        <v>לרכוש</v>
      </c>
      <c r="N395" s="28"/>
      <c r="O395" s="28">
        <v>1000</v>
      </c>
      <c r="P395" s="27"/>
      <c r="Q395" s="27"/>
    </row>
    <row r="396" spans="1:17" s="32" customFormat="1" ht="14.25" customHeight="1">
      <c r="A396" s="33" t="s">
        <v>17</v>
      </c>
      <c r="B396" s="27" t="s">
        <v>425</v>
      </c>
      <c r="C396" s="34" t="s">
        <v>950</v>
      </c>
      <c r="D396" s="27" t="s">
        <v>1017</v>
      </c>
      <c r="E396" s="33" t="s">
        <v>1069</v>
      </c>
      <c r="F396" s="28">
        <v>1000</v>
      </c>
      <c r="G396" s="28">
        <v>1</v>
      </c>
      <c r="H396" s="28">
        <f t="shared" si="17"/>
        <v>1000</v>
      </c>
      <c r="I396" s="69"/>
      <c r="J396" s="28">
        <v>1</v>
      </c>
      <c r="K396" s="28">
        <v>1</v>
      </c>
      <c r="L396" s="28">
        <v>0.5</v>
      </c>
      <c r="M396" s="28" t="str">
        <f t="shared" si="19"/>
        <v>לרכוש</v>
      </c>
      <c r="N396" s="28"/>
      <c r="O396" s="28">
        <v>1000</v>
      </c>
      <c r="P396" s="27"/>
      <c r="Q396" s="27"/>
    </row>
    <row r="397" spans="1:17" s="32" customFormat="1" ht="14.25" customHeight="1">
      <c r="A397" s="33" t="s">
        <v>17</v>
      </c>
      <c r="B397" s="27" t="s">
        <v>425</v>
      </c>
      <c r="C397" s="34" t="s">
        <v>951</v>
      </c>
      <c r="D397" s="27" t="s">
        <v>1017</v>
      </c>
      <c r="E397" s="33" t="s">
        <v>1069</v>
      </c>
      <c r="F397" s="28">
        <v>1000</v>
      </c>
      <c r="G397" s="28">
        <v>1</v>
      </c>
      <c r="H397" s="28">
        <f t="shared" si="17"/>
        <v>1000</v>
      </c>
      <c r="I397" s="69"/>
      <c r="J397" s="28">
        <v>1</v>
      </c>
      <c r="K397" s="28">
        <v>1</v>
      </c>
      <c r="L397" s="28">
        <v>0.5</v>
      </c>
      <c r="M397" s="28" t="str">
        <f t="shared" si="19"/>
        <v>לרכוש</v>
      </c>
      <c r="N397" s="28"/>
      <c r="O397" s="28">
        <v>1000</v>
      </c>
      <c r="P397" s="27"/>
      <c r="Q397" s="27"/>
    </row>
    <row r="398" spans="1:17" s="32" customFormat="1" ht="14.25" customHeight="1">
      <c r="A398" s="33" t="s">
        <v>17</v>
      </c>
      <c r="B398" s="27" t="s">
        <v>447</v>
      </c>
      <c r="C398" s="34" t="s">
        <v>961</v>
      </c>
      <c r="D398" s="27" t="s">
        <v>1017</v>
      </c>
      <c r="E398" s="33" t="s">
        <v>1069</v>
      </c>
      <c r="F398" s="28">
        <v>1000</v>
      </c>
      <c r="G398" s="28">
        <v>1</v>
      </c>
      <c r="H398" s="28">
        <f t="shared" si="17"/>
        <v>1000</v>
      </c>
      <c r="I398" s="69"/>
      <c r="J398" s="28">
        <v>1</v>
      </c>
      <c r="K398" s="28">
        <v>1</v>
      </c>
      <c r="L398" s="28">
        <v>0.5</v>
      </c>
      <c r="M398" s="28" t="str">
        <f t="shared" si="19"/>
        <v>לרכוש</v>
      </c>
      <c r="N398" s="28"/>
      <c r="O398" s="28">
        <v>1000</v>
      </c>
      <c r="P398" s="27"/>
      <c r="Q398" s="27"/>
    </row>
    <row r="399" spans="1:17" s="32" customFormat="1" ht="14.25" customHeight="1">
      <c r="A399" s="33" t="s">
        <v>17</v>
      </c>
      <c r="B399" s="27" t="s">
        <v>448</v>
      </c>
      <c r="C399" s="34" t="s">
        <v>979</v>
      </c>
      <c r="D399" s="27" t="s">
        <v>1071</v>
      </c>
      <c r="E399" s="33" t="s">
        <v>1069</v>
      </c>
      <c r="F399" s="28">
        <v>1000</v>
      </c>
      <c r="G399" s="28">
        <v>1</v>
      </c>
      <c r="H399" s="28">
        <f t="shared" si="17"/>
        <v>1000</v>
      </c>
      <c r="I399" s="69"/>
      <c r="J399" s="28">
        <v>1</v>
      </c>
      <c r="K399" s="28">
        <v>1</v>
      </c>
      <c r="L399" s="28">
        <v>0.5</v>
      </c>
      <c r="M399" s="28" t="str">
        <f t="shared" si="19"/>
        <v>לרכוש</v>
      </c>
      <c r="N399" s="28"/>
      <c r="O399" s="28">
        <v>1000</v>
      </c>
      <c r="P399" s="27"/>
      <c r="Q399" s="27"/>
    </row>
    <row r="400" spans="1:17" s="32" customFormat="1" ht="14.25" customHeight="1">
      <c r="A400" s="33" t="s">
        <v>17</v>
      </c>
      <c r="B400" s="27" t="s">
        <v>448</v>
      </c>
      <c r="C400" s="34" t="s">
        <v>983</v>
      </c>
      <c r="D400" s="27" t="s">
        <v>1071</v>
      </c>
      <c r="E400" s="33" t="s">
        <v>1069</v>
      </c>
      <c r="F400" s="28">
        <v>1000</v>
      </c>
      <c r="G400" s="28">
        <v>1</v>
      </c>
      <c r="H400" s="28">
        <f t="shared" si="17"/>
        <v>1000</v>
      </c>
      <c r="I400" s="69"/>
      <c r="J400" s="28">
        <v>1</v>
      </c>
      <c r="K400" s="28">
        <v>1</v>
      </c>
      <c r="L400" s="28">
        <v>0.5</v>
      </c>
      <c r="M400" s="28" t="str">
        <f t="shared" si="19"/>
        <v>לרכוש</v>
      </c>
      <c r="N400" s="28"/>
      <c r="O400" s="28">
        <v>1000</v>
      </c>
      <c r="P400" s="27"/>
      <c r="Q400" s="27"/>
    </row>
    <row r="401" spans="1:17" s="32" customFormat="1" ht="14.25" customHeight="1">
      <c r="A401" s="33" t="s">
        <v>1048</v>
      </c>
      <c r="B401" s="27" t="s">
        <v>448</v>
      </c>
      <c r="C401" s="34" t="s">
        <v>986</v>
      </c>
      <c r="D401" s="27" t="s">
        <v>268</v>
      </c>
      <c r="E401" s="33" t="s">
        <v>760</v>
      </c>
      <c r="F401" s="28">
        <v>1000</v>
      </c>
      <c r="G401" s="28">
        <v>1</v>
      </c>
      <c r="H401" s="28">
        <f t="shared" si="17"/>
        <v>1000</v>
      </c>
      <c r="I401" s="69"/>
      <c r="J401" s="28">
        <v>1</v>
      </c>
      <c r="K401" s="28">
        <v>1</v>
      </c>
      <c r="L401" s="28">
        <v>0.5</v>
      </c>
      <c r="M401" s="28" t="str">
        <f t="shared" si="19"/>
        <v>לרכוש</v>
      </c>
      <c r="N401" s="28"/>
      <c r="O401" s="28">
        <v>1000</v>
      </c>
      <c r="P401" s="27"/>
      <c r="Q401" s="27"/>
    </row>
    <row r="402" spans="1:17" s="32" customFormat="1" ht="14.25" customHeight="1">
      <c r="A402" s="33" t="s">
        <v>17</v>
      </c>
      <c r="B402" s="27" t="s">
        <v>449</v>
      </c>
      <c r="C402" s="34" t="s">
        <v>989</v>
      </c>
      <c r="D402" s="27" t="s">
        <v>1017</v>
      </c>
      <c r="E402" s="33" t="s">
        <v>1069</v>
      </c>
      <c r="F402" s="28">
        <v>1000</v>
      </c>
      <c r="G402" s="28">
        <v>1</v>
      </c>
      <c r="H402" s="28">
        <f t="shared" si="17"/>
        <v>1000</v>
      </c>
      <c r="I402" s="69"/>
      <c r="J402" s="28">
        <v>1</v>
      </c>
      <c r="K402" s="28">
        <v>1</v>
      </c>
      <c r="L402" s="28">
        <v>0.5</v>
      </c>
      <c r="M402" s="28" t="str">
        <f t="shared" si="19"/>
        <v>לרכוש</v>
      </c>
      <c r="N402" s="28"/>
      <c r="O402" s="28">
        <v>1000</v>
      </c>
      <c r="P402" s="27"/>
      <c r="Q402" s="27"/>
    </row>
    <row r="403" spans="1:17" s="32" customFormat="1" ht="14.25" customHeight="1">
      <c r="A403" s="33" t="s">
        <v>17</v>
      </c>
      <c r="B403" s="27" t="s">
        <v>449</v>
      </c>
      <c r="C403" s="34" t="s">
        <v>993</v>
      </c>
      <c r="D403" s="27" t="s">
        <v>1071</v>
      </c>
      <c r="E403" s="33" t="s">
        <v>1069</v>
      </c>
      <c r="F403" s="28">
        <v>1000</v>
      </c>
      <c r="G403" s="28">
        <v>1</v>
      </c>
      <c r="H403" s="28">
        <f t="shared" si="17"/>
        <v>1000</v>
      </c>
      <c r="I403" s="69"/>
      <c r="J403" s="28">
        <v>1</v>
      </c>
      <c r="K403" s="28">
        <v>1</v>
      </c>
      <c r="L403" s="28">
        <v>0.5</v>
      </c>
      <c r="M403" s="28" t="str">
        <f t="shared" si="19"/>
        <v>לרכוש</v>
      </c>
      <c r="N403" s="28"/>
      <c r="O403" s="28">
        <v>1000</v>
      </c>
      <c r="P403" s="27"/>
      <c r="Q403" s="27"/>
    </row>
    <row r="404" spans="1:17" s="32" customFormat="1" ht="14.25" customHeight="1">
      <c r="A404" s="37" t="s">
        <v>14</v>
      </c>
      <c r="B404" s="42" t="s">
        <v>88</v>
      </c>
      <c r="C404" s="43" t="s">
        <v>96</v>
      </c>
      <c r="D404" s="28" t="s">
        <v>103</v>
      </c>
      <c r="E404" s="37" t="s">
        <v>108</v>
      </c>
      <c r="F404" s="28">
        <v>800</v>
      </c>
      <c r="G404" s="28">
        <v>1</v>
      </c>
      <c r="H404" s="28">
        <f t="shared" si="17"/>
        <v>800</v>
      </c>
      <c r="I404" s="69"/>
      <c r="J404" s="28">
        <v>1</v>
      </c>
      <c r="K404" s="28">
        <v>1</v>
      </c>
      <c r="L404" s="28">
        <v>1</v>
      </c>
      <c r="M404" s="28" t="str">
        <f t="shared" si="19"/>
        <v>לרכוש</v>
      </c>
      <c r="N404" s="28"/>
      <c r="O404" s="28">
        <v>1000</v>
      </c>
      <c r="P404" s="27"/>
      <c r="Q404" s="27"/>
    </row>
    <row r="405" spans="1:17" s="32" customFormat="1" ht="14.25" customHeight="1">
      <c r="A405" s="37" t="s">
        <v>90</v>
      </c>
      <c r="B405" s="42" t="s">
        <v>88</v>
      </c>
      <c r="C405" s="43" t="s">
        <v>97</v>
      </c>
      <c r="D405" s="28" t="s">
        <v>103</v>
      </c>
      <c r="E405" s="37" t="s">
        <v>109</v>
      </c>
      <c r="F405" s="28">
        <v>800</v>
      </c>
      <c r="G405" s="28">
        <v>1</v>
      </c>
      <c r="H405" s="28">
        <f t="shared" si="17"/>
        <v>800</v>
      </c>
      <c r="I405" s="69"/>
      <c r="J405" s="28">
        <v>1</v>
      </c>
      <c r="K405" s="28">
        <v>1</v>
      </c>
      <c r="L405" s="28">
        <v>0.5</v>
      </c>
      <c r="M405" s="28" t="str">
        <f t="shared" si="19"/>
        <v>לרכוש</v>
      </c>
      <c r="N405" s="28"/>
      <c r="O405" s="28">
        <v>1000</v>
      </c>
      <c r="P405" s="27"/>
      <c r="Q405" s="27"/>
    </row>
    <row r="406" spans="1:17" s="32" customFormat="1" ht="14.25" customHeight="1">
      <c r="A406" s="37" t="s">
        <v>90</v>
      </c>
      <c r="B406" s="42" t="s">
        <v>88</v>
      </c>
      <c r="C406" s="43" t="s">
        <v>98</v>
      </c>
      <c r="D406" s="28" t="s">
        <v>103</v>
      </c>
      <c r="E406" s="37" t="s">
        <v>109</v>
      </c>
      <c r="F406" s="28">
        <v>800</v>
      </c>
      <c r="G406" s="28">
        <v>1</v>
      </c>
      <c r="H406" s="28">
        <f t="shared" si="17"/>
        <v>800</v>
      </c>
      <c r="I406" s="69"/>
      <c r="J406" s="28">
        <v>1</v>
      </c>
      <c r="K406" s="28">
        <v>1</v>
      </c>
      <c r="L406" s="28">
        <v>0.5</v>
      </c>
      <c r="M406" s="28" t="str">
        <f t="shared" si="19"/>
        <v>לרכוש</v>
      </c>
      <c r="N406" s="28"/>
      <c r="O406" s="28">
        <v>1000</v>
      </c>
      <c r="P406" s="27"/>
      <c r="Q406" s="27"/>
    </row>
    <row r="407" spans="1:17" s="32" customFormat="1" ht="14.25" customHeight="1">
      <c r="A407" s="37" t="s">
        <v>90</v>
      </c>
      <c r="B407" s="42" t="s">
        <v>88</v>
      </c>
      <c r="C407" s="43" t="s">
        <v>100</v>
      </c>
      <c r="D407" s="28" t="s">
        <v>103</v>
      </c>
      <c r="E407" s="37" t="s">
        <v>109</v>
      </c>
      <c r="F407" s="28">
        <v>800</v>
      </c>
      <c r="G407" s="28">
        <v>1</v>
      </c>
      <c r="H407" s="28">
        <f t="shared" si="17"/>
        <v>800</v>
      </c>
      <c r="I407" s="69"/>
      <c r="J407" s="28">
        <v>1</v>
      </c>
      <c r="K407" s="28">
        <v>1</v>
      </c>
      <c r="L407" s="28">
        <v>0.5</v>
      </c>
      <c r="M407" s="28" t="str">
        <f t="shared" si="19"/>
        <v>לרכוש</v>
      </c>
      <c r="N407" s="28"/>
      <c r="O407" s="28">
        <v>1000</v>
      </c>
      <c r="P407" s="27"/>
      <c r="Q407" s="27"/>
    </row>
    <row r="408" spans="1:17" s="32" customFormat="1" ht="14.25" customHeight="1">
      <c r="A408" s="33" t="s">
        <v>274</v>
      </c>
      <c r="B408" s="27" t="s">
        <v>275</v>
      </c>
      <c r="C408" s="34" t="s">
        <v>297</v>
      </c>
      <c r="D408" s="27" t="s">
        <v>302</v>
      </c>
      <c r="E408" s="33" t="s">
        <v>310</v>
      </c>
      <c r="F408" s="28">
        <v>800</v>
      </c>
      <c r="G408" s="28">
        <v>1</v>
      </c>
      <c r="H408" s="28">
        <f t="shared" si="17"/>
        <v>800</v>
      </c>
      <c r="I408" s="69" t="s">
        <v>82</v>
      </c>
      <c r="J408" s="28">
        <v>1</v>
      </c>
      <c r="K408" s="28">
        <v>1</v>
      </c>
      <c r="L408" s="28">
        <v>1</v>
      </c>
      <c r="M408" s="28" t="str">
        <f t="shared" si="19"/>
        <v>לא לרכוש</v>
      </c>
      <c r="N408" s="28"/>
      <c r="O408" s="28">
        <v>1000</v>
      </c>
      <c r="P408" s="27"/>
      <c r="Q408" s="27"/>
    </row>
    <row r="409" spans="1:17" s="32" customFormat="1" ht="14.25" customHeight="1">
      <c r="A409" s="33" t="s">
        <v>271</v>
      </c>
      <c r="B409" s="27" t="s">
        <v>312</v>
      </c>
      <c r="C409" s="34" t="s">
        <v>326</v>
      </c>
      <c r="D409" s="27" t="s">
        <v>302</v>
      </c>
      <c r="E409" s="33" t="s">
        <v>330</v>
      </c>
      <c r="F409" s="28">
        <v>800</v>
      </c>
      <c r="G409" s="28">
        <v>1</v>
      </c>
      <c r="H409" s="28">
        <f t="shared" si="17"/>
        <v>800</v>
      </c>
      <c r="I409" s="69"/>
      <c r="J409" s="28">
        <v>1</v>
      </c>
      <c r="K409" s="28">
        <v>1</v>
      </c>
      <c r="L409" s="28">
        <v>1</v>
      </c>
      <c r="M409" s="28" t="str">
        <f t="shared" si="19"/>
        <v>לרכוש</v>
      </c>
      <c r="N409" s="28"/>
      <c r="O409" s="28">
        <v>1000</v>
      </c>
      <c r="P409" s="27"/>
      <c r="Q409" s="27"/>
    </row>
    <row r="410" spans="1:17" s="32" customFormat="1" ht="14.25" customHeight="1">
      <c r="A410" s="33" t="s">
        <v>271</v>
      </c>
      <c r="B410" s="27" t="s">
        <v>331</v>
      </c>
      <c r="C410" s="34" t="s">
        <v>337</v>
      </c>
      <c r="D410" s="27" t="s">
        <v>302</v>
      </c>
      <c r="E410" s="33" t="s">
        <v>310</v>
      </c>
      <c r="F410" s="28">
        <v>800</v>
      </c>
      <c r="G410" s="28">
        <v>1</v>
      </c>
      <c r="H410" s="28">
        <f t="shared" si="17"/>
        <v>800</v>
      </c>
      <c r="I410" s="69" t="s">
        <v>82</v>
      </c>
      <c r="J410" s="28">
        <v>1</v>
      </c>
      <c r="K410" s="28">
        <v>1</v>
      </c>
      <c r="L410" s="28">
        <v>1</v>
      </c>
      <c r="M410" s="28" t="str">
        <f t="shared" si="19"/>
        <v>לא לרכוש</v>
      </c>
      <c r="N410" s="28"/>
      <c r="O410" s="28">
        <v>1000</v>
      </c>
      <c r="P410" s="27"/>
      <c r="Q410" s="27"/>
    </row>
    <row r="411" spans="1:17" s="32" customFormat="1" ht="14.25" customHeight="1">
      <c r="A411" s="33" t="s">
        <v>17</v>
      </c>
      <c r="B411" s="27" t="s">
        <v>331</v>
      </c>
      <c r="C411" s="34" t="s">
        <v>340</v>
      </c>
      <c r="D411" s="27" t="s">
        <v>343</v>
      </c>
      <c r="E411" s="33" t="s">
        <v>250</v>
      </c>
      <c r="F411" s="28">
        <v>800</v>
      </c>
      <c r="G411" s="28">
        <v>1</v>
      </c>
      <c r="H411" s="28">
        <f t="shared" si="17"/>
        <v>800</v>
      </c>
      <c r="I411" s="69"/>
      <c r="J411" s="28">
        <v>1</v>
      </c>
      <c r="K411" s="28">
        <v>1</v>
      </c>
      <c r="L411" s="28">
        <v>0.5</v>
      </c>
      <c r="M411" s="28" t="str">
        <f t="shared" si="19"/>
        <v>לרכוש</v>
      </c>
      <c r="N411" s="28"/>
      <c r="O411" s="28">
        <v>1000</v>
      </c>
      <c r="P411" s="27"/>
      <c r="Q411" s="27"/>
    </row>
    <row r="412" spans="1:17" s="32" customFormat="1" ht="14.25" customHeight="1">
      <c r="A412" s="33" t="s">
        <v>17</v>
      </c>
      <c r="B412" s="27" t="s">
        <v>331</v>
      </c>
      <c r="C412" s="34" t="s">
        <v>341</v>
      </c>
      <c r="D412" s="27" t="s">
        <v>302</v>
      </c>
      <c r="E412" s="33" t="s">
        <v>308</v>
      </c>
      <c r="F412" s="28">
        <v>800</v>
      </c>
      <c r="G412" s="28">
        <v>1</v>
      </c>
      <c r="H412" s="28">
        <f t="shared" ref="H412:H475" si="20">G412*F412</f>
        <v>800</v>
      </c>
      <c r="I412" s="69"/>
      <c r="J412" s="28">
        <v>1</v>
      </c>
      <c r="K412" s="28">
        <v>1</v>
      </c>
      <c r="L412" s="28">
        <v>0.5</v>
      </c>
      <c r="M412" s="28" t="str">
        <f t="shared" si="19"/>
        <v>לרכוש</v>
      </c>
      <c r="N412" s="28"/>
      <c r="O412" s="28">
        <v>1000</v>
      </c>
      <c r="P412" s="27"/>
      <c r="Q412" s="27"/>
    </row>
    <row r="413" spans="1:17" s="32" customFormat="1" ht="14.25" customHeight="1">
      <c r="A413" s="33" t="s">
        <v>17</v>
      </c>
      <c r="B413" s="27" t="s">
        <v>427</v>
      </c>
      <c r="C413" s="34" t="s">
        <v>466</v>
      </c>
      <c r="D413" s="27" t="s">
        <v>471</v>
      </c>
      <c r="E413" s="33" t="s">
        <v>475</v>
      </c>
      <c r="F413" s="28">
        <v>800</v>
      </c>
      <c r="G413" s="28">
        <v>1</v>
      </c>
      <c r="H413" s="28">
        <f t="shared" si="20"/>
        <v>800</v>
      </c>
      <c r="I413" s="69" t="s">
        <v>82</v>
      </c>
      <c r="J413" s="28">
        <v>1</v>
      </c>
      <c r="K413" s="28">
        <v>1</v>
      </c>
      <c r="L413" s="28">
        <v>0.2</v>
      </c>
      <c r="M413" s="28" t="str">
        <f t="shared" si="19"/>
        <v>לא לרכוש</v>
      </c>
      <c r="N413" s="28"/>
      <c r="O413" s="28">
        <v>1000</v>
      </c>
      <c r="P413" s="27"/>
      <c r="Q413" s="27"/>
    </row>
    <row r="414" spans="1:17" s="32" customFormat="1" ht="14.25" customHeight="1">
      <c r="A414" s="27" t="s">
        <v>1048</v>
      </c>
      <c r="B414" s="33" t="s">
        <v>433</v>
      </c>
      <c r="C414" s="34" t="s">
        <v>647</v>
      </c>
      <c r="D414" s="63" t="s">
        <v>268</v>
      </c>
      <c r="E414" s="33" t="s">
        <v>760</v>
      </c>
      <c r="F414" s="28">
        <v>800</v>
      </c>
      <c r="G414" s="28">
        <v>1</v>
      </c>
      <c r="H414" s="28">
        <f t="shared" si="20"/>
        <v>800</v>
      </c>
      <c r="I414" s="69"/>
      <c r="J414" s="28">
        <v>1</v>
      </c>
      <c r="K414" s="28">
        <v>1</v>
      </c>
      <c r="L414" s="28">
        <v>0.5</v>
      </c>
      <c r="M414" s="28" t="str">
        <f t="shared" si="19"/>
        <v>לרכוש</v>
      </c>
      <c r="N414" s="28"/>
      <c r="O414" s="28">
        <v>1000</v>
      </c>
      <c r="P414" s="27"/>
      <c r="Q414" s="27"/>
    </row>
    <row r="415" spans="1:17" s="32" customFormat="1" ht="14.25" customHeight="1">
      <c r="A415" s="27" t="s">
        <v>1048</v>
      </c>
      <c r="B415" s="33" t="s">
        <v>433</v>
      </c>
      <c r="C415" s="34" t="s">
        <v>648</v>
      </c>
      <c r="D415" s="63" t="s">
        <v>268</v>
      </c>
      <c r="E415" s="33" t="s">
        <v>760</v>
      </c>
      <c r="F415" s="28">
        <v>800</v>
      </c>
      <c r="G415" s="28">
        <v>1</v>
      </c>
      <c r="H415" s="28">
        <f t="shared" si="20"/>
        <v>800</v>
      </c>
      <c r="I415" s="69"/>
      <c r="J415" s="28">
        <v>1</v>
      </c>
      <c r="K415" s="28">
        <v>1</v>
      </c>
      <c r="L415" s="28">
        <v>0.5</v>
      </c>
      <c r="M415" s="28" t="str">
        <f t="shared" si="19"/>
        <v>לרכוש</v>
      </c>
      <c r="N415" s="28"/>
      <c r="O415" s="28">
        <v>1000</v>
      </c>
      <c r="P415" s="27"/>
      <c r="Q415" s="27"/>
    </row>
    <row r="416" spans="1:17" s="32" customFormat="1" ht="14.25" customHeight="1">
      <c r="A416" s="27" t="s">
        <v>1048</v>
      </c>
      <c r="B416" s="33" t="s">
        <v>434</v>
      </c>
      <c r="C416" s="34" t="s">
        <v>663</v>
      </c>
      <c r="D416" s="63" t="s">
        <v>268</v>
      </c>
      <c r="E416" s="33" t="s">
        <v>760</v>
      </c>
      <c r="F416" s="28">
        <v>800</v>
      </c>
      <c r="G416" s="28">
        <v>1</v>
      </c>
      <c r="H416" s="28">
        <f t="shared" si="20"/>
        <v>800</v>
      </c>
      <c r="I416" s="69"/>
      <c r="J416" s="28">
        <v>1</v>
      </c>
      <c r="K416" s="28">
        <v>1</v>
      </c>
      <c r="L416" s="28">
        <v>0.5</v>
      </c>
      <c r="M416" s="28" t="str">
        <f t="shared" si="19"/>
        <v>לרכוש</v>
      </c>
      <c r="N416" s="28"/>
      <c r="O416" s="28">
        <v>1000</v>
      </c>
      <c r="P416" s="27"/>
      <c r="Q416" s="27"/>
    </row>
    <row r="417" spans="1:17" s="32" customFormat="1" ht="14.25" customHeight="1">
      <c r="A417" s="27" t="s">
        <v>1048</v>
      </c>
      <c r="B417" s="33" t="s">
        <v>434</v>
      </c>
      <c r="C417" s="34" t="s">
        <v>664</v>
      </c>
      <c r="D417" s="63" t="s">
        <v>268</v>
      </c>
      <c r="E417" s="33" t="s">
        <v>760</v>
      </c>
      <c r="F417" s="28">
        <v>800</v>
      </c>
      <c r="G417" s="28">
        <v>1</v>
      </c>
      <c r="H417" s="28">
        <f t="shared" si="20"/>
        <v>800</v>
      </c>
      <c r="I417" s="69"/>
      <c r="J417" s="28">
        <v>1</v>
      </c>
      <c r="K417" s="28">
        <v>1</v>
      </c>
      <c r="L417" s="28">
        <v>0.5</v>
      </c>
      <c r="M417" s="28" t="str">
        <f>IF(AND(K417*L417*30*O417&gt;H417/J399,I417=""),"לרכוש","לא לרכוש")</f>
        <v>לרכוש</v>
      </c>
      <c r="N417" s="28"/>
      <c r="O417" s="28">
        <v>1000</v>
      </c>
      <c r="P417" s="27"/>
      <c r="Q417" s="27"/>
    </row>
    <row r="418" spans="1:17" s="32" customFormat="1" ht="14.25" customHeight="1">
      <c r="A418" s="27" t="s">
        <v>1048</v>
      </c>
      <c r="B418" s="33" t="s">
        <v>435</v>
      </c>
      <c r="C418" s="34" t="s">
        <v>690</v>
      </c>
      <c r="D418" s="63" t="s">
        <v>268</v>
      </c>
      <c r="E418" s="33" t="s">
        <v>764</v>
      </c>
      <c r="F418" s="28">
        <v>800</v>
      </c>
      <c r="G418" s="28">
        <v>1</v>
      </c>
      <c r="H418" s="28">
        <f t="shared" si="20"/>
        <v>800</v>
      </c>
      <c r="I418" s="69"/>
      <c r="J418" s="28">
        <v>1</v>
      </c>
      <c r="K418" s="28">
        <v>1</v>
      </c>
      <c r="L418" s="28">
        <v>0.5</v>
      </c>
      <c r="M418" s="28" t="str">
        <f t="shared" ref="M418:M481" si="21">IF(AND(K418*L418*30*O418&gt;H418/J418,I418=""),"לרכוש","לא לרכוש")</f>
        <v>לרכוש</v>
      </c>
      <c r="N418" s="28"/>
      <c r="O418" s="28">
        <v>1000</v>
      </c>
      <c r="P418" s="27"/>
      <c r="Q418" s="27"/>
    </row>
    <row r="419" spans="1:17" s="32" customFormat="1" ht="14.25" customHeight="1">
      <c r="A419" s="27" t="s">
        <v>1048</v>
      </c>
      <c r="B419" s="33" t="s">
        <v>435</v>
      </c>
      <c r="C419" s="34" t="s">
        <v>691</v>
      </c>
      <c r="D419" s="63" t="s">
        <v>268</v>
      </c>
      <c r="E419" s="33" t="s">
        <v>760</v>
      </c>
      <c r="F419" s="28">
        <v>800</v>
      </c>
      <c r="G419" s="28">
        <v>1</v>
      </c>
      <c r="H419" s="28">
        <f t="shared" si="20"/>
        <v>800</v>
      </c>
      <c r="I419" s="69"/>
      <c r="J419" s="28">
        <v>1</v>
      </c>
      <c r="K419" s="28">
        <v>1</v>
      </c>
      <c r="L419" s="28">
        <v>0.5</v>
      </c>
      <c r="M419" s="28" t="str">
        <f t="shared" si="21"/>
        <v>לרכוש</v>
      </c>
      <c r="N419" s="28"/>
      <c r="O419" s="28">
        <v>1000</v>
      </c>
      <c r="P419" s="27"/>
      <c r="Q419" s="27"/>
    </row>
    <row r="420" spans="1:17" s="32" customFormat="1" ht="14.25" customHeight="1">
      <c r="A420" s="27" t="s">
        <v>1048</v>
      </c>
      <c r="B420" s="33" t="s">
        <v>435</v>
      </c>
      <c r="C420" s="34" t="s">
        <v>692</v>
      </c>
      <c r="D420" s="63" t="s">
        <v>268</v>
      </c>
      <c r="E420" s="33" t="s">
        <v>764</v>
      </c>
      <c r="F420" s="28">
        <v>800</v>
      </c>
      <c r="G420" s="28">
        <v>1</v>
      </c>
      <c r="H420" s="28">
        <f t="shared" si="20"/>
        <v>800</v>
      </c>
      <c r="I420" s="69"/>
      <c r="J420" s="28">
        <v>1</v>
      </c>
      <c r="K420" s="28">
        <v>1</v>
      </c>
      <c r="L420" s="28">
        <v>0.5</v>
      </c>
      <c r="M420" s="28" t="str">
        <f t="shared" si="21"/>
        <v>לרכוש</v>
      </c>
      <c r="N420" s="28"/>
      <c r="O420" s="28">
        <v>1000</v>
      </c>
      <c r="P420" s="27"/>
      <c r="Q420" s="27"/>
    </row>
    <row r="421" spans="1:17" s="32" customFormat="1" ht="14.25" customHeight="1">
      <c r="A421" s="27" t="s">
        <v>1048</v>
      </c>
      <c r="B421" s="33" t="s">
        <v>435</v>
      </c>
      <c r="C421" s="34" t="s">
        <v>693</v>
      </c>
      <c r="D421" s="63" t="s">
        <v>268</v>
      </c>
      <c r="E421" s="33" t="s">
        <v>760</v>
      </c>
      <c r="F421" s="28">
        <v>800</v>
      </c>
      <c r="G421" s="28">
        <v>1</v>
      </c>
      <c r="H421" s="28">
        <f t="shared" si="20"/>
        <v>800</v>
      </c>
      <c r="I421" s="69"/>
      <c r="J421" s="28">
        <v>1</v>
      </c>
      <c r="K421" s="28">
        <v>1</v>
      </c>
      <c r="L421" s="28">
        <v>0.5</v>
      </c>
      <c r="M421" s="28" t="str">
        <f t="shared" si="21"/>
        <v>לרכוש</v>
      </c>
      <c r="N421" s="28"/>
      <c r="O421" s="28">
        <v>1000</v>
      </c>
      <c r="P421" s="27"/>
      <c r="Q421" s="27"/>
    </row>
    <row r="422" spans="1:17" s="32" customFormat="1" ht="14.25" customHeight="1">
      <c r="A422" s="27" t="s">
        <v>271</v>
      </c>
      <c r="B422" s="33" t="s">
        <v>436</v>
      </c>
      <c r="C422" s="34" t="s">
        <v>700</v>
      </c>
      <c r="D422" s="63" t="s">
        <v>302</v>
      </c>
      <c r="E422" s="33" t="s">
        <v>596</v>
      </c>
      <c r="F422" s="28">
        <v>800</v>
      </c>
      <c r="G422" s="28">
        <v>1</v>
      </c>
      <c r="H422" s="28">
        <f t="shared" si="20"/>
        <v>800</v>
      </c>
      <c r="I422" s="69" t="s">
        <v>82</v>
      </c>
      <c r="J422" s="28">
        <v>1</v>
      </c>
      <c r="K422" s="28">
        <v>1</v>
      </c>
      <c r="L422" s="28">
        <v>0.5</v>
      </c>
      <c r="M422" s="28" t="str">
        <f t="shared" si="21"/>
        <v>לא לרכוש</v>
      </c>
      <c r="N422" s="28"/>
      <c r="O422" s="28">
        <v>1000</v>
      </c>
      <c r="P422" s="27"/>
      <c r="Q422" s="27"/>
    </row>
    <row r="423" spans="1:17" s="32" customFormat="1" ht="14.25" customHeight="1">
      <c r="A423" s="27" t="s">
        <v>1048</v>
      </c>
      <c r="B423" s="33" t="s">
        <v>436</v>
      </c>
      <c r="C423" s="34" t="s">
        <v>715</v>
      </c>
      <c r="D423" s="63" t="s">
        <v>754</v>
      </c>
      <c r="E423" s="33" t="s">
        <v>767</v>
      </c>
      <c r="F423" s="28">
        <v>800</v>
      </c>
      <c r="G423" s="28">
        <v>1</v>
      </c>
      <c r="H423" s="28">
        <f t="shared" si="20"/>
        <v>800</v>
      </c>
      <c r="I423" s="69"/>
      <c r="J423" s="28">
        <v>1</v>
      </c>
      <c r="K423" s="28">
        <v>1</v>
      </c>
      <c r="L423" s="28">
        <v>0.5</v>
      </c>
      <c r="M423" s="28" t="str">
        <f t="shared" si="21"/>
        <v>לרכוש</v>
      </c>
      <c r="N423" s="28"/>
      <c r="O423" s="28">
        <v>1000</v>
      </c>
      <c r="P423" s="27"/>
      <c r="Q423" s="27"/>
    </row>
    <row r="424" spans="1:17" s="32" customFormat="1" ht="14.25" customHeight="1">
      <c r="A424" s="27" t="s">
        <v>17</v>
      </c>
      <c r="B424" s="33" t="s">
        <v>436</v>
      </c>
      <c r="C424" s="34" t="s">
        <v>716</v>
      </c>
      <c r="D424" s="63" t="s">
        <v>302</v>
      </c>
      <c r="E424" s="33" t="s">
        <v>768</v>
      </c>
      <c r="F424" s="28">
        <v>800</v>
      </c>
      <c r="G424" s="28">
        <v>1</v>
      </c>
      <c r="H424" s="28">
        <f t="shared" si="20"/>
        <v>800</v>
      </c>
      <c r="I424" s="69" t="s">
        <v>82</v>
      </c>
      <c r="J424" s="28">
        <v>1</v>
      </c>
      <c r="K424" s="28">
        <v>1</v>
      </c>
      <c r="L424" s="28">
        <v>1</v>
      </c>
      <c r="M424" s="28" t="str">
        <f t="shared" si="21"/>
        <v>לא לרכוש</v>
      </c>
      <c r="N424" s="28"/>
      <c r="O424" s="28">
        <v>1000</v>
      </c>
      <c r="P424" s="27"/>
      <c r="Q424" s="27"/>
    </row>
    <row r="425" spans="1:17" s="32" customFormat="1" ht="14.25" customHeight="1">
      <c r="A425" s="27" t="s">
        <v>17</v>
      </c>
      <c r="B425" s="33" t="s">
        <v>436</v>
      </c>
      <c r="C425" s="34" t="s">
        <v>717</v>
      </c>
      <c r="D425" s="63" t="s">
        <v>302</v>
      </c>
      <c r="E425" s="33" t="s">
        <v>768</v>
      </c>
      <c r="F425" s="28">
        <v>800</v>
      </c>
      <c r="G425" s="28">
        <v>1</v>
      </c>
      <c r="H425" s="28">
        <f t="shared" si="20"/>
        <v>800</v>
      </c>
      <c r="I425" s="69" t="s">
        <v>82</v>
      </c>
      <c r="J425" s="28">
        <v>1</v>
      </c>
      <c r="K425" s="28">
        <v>1</v>
      </c>
      <c r="L425" s="28">
        <v>1</v>
      </c>
      <c r="M425" s="28" t="str">
        <f t="shared" si="21"/>
        <v>לא לרכוש</v>
      </c>
      <c r="N425" s="28"/>
      <c r="O425" s="28">
        <v>1000</v>
      </c>
      <c r="P425" s="27"/>
      <c r="Q425" s="27"/>
    </row>
    <row r="426" spans="1:17" s="32" customFormat="1" ht="14.25" customHeight="1">
      <c r="A426" s="27" t="s">
        <v>17</v>
      </c>
      <c r="B426" s="33" t="s">
        <v>436</v>
      </c>
      <c r="C426" s="34" t="s">
        <v>718</v>
      </c>
      <c r="D426" s="63" t="s">
        <v>302</v>
      </c>
      <c r="E426" s="33" t="s">
        <v>768</v>
      </c>
      <c r="F426" s="28">
        <v>800</v>
      </c>
      <c r="G426" s="28">
        <v>1</v>
      </c>
      <c r="H426" s="28">
        <f t="shared" si="20"/>
        <v>800</v>
      </c>
      <c r="I426" s="69" t="s">
        <v>82</v>
      </c>
      <c r="J426" s="28">
        <v>1</v>
      </c>
      <c r="K426" s="28">
        <v>1</v>
      </c>
      <c r="L426" s="28">
        <v>1</v>
      </c>
      <c r="M426" s="28" t="str">
        <f t="shared" si="21"/>
        <v>לא לרכוש</v>
      </c>
      <c r="N426" s="28"/>
      <c r="O426" s="28">
        <v>1000</v>
      </c>
      <c r="P426" s="27"/>
      <c r="Q426" s="27"/>
    </row>
    <row r="427" spans="1:17" s="32" customFormat="1" ht="14.25" customHeight="1">
      <c r="A427" s="27" t="s">
        <v>17</v>
      </c>
      <c r="B427" s="33" t="s">
        <v>436</v>
      </c>
      <c r="C427" s="34" t="s">
        <v>719</v>
      </c>
      <c r="D427" s="63" t="s">
        <v>302</v>
      </c>
      <c r="E427" s="33" t="s">
        <v>768</v>
      </c>
      <c r="F427" s="28">
        <v>800</v>
      </c>
      <c r="G427" s="28">
        <v>1</v>
      </c>
      <c r="H427" s="28">
        <f t="shared" si="20"/>
        <v>800</v>
      </c>
      <c r="I427" s="69" t="s">
        <v>82</v>
      </c>
      <c r="J427" s="28">
        <v>1</v>
      </c>
      <c r="K427" s="28">
        <v>1</v>
      </c>
      <c r="L427" s="28">
        <v>1</v>
      </c>
      <c r="M427" s="28" t="str">
        <f t="shared" si="21"/>
        <v>לא לרכוש</v>
      </c>
      <c r="N427" s="28"/>
      <c r="O427" s="28">
        <v>1000</v>
      </c>
      <c r="P427" s="27"/>
      <c r="Q427" s="27"/>
    </row>
    <row r="428" spans="1:17" s="32" customFormat="1" ht="14.25" customHeight="1">
      <c r="A428" s="27" t="s">
        <v>17</v>
      </c>
      <c r="B428" s="33" t="s">
        <v>436</v>
      </c>
      <c r="C428" s="34" t="s">
        <v>720</v>
      </c>
      <c r="D428" s="63" t="s">
        <v>302</v>
      </c>
      <c r="E428" s="33" t="s">
        <v>768</v>
      </c>
      <c r="F428" s="28">
        <v>800</v>
      </c>
      <c r="G428" s="28">
        <v>1</v>
      </c>
      <c r="H428" s="28">
        <f t="shared" si="20"/>
        <v>800</v>
      </c>
      <c r="I428" s="69" t="s">
        <v>82</v>
      </c>
      <c r="J428" s="28">
        <v>1</v>
      </c>
      <c r="K428" s="28">
        <v>1</v>
      </c>
      <c r="L428" s="28">
        <v>1</v>
      </c>
      <c r="M428" s="28" t="str">
        <f t="shared" si="21"/>
        <v>לא לרכוש</v>
      </c>
      <c r="N428" s="28"/>
      <c r="O428" s="28">
        <v>1000</v>
      </c>
      <c r="P428" s="27"/>
      <c r="Q428" s="27"/>
    </row>
    <row r="429" spans="1:17" s="32" customFormat="1" ht="14.25" customHeight="1">
      <c r="A429" s="27" t="s">
        <v>17</v>
      </c>
      <c r="B429" s="33" t="s">
        <v>436</v>
      </c>
      <c r="C429" s="34" t="s">
        <v>721</v>
      </c>
      <c r="D429" s="63" t="s">
        <v>302</v>
      </c>
      <c r="E429" s="33" t="s">
        <v>768</v>
      </c>
      <c r="F429" s="28">
        <v>800</v>
      </c>
      <c r="G429" s="28">
        <v>1</v>
      </c>
      <c r="H429" s="28">
        <f t="shared" si="20"/>
        <v>800</v>
      </c>
      <c r="I429" s="69" t="s">
        <v>82</v>
      </c>
      <c r="J429" s="28">
        <v>1</v>
      </c>
      <c r="K429" s="28">
        <v>1</v>
      </c>
      <c r="L429" s="28">
        <v>1</v>
      </c>
      <c r="M429" s="28" t="str">
        <f t="shared" si="21"/>
        <v>לא לרכוש</v>
      </c>
      <c r="N429" s="28"/>
      <c r="O429" s="28">
        <v>1000</v>
      </c>
      <c r="P429" s="27"/>
      <c r="Q429" s="27"/>
    </row>
    <row r="430" spans="1:17" s="32" customFormat="1" ht="14.25" customHeight="1">
      <c r="A430" s="27" t="s">
        <v>17</v>
      </c>
      <c r="B430" s="33" t="s">
        <v>436</v>
      </c>
      <c r="C430" s="34" t="s">
        <v>722</v>
      </c>
      <c r="D430" s="63" t="s">
        <v>302</v>
      </c>
      <c r="E430" s="33" t="s">
        <v>768</v>
      </c>
      <c r="F430" s="28">
        <v>800</v>
      </c>
      <c r="G430" s="28">
        <v>1</v>
      </c>
      <c r="H430" s="28">
        <f t="shared" si="20"/>
        <v>800</v>
      </c>
      <c r="I430" s="69" t="s">
        <v>82</v>
      </c>
      <c r="J430" s="28">
        <v>1</v>
      </c>
      <c r="K430" s="28">
        <v>1</v>
      </c>
      <c r="L430" s="28">
        <v>1</v>
      </c>
      <c r="M430" s="28" t="str">
        <f t="shared" si="21"/>
        <v>לא לרכוש</v>
      </c>
      <c r="N430" s="28"/>
      <c r="O430" s="28">
        <v>1000</v>
      </c>
      <c r="P430" s="27"/>
      <c r="Q430" s="27"/>
    </row>
    <row r="431" spans="1:17" s="32" customFormat="1" ht="14.25" customHeight="1">
      <c r="A431" s="27" t="s">
        <v>17</v>
      </c>
      <c r="B431" s="33" t="s">
        <v>436</v>
      </c>
      <c r="C431" s="34" t="s">
        <v>723</v>
      </c>
      <c r="D431" s="63" t="s">
        <v>302</v>
      </c>
      <c r="E431" s="33" t="s">
        <v>768</v>
      </c>
      <c r="F431" s="28">
        <v>800</v>
      </c>
      <c r="G431" s="28">
        <v>1</v>
      </c>
      <c r="H431" s="28">
        <f t="shared" si="20"/>
        <v>800</v>
      </c>
      <c r="I431" s="69" t="s">
        <v>82</v>
      </c>
      <c r="J431" s="28">
        <v>1</v>
      </c>
      <c r="K431" s="28">
        <v>1</v>
      </c>
      <c r="L431" s="28">
        <v>1</v>
      </c>
      <c r="M431" s="28" t="str">
        <f t="shared" si="21"/>
        <v>לא לרכוש</v>
      </c>
      <c r="N431" s="28"/>
      <c r="O431" s="28">
        <v>1000</v>
      </c>
      <c r="P431" s="27"/>
      <c r="Q431" s="27"/>
    </row>
    <row r="432" spans="1:17" s="32" customFormat="1" ht="14.25" customHeight="1">
      <c r="A432" s="27" t="s">
        <v>17</v>
      </c>
      <c r="B432" s="33" t="s">
        <v>436</v>
      </c>
      <c r="C432" s="34" t="s">
        <v>724</v>
      </c>
      <c r="D432" s="63" t="s">
        <v>755</v>
      </c>
      <c r="E432" s="33" t="s">
        <v>769</v>
      </c>
      <c r="F432" s="28">
        <v>800</v>
      </c>
      <c r="G432" s="28">
        <v>1</v>
      </c>
      <c r="H432" s="28">
        <f t="shared" si="20"/>
        <v>800</v>
      </c>
      <c r="I432" s="69" t="s">
        <v>82</v>
      </c>
      <c r="J432" s="28">
        <v>1</v>
      </c>
      <c r="K432" s="28">
        <v>1</v>
      </c>
      <c r="L432" s="28">
        <v>1</v>
      </c>
      <c r="M432" s="28" t="str">
        <f t="shared" si="21"/>
        <v>לא לרכוש</v>
      </c>
      <c r="N432" s="28"/>
      <c r="O432" s="28">
        <v>1000</v>
      </c>
      <c r="P432" s="27"/>
      <c r="Q432" s="27"/>
    </row>
    <row r="433" spans="1:17" s="32" customFormat="1" ht="14.25" customHeight="1">
      <c r="A433" s="27" t="s">
        <v>17</v>
      </c>
      <c r="B433" s="33" t="s">
        <v>437</v>
      </c>
      <c r="C433" s="34" t="s">
        <v>725</v>
      </c>
      <c r="D433" s="63" t="s">
        <v>302</v>
      </c>
      <c r="E433" s="33" t="s">
        <v>768</v>
      </c>
      <c r="F433" s="28">
        <v>800</v>
      </c>
      <c r="G433" s="28">
        <v>1</v>
      </c>
      <c r="H433" s="28">
        <f t="shared" si="20"/>
        <v>800</v>
      </c>
      <c r="I433" s="69" t="s">
        <v>82</v>
      </c>
      <c r="J433" s="28">
        <v>1</v>
      </c>
      <c r="K433" s="28">
        <v>1</v>
      </c>
      <c r="L433" s="28">
        <v>1</v>
      </c>
      <c r="M433" s="28" t="str">
        <f t="shared" si="21"/>
        <v>לא לרכוש</v>
      </c>
      <c r="N433" s="28"/>
      <c r="O433" s="28">
        <v>1000</v>
      </c>
      <c r="P433" s="27"/>
      <c r="Q433" s="27"/>
    </row>
    <row r="434" spans="1:17" s="32" customFormat="1" ht="14.25" customHeight="1">
      <c r="A434" s="27" t="s">
        <v>17</v>
      </c>
      <c r="B434" s="33" t="s">
        <v>437</v>
      </c>
      <c r="C434" s="34" t="s">
        <v>726</v>
      </c>
      <c r="D434" s="63" t="s">
        <v>302</v>
      </c>
      <c r="E434" s="33" t="s">
        <v>768</v>
      </c>
      <c r="F434" s="28">
        <v>800</v>
      </c>
      <c r="G434" s="28">
        <v>1</v>
      </c>
      <c r="H434" s="28">
        <f t="shared" si="20"/>
        <v>800</v>
      </c>
      <c r="I434" s="69" t="s">
        <v>82</v>
      </c>
      <c r="J434" s="28">
        <v>1</v>
      </c>
      <c r="K434" s="28">
        <v>1</v>
      </c>
      <c r="L434" s="28">
        <v>1</v>
      </c>
      <c r="M434" s="28" t="str">
        <f t="shared" si="21"/>
        <v>לא לרכוש</v>
      </c>
      <c r="N434" s="28"/>
      <c r="O434" s="28">
        <v>1000</v>
      </c>
      <c r="P434" s="27"/>
      <c r="Q434" s="27"/>
    </row>
    <row r="435" spans="1:17" s="32" customFormat="1" ht="14.25" customHeight="1">
      <c r="A435" s="27" t="s">
        <v>17</v>
      </c>
      <c r="B435" s="33" t="s">
        <v>437</v>
      </c>
      <c r="C435" s="34" t="s">
        <v>727</v>
      </c>
      <c r="D435" s="63" t="s">
        <v>302</v>
      </c>
      <c r="E435" s="33" t="s">
        <v>768</v>
      </c>
      <c r="F435" s="28">
        <v>800</v>
      </c>
      <c r="G435" s="28">
        <v>1</v>
      </c>
      <c r="H435" s="28">
        <f t="shared" si="20"/>
        <v>800</v>
      </c>
      <c r="I435" s="69" t="s">
        <v>82</v>
      </c>
      <c r="J435" s="28">
        <v>1</v>
      </c>
      <c r="K435" s="28">
        <v>1</v>
      </c>
      <c r="L435" s="28">
        <v>1</v>
      </c>
      <c r="M435" s="28" t="str">
        <f t="shared" si="21"/>
        <v>לא לרכוש</v>
      </c>
      <c r="N435" s="28"/>
      <c r="O435" s="28">
        <v>1000</v>
      </c>
      <c r="P435" s="27"/>
      <c r="Q435" s="27"/>
    </row>
    <row r="436" spans="1:17" s="32" customFormat="1" ht="14.25" customHeight="1">
      <c r="A436" s="27" t="s">
        <v>17</v>
      </c>
      <c r="B436" s="33" t="s">
        <v>437</v>
      </c>
      <c r="C436" s="34" t="s">
        <v>728</v>
      </c>
      <c r="D436" s="63" t="s">
        <v>302</v>
      </c>
      <c r="E436" s="33" t="s">
        <v>770</v>
      </c>
      <c r="F436" s="28">
        <v>800</v>
      </c>
      <c r="G436" s="28">
        <v>1</v>
      </c>
      <c r="H436" s="28">
        <f t="shared" si="20"/>
        <v>800</v>
      </c>
      <c r="I436" s="69"/>
      <c r="J436" s="28">
        <v>1</v>
      </c>
      <c r="K436" s="28">
        <v>1</v>
      </c>
      <c r="L436" s="28">
        <v>0.5</v>
      </c>
      <c r="M436" s="28" t="str">
        <f t="shared" si="21"/>
        <v>לרכוש</v>
      </c>
      <c r="N436" s="28"/>
      <c r="O436" s="28">
        <v>1000</v>
      </c>
      <c r="P436" s="27"/>
      <c r="Q436" s="27"/>
    </row>
    <row r="437" spans="1:17" s="32" customFormat="1" ht="14.25" customHeight="1">
      <c r="A437" s="27" t="s">
        <v>1048</v>
      </c>
      <c r="B437" s="33" t="s">
        <v>437</v>
      </c>
      <c r="C437" s="34" t="s">
        <v>731</v>
      </c>
      <c r="D437" s="63" t="s">
        <v>589</v>
      </c>
      <c r="E437" s="33" t="s">
        <v>772</v>
      </c>
      <c r="F437" s="28">
        <v>800</v>
      </c>
      <c r="G437" s="28">
        <v>1</v>
      </c>
      <c r="H437" s="28">
        <f t="shared" si="20"/>
        <v>800</v>
      </c>
      <c r="I437" s="69"/>
      <c r="J437" s="28">
        <v>1</v>
      </c>
      <c r="K437" s="28">
        <v>1</v>
      </c>
      <c r="L437" s="28">
        <v>0.5</v>
      </c>
      <c r="M437" s="28" t="str">
        <f t="shared" si="21"/>
        <v>לרכוש</v>
      </c>
      <c r="N437" s="28"/>
      <c r="O437" s="28">
        <v>1000</v>
      </c>
      <c r="P437" s="27"/>
      <c r="Q437" s="27"/>
    </row>
    <row r="438" spans="1:17" s="32" customFormat="1" ht="14.25" customHeight="1">
      <c r="A438" s="27" t="s">
        <v>1048</v>
      </c>
      <c r="B438" s="33" t="s">
        <v>437</v>
      </c>
      <c r="C438" s="34" t="s">
        <v>732</v>
      </c>
      <c r="D438" s="63" t="s">
        <v>754</v>
      </c>
      <c r="E438" s="33" t="s">
        <v>767</v>
      </c>
      <c r="F438" s="28">
        <v>800</v>
      </c>
      <c r="G438" s="28">
        <v>1</v>
      </c>
      <c r="H438" s="28">
        <f t="shared" si="20"/>
        <v>800</v>
      </c>
      <c r="I438" s="69"/>
      <c r="J438" s="28">
        <v>1</v>
      </c>
      <c r="K438" s="28">
        <v>1</v>
      </c>
      <c r="L438" s="28">
        <v>0.5</v>
      </c>
      <c r="M438" s="28" t="str">
        <f t="shared" si="21"/>
        <v>לרכוש</v>
      </c>
      <c r="N438" s="28"/>
      <c r="O438" s="28">
        <v>1000</v>
      </c>
      <c r="P438" s="27"/>
      <c r="Q438" s="27"/>
    </row>
    <row r="439" spans="1:17" s="32" customFormat="1" ht="14.25" customHeight="1">
      <c r="A439" s="27" t="s">
        <v>1048</v>
      </c>
      <c r="B439" s="33" t="s">
        <v>437</v>
      </c>
      <c r="C439" s="34" t="s">
        <v>733</v>
      </c>
      <c r="D439" s="63" t="s">
        <v>589</v>
      </c>
      <c r="E439" s="33" t="s">
        <v>772</v>
      </c>
      <c r="F439" s="28">
        <v>800</v>
      </c>
      <c r="G439" s="28">
        <v>1</v>
      </c>
      <c r="H439" s="28">
        <f t="shared" si="20"/>
        <v>800</v>
      </c>
      <c r="I439" s="69"/>
      <c r="J439" s="28">
        <v>1</v>
      </c>
      <c r="K439" s="28">
        <v>1</v>
      </c>
      <c r="L439" s="28">
        <v>0.5</v>
      </c>
      <c r="M439" s="28" t="str">
        <f t="shared" si="21"/>
        <v>לרכוש</v>
      </c>
      <c r="N439" s="28"/>
      <c r="O439" s="28">
        <v>1000</v>
      </c>
      <c r="P439" s="27"/>
      <c r="Q439" s="27"/>
    </row>
    <row r="440" spans="1:17" s="32" customFormat="1" ht="14.25" customHeight="1">
      <c r="A440" s="27" t="s">
        <v>1048</v>
      </c>
      <c r="B440" s="33" t="s">
        <v>437</v>
      </c>
      <c r="C440" s="34" t="s">
        <v>734</v>
      </c>
      <c r="D440" s="63" t="s">
        <v>589</v>
      </c>
      <c r="E440" s="33" t="s">
        <v>772</v>
      </c>
      <c r="F440" s="28">
        <v>800</v>
      </c>
      <c r="G440" s="28">
        <v>1</v>
      </c>
      <c r="H440" s="28">
        <f t="shared" si="20"/>
        <v>800</v>
      </c>
      <c r="I440" s="69"/>
      <c r="J440" s="28">
        <v>1</v>
      </c>
      <c r="K440" s="28">
        <v>1</v>
      </c>
      <c r="L440" s="28">
        <v>0.5</v>
      </c>
      <c r="M440" s="28" t="str">
        <f t="shared" si="21"/>
        <v>לרכוש</v>
      </c>
      <c r="N440" s="28"/>
      <c r="O440" s="28">
        <v>1000</v>
      </c>
      <c r="P440" s="27"/>
      <c r="Q440" s="27"/>
    </row>
    <row r="441" spans="1:17" s="32" customFormat="1" ht="14.25" customHeight="1">
      <c r="A441" s="27" t="s">
        <v>1048</v>
      </c>
      <c r="B441" s="33" t="s">
        <v>436</v>
      </c>
      <c r="C441" s="34" t="s">
        <v>735</v>
      </c>
      <c r="D441" s="63" t="s">
        <v>589</v>
      </c>
      <c r="E441" s="33" t="s">
        <v>772</v>
      </c>
      <c r="F441" s="28">
        <v>800</v>
      </c>
      <c r="G441" s="28">
        <v>1</v>
      </c>
      <c r="H441" s="28">
        <f t="shared" si="20"/>
        <v>800</v>
      </c>
      <c r="I441" s="69"/>
      <c r="J441" s="28">
        <v>1</v>
      </c>
      <c r="K441" s="28">
        <v>1</v>
      </c>
      <c r="L441" s="28">
        <v>0.5</v>
      </c>
      <c r="M441" s="28" t="str">
        <f t="shared" si="21"/>
        <v>לרכוש</v>
      </c>
      <c r="N441" s="28"/>
      <c r="O441" s="28">
        <v>1000</v>
      </c>
      <c r="P441" s="27"/>
      <c r="Q441" s="27"/>
    </row>
    <row r="442" spans="1:17" s="32" customFormat="1" ht="14.25" customHeight="1">
      <c r="A442" s="27" t="s">
        <v>1048</v>
      </c>
      <c r="B442" s="33" t="s">
        <v>436</v>
      </c>
      <c r="C442" s="34" t="s">
        <v>736</v>
      </c>
      <c r="D442" s="63" t="s">
        <v>589</v>
      </c>
      <c r="E442" s="33" t="s">
        <v>772</v>
      </c>
      <c r="F442" s="28">
        <v>800</v>
      </c>
      <c r="G442" s="28">
        <v>1</v>
      </c>
      <c r="H442" s="28">
        <f t="shared" si="20"/>
        <v>800</v>
      </c>
      <c r="I442" s="69"/>
      <c r="J442" s="28">
        <v>1</v>
      </c>
      <c r="K442" s="28">
        <v>1</v>
      </c>
      <c r="L442" s="28">
        <v>0.5</v>
      </c>
      <c r="M442" s="28" t="str">
        <f t="shared" si="21"/>
        <v>לרכוש</v>
      </c>
      <c r="N442" s="28"/>
      <c r="O442" s="28">
        <v>1000</v>
      </c>
      <c r="P442" s="27"/>
      <c r="Q442" s="27"/>
    </row>
    <row r="443" spans="1:17" s="32" customFormat="1" ht="14.25" customHeight="1">
      <c r="A443" s="27" t="s">
        <v>1048</v>
      </c>
      <c r="B443" s="33" t="s">
        <v>436</v>
      </c>
      <c r="C443" s="34" t="s">
        <v>737</v>
      </c>
      <c r="D443" s="63" t="s">
        <v>589</v>
      </c>
      <c r="E443" s="33" t="s">
        <v>772</v>
      </c>
      <c r="F443" s="28">
        <v>800</v>
      </c>
      <c r="G443" s="28">
        <v>1</v>
      </c>
      <c r="H443" s="28">
        <f t="shared" si="20"/>
        <v>800</v>
      </c>
      <c r="I443" s="69"/>
      <c r="J443" s="28">
        <v>1</v>
      </c>
      <c r="K443" s="28">
        <v>1</v>
      </c>
      <c r="L443" s="28">
        <v>0.5</v>
      </c>
      <c r="M443" s="28" t="str">
        <f t="shared" si="21"/>
        <v>לרכוש</v>
      </c>
      <c r="N443" s="28"/>
      <c r="O443" s="28">
        <v>1000</v>
      </c>
      <c r="P443" s="27"/>
      <c r="Q443" s="27"/>
    </row>
    <row r="444" spans="1:17" s="32" customFormat="1" ht="14.25" customHeight="1">
      <c r="A444" s="27" t="s">
        <v>1048</v>
      </c>
      <c r="B444" s="33" t="s">
        <v>436</v>
      </c>
      <c r="C444" s="34" t="s">
        <v>738</v>
      </c>
      <c r="D444" s="63" t="s">
        <v>589</v>
      </c>
      <c r="E444" s="33" t="s">
        <v>772</v>
      </c>
      <c r="F444" s="28">
        <v>800</v>
      </c>
      <c r="G444" s="28">
        <v>1</v>
      </c>
      <c r="H444" s="28">
        <f t="shared" si="20"/>
        <v>800</v>
      </c>
      <c r="I444" s="69"/>
      <c r="J444" s="28">
        <v>1</v>
      </c>
      <c r="K444" s="28">
        <v>1</v>
      </c>
      <c r="L444" s="28">
        <v>0.5</v>
      </c>
      <c r="M444" s="28" t="str">
        <f t="shared" si="21"/>
        <v>לרכוש</v>
      </c>
      <c r="N444" s="28"/>
      <c r="O444" s="28">
        <v>1000</v>
      </c>
      <c r="P444" s="27"/>
      <c r="Q444" s="27"/>
    </row>
    <row r="445" spans="1:17" s="32" customFormat="1" ht="14.25" customHeight="1">
      <c r="A445" s="27" t="s">
        <v>1048</v>
      </c>
      <c r="B445" s="33" t="s">
        <v>436</v>
      </c>
      <c r="C445" s="34" t="s">
        <v>739</v>
      </c>
      <c r="D445" s="63" t="s">
        <v>589</v>
      </c>
      <c r="E445" s="33" t="s">
        <v>772</v>
      </c>
      <c r="F445" s="28">
        <v>800</v>
      </c>
      <c r="G445" s="28">
        <v>1</v>
      </c>
      <c r="H445" s="28">
        <f t="shared" si="20"/>
        <v>800</v>
      </c>
      <c r="I445" s="69"/>
      <c r="J445" s="28">
        <v>1</v>
      </c>
      <c r="K445" s="28">
        <v>1</v>
      </c>
      <c r="L445" s="28">
        <v>0.5</v>
      </c>
      <c r="M445" s="28" t="str">
        <f t="shared" si="21"/>
        <v>לרכוש</v>
      </c>
      <c r="N445" s="28"/>
      <c r="O445" s="28">
        <v>1000</v>
      </c>
      <c r="P445" s="27"/>
      <c r="Q445" s="27"/>
    </row>
    <row r="446" spans="1:17" s="32" customFormat="1" ht="14.25" customHeight="1">
      <c r="A446" s="27" t="s">
        <v>1048</v>
      </c>
      <c r="B446" s="33" t="s">
        <v>436</v>
      </c>
      <c r="C446" s="34" t="s">
        <v>740</v>
      </c>
      <c r="D446" s="63" t="s">
        <v>589</v>
      </c>
      <c r="E446" s="33" t="s">
        <v>772</v>
      </c>
      <c r="F446" s="28">
        <v>800</v>
      </c>
      <c r="G446" s="28">
        <v>1</v>
      </c>
      <c r="H446" s="28">
        <f t="shared" si="20"/>
        <v>800</v>
      </c>
      <c r="I446" s="69"/>
      <c r="J446" s="28">
        <v>1</v>
      </c>
      <c r="K446" s="28">
        <v>1</v>
      </c>
      <c r="L446" s="28">
        <v>0.5</v>
      </c>
      <c r="M446" s="28" t="str">
        <f t="shared" si="21"/>
        <v>לרכוש</v>
      </c>
      <c r="N446" s="28"/>
      <c r="O446" s="28">
        <v>1000</v>
      </c>
      <c r="P446" s="27"/>
      <c r="Q446" s="27"/>
    </row>
    <row r="447" spans="1:17" s="32" customFormat="1" ht="14.25" customHeight="1">
      <c r="A447" s="27" t="s">
        <v>1048</v>
      </c>
      <c r="B447" s="33" t="s">
        <v>436</v>
      </c>
      <c r="C447" s="34" t="s">
        <v>741</v>
      </c>
      <c r="D447" s="63" t="s">
        <v>589</v>
      </c>
      <c r="E447" s="33" t="s">
        <v>772</v>
      </c>
      <c r="F447" s="28">
        <v>800</v>
      </c>
      <c r="G447" s="28">
        <v>1</v>
      </c>
      <c r="H447" s="28">
        <f t="shared" si="20"/>
        <v>800</v>
      </c>
      <c r="I447" s="69"/>
      <c r="J447" s="28">
        <v>1</v>
      </c>
      <c r="K447" s="28">
        <v>1</v>
      </c>
      <c r="L447" s="28">
        <v>0.5</v>
      </c>
      <c r="M447" s="28" t="str">
        <f t="shared" si="21"/>
        <v>לרכוש</v>
      </c>
      <c r="N447" s="28"/>
      <c r="O447" s="28">
        <v>1000</v>
      </c>
      <c r="P447" s="27"/>
      <c r="Q447" s="27"/>
    </row>
    <row r="448" spans="1:17" s="32" customFormat="1" ht="14.25" customHeight="1">
      <c r="A448" s="27" t="s">
        <v>1048</v>
      </c>
      <c r="B448" s="33" t="s">
        <v>436</v>
      </c>
      <c r="C448" s="34" t="s">
        <v>742</v>
      </c>
      <c r="D448" s="63" t="s">
        <v>589</v>
      </c>
      <c r="E448" s="33" t="s">
        <v>772</v>
      </c>
      <c r="F448" s="28">
        <v>800</v>
      </c>
      <c r="G448" s="28">
        <v>1</v>
      </c>
      <c r="H448" s="28">
        <f t="shared" si="20"/>
        <v>800</v>
      </c>
      <c r="I448" s="69"/>
      <c r="J448" s="28">
        <v>1</v>
      </c>
      <c r="K448" s="28">
        <v>1</v>
      </c>
      <c r="L448" s="28">
        <v>0.5</v>
      </c>
      <c r="M448" s="28" t="str">
        <f t="shared" si="21"/>
        <v>לרכוש</v>
      </c>
      <c r="N448" s="28"/>
      <c r="O448" s="28">
        <v>1000</v>
      </c>
      <c r="P448" s="27"/>
      <c r="Q448" s="27"/>
    </row>
    <row r="449" spans="1:17" s="32" customFormat="1" ht="14.25" customHeight="1">
      <c r="A449" s="27" t="s">
        <v>271</v>
      </c>
      <c r="B449" s="33" t="s">
        <v>437</v>
      </c>
      <c r="C449" s="34" t="s">
        <v>748</v>
      </c>
      <c r="D449" s="63" t="s">
        <v>302</v>
      </c>
      <c r="E449" s="33" t="s">
        <v>596</v>
      </c>
      <c r="F449" s="28">
        <v>800</v>
      </c>
      <c r="G449" s="28">
        <v>1</v>
      </c>
      <c r="H449" s="28">
        <f t="shared" si="20"/>
        <v>800</v>
      </c>
      <c r="I449" s="69" t="s">
        <v>82</v>
      </c>
      <c r="J449" s="28">
        <v>1</v>
      </c>
      <c r="K449" s="28">
        <v>0</v>
      </c>
      <c r="L449" s="28">
        <v>0.5</v>
      </c>
      <c r="M449" s="28" t="str">
        <f t="shared" si="21"/>
        <v>לא לרכוש</v>
      </c>
      <c r="N449" s="28"/>
      <c r="O449" s="28">
        <v>1000</v>
      </c>
      <c r="P449" s="27"/>
      <c r="Q449" s="27"/>
    </row>
    <row r="450" spans="1:17" s="32" customFormat="1" ht="14.25" customHeight="1">
      <c r="A450" s="15" t="s">
        <v>17</v>
      </c>
      <c r="B450" s="14" t="s">
        <v>438</v>
      </c>
      <c r="C450" s="13" t="s">
        <v>778</v>
      </c>
      <c r="D450" s="14" t="s">
        <v>996</v>
      </c>
      <c r="E450" s="15" t="s">
        <v>997</v>
      </c>
      <c r="F450" s="16">
        <v>800</v>
      </c>
      <c r="G450" s="28">
        <v>1</v>
      </c>
      <c r="H450" s="16">
        <f t="shared" si="20"/>
        <v>800</v>
      </c>
      <c r="I450" s="72" t="s">
        <v>82</v>
      </c>
      <c r="J450" s="16">
        <v>1</v>
      </c>
      <c r="K450" s="16"/>
      <c r="L450" s="16">
        <v>0.5</v>
      </c>
      <c r="M450" s="16" t="str">
        <f t="shared" si="21"/>
        <v>לא לרכוש</v>
      </c>
      <c r="N450" s="16"/>
      <c r="O450" s="28">
        <v>1000</v>
      </c>
      <c r="P450" s="17"/>
      <c r="Q450" s="14"/>
    </row>
    <row r="451" spans="1:17" s="32" customFormat="1" ht="14.25" customHeight="1">
      <c r="A451" s="33" t="s">
        <v>467</v>
      </c>
      <c r="B451" s="27" t="s">
        <v>440</v>
      </c>
      <c r="C451" s="34" t="s">
        <v>799</v>
      </c>
      <c r="D451" s="27" t="s">
        <v>470</v>
      </c>
      <c r="E451" s="33" t="s">
        <v>1011</v>
      </c>
      <c r="F451" s="28">
        <v>800</v>
      </c>
      <c r="G451" s="28">
        <v>1</v>
      </c>
      <c r="H451" s="28">
        <f t="shared" si="20"/>
        <v>800</v>
      </c>
      <c r="I451" s="69" t="s">
        <v>82</v>
      </c>
      <c r="J451" s="28">
        <v>1</v>
      </c>
      <c r="K451" s="28">
        <v>1</v>
      </c>
      <c r="L451" s="28">
        <v>0.5</v>
      </c>
      <c r="M451" s="28" t="str">
        <f t="shared" si="21"/>
        <v>לא לרכוש</v>
      </c>
      <c r="N451" s="28"/>
      <c r="O451" s="28">
        <v>1000</v>
      </c>
      <c r="P451" s="27"/>
      <c r="Q451" s="27"/>
    </row>
    <row r="452" spans="1:17" s="32" customFormat="1" ht="14.25" customHeight="1">
      <c r="A452" s="33" t="s">
        <v>467</v>
      </c>
      <c r="B452" s="27" t="s">
        <v>440</v>
      </c>
      <c r="C452" s="34" t="s">
        <v>801</v>
      </c>
      <c r="D452" s="27" t="s">
        <v>470</v>
      </c>
      <c r="E452" s="33" t="s">
        <v>1011</v>
      </c>
      <c r="F452" s="28">
        <v>800</v>
      </c>
      <c r="G452" s="28">
        <v>1</v>
      </c>
      <c r="H452" s="28">
        <f t="shared" si="20"/>
        <v>800</v>
      </c>
      <c r="I452" s="69" t="s">
        <v>82</v>
      </c>
      <c r="J452" s="28">
        <v>1</v>
      </c>
      <c r="K452" s="28">
        <v>1</v>
      </c>
      <c r="L452" s="28">
        <v>0.5</v>
      </c>
      <c r="M452" s="28" t="str">
        <f t="shared" si="21"/>
        <v>לא לרכוש</v>
      </c>
      <c r="N452" s="28"/>
      <c r="O452" s="28">
        <v>1000</v>
      </c>
      <c r="P452" s="27"/>
      <c r="Q452" s="27"/>
    </row>
    <row r="453" spans="1:17" s="32" customFormat="1" ht="14.25" customHeight="1">
      <c r="A453" s="33" t="s">
        <v>467</v>
      </c>
      <c r="B453" s="27" t="s">
        <v>440</v>
      </c>
      <c r="C453" s="34" t="s">
        <v>803</v>
      </c>
      <c r="D453" s="27" t="s">
        <v>470</v>
      </c>
      <c r="E453" s="33" t="s">
        <v>1011</v>
      </c>
      <c r="F453" s="28">
        <v>800</v>
      </c>
      <c r="G453" s="28">
        <v>1</v>
      </c>
      <c r="H453" s="28">
        <f t="shared" si="20"/>
        <v>800</v>
      </c>
      <c r="I453" s="69" t="s">
        <v>82</v>
      </c>
      <c r="J453" s="28">
        <v>1</v>
      </c>
      <c r="K453" s="28">
        <v>1</v>
      </c>
      <c r="L453" s="28">
        <v>0.5</v>
      </c>
      <c r="M453" s="28" t="str">
        <f t="shared" si="21"/>
        <v>לא לרכוש</v>
      </c>
      <c r="N453" s="28"/>
      <c r="O453" s="28">
        <v>1000</v>
      </c>
      <c r="P453" s="27"/>
      <c r="Q453" s="27"/>
    </row>
    <row r="454" spans="1:17" s="32" customFormat="1" ht="14.25" customHeight="1">
      <c r="A454" s="33" t="s">
        <v>467</v>
      </c>
      <c r="B454" s="27" t="s">
        <v>446</v>
      </c>
      <c r="C454" s="34" t="s">
        <v>914</v>
      </c>
      <c r="D454" s="27" t="s">
        <v>1022</v>
      </c>
      <c r="E454" s="33" t="s">
        <v>1011</v>
      </c>
      <c r="F454" s="28">
        <v>800</v>
      </c>
      <c r="G454" s="28">
        <v>1</v>
      </c>
      <c r="H454" s="28">
        <f t="shared" si="20"/>
        <v>800</v>
      </c>
      <c r="I454" s="69" t="s">
        <v>82</v>
      </c>
      <c r="J454" s="28">
        <v>1</v>
      </c>
      <c r="K454" s="28">
        <v>1</v>
      </c>
      <c r="L454" s="28">
        <v>0.5</v>
      </c>
      <c r="M454" s="28" t="str">
        <f t="shared" si="21"/>
        <v>לא לרכוש</v>
      </c>
      <c r="N454" s="28"/>
      <c r="O454" s="28">
        <v>1000</v>
      </c>
      <c r="P454" s="27"/>
      <c r="Q454" s="27"/>
    </row>
    <row r="455" spans="1:17" s="32" customFormat="1" ht="14.25" customHeight="1">
      <c r="A455" s="33" t="s">
        <v>17</v>
      </c>
      <c r="B455" s="27" t="s">
        <v>167</v>
      </c>
      <c r="C455" s="34" t="s">
        <v>920</v>
      </c>
      <c r="D455" s="27" t="s">
        <v>1017</v>
      </c>
      <c r="E455" s="33" t="s">
        <v>1069</v>
      </c>
      <c r="F455" s="28">
        <v>800</v>
      </c>
      <c r="G455" s="28">
        <v>1</v>
      </c>
      <c r="H455" s="28">
        <f t="shared" si="20"/>
        <v>800</v>
      </c>
      <c r="I455" s="69"/>
      <c r="J455" s="28">
        <v>1</v>
      </c>
      <c r="K455" s="28">
        <v>1</v>
      </c>
      <c r="L455" s="28">
        <v>0.5</v>
      </c>
      <c r="M455" s="28" t="str">
        <f t="shared" si="21"/>
        <v>לרכוש</v>
      </c>
      <c r="N455" s="28"/>
      <c r="O455" s="28">
        <v>1000</v>
      </c>
      <c r="P455" s="27"/>
      <c r="Q455" s="27"/>
    </row>
    <row r="456" spans="1:17" s="32" customFormat="1" ht="14.25" customHeight="1">
      <c r="A456" s="33" t="s">
        <v>17</v>
      </c>
      <c r="B456" s="27" t="s">
        <v>167</v>
      </c>
      <c r="C456" s="34" t="s">
        <v>921</v>
      </c>
      <c r="D456" s="27" t="s">
        <v>1017</v>
      </c>
      <c r="E456" s="33" t="s">
        <v>1069</v>
      </c>
      <c r="F456" s="28">
        <v>800</v>
      </c>
      <c r="G456" s="28">
        <v>1</v>
      </c>
      <c r="H456" s="28">
        <f t="shared" si="20"/>
        <v>800</v>
      </c>
      <c r="I456" s="69"/>
      <c r="J456" s="28">
        <v>1</v>
      </c>
      <c r="K456" s="28">
        <v>1</v>
      </c>
      <c r="L456" s="28">
        <v>0.5</v>
      </c>
      <c r="M456" s="28" t="str">
        <f t="shared" si="21"/>
        <v>לרכוש</v>
      </c>
      <c r="N456" s="28"/>
      <c r="O456" s="28">
        <v>1000</v>
      </c>
      <c r="P456" s="27"/>
      <c r="Q456" s="27"/>
    </row>
    <row r="457" spans="1:17" s="32" customFormat="1" ht="14.25" customHeight="1">
      <c r="A457" s="37" t="s">
        <v>179</v>
      </c>
      <c r="B457" s="42" t="s">
        <v>183</v>
      </c>
      <c r="C457" s="43" t="s">
        <v>180</v>
      </c>
      <c r="D457" s="28" t="s">
        <v>101</v>
      </c>
      <c r="E457" s="65" t="s">
        <v>178</v>
      </c>
      <c r="F457" s="28">
        <v>702</v>
      </c>
      <c r="G457" s="28">
        <v>1</v>
      </c>
      <c r="H457" s="28">
        <f t="shared" si="20"/>
        <v>702</v>
      </c>
      <c r="I457" s="69"/>
      <c r="J457" s="28">
        <v>1</v>
      </c>
      <c r="K457" s="28">
        <v>0</v>
      </c>
      <c r="L457" s="28">
        <v>1</v>
      </c>
      <c r="M457" s="28" t="str">
        <f t="shared" si="21"/>
        <v>לא לרכוש</v>
      </c>
      <c r="N457" s="28"/>
      <c r="O457" s="28">
        <v>1000</v>
      </c>
      <c r="P457" s="27"/>
      <c r="Q457" s="27" t="s">
        <v>185</v>
      </c>
    </row>
    <row r="458" spans="1:17" s="32" customFormat="1" ht="14.25" customHeight="1">
      <c r="A458" s="37" t="s">
        <v>179</v>
      </c>
      <c r="B458" s="42" t="s">
        <v>183</v>
      </c>
      <c r="C458" s="43" t="s">
        <v>181</v>
      </c>
      <c r="D458" s="28" t="s">
        <v>101</v>
      </c>
      <c r="E458" s="65" t="s">
        <v>178</v>
      </c>
      <c r="F458" s="28">
        <v>702</v>
      </c>
      <c r="G458" s="28">
        <v>1</v>
      </c>
      <c r="H458" s="28">
        <f t="shared" si="20"/>
        <v>702</v>
      </c>
      <c r="I458" s="69"/>
      <c r="J458" s="28">
        <v>1</v>
      </c>
      <c r="K458" s="28">
        <v>0</v>
      </c>
      <c r="L458" s="28">
        <v>1</v>
      </c>
      <c r="M458" s="28" t="str">
        <f t="shared" si="21"/>
        <v>לא לרכוש</v>
      </c>
      <c r="N458" s="28"/>
      <c r="O458" s="28">
        <v>1000</v>
      </c>
      <c r="P458" s="27"/>
      <c r="Q458" s="27" t="s">
        <v>185</v>
      </c>
    </row>
    <row r="459" spans="1:17" s="32" customFormat="1" ht="14.25" customHeight="1">
      <c r="A459" s="45" t="s">
        <v>18</v>
      </c>
      <c r="B459" s="37" t="s">
        <v>116</v>
      </c>
      <c r="C459" s="38" t="s">
        <v>187</v>
      </c>
      <c r="D459" s="28" t="s">
        <v>188</v>
      </c>
      <c r="E459" s="42" t="s">
        <v>189</v>
      </c>
      <c r="F459" s="28">
        <v>680</v>
      </c>
      <c r="G459" s="28">
        <v>1</v>
      </c>
      <c r="H459" s="28">
        <f t="shared" si="20"/>
        <v>680</v>
      </c>
      <c r="I459" s="71"/>
      <c r="J459" s="28">
        <v>1</v>
      </c>
      <c r="K459" s="28">
        <v>0</v>
      </c>
      <c r="L459" s="28">
        <v>1</v>
      </c>
      <c r="M459" s="28" t="str">
        <f t="shared" si="21"/>
        <v>לא לרכוש</v>
      </c>
      <c r="N459" s="28"/>
      <c r="O459" s="28">
        <v>1000</v>
      </c>
      <c r="P459" s="27"/>
      <c r="Q459" s="27"/>
    </row>
    <row r="460" spans="1:17" s="32" customFormat="1" ht="14.25" customHeight="1">
      <c r="A460" s="37" t="s">
        <v>14</v>
      </c>
      <c r="B460" s="30" t="s">
        <v>23</v>
      </c>
      <c r="C460" s="38" t="s">
        <v>28</v>
      </c>
      <c r="D460" s="28" t="s">
        <v>52</v>
      </c>
      <c r="E460" s="37" t="s">
        <v>64</v>
      </c>
      <c r="F460" s="28">
        <v>600</v>
      </c>
      <c r="G460" s="28">
        <v>1</v>
      </c>
      <c r="H460" s="28">
        <f t="shared" si="20"/>
        <v>600</v>
      </c>
      <c r="I460" s="69"/>
      <c r="J460" s="28">
        <v>1</v>
      </c>
      <c r="K460" s="46">
        <v>1</v>
      </c>
      <c r="L460" s="28">
        <v>1.5</v>
      </c>
      <c r="M460" s="28" t="str">
        <f t="shared" si="21"/>
        <v>לרכוש</v>
      </c>
      <c r="N460" s="28"/>
      <c r="O460" s="28">
        <v>1000</v>
      </c>
      <c r="P460" s="27"/>
      <c r="Q460" s="27"/>
    </row>
    <row r="461" spans="1:17" s="32" customFormat="1" ht="14.25" customHeight="1">
      <c r="A461" s="37" t="s">
        <v>186</v>
      </c>
      <c r="B461" s="30" t="s">
        <v>23</v>
      </c>
      <c r="C461" s="54" t="s">
        <v>36</v>
      </c>
      <c r="D461" s="28" t="s">
        <v>52</v>
      </c>
      <c r="E461" s="37" t="s">
        <v>69</v>
      </c>
      <c r="F461" s="28">
        <v>600</v>
      </c>
      <c r="G461" s="28">
        <v>1</v>
      </c>
      <c r="H461" s="28">
        <f t="shared" si="20"/>
        <v>600</v>
      </c>
      <c r="I461" s="69"/>
      <c r="J461" s="28">
        <v>1</v>
      </c>
      <c r="K461" s="28">
        <v>1</v>
      </c>
      <c r="L461" s="28">
        <v>1.5</v>
      </c>
      <c r="M461" s="28" t="str">
        <f t="shared" si="21"/>
        <v>לרכוש</v>
      </c>
      <c r="N461" s="28"/>
      <c r="O461" s="28">
        <v>1000</v>
      </c>
      <c r="P461" s="27"/>
      <c r="Q461" s="27"/>
    </row>
    <row r="462" spans="1:17" s="32" customFormat="1" ht="14.25" customHeight="1">
      <c r="A462" s="33" t="s">
        <v>17</v>
      </c>
      <c r="B462" s="27" t="s">
        <v>438</v>
      </c>
      <c r="C462" s="34" t="s">
        <v>780</v>
      </c>
      <c r="D462" s="27" t="s">
        <v>589</v>
      </c>
      <c r="E462" s="33" t="s">
        <v>1000</v>
      </c>
      <c r="F462" s="28">
        <v>600</v>
      </c>
      <c r="G462" s="28">
        <v>1</v>
      </c>
      <c r="H462" s="28">
        <f t="shared" si="20"/>
        <v>600</v>
      </c>
      <c r="I462" s="69"/>
      <c r="J462" s="28">
        <v>1</v>
      </c>
      <c r="K462" s="28">
        <v>1</v>
      </c>
      <c r="L462" s="28">
        <v>1</v>
      </c>
      <c r="M462" s="28" t="str">
        <f t="shared" si="21"/>
        <v>לרכוש</v>
      </c>
      <c r="N462" s="28"/>
      <c r="O462" s="28">
        <v>1000</v>
      </c>
      <c r="P462" s="27"/>
      <c r="Q462" s="27"/>
    </row>
    <row r="463" spans="1:17" s="32" customFormat="1" ht="14.25" customHeight="1">
      <c r="A463" s="37" t="s">
        <v>20</v>
      </c>
      <c r="B463" s="37" t="s">
        <v>116</v>
      </c>
      <c r="C463" s="38" t="s">
        <v>141</v>
      </c>
      <c r="D463" s="28" t="s">
        <v>130</v>
      </c>
      <c r="E463" s="37" t="s">
        <v>137</v>
      </c>
      <c r="F463" s="28">
        <v>500</v>
      </c>
      <c r="G463" s="28">
        <v>1</v>
      </c>
      <c r="H463" s="28">
        <f t="shared" si="20"/>
        <v>500</v>
      </c>
      <c r="I463" s="69"/>
      <c r="J463" s="28">
        <v>1</v>
      </c>
      <c r="K463" s="28">
        <v>0</v>
      </c>
      <c r="L463" s="28">
        <v>0.5</v>
      </c>
      <c r="M463" s="28" t="str">
        <f t="shared" si="21"/>
        <v>לא לרכוש</v>
      </c>
      <c r="N463" s="28"/>
      <c r="O463" s="28">
        <v>1000</v>
      </c>
      <c r="P463" s="27"/>
      <c r="Q463" s="27"/>
    </row>
    <row r="464" spans="1:17" s="32" customFormat="1" ht="14.25" customHeight="1">
      <c r="A464" s="37" t="s">
        <v>20</v>
      </c>
      <c r="B464" s="37" t="s">
        <v>116</v>
      </c>
      <c r="C464" s="53" t="s">
        <v>125</v>
      </c>
      <c r="D464" s="28" t="s">
        <v>130</v>
      </c>
      <c r="E464" s="37" t="s">
        <v>137</v>
      </c>
      <c r="F464" s="28">
        <v>500</v>
      </c>
      <c r="G464" s="28">
        <v>1</v>
      </c>
      <c r="H464" s="28">
        <f t="shared" si="20"/>
        <v>500</v>
      </c>
      <c r="I464" s="69"/>
      <c r="J464" s="28">
        <v>1</v>
      </c>
      <c r="K464" s="46">
        <v>1</v>
      </c>
      <c r="L464" s="28">
        <v>0.5</v>
      </c>
      <c r="M464" s="28" t="str">
        <f t="shared" si="21"/>
        <v>לרכוש</v>
      </c>
      <c r="N464" s="28"/>
      <c r="O464" s="28">
        <v>1000</v>
      </c>
      <c r="P464" s="27"/>
      <c r="Q464" s="27"/>
    </row>
    <row r="465" spans="1:17" s="32" customFormat="1" ht="14.25" customHeight="1">
      <c r="A465" s="33" t="s">
        <v>17</v>
      </c>
      <c r="B465" s="40" t="s">
        <v>219</v>
      </c>
      <c r="C465" s="34" t="s">
        <v>217</v>
      </c>
      <c r="D465" s="27" t="s">
        <v>222</v>
      </c>
      <c r="E465" s="33" t="s">
        <v>225</v>
      </c>
      <c r="F465" s="28">
        <v>500</v>
      </c>
      <c r="G465" s="28">
        <v>1</v>
      </c>
      <c r="H465" s="28">
        <f t="shared" si="20"/>
        <v>500</v>
      </c>
      <c r="I465" s="69"/>
      <c r="J465" s="28">
        <v>1</v>
      </c>
      <c r="K465" s="28">
        <v>1</v>
      </c>
      <c r="L465" s="28">
        <v>0.5</v>
      </c>
      <c r="M465" s="28" t="str">
        <f t="shared" si="21"/>
        <v>לרכוש</v>
      </c>
      <c r="N465" s="28"/>
      <c r="O465" s="28">
        <v>1000</v>
      </c>
      <c r="P465" s="27"/>
      <c r="Q465" s="27"/>
    </row>
    <row r="466" spans="1:17" s="32" customFormat="1" ht="14.25" customHeight="1">
      <c r="A466" s="33" t="s">
        <v>220</v>
      </c>
      <c r="B466" s="40" t="s">
        <v>219</v>
      </c>
      <c r="C466" s="34" t="s">
        <v>218</v>
      </c>
      <c r="D466" s="27" t="s">
        <v>130</v>
      </c>
      <c r="E466" s="33" t="s">
        <v>226</v>
      </c>
      <c r="F466" s="28">
        <v>500</v>
      </c>
      <c r="G466" s="28">
        <v>1</v>
      </c>
      <c r="H466" s="28">
        <f t="shared" si="20"/>
        <v>500</v>
      </c>
      <c r="I466" s="69"/>
      <c r="J466" s="28">
        <v>1</v>
      </c>
      <c r="K466" s="28">
        <v>0</v>
      </c>
      <c r="L466" s="28">
        <v>0.5</v>
      </c>
      <c r="M466" s="28" t="str">
        <f t="shared" si="21"/>
        <v>לא לרכוש</v>
      </c>
      <c r="N466" s="28"/>
      <c r="O466" s="28">
        <v>1000</v>
      </c>
      <c r="P466" s="27"/>
      <c r="Q466" s="27"/>
    </row>
    <row r="467" spans="1:17" s="32" customFormat="1" ht="14.25" customHeight="1">
      <c r="A467" s="33" t="s">
        <v>17</v>
      </c>
      <c r="B467" s="27" t="s">
        <v>227</v>
      </c>
      <c r="C467" s="34" t="s">
        <v>229</v>
      </c>
      <c r="D467" s="27" t="s">
        <v>222</v>
      </c>
      <c r="E467" s="33" t="s">
        <v>225</v>
      </c>
      <c r="F467" s="28">
        <v>500</v>
      </c>
      <c r="G467" s="28">
        <v>1</v>
      </c>
      <c r="H467" s="28">
        <f t="shared" si="20"/>
        <v>500</v>
      </c>
      <c r="I467" s="69"/>
      <c r="J467" s="28">
        <v>1</v>
      </c>
      <c r="K467" s="28">
        <v>1</v>
      </c>
      <c r="L467" s="28">
        <v>1</v>
      </c>
      <c r="M467" s="28" t="str">
        <f t="shared" si="21"/>
        <v>לרכוש</v>
      </c>
      <c r="N467" s="28"/>
      <c r="O467" s="28">
        <v>1000</v>
      </c>
      <c r="P467" s="27"/>
      <c r="Q467" s="27"/>
    </row>
    <row r="468" spans="1:17" s="32" customFormat="1" ht="14.25" customHeight="1">
      <c r="A468" s="33" t="s">
        <v>220</v>
      </c>
      <c r="B468" s="27" t="s">
        <v>227</v>
      </c>
      <c r="C468" s="34" t="s">
        <v>230</v>
      </c>
      <c r="D468" s="27" t="s">
        <v>130</v>
      </c>
      <c r="E468" s="33" t="s">
        <v>232</v>
      </c>
      <c r="F468" s="28">
        <v>500</v>
      </c>
      <c r="G468" s="28">
        <v>1</v>
      </c>
      <c r="H468" s="28">
        <f t="shared" si="20"/>
        <v>500</v>
      </c>
      <c r="I468" s="69"/>
      <c r="J468" s="28">
        <v>1</v>
      </c>
      <c r="K468" s="28">
        <v>1</v>
      </c>
      <c r="L468" s="28">
        <v>1</v>
      </c>
      <c r="M468" s="28" t="str">
        <f t="shared" si="21"/>
        <v>לרכוש</v>
      </c>
      <c r="N468" s="28"/>
      <c r="O468" s="28">
        <v>1000</v>
      </c>
      <c r="P468" s="27"/>
      <c r="Q468" s="27"/>
    </row>
    <row r="469" spans="1:17" s="32" customFormat="1" ht="14.25" customHeight="1">
      <c r="A469" s="33" t="s">
        <v>17</v>
      </c>
      <c r="B469" s="27" t="s">
        <v>233</v>
      </c>
      <c r="C469" s="34" t="s">
        <v>235</v>
      </c>
      <c r="D469" s="27" t="s">
        <v>222</v>
      </c>
      <c r="E469" s="33" t="s">
        <v>225</v>
      </c>
      <c r="F469" s="28">
        <v>500</v>
      </c>
      <c r="G469" s="28">
        <v>1</v>
      </c>
      <c r="H469" s="28">
        <f t="shared" si="20"/>
        <v>500</v>
      </c>
      <c r="I469" s="69"/>
      <c r="J469" s="28">
        <v>1</v>
      </c>
      <c r="K469" s="28">
        <v>1</v>
      </c>
      <c r="L469" s="28">
        <v>1</v>
      </c>
      <c r="M469" s="28" t="str">
        <f t="shared" si="21"/>
        <v>לרכוש</v>
      </c>
      <c r="N469" s="28"/>
      <c r="O469" s="28">
        <v>1000</v>
      </c>
      <c r="P469" s="27"/>
      <c r="Q469" s="27"/>
    </row>
    <row r="470" spans="1:17" s="32" customFormat="1" ht="14.25" customHeight="1">
      <c r="A470" s="33" t="s">
        <v>17</v>
      </c>
      <c r="B470" s="64" t="s">
        <v>238</v>
      </c>
      <c r="C470" s="34" t="s">
        <v>243</v>
      </c>
      <c r="D470" s="27" t="s">
        <v>246</v>
      </c>
      <c r="E470" s="33" t="s">
        <v>250</v>
      </c>
      <c r="F470" s="28">
        <v>500</v>
      </c>
      <c r="G470" s="28">
        <v>1</v>
      </c>
      <c r="H470" s="28">
        <f t="shared" si="20"/>
        <v>500</v>
      </c>
      <c r="I470" s="69"/>
      <c r="J470" s="28">
        <v>1</v>
      </c>
      <c r="K470" s="28">
        <v>1</v>
      </c>
      <c r="L470" s="28">
        <v>0.5</v>
      </c>
      <c r="M470" s="28" t="str">
        <f t="shared" si="21"/>
        <v>לרכוש</v>
      </c>
      <c r="N470" s="28"/>
      <c r="O470" s="28">
        <v>1000</v>
      </c>
      <c r="P470" s="27"/>
      <c r="Q470" s="27"/>
    </row>
    <row r="471" spans="1:17" ht="14.25" customHeight="1">
      <c r="A471" s="33" t="s">
        <v>17</v>
      </c>
      <c r="B471" s="27" t="s">
        <v>261</v>
      </c>
      <c r="C471" s="34" t="s">
        <v>263</v>
      </c>
      <c r="D471" s="27" t="s">
        <v>267</v>
      </c>
      <c r="E471" s="33" t="s">
        <v>138</v>
      </c>
      <c r="F471" s="28">
        <v>500</v>
      </c>
      <c r="G471" s="28">
        <v>1</v>
      </c>
      <c r="H471" s="28">
        <f t="shared" si="20"/>
        <v>500</v>
      </c>
      <c r="I471" s="69"/>
      <c r="J471" s="28">
        <v>1</v>
      </c>
      <c r="K471" s="28">
        <v>1</v>
      </c>
      <c r="L471" s="28">
        <v>0.5</v>
      </c>
      <c r="M471" s="28" t="str">
        <f t="shared" si="21"/>
        <v>לרכוש</v>
      </c>
      <c r="N471" s="28"/>
      <c r="O471" s="28">
        <v>1000</v>
      </c>
      <c r="P471" s="27"/>
      <c r="Q471" s="27"/>
    </row>
    <row r="472" spans="1:17" ht="14.25" customHeight="1">
      <c r="A472" s="33" t="s">
        <v>17</v>
      </c>
      <c r="B472" s="27" t="s">
        <v>261</v>
      </c>
      <c r="C472" s="34" t="s">
        <v>266</v>
      </c>
      <c r="D472" s="27" t="s">
        <v>267</v>
      </c>
      <c r="E472" s="33" t="s">
        <v>138</v>
      </c>
      <c r="F472" s="28">
        <v>500</v>
      </c>
      <c r="G472" s="28">
        <v>1</v>
      </c>
      <c r="H472" s="28">
        <f t="shared" si="20"/>
        <v>500</v>
      </c>
      <c r="I472" s="69"/>
      <c r="J472" s="28">
        <v>1</v>
      </c>
      <c r="K472" s="28">
        <v>1</v>
      </c>
      <c r="L472" s="28">
        <v>0.5</v>
      </c>
      <c r="M472" s="28" t="str">
        <f t="shared" si="21"/>
        <v>לרכוש</v>
      </c>
      <c r="N472" s="28"/>
      <c r="O472" s="28">
        <v>1000</v>
      </c>
      <c r="P472" s="27"/>
      <c r="Q472" s="27"/>
    </row>
    <row r="473" spans="1:17" s="32" customFormat="1" ht="14.25" customHeight="1">
      <c r="A473" s="33" t="s">
        <v>17</v>
      </c>
      <c r="B473" s="27" t="s">
        <v>275</v>
      </c>
      <c r="C473" s="34" t="s">
        <v>293</v>
      </c>
      <c r="D473" s="27" t="s">
        <v>302</v>
      </c>
      <c r="E473" s="33" t="s">
        <v>308</v>
      </c>
      <c r="F473" s="28">
        <v>500</v>
      </c>
      <c r="G473" s="28">
        <v>1</v>
      </c>
      <c r="H473" s="28">
        <f t="shared" si="20"/>
        <v>500</v>
      </c>
      <c r="I473" s="69"/>
      <c r="J473" s="28">
        <v>1</v>
      </c>
      <c r="K473" s="28">
        <v>1</v>
      </c>
      <c r="L473" s="28">
        <v>0.5</v>
      </c>
      <c r="M473" s="28" t="str">
        <f t="shared" si="21"/>
        <v>לרכוש</v>
      </c>
      <c r="N473" s="28"/>
      <c r="O473" s="28">
        <v>1000</v>
      </c>
      <c r="P473" s="27"/>
      <c r="Q473" s="27"/>
    </row>
    <row r="474" spans="1:17" ht="14.25" customHeight="1">
      <c r="A474" s="33" t="s">
        <v>17</v>
      </c>
      <c r="B474" s="27" t="s">
        <v>275</v>
      </c>
      <c r="C474" s="34" t="s">
        <v>294</v>
      </c>
      <c r="D474" s="27" t="s">
        <v>302</v>
      </c>
      <c r="E474" s="33" t="s">
        <v>308</v>
      </c>
      <c r="F474" s="28">
        <v>500</v>
      </c>
      <c r="G474" s="28">
        <v>1</v>
      </c>
      <c r="H474" s="28">
        <f t="shared" si="20"/>
        <v>500</v>
      </c>
      <c r="I474" s="69"/>
      <c r="J474" s="28">
        <v>1</v>
      </c>
      <c r="K474" s="28">
        <v>1</v>
      </c>
      <c r="L474" s="28">
        <v>0.5</v>
      </c>
      <c r="M474" s="28" t="str">
        <f t="shared" si="21"/>
        <v>לרכוש</v>
      </c>
      <c r="N474" s="28"/>
      <c r="O474" s="28">
        <v>1000</v>
      </c>
      <c r="P474" s="27"/>
      <c r="Q474" s="27"/>
    </row>
    <row r="475" spans="1:17" ht="14.25" customHeight="1">
      <c r="A475" s="33" t="s">
        <v>17</v>
      </c>
      <c r="B475" s="27" t="s">
        <v>312</v>
      </c>
      <c r="C475" s="34" t="s">
        <v>322</v>
      </c>
      <c r="D475" s="27" t="s">
        <v>302</v>
      </c>
      <c r="E475" s="33" t="s">
        <v>328</v>
      </c>
      <c r="F475" s="28">
        <v>500</v>
      </c>
      <c r="G475" s="28">
        <v>1</v>
      </c>
      <c r="H475" s="28">
        <f t="shared" si="20"/>
        <v>500</v>
      </c>
      <c r="I475" s="69"/>
      <c r="J475" s="28">
        <v>1</v>
      </c>
      <c r="K475" s="28">
        <v>1</v>
      </c>
      <c r="L475" s="28">
        <v>0.5</v>
      </c>
      <c r="M475" s="28" t="str">
        <f t="shared" si="21"/>
        <v>לרכוש</v>
      </c>
      <c r="N475" s="28"/>
      <c r="O475" s="28">
        <v>1000</v>
      </c>
      <c r="P475" s="27"/>
      <c r="Q475" s="27"/>
    </row>
    <row r="476" spans="1:17" s="32" customFormat="1" ht="14.25" customHeight="1">
      <c r="A476" s="33" t="s">
        <v>17</v>
      </c>
      <c r="B476" s="27" t="s">
        <v>312</v>
      </c>
      <c r="C476" s="34" t="s">
        <v>323</v>
      </c>
      <c r="D476" s="27" t="s">
        <v>302</v>
      </c>
      <c r="E476" s="33" t="s">
        <v>329</v>
      </c>
      <c r="F476" s="28">
        <v>500</v>
      </c>
      <c r="G476" s="28">
        <v>1</v>
      </c>
      <c r="H476" s="28">
        <f t="shared" ref="H476:H539" si="22">G476*F476</f>
        <v>500</v>
      </c>
      <c r="I476" s="69"/>
      <c r="J476" s="28">
        <v>1</v>
      </c>
      <c r="K476" s="28">
        <v>1</v>
      </c>
      <c r="L476" s="28">
        <v>0.5</v>
      </c>
      <c r="M476" s="28" t="str">
        <f t="shared" si="21"/>
        <v>לרכוש</v>
      </c>
      <c r="N476" s="28"/>
      <c r="O476" s="28">
        <v>1000</v>
      </c>
      <c r="P476" s="27"/>
      <c r="Q476" s="27"/>
    </row>
    <row r="477" spans="1:17" s="32" customFormat="1" ht="14.25" customHeight="1">
      <c r="A477" s="33" t="s">
        <v>273</v>
      </c>
      <c r="B477" s="27" t="s">
        <v>312</v>
      </c>
      <c r="C477" s="34" t="s">
        <v>324</v>
      </c>
      <c r="D477" s="27" t="s">
        <v>304</v>
      </c>
      <c r="E477" s="33" t="s">
        <v>309</v>
      </c>
      <c r="F477" s="28">
        <v>500</v>
      </c>
      <c r="G477" s="28">
        <v>1</v>
      </c>
      <c r="H477" s="28">
        <f t="shared" si="22"/>
        <v>500</v>
      </c>
      <c r="I477" s="69" t="s">
        <v>82</v>
      </c>
      <c r="J477" s="28">
        <v>1</v>
      </c>
      <c r="K477" s="28">
        <v>1</v>
      </c>
      <c r="L477" s="28">
        <v>0.5</v>
      </c>
      <c r="M477" s="28" t="str">
        <f t="shared" si="21"/>
        <v>לא לרכוש</v>
      </c>
      <c r="N477" s="28"/>
      <c r="O477" s="28">
        <v>1000</v>
      </c>
      <c r="P477" s="27"/>
      <c r="Q477" s="27"/>
    </row>
    <row r="478" spans="1:17" ht="14.25" customHeight="1">
      <c r="A478" s="33" t="s">
        <v>14</v>
      </c>
      <c r="B478" s="27" t="s">
        <v>344</v>
      </c>
      <c r="C478" s="34" t="s">
        <v>352</v>
      </c>
      <c r="D478" s="27" t="s">
        <v>104</v>
      </c>
      <c r="E478" s="33" t="s">
        <v>110</v>
      </c>
      <c r="F478" s="28">
        <v>500</v>
      </c>
      <c r="G478" s="28">
        <v>1</v>
      </c>
      <c r="H478" s="28">
        <f t="shared" si="22"/>
        <v>500</v>
      </c>
      <c r="I478" s="69" t="s">
        <v>82</v>
      </c>
      <c r="J478" s="28">
        <v>1</v>
      </c>
      <c r="K478" s="28">
        <v>1</v>
      </c>
      <c r="L478" s="28">
        <v>0.5</v>
      </c>
      <c r="M478" s="28" t="str">
        <f t="shared" si="21"/>
        <v>לא לרכוש</v>
      </c>
      <c r="N478" s="28"/>
      <c r="O478" s="28">
        <v>1000</v>
      </c>
      <c r="P478" s="27"/>
      <c r="Q478" s="27"/>
    </row>
    <row r="479" spans="1:17" ht="14.25" customHeight="1">
      <c r="A479" s="33" t="s">
        <v>506</v>
      </c>
      <c r="B479" s="27" t="s">
        <v>428</v>
      </c>
      <c r="C479" s="34" t="s">
        <v>502</v>
      </c>
      <c r="D479" s="27" t="s">
        <v>496</v>
      </c>
      <c r="E479" s="33" t="s">
        <v>480</v>
      </c>
      <c r="F479" s="28">
        <v>500</v>
      </c>
      <c r="G479" s="28">
        <v>1</v>
      </c>
      <c r="H479" s="28">
        <f t="shared" si="22"/>
        <v>500</v>
      </c>
      <c r="I479" s="69"/>
      <c r="J479" s="28">
        <v>1</v>
      </c>
      <c r="K479" s="28">
        <v>1</v>
      </c>
      <c r="L479" s="28">
        <v>1</v>
      </c>
      <c r="M479" s="28" t="str">
        <f t="shared" si="21"/>
        <v>לרכוש</v>
      </c>
      <c r="N479" s="28"/>
      <c r="O479" s="28">
        <v>1000</v>
      </c>
      <c r="P479" s="27"/>
      <c r="Q479" s="27"/>
    </row>
    <row r="480" spans="1:17" ht="14.25" customHeight="1">
      <c r="A480" s="33" t="s">
        <v>14</v>
      </c>
      <c r="B480" s="27" t="s">
        <v>428</v>
      </c>
      <c r="C480" s="34" t="s">
        <v>503</v>
      </c>
      <c r="D480" s="27" t="s">
        <v>505</v>
      </c>
      <c r="E480" s="33" t="s">
        <v>505</v>
      </c>
      <c r="F480" s="28">
        <v>500</v>
      </c>
      <c r="G480" s="28">
        <v>1</v>
      </c>
      <c r="H480" s="28">
        <f t="shared" si="22"/>
        <v>500</v>
      </c>
      <c r="I480" s="69"/>
      <c r="J480" s="28">
        <v>1</v>
      </c>
      <c r="K480" s="28">
        <v>1</v>
      </c>
      <c r="L480" s="28">
        <v>1</v>
      </c>
      <c r="M480" s="28" t="str">
        <f t="shared" si="21"/>
        <v>לרכוש</v>
      </c>
      <c r="N480" s="28"/>
      <c r="O480" s="28">
        <v>1000</v>
      </c>
      <c r="P480" s="27"/>
      <c r="Q480" s="27"/>
    </row>
    <row r="481" spans="1:17" s="32" customFormat="1" ht="14.25" customHeight="1">
      <c r="A481" s="33" t="s">
        <v>467</v>
      </c>
      <c r="B481" s="27" t="s">
        <v>429</v>
      </c>
      <c r="C481" s="34" t="s">
        <v>527</v>
      </c>
      <c r="D481" s="27" t="s">
        <v>470</v>
      </c>
      <c r="E481" s="33" t="s">
        <v>472</v>
      </c>
      <c r="F481" s="28">
        <v>500</v>
      </c>
      <c r="G481" s="28">
        <v>1</v>
      </c>
      <c r="H481" s="28">
        <f t="shared" si="22"/>
        <v>500</v>
      </c>
      <c r="I481" s="69" t="s">
        <v>82</v>
      </c>
      <c r="J481" s="28">
        <v>1</v>
      </c>
      <c r="K481" s="28">
        <v>1</v>
      </c>
      <c r="L481" s="28">
        <v>0.3</v>
      </c>
      <c r="M481" s="28" t="str">
        <f t="shared" si="21"/>
        <v>לא לרכוש</v>
      </c>
      <c r="N481" s="28"/>
      <c r="O481" s="28">
        <v>1000</v>
      </c>
      <c r="P481" s="27"/>
      <c r="Q481" s="27"/>
    </row>
    <row r="482" spans="1:17" ht="14.25" customHeight="1">
      <c r="A482" s="33" t="s">
        <v>20</v>
      </c>
      <c r="B482" s="27" t="s">
        <v>431</v>
      </c>
      <c r="C482" s="34" t="s">
        <v>546</v>
      </c>
      <c r="D482" s="27" t="s">
        <v>302</v>
      </c>
      <c r="E482" s="33" t="s">
        <v>473</v>
      </c>
      <c r="F482" s="28">
        <v>500</v>
      </c>
      <c r="G482" s="28">
        <v>1</v>
      </c>
      <c r="H482" s="28">
        <f t="shared" si="22"/>
        <v>500</v>
      </c>
      <c r="I482" s="69"/>
      <c r="J482" s="28">
        <v>1</v>
      </c>
      <c r="K482" s="28">
        <v>1</v>
      </c>
      <c r="L482" s="28">
        <v>0.5</v>
      </c>
      <c r="M482" s="28" t="str">
        <f t="shared" ref="M482:M545" si="23">IF(AND(K482*L482*30*O482&gt;H482/J482,I482=""),"לרכוש","לא לרכוש")</f>
        <v>לרכוש</v>
      </c>
      <c r="N482" s="28"/>
      <c r="O482" s="28">
        <v>1000</v>
      </c>
      <c r="P482" s="27"/>
      <c r="Q482" s="27"/>
    </row>
    <row r="483" spans="1:17" ht="14.25" customHeight="1">
      <c r="A483" s="15" t="s">
        <v>1068</v>
      </c>
      <c r="B483" s="14" t="s">
        <v>439</v>
      </c>
      <c r="C483" s="13" t="s">
        <v>785</v>
      </c>
      <c r="D483" s="14" t="s">
        <v>300</v>
      </c>
      <c r="E483" s="15" t="s">
        <v>1004</v>
      </c>
      <c r="F483" s="16">
        <v>500</v>
      </c>
      <c r="G483" s="28">
        <v>1</v>
      </c>
      <c r="H483" s="16">
        <f t="shared" si="22"/>
        <v>500</v>
      </c>
      <c r="I483" s="72"/>
      <c r="J483" s="16">
        <v>1</v>
      </c>
      <c r="K483" s="16"/>
      <c r="L483" s="16">
        <v>1</v>
      </c>
      <c r="M483" s="16" t="str">
        <f t="shared" si="23"/>
        <v>לא לרכוש</v>
      </c>
      <c r="N483" s="16"/>
      <c r="O483" s="28">
        <v>1000</v>
      </c>
      <c r="P483" s="17"/>
      <c r="Q483" s="14"/>
    </row>
    <row r="484" spans="1:17" ht="14.25" customHeight="1">
      <c r="A484" s="33" t="s">
        <v>1068</v>
      </c>
      <c r="B484" s="27" t="s">
        <v>439</v>
      </c>
      <c r="C484" s="34" t="s">
        <v>786</v>
      </c>
      <c r="D484" s="27" t="s">
        <v>300</v>
      </c>
      <c r="E484" s="33" t="s">
        <v>1004</v>
      </c>
      <c r="F484" s="28">
        <v>500</v>
      </c>
      <c r="G484" s="28">
        <v>1</v>
      </c>
      <c r="H484" s="28">
        <f t="shared" si="22"/>
        <v>500</v>
      </c>
      <c r="I484" s="69"/>
      <c r="J484" s="28">
        <v>1</v>
      </c>
      <c r="K484" s="28">
        <v>0</v>
      </c>
      <c r="L484" s="28">
        <v>1</v>
      </c>
      <c r="M484" s="28" t="str">
        <f t="shared" si="23"/>
        <v>לא לרכוש</v>
      </c>
      <c r="N484" s="28"/>
      <c r="O484" s="28">
        <v>1000</v>
      </c>
      <c r="P484" s="27"/>
      <c r="Q484" s="27"/>
    </row>
    <row r="485" spans="1:17" ht="14.25" customHeight="1">
      <c r="A485" s="15" t="s">
        <v>17</v>
      </c>
      <c r="B485" s="14" t="s">
        <v>439</v>
      </c>
      <c r="C485" s="13" t="s">
        <v>787</v>
      </c>
      <c r="D485" s="14" t="s">
        <v>302</v>
      </c>
      <c r="E485" s="15" t="s">
        <v>1005</v>
      </c>
      <c r="F485" s="16">
        <v>500</v>
      </c>
      <c r="G485" s="28">
        <v>1</v>
      </c>
      <c r="H485" s="16">
        <f t="shared" si="22"/>
        <v>500</v>
      </c>
      <c r="I485" s="72"/>
      <c r="J485" s="16">
        <v>1</v>
      </c>
      <c r="K485" s="16"/>
      <c r="L485" s="16">
        <v>1</v>
      </c>
      <c r="M485" s="16" t="str">
        <f t="shared" si="23"/>
        <v>לא לרכוש</v>
      </c>
      <c r="N485" s="16"/>
      <c r="O485" s="28">
        <v>1000</v>
      </c>
      <c r="P485" s="17"/>
      <c r="Q485" s="14"/>
    </row>
    <row r="486" spans="1:17" ht="14.25" customHeight="1">
      <c r="A486" s="15" t="s">
        <v>17</v>
      </c>
      <c r="B486" s="14" t="s">
        <v>439</v>
      </c>
      <c r="C486" s="13" t="s">
        <v>788</v>
      </c>
      <c r="D486" s="14" t="s">
        <v>302</v>
      </c>
      <c r="E486" s="15" t="s">
        <v>1005</v>
      </c>
      <c r="F486" s="16">
        <v>500</v>
      </c>
      <c r="G486" s="28">
        <v>1</v>
      </c>
      <c r="H486" s="16">
        <f t="shared" si="22"/>
        <v>500</v>
      </c>
      <c r="I486" s="72"/>
      <c r="J486" s="16">
        <v>1</v>
      </c>
      <c r="K486" s="16"/>
      <c r="L486" s="16">
        <v>1</v>
      </c>
      <c r="M486" s="16" t="str">
        <f t="shared" si="23"/>
        <v>לא לרכוש</v>
      </c>
      <c r="N486" s="16"/>
      <c r="O486" s="28">
        <v>1000</v>
      </c>
      <c r="P486" s="17"/>
      <c r="Q486" s="14"/>
    </row>
    <row r="487" spans="1:17" ht="14.25" customHeight="1">
      <c r="A487" s="15" t="s">
        <v>17</v>
      </c>
      <c r="B487" s="14" t="s">
        <v>439</v>
      </c>
      <c r="C487" s="13" t="s">
        <v>789</v>
      </c>
      <c r="D487" s="14" t="s">
        <v>302</v>
      </c>
      <c r="E487" s="15" t="s">
        <v>1005</v>
      </c>
      <c r="F487" s="16">
        <v>500</v>
      </c>
      <c r="G487" s="28">
        <v>1</v>
      </c>
      <c r="H487" s="16">
        <f t="shared" si="22"/>
        <v>500</v>
      </c>
      <c r="I487" s="72"/>
      <c r="J487" s="16">
        <v>1</v>
      </c>
      <c r="K487" s="16"/>
      <c r="L487" s="16">
        <v>1</v>
      </c>
      <c r="M487" s="16" t="str">
        <f t="shared" si="23"/>
        <v>לא לרכוש</v>
      </c>
      <c r="N487" s="16"/>
      <c r="O487" s="28">
        <v>1000</v>
      </c>
      <c r="P487" s="17"/>
      <c r="Q487" s="14"/>
    </row>
    <row r="488" spans="1:17" ht="14.25" customHeight="1">
      <c r="A488" s="15" t="s">
        <v>17</v>
      </c>
      <c r="B488" s="14" t="s">
        <v>439</v>
      </c>
      <c r="C488" s="13" t="s">
        <v>790</v>
      </c>
      <c r="D488" s="14" t="s">
        <v>302</v>
      </c>
      <c r="E488" s="15" t="s">
        <v>1005</v>
      </c>
      <c r="F488" s="16">
        <v>500</v>
      </c>
      <c r="G488" s="28">
        <v>1</v>
      </c>
      <c r="H488" s="16">
        <f t="shared" si="22"/>
        <v>500</v>
      </c>
      <c r="I488" s="72"/>
      <c r="J488" s="16">
        <v>1</v>
      </c>
      <c r="K488" s="16"/>
      <c r="L488" s="16">
        <v>1</v>
      </c>
      <c r="M488" s="16" t="str">
        <f t="shared" si="23"/>
        <v>לא לרכוש</v>
      </c>
      <c r="N488" s="16"/>
      <c r="O488" s="28">
        <v>1000</v>
      </c>
      <c r="P488" s="17"/>
      <c r="Q488" s="14"/>
    </row>
    <row r="489" spans="1:17" ht="14.25" customHeight="1">
      <c r="A489" s="15" t="s">
        <v>17</v>
      </c>
      <c r="B489" s="14" t="s">
        <v>439</v>
      </c>
      <c r="C489" s="13" t="s">
        <v>791</v>
      </c>
      <c r="D489" s="14" t="s">
        <v>302</v>
      </c>
      <c r="E489" s="15" t="s">
        <v>1005</v>
      </c>
      <c r="F489" s="16">
        <v>500</v>
      </c>
      <c r="G489" s="28">
        <v>1</v>
      </c>
      <c r="H489" s="16">
        <f t="shared" si="22"/>
        <v>500</v>
      </c>
      <c r="I489" s="72"/>
      <c r="J489" s="16">
        <v>1</v>
      </c>
      <c r="K489" s="16"/>
      <c r="L489" s="16">
        <v>1</v>
      </c>
      <c r="M489" s="16" t="str">
        <f t="shared" si="23"/>
        <v>לא לרכוש</v>
      </c>
      <c r="N489" s="16"/>
      <c r="O489" s="28">
        <v>1000</v>
      </c>
      <c r="P489" s="17"/>
      <c r="Q489" s="14"/>
    </row>
    <row r="490" spans="1:17" ht="14.25" customHeight="1">
      <c r="A490" s="15" t="s">
        <v>17</v>
      </c>
      <c r="B490" s="14" t="s">
        <v>439</v>
      </c>
      <c r="C490" s="13" t="s">
        <v>792</v>
      </c>
      <c r="D490" s="14" t="s">
        <v>302</v>
      </c>
      <c r="E490" s="15" t="s">
        <v>1005</v>
      </c>
      <c r="F490" s="16">
        <v>500</v>
      </c>
      <c r="G490" s="28">
        <v>1</v>
      </c>
      <c r="H490" s="16">
        <f t="shared" si="22"/>
        <v>500</v>
      </c>
      <c r="I490" s="72"/>
      <c r="J490" s="16">
        <v>1</v>
      </c>
      <c r="K490" s="16"/>
      <c r="L490" s="16">
        <v>1</v>
      </c>
      <c r="M490" s="16" t="str">
        <f t="shared" si="23"/>
        <v>לא לרכוש</v>
      </c>
      <c r="N490" s="16"/>
      <c r="O490" s="28">
        <v>1000</v>
      </c>
      <c r="P490" s="17"/>
      <c r="Q490" s="14"/>
    </row>
    <row r="491" spans="1:17" ht="14.25" customHeight="1">
      <c r="A491" s="15" t="s">
        <v>773</v>
      </c>
      <c r="B491" s="14" t="s">
        <v>439</v>
      </c>
      <c r="C491" s="13" t="s">
        <v>795</v>
      </c>
      <c r="D491" s="14" t="s">
        <v>129</v>
      </c>
      <c r="E491" s="15" t="s">
        <v>250</v>
      </c>
      <c r="F491" s="16">
        <v>500</v>
      </c>
      <c r="G491" s="28">
        <v>1</v>
      </c>
      <c r="H491" s="16">
        <f t="shared" si="22"/>
        <v>500</v>
      </c>
      <c r="I491" s="72"/>
      <c r="J491" s="16">
        <v>1</v>
      </c>
      <c r="K491" s="16"/>
      <c r="L491" s="16">
        <v>0.5</v>
      </c>
      <c r="M491" s="16" t="str">
        <f t="shared" si="23"/>
        <v>לא לרכוש</v>
      </c>
      <c r="N491" s="16"/>
      <c r="O491" s="28">
        <v>1000</v>
      </c>
      <c r="P491" s="17"/>
      <c r="Q491" s="14"/>
    </row>
    <row r="492" spans="1:17" ht="14.25" customHeight="1">
      <c r="A492" s="15" t="s">
        <v>773</v>
      </c>
      <c r="B492" s="14" t="s">
        <v>439</v>
      </c>
      <c r="C492" s="13" t="s">
        <v>796</v>
      </c>
      <c r="D492" s="14" t="s">
        <v>129</v>
      </c>
      <c r="E492" s="15" t="s">
        <v>250</v>
      </c>
      <c r="F492" s="16">
        <v>500</v>
      </c>
      <c r="G492" s="28">
        <v>1</v>
      </c>
      <c r="H492" s="16">
        <f t="shared" si="22"/>
        <v>500</v>
      </c>
      <c r="I492" s="72"/>
      <c r="J492" s="16">
        <v>1</v>
      </c>
      <c r="K492" s="16"/>
      <c r="L492" s="16">
        <v>0.5</v>
      </c>
      <c r="M492" s="16" t="str">
        <f t="shared" si="23"/>
        <v>לא לרכוש</v>
      </c>
      <c r="N492" s="16"/>
      <c r="O492" s="28">
        <v>1000</v>
      </c>
      <c r="P492" s="17"/>
      <c r="Q492" s="14"/>
    </row>
    <row r="493" spans="1:17" s="32" customFormat="1" ht="14.25" customHeight="1">
      <c r="A493" s="33" t="s">
        <v>17</v>
      </c>
      <c r="B493" s="27" t="s">
        <v>445</v>
      </c>
      <c r="C493" s="34" t="s">
        <v>911</v>
      </c>
      <c r="D493" s="27" t="s">
        <v>1017</v>
      </c>
      <c r="E493" s="33" t="s">
        <v>250</v>
      </c>
      <c r="F493" s="28">
        <v>500</v>
      </c>
      <c r="G493" s="28">
        <v>1</v>
      </c>
      <c r="H493" s="28">
        <f t="shared" si="22"/>
        <v>500</v>
      </c>
      <c r="I493" s="69"/>
      <c r="J493" s="28">
        <v>1</v>
      </c>
      <c r="K493" s="28">
        <v>1</v>
      </c>
      <c r="L493" s="28">
        <v>0.5</v>
      </c>
      <c r="M493" s="28" t="str">
        <f t="shared" si="23"/>
        <v>לרכוש</v>
      </c>
      <c r="N493" s="28"/>
      <c r="O493" s="28">
        <v>1000</v>
      </c>
      <c r="P493" s="27"/>
      <c r="Q493" s="27"/>
    </row>
    <row r="494" spans="1:17" s="32" customFormat="1" ht="14.25" customHeight="1">
      <c r="A494" s="37" t="s">
        <v>14</v>
      </c>
      <c r="B494" s="42" t="s">
        <v>88</v>
      </c>
      <c r="C494" s="43" t="s">
        <v>99</v>
      </c>
      <c r="D494" s="28" t="s">
        <v>104</v>
      </c>
      <c r="E494" s="37" t="s">
        <v>110</v>
      </c>
      <c r="F494" s="28">
        <v>400</v>
      </c>
      <c r="G494" s="28">
        <v>1</v>
      </c>
      <c r="H494" s="28">
        <f t="shared" si="22"/>
        <v>400</v>
      </c>
      <c r="I494" s="69" t="s">
        <v>82</v>
      </c>
      <c r="J494" s="28">
        <v>1</v>
      </c>
      <c r="K494" s="28">
        <v>1</v>
      </c>
      <c r="L494" s="28">
        <v>0.5</v>
      </c>
      <c r="M494" s="28" t="str">
        <f t="shared" si="23"/>
        <v>לא לרכוש</v>
      </c>
      <c r="N494" s="28"/>
      <c r="O494" s="28">
        <v>1000</v>
      </c>
      <c r="P494" s="27"/>
      <c r="Q494" s="27"/>
    </row>
    <row r="495" spans="1:17" s="32" customFormat="1" ht="31.65" customHeight="1">
      <c r="A495" s="37" t="s">
        <v>14</v>
      </c>
      <c r="B495" s="37" t="s">
        <v>116</v>
      </c>
      <c r="C495" s="38" t="s">
        <v>126</v>
      </c>
      <c r="D495" s="28" t="s">
        <v>104</v>
      </c>
      <c r="E495" s="37" t="s">
        <v>110</v>
      </c>
      <c r="F495" s="28">
        <v>400</v>
      </c>
      <c r="G495" s="28">
        <v>1</v>
      </c>
      <c r="H495" s="28">
        <f t="shared" si="22"/>
        <v>400</v>
      </c>
      <c r="I495" s="69" t="s">
        <v>82</v>
      </c>
      <c r="J495" s="28">
        <v>1</v>
      </c>
      <c r="K495" s="28">
        <v>1</v>
      </c>
      <c r="L495" s="28">
        <v>0.5</v>
      </c>
      <c r="M495" s="28" t="str">
        <f t="shared" si="23"/>
        <v>לא לרכוש</v>
      </c>
      <c r="N495" s="28"/>
      <c r="O495" s="28">
        <v>1000</v>
      </c>
      <c r="P495" s="27"/>
      <c r="Q495" s="27"/>
    </row>
    <row r="496" spans="1:17" s="32" customFormat="1" ht="14.25" customHeight="1">
      <c r="A496" s="15" t="s">
        <v>19</v>
      </c>
      <c r="B496" s="14" t="s">
        <v>439</v>
      </c>
      <c r="C496" s="13" t="s">
        <v>793</v>
      </c>
      <c r="D496" s="14" t="s">
        <v>1006</v>
      </c>
      <c r="E496" s="15" t="s">
        <v>1007</v>
      </c>
      <c r="F496" s="16">
        <v>400</v>
      </c>
      <c r="G496" s="28">
        <v>1</v>
      </c>
      <c r="H496" s="16">
        <f t="shared" si="22"/>
        <v>400</v>
      </c>
      <c r="I496" s="72"/>
      <c r="J496" s="16">
        <v>1</v>
      </c>
      <c r="K496" s="16"/>
      <c r="L496" s="16">
        <v>1</v>
      </c>
      <c r="M496" s="16" t="str">
        <f t="shared" si="23"/>
        <v>לא לרכוש</v>
      </c>
      <c r="N496" s="16"/>
      <c r="O496" s="28">
        <v>1000</v>
      </c>
      <c r="P496" s="17"/>
      <c r="Q496" s="14"/>
    </row>
    <row r="497" spans="1:17" s="32" customFormat="1" ht="14.25" customHeight="1">
      <c r="A497" s="15" t="s">
        <v>19</v>
      </c>
      <c r="B497" s="14" t="s">
        <v>439</v>
      </c>
      <c r="C497" s="13" t="s">
        <v>794</v>
      </c>
      <c r="D497" s="14" t="s">
        <v>1006</v>
      </c>
      <c r="E497" s="15" t="s">
        <v>1007</v>
      </c>
      <c r="F497" s="16">
        <v>400</v>
      </c>
      <c r="G497" s="28">
        <v>1</v>
      </c>
      <c r="H497" s="16">
        <f t="shared" si="22"/>
        <v>400</v>
      </c>
      <c r="I497" s="72"/>
      <c r="J497" s="16">
        <v>1</v>
      </c>
      <c r="K497" s="16"/>
      <c r="L497" s="16">
        <v>1</v>
      </c>
      <c r="M497" s="16" t="str">
        <f t="shared" si="23"/>
        <v>לא לרכוש</v>
      </c>
      <c r="N497" s="16"/>
      <c r="O497" s="28">
        <v>1000</v>
      </c>
      <c r="P497" s="17"/>
      <c r="Q497" s="14"/>
    </row>
    <row r="498" spans="1:17" s="32" customFormat="1" ht="14.25" customHeight="1">
      <c r="A498" s="15" t="s">
        <v>19</v>
      </c>
      <c r="B498" s="14" t="s">
        <v>439</v>
      </c>
      <c r="C498" s="13" t="s">
        <v>797</v>
      </c>
      <c r="D498" s="14" t="s">
        <v>1008</v>
      </c>
      <c r="E498" s="15" t="s">
        <v>1009</v>
      </c>
      <c r="F498" s="16">
        <v>400</v>
      </c>
      <c r="G498" s="28">
        <v>1</v>
      </c>
      <c r="H498" s="16">
        <f t="shared" si="22"/>
        <v>400</v>
      </c>
      <c r="I498" s="72" t="s">
        <v>82</v>
      </c>
      <c r="J498" s="16">
        <v>1</v>
      </c>
      <c r="K498" s="16"/>
      <c r="L498" s="16">
        <v>0.5</v>
      </c>
      <c r="M498" s="16" t="str">
        <f t="shared" si="23"/>
        <v>לא לרכוש</v>
      </c>
      <c r="N498" s="16"/>
      <c r="O498" s="28">
        <v>1000</v>
      </c>
      <c r="P498" s="17"/>
      <c r="Q498" s="14"/>
    </row>
    <row r="499" spans="1:17" s="32" customFormat="1" ht="14.25" customHeight="1">
      <c r="A499" s="33" t="s">
        <v>182</v>
      </c>
      <c r="B499" s="27" t="s">
        <v>165</v>
      </c>
      <c r="C499" s="54" t="s">
        <v>162</v>
      </c>
      <c r="D499" s="28" t="s">
        <v>101</v>
      </c>
      <c r="E499" s="66" t="s">
        <v>184</v>
      </c>
      <c r="F499" s="28">
        <v>371</v>
      </c>
      <c r="G499" s="28">
        <v>1</v>
      </c>
      <c r="H499" s="28">
        <f t="shared" si="22"/>
        <v>371</v>
      </c>
      <c r="I499" s="69"/>
      <c r="J499" s="28">
        <v>3</v>
      </c>
      <c r="K499" s="28">
        <v>1</v>
      </c>
      <c r="L499" s="28">
        <v>1</v>
      </c>
      <c r="M499" s="28" t="str">
        <f t="shared" si="23"/>
        <v>לרכוש</v>
      </c>
      <c r="N499" s="28"/>
      <c r="O499" s="28">
        <v>1000</v>
      </c>
      <c r="P499" s="27"/>
      <c r="Q499" s="27" t="s">
        <v>194</v>
      </c>
    </row>
    <row r="500" spans="1:17" s="32" customFormat="1" ht="14.25" customHeight="1">
      <c r="A500" s="33" t="s">
        <v>182</v>
      </c>
      <c r="B500" s="27" t="s">
        <v>166</v>
      </c>
      <c r="C500" s="34" t="s">
        <v>164</v>
      </c>
      <c r="D500" s="28" t="s">
        <v>101</v>
      </c>
      <c r="E500" s="66" t="s">
        <v>184</v>
      </c>
      <c r="F500" s="28">
        <v>371</v>
      </c>
      <c r="G500" s="28">
        <v>1</v>
      </c>
      <c r="H500" s="28">
        <f t="shared" si="22"/>
        <v>371</v>
      </c>
      <c r="I500" s="69"/>
      <c r="J500" s="28">
        <v>3</v>
      </c>
      <c r="K500" s="28">
        <v>1</v>
      </c>
      <c r="L500" s="28">
        <v>1</v>
      </c>
      <c r="M500" s="28" t="str">
        <f t="shared" si="23"/>
        <v>לרכוש</v>
      </c>
      <c r="N500" s="28"/>
      <c r="O500" s="28">
        <v>1000</v>
      </c>
      <c r="P500" s="27"/>
      <c r="Q500" s="27" t="s">
        <v>194</v>
      </c>
    </row>
    <row r="501" spans="1:17" s="32" customFormat="1" ht="14.25" customHeight="1">
      <c r="A501" s="33" t="s">
        <v>182</v>
      </c>
      <c r="B501" s="27" t="s">
        <v>167</v>
      </c>
      <c r="C501" s="34" t="s">
        <v>168</v>
      </c>
      <c r="D501" s="28" t="s">
        <v>101</v>
      </c>
      <c r="E501" s="66" t="s">
        <v>184</v>
      </c>
      <c r="F501" s="28">
        <v>371</v>
      </c>
      <c r="G501" s="28">
        <v>1</v>
      </c>
      <c r="H501" s="28">
        <f t="shared" si="22"/>
        <v>371</v>
      </c>
      <c r="I501" s="69"/>
      <c r="J501" s="28">
        <v>3</v>
      </c>
      <c r="K501" s="28">
        <v>1</v>
      </c>
      <c r="L501" s="28">
        <v>1</v>
      </c>
      <c r="M501" s="28" t="str">
        <f t="shared" si="23"/>
        <v>לרכוש</v>
      </c>
      <c r="N501" s="28"/>
      <c r="O501" s="28">
        <v>1000</v>
      </c>
      <c r="P501" s="27"/>
      <c r="Q501" s="27" t="s">
        <v>194</v>
      </c>
    </row>
    <row r="502" spans="1:17" s="32" customFormat="1" ht="14.25" customHeight="1">
      <c r="A502" s="33" t="s">
        <v>174</v>
      </c>
      <c r="B502" s="27" t="s">
        <v>167</v>
      </c>
      <c r="C502" s="34" t="s">
        <v>176</v>
      </c>
      <c r="D502" s="28" t="s">
        <v>101</v>
      </c>
      <c r="E502" s="33" t="s">
        <v>177</v>
      </c>
      <c r="F502" s="28">
        <v>360</v>
      </c>
      <c r="G502" s="28">
        <v>1</v>
      </c>
      <c r="H502" s="28">
        <f t="shared" si="22"/>
        <v>360</v>
      </c>
      <c r="I502" s="69" t="s">
        <v>82</v>
      </c>
      <c r="J502" s="28">
        <v>1</v>
      </c>
      <c r="K502" s="28">
        <v>1</v>
      </c>
      <c r="L502" s="28">
        <v>1</v>
      </c>
      <c r="M502" s="28" t="str">
        <f t="shared" si="23"/>
        <v>לא לרכוש</v>
      </c>
      <c r="N502" s="28"/>
      <c r="O502" s="28">
        <v>1000</v>
      </c>
      <c r="P502" s="27"/>
      <c r="Q502" s="27" t="s">
        <v>194</v>
      </c>
    </row>
    <row r="503" spans="1:17" s="32" customFormat="1" ht="14.25" customHeight="1">
      <c r="A503" s="33" t="s">
        <v>174</v>
      </c>
      <c r="B503" s="27" t="s">
        <v>165</v>
      </c>
      <c r="C503" s="54" t="s">
        <v>162</v>
      </c>
      <c r="D503" s="28" t="s">
        <v>101</v>
      </c>
      <c r="E503" s="33" t="s">
        <v>177</v>
      </c>
      <c r="F503" s="28">
        <v>360</v>
      </c>
      <c r="G503" s="28">
        <v>1</v>
      </c>
      <c r="H503" s="28">
        <f t="shared" si="22"/>
        <v>360</v>
      </c>
      <c r="I503" s="69" t="s">
        <v>82</v>
      </c>
      <c r="J503" s="28">
        <v>1</v>
      </c>
      <c r="K503" s="28">
        <v>1</v>
      </c>
      <c r="L503" s="28">
        <v>1</v>
      </c>
      <c r="M503" s="28" t="str">
        <f t="shared" si="23"/>
        <v>לא לרכוש</v>
      </c>
      <c r="N503" s="28"/>
      <c r="O503" s="28">
        <v>1000</v>
      </c>
      <c r="P503" s="27"/>
      <c r="Q503" s="27" t="s">
        <v>194</v>
      </c>
    </row>
    <row r="504" spans="1:17" s="32" customFormat="1" ht="14.25" customHeight="1">
      <c r="A504" s="33" t="s">
        <v>174</v>
      </c>
      <c r="B504" s="40" t="s">
        <v>219</v>
      </c>
      <c r="C504" s="34" t="s">
        <v>171</v>
      </c>
      <c r="D504" s="28" t="s">
        <v>101</v>
      </c>
      <c r="E504" s="33" t="s">
        <v>175</v>
      </c>
      <c r="F504" s="28">
        <v>360</v>
      </c>
      <c r="G504" s="28">
        <v>1</v>
      </c>
      <c r="H504" s="28">
        <f t="shared" si="22"/>
        <v>360</v>
      </c>
      <c r="I504" s="69" t="s">
        <v>82</v>
      </c>
      <c r="J504" s="28">
        <v>1</v>
      </c>
      <c r="K504" s="28">
        <v>1</v>
      </c>
      <c r="L504" s="28">
        <v>1</v>
      </c>
      <c r="M504" s="28" t="str">
        <f t="shared" si="23"/>
        <v>לא לרכוש</v>
      </c>
      <c r="N504" s="28"/>
      <c r="O504" s="28">
        <v>1000</v>
      </c>
      <c r="P504" s="27"/>
      <c r="Q504" s="27" t="s">
        <v>194</v>
      </c>
    </row>
    <row r="505" spans="1:17" s="32" customFormat="1" ht="14.25" customHeight="1">
      <c r="A505" s="33" t="s">
        <v>174</v>
      </c>
      <c r="B505" s="27" t="s">
        <v>227</v>
      </c>
      <c r="C505" s="34" t="s">
        <v>172</v>
      </c>
      <c r="D505" s="28" t="s">
        <v>101</v>
      </c>
      <c r="E505" s="33" t="s">
        <v>175</v>
      </c>
      <c r="F505" s="28">
        <v>360</v>
      </c>
      <c r="G505" s="28">
        <v>1</v>
      </c>
      <c r="H505" s="28">
        <f t="shared" si="22"/>
        <v>360</v>
      </c>
      <c r="I505" s="69" t="s">
        <v>82</v>
      </c>
      <c r="J505" s="28">
        <v>1</v>
      </c>
      <c r="K505" s="28">
        <v>1</v>
      </c>
      <c r="L505" s="28">
        <v>1</v>
      </c>
      <c r="M505" s="28" t="str">
        <f t="shared" si="23"/>
        <v>לא לרכוש</v>
      </c>
      <c r="N505" s="28"/>
      <c r="O505" s="28">
        <v>1000</v>
      </c>
      <c r="P505" s="27"/>
      <c r="Q505" s="27" t="s">
        <v>194</v>
      </c>
    </row>
    <row r="506" spans="1:17" s="32" customFormat="1" ht="14.25" customHeight="1">
      <c r="A506" s="33" t="s">
        <v>14</v>
      </c>
      <c r="B506" s="27" t="s">
        <v>346</v>
      </c>
      <c r="C506" s="34" t="s">
        <v>378</v>
      </c>
      <c r="D506" s="27" t="s">
        <v>104</v>
      </c>
      <c r="E506" s="33" t="s">
        <v>110</v>
      </c>
      <c r="F506" s="28">
        <v>350</v>
      </c>
      <c r="G506" s="28">
        <v>1</v>
      </c>
      <c r="H506" s="28">
        <f t="shared" si="22"/>
        <v>350</v>
      </c>
      <c r="I506" s="69" t="s">
        <v>82</v>
      </c>
      <c r="J506" s="28">
        <v>1</v>
      </c>
      <c r="K506" s="28">
        <v>1</v>
      </c>
      <c r="L506" s="28">
        <v>0.5</v>
      </c>
      <c r="M506" s="28" t="str">
        <f t="shared" si="23"/>
        <v>לא לרכוש</v>
      </c>
      <c r="N506" s="28"/>
      <c r="O506" s="28">
        <v>1000</v>
      </c>
      <c r="P506" s="27"/>
      <c r="Q506" s="27"/>
    </row>
    <row r="507" spans="1:17" s="32" customFormat="1" ht="14.25" customHeight="1">
      <c r="A507" s="37" t="s">
        <v>20</v>
      </c>
      <c r="B507" s="30" t="s">
        <v>87</v>
      </c>
      <c r="C507" s="38" t="s">
        <v>41</v>
      </c>
      <c r="D507" s="37" t="s">
        <v>56</v>
      </c>
      <c r="E507" s="37" t="s">
        <v>75</v>
      </c>
      <c r="F507" s="28">
        <v>300</v>
      </c>
      <c r="G507" s="28">
        <v>1</v>
      </c>
      <c r="H507" s="28">
        <f t="shared" si="22"/>
        <v>300</v>
      </c>
      <c r="I507" s="68"/>
      <c r="J507" s="28">
        <v>1</v>
      </c>
      <c r="K507" s="28">
        <v>0</v>
      </c>
      <c r="L507" s="28">
        <v>0.5</v>
      </c>
      <c r="M507" s="28" t="str">
        <f t="shared" si="23"/>
        <v>לא לרכוש</v>
      </c>
      <c r="N507" s="28"/>
      <c r="O507" s="28">
        <v>1000</v>
      </c>
      <c r="P507" s="27"/>
      <c r="Q507" s="27"/>
    </row>
    <row r="508" spans="1:17" s="32" customFormat="1" ht="14.25" customHeight="1">
      <c r="A508" s="33" t="s">
        <v>20</v>
      </c>
      <c r="B508" s="30" t="s">
        <v>87</v>
      </c>
      <c r="C508" s="34" t="s">
        <v>42</v>
      </c>
      <c r="D508" s="27" t="s">
        <v>56</v>
      </c>
      <c r="E508" s="33" t="s">
        <v>75</v>
      </c>
      <c r="F508" s="27">
        <v>300</v>
      </c>
      <c r="G508" s="28">
        <v>1</v>
      </c>
      <c r="H508" s="28">
        <f t="shared" si="22"/>
        <v>300</v>
      </c>
      <c r="I508" s="68"/>
      <c r="J508" s="28">
        <v>1</v>
      </c>
      <c r="K508" s="28">
        <v>0</v>
      </c>
      <c r="L508" s="27">
        <v>0.5</v>
      </c>
      <c r="M508" s="28" t="str">
        <f t="shared" si="23"/>
        <v>לא לרכוש</v>
      </c>
      <c r="N508" s="28"/>
      <c r="O508" s="28">
        <v>1000</v>
      </c>
      <c r="P508" s="27"/>
      <c r="Q508" s="27" t="s">
        <v>85</v>
      </c>
    </row>
    <row r="509" spans="1:17" s="32" customFormat="1" ht="14.25" customHeight="1">
      <c r="A509" s="33" t="s">
        <v>20</v>
      </c>
      <c r="B509" s="30" t="s">
        <v>87</v>
      </c>
      <c r="C509" s="34" t="s">
        <v>45</v>
      </c>
      <c r="D509" s="27" t="s">
        <v>56</v>
      </c>
      <c r="E509" s="33" t="s">
        <v>75</v>
      </c>
      <c r="F509" s="27">
        <v>300</v>
      </c>
      <c r="G509" s="28">
        <v>1</v>
      </c>
      <c r="H509" s="28">
        <f t="shared" si="22"/>
        <v>300</v>
      </c>
      <c r="I509" s="68"/>
      <c r="J509" s="28">
        <v>1</v>
      </c>
      <c r="K509" s="28">
        <v>1</v>
      </c>
      <c r="L509" s="27">
        <v>0.5</v>
      </c>
      <c r="M509" s="28" t="str">
        <f t="shared" si="23"/>
        <v>לרכוש</v>
      </c>
      <c r="N509" s="28"/>
      <c r="O509" s="28">
        <v>1000</v>
      </c>
      <c r="P509" s="27"/>
      <c r="Q509" s="27" t="s">
        <v>85</v>
      </c>
    </row>
    <row r="510" spans="1:17" s="32" customFormat="1" ht="14.25" customHeight="1">
      <c r="A510" s="42" t="s">
        <v>20</v>
      </c>
      <c r="B510" s="49" t="s">
        <v>87</v>
      </c>
      <c r="C510" s="50" t="s">
        <v>46</v>
      </c>
      <c r="D510" s="48" t="s">
        <v>56</v>
      </c>
      <c r="E510" s="42" t="s">
        <v>75</v>
      </c>
      <c r="F510" s="48">
        <v>300</v>
      </c>
      <c r="G510" s="28">
        <v>1</v>
      </c>
      <c r="H510" s="28">
        <f t="shared" si="22"/>
        <v>300</v>
      </c>
      <c r="I510" s="70" t="s">
        <v>82</v>
      </c>
      <c r="J510" s="48">
        <v>1</v>
      </c>
      <c r="K510" s="48">
        <v>1</v>
      </c>
      <c r="L510" s="48">
        <v>0.5</v>
      </c>
      <c r="M510" s="48" t="str">
        <f t="shared" si="23"/>
        <v>לא לרכוש</v>
      </c>
      <c r="N510" s="48"/>
      <c r="O510" s="48">
        <v>1000</v>
      </c>
      <c r="P510" s="48"/>
      <c r="Q510" s="42" t="s">
        <v>86</v>
      </c>
    </row>
    <row r="511" spans="1:17" s="32" customFormat="1" ht="14.25" customHeight="1">
      <c r="A511" s="33" t="s">
        <v>273</v>
      </c>
      <c r="B511" s="27" t="s">
        <v>275</v>
      </c>
      <c r="C511" s="34" t="s">
        <v>295</v>
      </c>
      <c r="D511" s="27" t="s">
        <v>303</v>
      </c>
      <c r="E511" s="35">
        <v>930.83</v>
      </c>
      <c r="F511" s="28">
        <v>300</v>
      </c>
      <c r="G511" s="28">
        <v>1</v>
      </c>
      <c r="H511" s="28">
        <f t="shared" si="22"/>
        <v>300</v>
      </c>
      <c r="I511" s="69" t="s">
        <v>82</v>
      </c>
      <c r="J511" s="28">
        <v>1</v>
      </c>
      <c r="K511" s="28">
        <v>1</v>
      </c>
      <c r="L511" s="28">
        <v>0.5</v>
      </c>
      <c r="M511" s="28" t="str">
        <f t="shared" si="23"/>
        <v>לא לרכוש</v>
      </c>
      <c r="N511" s="28"/>
      <c r="O511" s="28">
        <v>1000</v>
      </c>
      <c r="P511" s="27"/>
      <c r="Q511" s="27"/>
    </row>
    <row r="512" spans="1:17" s="32" customFormat="1" ht="14.25" customHeight="1">
      <c r="A512" s="33" t="s">
        <v>273</v>
      </c>
      <c r="B512" s="27" t="s">
        <v>312</v>
      </c>
      <c r="C512" s="34" t="s">
        <v>325</v>
      </c>
      <c r="D512" s="27" t="s">
        <v>327</v>
      </c>
      <c r="E512" s="35">
        <v>930.83</v>
      </c>
      <c r="F512" s="28">
        <v>300</v>
      </c>
      <c r="G512" s="28">
        <v>1</v>
      </c>
      <c r="H512" s="28">
        <f t="shared" si="22"/>
        <v>300</v>
      </c>
      <c r="I512" s="69" t="s">
        <v>82</v>
      </c>
      <c r="J512" s="28">
        <v>1</v>
      </c>
      <c r="K512" s="28">
        <v>1</v>
      </c>
      <c r="L512" s="28">
        <v>0.5</v>
      </c>
      <c r="M512" s="28" t="str">
        <f t="shared" si="23"/>
        <v>לא לרכוש</v>
      </c>
      <c r="N512" s="28"/>
      <c r="O512" s="28">
        <v>1000</v>
      </c>
      <c r="P512" s="27"/>
      <c r="Q512" s="27"/>
    </row>
    <row r="513" spans="1:17" s="32" customFormat="1" ht="14.25" customHeight="1">
      <c r="A513" s="33" t="s">
        <v>273</v>
      </c>
      <c r="B513" s="27" t="s">
        <v>331</v>
      </c>
      <c r="C513" s="34" t="s">
        <v>338</v>
      </c>
      <c r="D513" s="27" t="s">
        <v>327</v>
      </c>
      <c r="E513" s="35">
        <v>930.83</v>
      </c>
      <c r="F513" s="28">
        <v>300</v>
      </c>
      <c r="G513" s="28">
        <v>1</v>
      </c>
      <c r="H513" s="28">
        <f t="shared" si="22"/>
        <v>300</v>
      </c>
      <c r="I513" s="69" t="s">
        <v>82</v>
      </c>
      <c r="J513" s="28">
        <v>1</v>
      </c>
      <c r="K513" s="28">
        <v>1</v>
      </c>
      <c r="L513" s="28">
        <v>0.5</v>
      </c>
      <c r="M513" s="28" t="str">
        <f t="shared" si="23"/>
        <v>לא לרכוש</v>
      </c>
      <c r="N513" s="28"/>
      <c r="O513" s="28">
        <v>1000</v>
      </c>
      <c r="P513" s="27"/>
      <c r="Q513" s="27"/>
    </row>
    <row r="514" spans="1:17" s="32" customFormat="1" ht="14.25" customHeight="1">
      <c r="A514" s="33" t="s">
        <v>273</v>
      </c>
      <c r="B514" s="27" t="s">
        <v>331</v>
      </c>
      <c r="C514" s="34" t="s">
        <v>339</v>
      </c>
      <c r="D514" s="27" t="s">
        <v>327</v>
      </c>
      <c r="E514" s="35">
        <v>930.83</v>
      </c>
      <c r="F514" s="28">
        <v>300</v>
      </c>
      <c r="G514" s="28">
        <v>1</v>
      </c>
      <c r="H514" s="28">
        <f t="shared" si="22"/>
        <v>300</v>
      </c>
      <c r="I514" s="69" t="s">
        <v>82</v>
      </c>
      <c r="J514" s="28">
        <v>1</v>
      </c>
      <c r="K514" s="28">
        <v>1</v>
      </c>
      <c r="L514" s="28">
        <v>0.5</v>
      </c>
      <c r="M514" s="28" t="str">
        <f t="shared" si="23"/>
        <v>לא לרכוש</v>
      </c>
      <c r="N514" s="28"/>
      <c r="O514" s="28">
        <v>1000</v>
      </c>
      <c r="P514" s="27"/>
      <c r="Q514" s="27"/>
    </row>
    <row r="515" spans="1:17" s="32" customFormat="1" ht="14.25" customHeight="1">
      <c r="A515" s="33" t="s">
        <v>20</v>
      </c>
      <c r="B515" s="27" t="s">
        <v>426</v>
      </c>
      <c r="C515" s="34" t="s">
        <v>450</v>
      </c>
      <c r="D515" s="27" t="s">
        <v>469</v>
      </c>
      <c r="E515" s="33" t="s">
        <v>250</v>
      </c>
      <c r="F515" s="28">
        <v>300</v>
      </c>
      <c r="G515" s="28">
        <v>1</v>
      </c>
      <c r="H515" s="28">
        <f t="shared" si="22"/>
        <v>300</v>
      </c>
      <c r="I515" s="69"/>
      <c r="J515" s="28">
        <v>1</v>
      </c>
      <c r="K515" s="28">
        <v>1</v>
      </c>
      <c r="L515" s="28">
        <v>0.2</v>
      </c>
      <c r="M515" s="28" t="str">
        <f t="shared" si="23"/>
        <v>לרכוש</v>
      </c>
      <c r="N515" s="28"/>
      <c r="O515" s="28">
        <v>1000</v>
      </c>
      <c r="P515" s="27"/>
      <c r="Q515" s="27"/>
    </row>
    <row r="516" spans="1:17" s="32" customFormat="1" ht="14.25" customHeight="1">
      <c r="A516" s="33" t="s">
        <v>20</v>
      </c>
      <c r="B516" s="27" t="s">
        <v>426</v>
      </c>
      <c r="C516" s="34" t="s">
        <v>451</v>
      </c>
      <c r="D516" s="27" t="s">
        <v>469</v>
      </c>
      <c r="E516" s="33" t="s">
        <v>250</v>
      </c>
      <c r="F516" s="28">
        <v>300</v>
      </c>
      <c r="G516" s="28">
        <v>1</v>
      </c>
      <c r="H516" s="28">
        <f t="shared" si="22"/>
        <v>300</v>
      </c>
      <c r="I516" s="69"/>
      <c r="J516" s="28">
        <v>1</v>
      </c>
      <c r="K516" s="28">
        <v>1</v>
      </c>
      <c r="L516" s="28">
        <v>0.2</v>
      </c>
      <c r="M516" s="28" t="str">
        <f t="shared" si="23"/>
        <v>לרכוש</v>
      </c>
      <c r="N516" s="28"/>
      <c r="O516" s="28">
        <v>1000</v>
      </c>
      <c r="P516" s="27"/>
      <c r="Q516" s="27"/>
    </row>
    <row r="517" spans="1:17" s="32" customFormat="1" ht="14.25" customHeight="1">
      <c r="A517" s="33" t="s">
        <v>467</v>
      </c>
      <c r="B517" s="27" t="s">
        <v>607</v>
      </c>
      <c r="C517" s="34" t="s">
        <v>452</v>
      </c>
      <c r="D517" s="27" t="s">
        <v>470</v>
      </c>
      <c r="E517" s="33" t="s">
        <v>472</v>
      </c>
      <c r="F517" s="28">
        <v>300</v>
      </c>
      <c r="G517" s="28">
        <v>1</v>
      </c>
      <c r="H517" s="28">
        <f t="shared" si="22"/>
        <v>300</v>
      </c>
      <c r="I517" s="69" t="s">
        <v>82</v>
      </c>
      <c r="J517" s="28">
        <v>1</v>
      </c>
      <c r="K517" s="28">
        <v>1</v>
      </c>
      <c r="L517" s="28">
        <v>0.2</v>
      </c>
      <c r="M517" s="28" t="str">
        <f t="shared" si="23"/>
        <v>לא לרכוש</v>
      </c>
      <c r="N517" s="28"/>
      <c r="O517" s="28">
        <v>1000</v>
      </c>
      <c r="P517" s="27"/>
      <c r="Q517" s="27"/>
    </row>
    <row r="518" spans="1:17" s="32" customFormat="1" ht="14.25" customHeight="1">
      <c r="A518" s="33" t="s">
        <v>20</v>
      </c>
      <c r="B518" s="27" t="s">
        <v>426</v>
      </c>
      <c r="C518" s="34" t="s">
        <v>487</v>
      </c>
      <c r="D518" s="27" t="s">
        <v>469</v>
      </c>
      <c r="E518" s="33" t="s">
        <v>250</v>
      </c>
      <c r="F518" s="28">
        <v>300</v>
      </c>
      <c r="G518" s="28">
        <v>1</v>
      </c>
      <c r="H518" s="28">
        <f t="shared" si="22"/>
        <v>300</v>
      </c>
      <c r="I518" s="69" t="s">
        <v>82</v>
      </c>
      <c r="J518" s="28">
        <v>1</v>
      </c>
      <c r="K518" s="28">
        <v>1</v>
      </c>
      <c r="L518" s="28">
        <v>0.2</v>
      </c>
      <c r="M518" s="28" t="str">
        <f t="shared" si="23"/>
        <v>לא לרכוש</v>
      </c>
      <c r="N518" s="28"/>
      <c r="O518" s="28">
        <v>1000</v>
      </c>
      <c r="P518" s="27"/>
      <c r="Q518" s="27"/>
    </row>
    <row r="519" spans="1:17" s="32" customFormat="1" ht="14.25" customHeight="1">
      <c r="A519" s="33" t="s">
        <v>20</v>
      </c>
      <c r="B519" s="27" t="s">
        <v>426</v>
      </c>
      <c r="C519" s="34" t="s">
        <v>488</v>
      </c>
      <c r="D519" s="27" t="s">
        <v>469</v>
      </c>
      <c r="E519" s="33" t="s">
        <v>250</v>
      </c>
      <c r="F519" s="28">
        <v>300</v>
      </c>
      <c r="G519" s="28">
        <v>1</v>
      </c>
      <c r="H519" s="28">
        <f t="shared" si="22"/>
        <v>300</v>
      </c>
      <c r="I519" s="69" t="s">
        <v>82</v>
      </c>
      <c r="J519" s="28">
        <v>1</v>
      </c>
      <c r="K519" s="28">
        <v>1</v>
      </c>
      <c r="L519" s="28">
        <v>0.2</v>
      </c>
      <c r="M519" s="28" t="str">
        <f t="shared" si="23"/>
        <v>לא לרכוש</v>
      </c>
      <c r="N519" s="28"/>
      <c r="O519" s="28">
        <v>1000</v>
      </c>
      <c r="P519" s="27"/>
      <c r="Q519" s="27"/>
    </row>
    <row r="520" spans="1:17" s="32" customFormat="1" ht="14.25" customHeight="1">
      <c r="A520" s="33" t="s">
        <v>20</v>
      </c>
      <c r="B520" s="27" t="s">
        <v>429</v>
      </c>
      <c r="C520" s="34" t="s">
        <v>507</v>
      </c>
      <c r="D520" s="27" t="s">
        <v>469</v>
      </c>
      <c r="E520" s="33" t="s">
        <v>250</v>
      </c>
      <c r="F520" s="28">
        <v>300</v>
      </c>
      <c r="G520" s="28">
        <v>1</v>
      </c>
      <c r="H520" s="28">
        <f t="shared" si="22"/>
        <v>300</v>
      </c>
      <c r="I520" s="69" t="s">
        <v>82</v>
      </c>
      <c r="J520" s="28">
        <v>1</v>
      </c>
      <c r="K520" s="28">
        <v>1</v>
      </c>
      <c r="L520" s="28">
        <v>0.2</v>
      </c>
      <c r="M520" s="28" t="str">
        <f t="shared" si="23"/>
        <v>לא לרכוש</v>
      </c>
      <c r="N520" s="28"/>
      <c r="O520" s="28">
        <v>1000</v>
      </c>
      <c r="P520" s="27"/>
      <c r="Q520" s="27"/>
    </row>
    <row r="521" spans="1:17" s="32" customFormat="1" ht="14.25" customHeight="1">
      <c r="A521" s="33" t="s">
        <v>20</v>
      </c>
      <c r="B521" s="27" t="s">
        <v>429</v>
      </c>
      <c r="C521" s="34" t="s">
        <v>508</v>
      </c>
      <c r="D521" s="27" t="s">
        <v>469</v>
      </c>
      <c r="E521" s="33" t="s">
        <v>250</v>
      </c>
      <c r="F521" s="28">
        <v>300</v>
      </c>
      <c r="G521" s="28">
        <v>1</v>
      </c>
      <c r="H521" s="28">
        <f t="shared" si="22"/>
        <v>300</v>
      </c>
      <c r="I521" s="69" t="s">
        <v>82</v>
      </c>
      <c r="J521" s="28">
        <v>1</v>
      </c>
      <c r="K521" s="28">
        <v>1</v>
      </c>
      <c r="L521" s="28">
        <v>0.2</v>
      </c>
      <c r="M521" s="28" t="str">
        <f t="shared" si="23"/>
        <v>לא לרכוש</v>
      </c>
      <c r="N521" s="28"/>
      <c r="O521" s="28">
        <v>1000</v>
      </c>
      <c r="P521" s="27"/>
      <c r="Q521" s="27"/>
    </row>
    <row r="522" spans="1:17" s="32" customFormat="1" ht="14.25" customHeight="1">
      <c r="A522" s="33" t="s">
        <v>20</v>
      </c>
      <c r="B522" s="27" t="s">
        <v>429</v>
      </c>
      <c r="C522" s="34" t="s">
        <v>509</v>
      </c>
      <c r="D522" s="27" t="s">
        <v>469</v>
      </c>
      <c r="E522" s="33" t="s">
        <v>250</v>
      </c>
      <c r="F522" s="28">
        <v>300</v>
      </c>
      <c r="G522" s="28">
        <v>1</v>
      </c>
      <c r="H522" s="28">
        <f t="shared" si="22"/>
        <v>300</v>
      </c>
      <c r="I522" s="69" t="s">
        <v>82</v>
      </c>
      <c r="J522" s="28">
        <v>1</v>
      </c>
      <c r="K522" s="28">
        <v>1</v>
      </c>
      <c r="L522" s="28">
        <v>0.2</v>
      </c>
      <c r="M522" s="28" t="str">
        <f t="shared" si="23"/>
        <v>לא לרכוש</v>
      </c>
      <c r="N522" s="28"/>
      <c r="O522" s="28">
        <v>1000</v>
      </c>
      <c r="P522" s="27"/>
      <c r="Q522" s="27"/>
    </row>
    <row r="523" spans="1:17" s="32" customFormat="1" ht="14.25" customHeight="1">
      <c r="A523" s="33" t="s">
        <v>20</v>
      </c>
      <c r="B523" s="27" t="s">
        <v>429</v>
      </c>
      <c r="C523" s="34" t="s">
        <v>522</v>
      </c>
      <c r="D523" s="27" t="s">
        <v>469</v>
      </c>
      <c r="E523" s="33" t="s">
        <v>250</v>
      </c>
      <c r="F523" s="28">
        <v>300</v>
      </c>
      <c r="G523" s="28">
        <v>1</v>
      </c>
      <c r="H523" s="28">
        <f t="shared" si="22"/>
        <v>300</v>
      </c>
      <c r="I523" s="69" t="s">
        <v>82</v>
      </c>
      <c r="J523" s="28">
        <v>1</v>
      </c>
      <c r="K523" s="28">
        <v>1</v>
      </c>
      <c r="L523" s="28">
        <v>0.2</v>
      </c>
      <c r="M523" s="28" t="str">
        <f t="shared" si="23"/>
        <v>לא לרכוש</v>
      </c>
      <c r="N523" s="28"/>
      <c r="O523" s="28">
        <v>1000</v>
      </c>
      <c r="P523" s="27"/>
      <c r="Q523" s="27"/>
    </row>
    <row r="524" spans="1:17" s="32" customFormat="1" ht="14.25" customHeight="1">
      <c r="A524" s="33" t="s">
        <v>20</v>
      </c>
      <c r="B524" s="27" t="s">
        <v>429</v>
      </c>
      <c r="C524" s="34" t="s">
        <v>523</v>
      </c>
      <c r="D524" s="27" t="s">
        <v>469</v>
      </c>
      <c r="E524" s="33" t="s">
        <v>250</v>
      </c>
      <c r="F524" s="28">
        <v>300</v>
      </c>
      <c r="G524" s="28">
        <v>1</v>
      </c>
      <c r="H524" s="28">
        <f t="shared" si="22"/>
        <v>300</v>
      </c>
      <c r="I524" s="69" t="s">
        <v>82</v>
      </c>
      <c r="J524" s="28">
        <v>1</v>
      </c>
      <c r="K524" s="28">
        <v>1</v>
      </c>
      <c r="L524" s="28">
        <v>0.2</v>
      </c>
      <c r="M524" s="28" t="str">
        <f t="shared" si="23"/>
        <v>לא לרכוש</v>
      </c>
      <c r="N524" s="28"/>
      <c r="O524" s="28">
        <v>1000</v>
      </c>
      <c r="P524" s="27"/>
      <c r="Q524" s="27"/>
    </row>
    <row r="525" spans="1:17" s="32" customFormat="1" ht="14.25" customHeight="1">
      <c r="A525" s="33" t="s">
        <v>20</v>
      </c>
      <c r="B525" s="27" t="s">
        <v>429</v>
      </c>
      <c r="C525" s="34" t="s">
        <v>524</v>
      </c>
      <c r="D525" s="27" t="s">
        <v>469</v>
      </c>
      <c r="E525" s="33" t="s">
        <v>250</v>
      </c>
      <c r="F525" s="28">
        <v>300</v>
      </c>
      <c r="G525" s="28">
        <v>1</v>
      </c>
      <c r="H525" s="28">
        <f t="shared" si="22"/>
        <v>300</v>
      </c>
      <c r="I525" s="69" t="s">
        <v>82</v>
      </c>
      <c r="J525" s="28">
        <v>1</v>
      </c>
      <c r="K525" s="28">
        <v>1</v>
      </c>
      <c r="L525" s="28">
        <v>0.2</v>
      </c>
      <c r="M525" s="28" t="str">
        <f t="shared" si="23"/>
        <v>לא לרכוש</v>
      </c>
      <c r="N525" s="28"/>
      <c r="O525" s="28">
        <v>1000</v>
      </c>
      <c r="P525" s="27"/>
      <c r="Q525" s="27"/>
    </row>
    <row r="526" spans="1:17" s="32" customFormat="1" ht="14.25" customHeight="1">
      <c r="A526" s="33" t="s">
        <v>20</v>
      </c>
      <c r="B526" s="27" t="s">
        <v>429</v>
      </c>
      <c r="C526" s="34" t="s">
        <v>525</v>
      </c>
      <c r="D526" s="27" t="s">
        <v>469</v>
      </c>
      <c r="E526" s="33" t="s">
        <v>250</v>
      </c>
      <c r="F526" s="28">
        <v>300</v>
      </c>
      <c r="G526" s="28">
        <v>1</v>
      </c>
      <c r="H526" s="28">
        <f t="shared" si="22"/>
        <v>300</v>
      </c>
      <c r="I526" s="69" t="s">
        <v>82</v>
      </c>
      <c r="J526" s="28">
        <v>1</v>
      </c>
      <c r="K526" s="28">
        <v>1</v>
      </c>
      <c r="L526" s="28">
        <v>0.2</v>
      </c>
      <c r="M526" s="28" t="str">
        <f t="shared" si="23"/>
        <v>לא לרכוש</v>
      </c>
      <c r="N526" s="28"/>
      <c r="O526" s="28">
        <v>1000</v>
      </c>
      <c r="P526" s="27"/>
      <c r="Q526" s="27"/>
    </row>
    <row r="527" spans="1:17" s="32" customFormat="1" ht="14.25" customHeight="1">
      <c r="A527" s="33" t="s">
        <v>20</v>
      </c>
      <c r="B527" s="27" t="s">
        <v>429</v>
      </c>
      <c r="C527" s="34" t="s">
        <v>528</v>
      </c>
      <c r="D527" s="27" t="s">
        <v>469</v>
      </c>
      <c r="E527" s="33" t="s">
        <v>250</v>
      </c>
      <c r="F527" s="28">
        <v>300</v>
      </c>
      <c r="G527" s="28">
        <v>1</v>
      </c>
      <c r="H527" s="28">
        <f t="shared" si="22"/>
        <v>300</v>
      </c>
      <c r="I527" s="69" t="s">
        <v>82</v>
      </c>
      <c r="J527" s="28">
        <v>1</v>
      </c>
      <c r="K527" s="28">
        <v>1</v>
      </c>
      <c r="L527" s="28">
        <v>0.2</v>
      </c>
      <c r="M527" s="28" t="str">
        <f t="shared" si="23"/>
        <v>לא לרכוש</v>
      </c>
      <c r="N527" s="28"/>
      <c r="O527" s="28">
        <v>1000</v>
      </c>
      <c r="P527" s="27"/>
      <c r="Q527" s="27"/>
    </row>
    <row r="528" spans="1:17" s="32" customFormat="1" ht="14.25" customHeight="1">
      <c r="A528" s="33" t="s">
        <v>20</v>
      </c>
      <c r="B528" s="27" t="s">
        <v>429</v>
      </c>
      <c r="C528" s="34" t="s">
        <v>529</v>
      </c>
      <c r="D528" s="27" t="s">
        <v>469</v>
      </c>
      <c r="E528" s="33" t="s">
        <v>250</v>
      </c>
      <c r="F528" s="28">
        <v>300</v>
      </c>
      <c r="G528" s="28">
        <v>1</v>
      </c>
      <c r="H528" s="28">
        <f t="shared" si="22"/>
        <v>300</v>
      </c>
      <c r="I528" s="69" t="s">
        <v>82</v>
      </c>
      <c r="J528" s="28">
        <v>1</v>
      </c>
      <c r="K528" s="28">
        <v>1</v>
      </c>
      <c r="L528" s="28">
        <v>0.2</v>
      </c>
      <c r="M528" s="28" t="str">
        <f t="shared" si="23"/>
        <v>לא לרכוש</v>
      </c>
      <c r="N528" s="28"/>
      <c r="O528" s="28">
        <v>1000</v>
      </c>
      <c r="P528" s="27"/>
      <c r="Q528" s="27"/>
    </row>
    <row r="529" spans="1:17" s="32" customFormat="1" ht="14.25" customHeight="1">
      <c r="A529" s="33" t="s">
        <v>20</v>
      </c>
      <c r="B529" s="27" t="s">
        <v>429</v>
      </c>
      <c r="C529" s="34" t="s">
        <v>530</v>
      </c>
      <c r="D529" s="27" t="s">
        <v>469</v>
      </c>
      <c r="E529" s="33" t="s">
        <v>250</v>
      </c>
      <c r="F529" s="28">
        <v>300</v>
      </c>
      <c r="G529" s="28">
        <v>1</v>
      </c>
      <c r="H529" s="28">
        <f t="shared" si="22"/>
        <v>300</v>
      </c>
      <c r="I529" s="69" t="s">
        <v>82</v>
      </c>
      <c r="J529" s="28">
        <v>1</v>
      </c>
      <c r="K529" s="28">
        <v>1</v>
      </c>
      <c r="L529" s="28">
        <v>0.2</v>
      </c>
      <c r="M529" s="28" t="str">
        <f t="shared" si="23"/>
        <v>לא לרכוש</v>
      </c>
      <c r="N529" s="28"/>
      <c r="O529" s="28">
        <v>1000</v>
      </c>
      <c r="P529" s="27"/>
      <c r="Q529" s="27"/>
    </row>
    <row r="530" spans="1:17" s="32" customFormat="1" ht="14.25" customHeight="1">
      <c r="A530" s="33" t="s">
        <v>20</v>
      </c>
      <c r="B530" s="27" t="s">
        <v>429</v>
      </c>
      <c r="C530" s="34" t="s">
        <v>531</v>
      </c>
      <c r="D530" s="27" t="s">
        <v>469</v>
      </c>
      <c r="E530" s="33" t="s">
        <v>250</v>
      </c>
      <c r="F530" s="28">
        <v>300</v>
      </c>
      <c r="G530" s="28">
        <v>1</v>
      </c>
      <c r="H530" s="28">
        <f t="shared" si="22"/>
        <v>300</v>
      </c>
      <c r="I530" s="69" t="s">
        <v>82</v>
      </c>
      <c r="J530" s="28">
        <v>1</v>
      </c>
      <c r="K530" s="28">
        <v>1</v>
      </c>
      <c r="L530" s="28">
        <v>0.2</v>
      </c>
      <c r="M530" s="28" t="str">
        <f t="shared" si="23"/>
        <v>לא לרכוש</v>
      </c>
      <c r="N530" s="28"/>
      <c r="O530" s="28">
        <v>1000</v>
      </c>
      <c r="P530" s="27"/>
      <c r="Q530" s="27"/>
    </row>
    <row r="531" spans="1:17" s="32" customFormat="1" ht="14.25" customHeight="1">
      <c r="A531" s="33" t="s">
        <v>20</v>
      </c>
      <c r="B531" s="27" t="s">
        <v>429</v>
      </c>
      <c r="C531" s="34" t="s">
        <v>532</v>
      </c>
      <c r="D531" s="27" t="s">
        <v>469</v>
      </c>
      <c r="E531" s="33" t="s">
        <v>250</v>
      </c>
      <c r="F531" s="28">
        <v>300</v>
      </c>
      <c r="G531" s="28">
        <v>1</v>
      </c>
      <c r="H531" s="28">
        <f t="shared" si="22"/>
        <v>300</v>
      </c>
      <c r="I531" s="69" t="s">
        <v>82</v>
      </c>
      <c r="J531" s="28">
        <v>1</v>
      </c>
      <c r="K531" s="28">
        <v>1</v>
      </c>
      <c r="L531" s="28">
        <v>0.2</v>
      </c>
      <c r="M531" s="28" t="str">
        <f t="shared" si="23"/>
        <v>לא לרכוש</v>
      </c>
      <c r="N531" s="28"/>
      <c r="O531" s="28">
        <v>1000</v>
      </c>
      <c r="P531" s="27"/>
      <c r="Q531" s="27"/>
    </row>
    <row r="532" spans="1:17" s="32" customFormat="1" ht="14.25" customHeight="1">
      <c r="A532" s="33" t="s">
        <v>20</v>
      </c>
      <c r="B532" s="27" t="s">
        <v>429</v>
      </c>
      <c r="C532" s="34" t="s">
        <v>533</v>
      </c>
      <c r="D532" s="27" t="s">
        <v>469</v>
      </c>
      <c r="E532" s="33" t="s">
        <v>250</v>
      </c>
      <c r="F532" s="28">
        <v>300</v>
      </c>
      <c r="G532" s="28">
        <v>1</v>
      </c>
      <c r="H532" s="28">
        <f t="shared" si="22"/>
        <v>300</v>
      </c>
      <c r="I532" s="69" t="s">
        <v>82</v>
      </c>
      <c r="J532" s="28">
        <v>1</v>
      </c>
      <c r="K532" s="28">
        <v>1</v>
      </c>
      <c r="L532" s="28">
        <v>0.2</v>
      </c>
      <c r="M532" s="28" t="str">
        <f t="shared" si="23"/>
        <v>לא לרכוש</v>
      </c>
      <c r="N532" s="28"/>
      <c r="O532" s="28">
        <v>1000</v>
      </c>
      <c r="P532" s="27"/>
      <c r="Q532" s="27"/>
    </row>
    <row r="533" spans="1:17" s="32" customFormat="1" ht="14.25" customHeight="1">
      <c r="A533" s="33" t="s">
        <v>20</v>
      </c>
      <c r="B533" s="27" t="s">
        <v>429</v>
      </c>
      <c r="C533" s="34" t="s">
        <v>534</v>
      </c>
      <c r="D533" s="27" t="s">
        <v>469</v>
      </c>
      <c r="E533" s="33" t="s">
        <v>250</v>
      </c>
      <c r="F533" s="28">
        <v>300</v>
      </c>
      <c r="G533" s="28">
        <v>1</v>
      </c>
      <c r="H533" s="28">
        <f t="shared" si="22"/>
        <v>300</v>
      </c>
      <c r="I533" s="69" t="s">
        <v>82</v>
      </c>
      <c r="J533" s="28">
        <v>1</v>
      </c>
      <c r="K533" s="28">
        <v>1</v>
      </c>
      <c r="L533" s="28">
        <v>0.2</v>
      </c>
      <c r="M533" s="28" t="str">
        <f t="shared" si="23"/>
        <v>לא לרכוש</v>
      </c>
      <c r="N533" s="28"/>
      <c r="O533" s="28">
        <v>1000</v>
      </c>
      <c r="P533" s="27"/>
      <c r="Q533" s="27"/>
    </row>
    <row r="534" spans="1:17" s="32" customFormat="1" ht="14.25" customHeight="1">
      <c r="A534" s="33" t="s">
        <v>20</v>
      </c>
      <c r="B534" s="27" t="s">
        <v>429</v>
      </c>
      <c r="C534" s="34" t="s">
        <v>535</v>
      </c>
      <c r="D534" s="27" t="s">
        <v>469</v>
      </c>
      <c r="E534" s="33" t="s">
        <v>250</v>
      </c>
      <c r="F534" s="28">
        <v>300</v>
      </c>
      <c r="G534" s="28">
        <v>1</v>
      </c>
      <c r="H534" s="28">
        <f t="shared" si="22"/>
        <v>300</v>
      </c>
      <c r="I534" s="69" t="s">
        <v>82</v>
      </c>
      <c r="J534" s="28">
        <v>1</v>
      </c>
      <c r="K534" s="28">
        <v>1</v>
      </c>
      <c r="L534" s="28">
        <v>0.2</v>
      </c>
      <c r="M534" s="28" t="str">
        <f t="shared" si="23"/>
        <v>לא לרכוש</v>
      </c>
      <c r="N534" s="28"/>
      <c r="O534" s="28">
        <v>1000</v>
      </c>
      <c r="P534" s="27"/>
      <c r="Q534" s="27"/>
    </row>
    <row r="535" spans="1:17" s="32" customFormat="1" ht="14.25" customHeight="1">
      <c r="A535" s="33" t="s">
        <v>609</v>
      </c>
      <c r="B535" s="27" t="s">
        <v>429</v>
      </c>
      <c r="C535" s="34" t="s">
        <v>540</v>
      </c>
      <c r="D535" s="27" t="s">
        <v>585</v>
      </c>
      <c r="E535" s="33" t="s">
        <v>594</v>
      </c>
      <c r="F535" s="28">
        <v>300</v>
      </c>
      <c r="G535" s="28">
        <v>1</v>
      </c>
      <c r="H535" s="28">
        <f t="shared" si="22"/>
        <v>300</v>
      </c>
      <c r="I535" s="69" t="s">
        <v>82</v>
      </c>
      <c r="J535" s="28">
        <v>1</v>
      </c>
      <c r="K535" s="28">
        <v>1</v>
      </c>
      <c r="L535" s="28">
        <v>0.3</v>
      </c>
      <c r="M535" s="28" t="str">
        <f t="shared" si="23"/>
        <v>לא לרכוש</v>
      </c>
      <c r="N535" s="28"/>
      <c r="O535" s="28">
        <v>1000</v>
      </c>
      <c r="P535" s="27"/>
      <c r="Q535" s="27"/>
    </row>
    <row r="536" spans="1:17" s="32" customFormat="1" ht="14.25" customHeight="1">
      <c r="A536" s="33" t="s">
        <v>609</v>
      </c>
      <c r="B536" s="27" t="s">
        <v>429</v>
      </c>
      <c r="C536" s="34" t="s">
        <v>541</v>
      </c>
      <c r="D536" s="27" t="s">
        <v>585</v>
      </c>
      <c r="E536" s="33" t="s">
        <v>594</v>
      </c>
      <c r="F536" s="28">
        <v>300</v>
      </c>
      <c r="G536" s="28">
        <v>1</v>
      </c>
      <c r="H536" s="28">
        <f t="shared" si="22"/>
        <v>300</v>
      </c>
      <c r="I536" s="69" t="s">
        <v>82</v>
      </c>
      <c r="J536" s="28">
        <v>1</v>
      </c>
      <c r="K536" s="28">
        <v>0</v>
      </c>
      <c r="L536" s="28">
        <v>0.3</v>
      </c>
      <c r="M536" s="28" t="str">
        <f t="shared" si="23"/>
        <v>לא לרכוש</v>
      </c>
      <c r="N536" s="28"/>
      <c r="O536" s="28">
        <v>1000</v>
      </c>
      <c r="P536" s="27"/>
      <c r="Q536" s="27"/>
    </row>
    <row r="537" spans="1:17" s="32" customFormat="1" ht="14.25" customHeight="1">
      <c r="A537" s="33" t="s">
        <v>609</v>
      </c>
      <c r="B537" s="27" t="s">
        <v>429</v>
      </c>
      <c r="C537" s="34" t="s">
        <v>544</v>
      </c>
      <c r="D537" s="27" t="s">
        <v>469</v>
      </c>
      <c r="E537" s="33" t="s">
        <v>250</v>
      </c>
      <c r="F537" s="28">
        <v>300</v>
      </c>
      <c r="G537" s="28">
        <v>1</v>
      </c>
      <c r="H537" s="28">
        <f t="shared" si="22"/>
        <v>300</v>
      </c>
      <c r="I537" s="69" t="s">
        <v>82</v>
      </c>
      <c r="J537" s="28">
        <v>1</v>
      </c>
      <c r="K537" s="28">
        <v>1</v>
      </c>
      <c r="L537" s="28">
        <v>0.2</v>
      </c>
      <c r="M537" s="28" t="str">
        <f t="shared" si="23"/>
        <v>לא לרכוש</v>
      </c>
      <c r="N537" s="28"/>
      <c r="O537" s="28">
        <v>1000</v>
      </c>
      <c r="P537" s="27"/>
      <c r="Q537" s="27"/>
    </row>
    <row r="538" spans="1:17" s="32" customFormat="1" ht="14.25" customHeight="1">
      <c r="A538" s="33" t="s">
        <v>609</v>
      </c>
      <c r="B538" s="27" t="s">
        <v>429</v>
      </c>
      <c r="C538" s="34" t="s">
        <v>545</v>
      </c>
      <c r="D538" s="27" t="s">
        <v>469</v>
      </c>
      <c r="E538" s="33" t="s">
        <v>250</v>
      </c>
      <c r="F538" s="28">
        <v>300</v>
      </c>
      <c r="G538" s="28">
        <v>1</v>
      </c>
      <c r="H538" s="28">
        <f t="shared" si="22"/>
        <v>300</v>
      </c>
      <c r="I538" s="69" t="s">
        <v>82</v>
      </c>
      <c r="J538" s="28">
        <v>1</v>
      </c>
      <c r="K538" s="28">
        <v>1</v>
      </c>
      <c r="L538" s="28">
        <v>0.2</v>
      </c>
      <c r="M538" s="28" t="str">
        <f t="shared" si="23"/>
        <v>לא לרכוש</v>
      </c>
      <c r="N538" s="28"/>
      <c r="O538" s="28">
        <v>1000</v>
      </c>
      <c r="P538" s="27"/>
      <c r="Q538" s="27"/>
    </row>
    <row r="539" spans="1:17" s="32" customFormat="1" ht="14.25" customHeight="1">
      <c r="A539" s="33" t="s">
        <v>609</v>
      </c>
      <c r="B539" s="27" t="s">
        <v>429</v>
      </c>
      <c r="C539" s="34" t="s">
        <v>546</v>
      </c>
      <c r="D539" s="27" t="s">
        <v>469</v>
      </c>
      <c r="E539" s="33" t="s">
        <v>250</v>
      </c>
      <c r="F539" s="28">
        <v>300</v>
      </c>
      <c r="G539" s="28">
        <v>1</v>
      </c>
      <c r="H539" s="28">
        <f t="shared" si="22"/>
        <v>300</v>
      </c>
      <c r="I539" s="69" t="s">
        <v>82</v>
      </c>
      <c r="J539" s="28">
        <v>1</v>
      </c>
      <c r="K539" s="28">
        <v>1</v>
      </c>
      <c r="L539" s="28">
        <v>0.2</v>
      </c>
      <c r="M539" s="28" t="str">
        <f t="shared" si="23"/>
        <v>לא לרכוש</v>
      </c>
      <c r="N539" s="28"/>
      <c r="O539" s="28">
        <v>1000</v>
      </c>
      <c r="P539" s="27"/>
      <c r="Q539" s="27"/>
    </row>
    <row r="540" spans="1:17" s="32" customFormat="1" ht="14.25" customHeight="1">
      <c r="A540" s="33" t="s">
        <v>609</v>
      </c>
      <c r="B540" s="27" t="s">
        <v>429</v>
      </c>
      <c r="C540" s="34" t="s">
        <v>547</v>
      </c>
      <c r="D540" s="27" t="s">
        <v>469</v>
      </c>
      <c r="E540" s="33" t="s">
        <v>250</v>
      </c>
      <c r="F540" s="28">
        <v>300</v>
      </c>
      <c r="G540" s="28">
        <v>1</v>
      </c>
      <c r="H540" s="28">
        <f t="shared" ref="H540:H603" si="24">G540*F540</f>
        <v>300</v>
      </c>
      <c r="I540" s="69" t="s">
        <v>82</v>
      </c>
      <c r="J540" s="28">
        <v>1</v>
      </c>
      <c r="K540" s="28">
        <v>1</v>
      </c>
      <c r="L540" s="28">
        <v>0.2</v>
      </c>
      <c r="M540" s="28" t="str">
        <f t="shared" si="23"/>
        <v>לא לרכוש</v>
      </c>
      <c r="N540" s="28"/>
      <c r="O540" s="28">
        <v>1000</v>
      </c>
      <c r="P540" s="27"/>
      <c r="Q540" s="27"/>
    </row>
    <row r="541" spans="1:17" s="32" customFormat="1" ht="14.25" customHeight="1">
      <c r="A541" s="33" t="s">
        <v>609</v>
      </c>
      <c r="B541" s="27" t="s">
        <v>429</v>
      </c>
      <c r="C541" s="34" t="s">
        <v>548</v>
      </c>
      <c r="D541" s="27" t="s">
        <v>469</v>
      </c>
      <c r="E541" s="33" t="s">
        <v>250</v>
      </c>
      <c r="F541" s="28">
        <v>300</v>
      </c>
      <c r="G541" s="28">
        <v>1</v>
      </c>
      <c r="H541" s="28">
        <f t="shared" si="24"/>
        <v>300</v>
      </c>
      <c r="I541" s="69" t="s">
        <v>82</v>
      </c>
      <c r="J541" s="28">
        <v>1</v>
      </c>
      <c r="K541" s="28">
        <v>1</v>
      </c>
      <c r="L541" s="28">
        <v>0.2</v>
      </c>
      <c r="M541" s="28" t="str">
        <f t="shared" si="23"/>
        <v>לא לרכוש</v>
      </c>
      <c r="N541" s="28"/>
      <c r="O541" s="28">
        <v>1000</v>
      </c>
      <c r="P541" s="27"/>
      <c r="Q541" s="27"/>
    </row>
    <row r="542" spans="1:17" s="32" customFormat="1" ht="14.25" customHeight="1">
      <c r="A542" s="33" t="s">
        <v>609</v>
      </c>
      <c r="B542" s="27" t="s">
        <v>429</v>
      </c>
      <c r="C542" s="34" t="s">
        <v>549</v>
      </c>
      <c r="D542" s="27" t="s">
        <v>469</v>
      </c>
      <c r="E542" s="33" t="s">
        <v>250</v>
      </c>
      <c r="F542" s="28">
        <v>300</v>
      </c>
      <c r="G542" s="28">
        <v>1</v>
      </c>
      <c r="H542" s="28">
        <f t="shared" si="24"/>
        <v>300</v>
      </c>
      <c r="I542" s="69" t="s">
        <v>82</v>
      </c>
      <c r="J542" s="28">
        <v>1</v>
      </c>
      <c r="K542" s="28">
        <v>1</v>
      </c>
      <c r="L542" s="28">
        <v>0.2</v>
      </c>
      <c r="M542" s="28" t="str">
        <f t="shared" si="23"/>
        <v>לא לרכוש</v>
      </c>
      <c r="N542" s="28"/>
      <c r="O542" s="28">
        <v>1000</v>
      </c>
      <c r="P542" s="27"/>
      <c r="Q542" s="27"/>
    </row>
    <row r="543" spans="1:17" s="32" customFormat="1" ht="14.25" customHeight="1">
      <c r="A543" s="33" t="s">
        <v>609</v>
      </c>
      <c r="B543" s="27" t="s">
        <v>429</v>
      </c>
      <c r="C543" s="34" t="s">
        <v>550</v>
      </c>
      <c r="D543" s="27" t="s">
        <v>469</v>
      </c>
      <c r="E543" s="33" t="s">
        <v>250</v>
      </c>
      <c r="F543" s="28">
        <v>300</v>
      </c>
      <c r="G543" s="28">
        <v>1</v>
      </c>
      <c r="H543" s="28">
        <f t="shared" si="24"/>
        <v>300</v>
      </c>
      <c r="I543" s="69" t="s">
        <v>82</v>
      </c>
      <c r="J543" s="28">
        <v>1</v>
      </c>
      <c r="K543" s="28">
        <v>1</v>
      </c>
      <c r="L543" s="28">
        <v>0.2</v>
      </c>
      <c r="M543" s="28" t="str">
        <f t="shared" si="23"/>
        <v>לא לרכוש</v>
      </c>
      <c r="N543" s="28"/>
      <c r="O543" s="28">
        <v>1000</v>
      </c>
      <c r="P543" s="27"/>
      <c r="Q543" s="27"/>
    </row>
    <row r="544" spans="1:17" s="32" customFormat="1" ht="14.25" customHeight="1">
      <c r="A544" s="33" t="s">
        <v>609</v>
      </c>
      <c r="B544" s="27" t="s">
        <v>429</v>
      </c>
      <c r="C544" s="34" t="s">
        <v>551</v>
      </c>
      <c r="D544" s="27" t="s">
        <v>469</v>
      </c>
      <c r="E544" s="33" t="s">
        <v>250</v>
      </c>
      <c r="F544" s="28">
        <v>300</v>
      </c>
      <c r="G544" s="28">
        <v>1</v>
      </c>
      <c r="H544" s="28">
        <f t="shared" si="24"/>
        <v>300</v>
      </c>
      <c r="I544" s="69" t="s">
        <v>82</v>
      </c>
      <c r="J544" s="28">
        <v>1</v>
      </c>
      <c r="K544" s="28">
        <v>1</v>
      </c>
      <c r="L544" s="28">
        <v>0.2</v>
      </c>
      <c r="M544" s="28" t="str">
        <f t="shared" si="23"/>
        <v>לא לרכוש</v>
      </c>
      <c r="N544" s="28"/>
      <c r="O544" s="28">
        <v>1000</v>
      </c>
      <c r="P544" s="27"/>
      <c r="Q544" s="27"/>
    </row>
    <row r="545" spans="1:17" s="32" customFormat="1" ht="14.25" customHeight="1">
      <c r="A545" s="33" t="s">
        <v>609</v>
      </c>
      <c r="B545" s="27" t="s">
        <v>429</v>
      </c>
      <c r="C545" s="34" t="s">
        <v>552</v>
      </c>
      <c r="D545" s="27" t="s">
        <v>469</v>
      </c>
      <c r="E545" s="33" t="s">
        <v>250</v>
      </c>
      <c r="F545" s="28">
        <v>300</v>
      </c>
      <c r="G545" s="28">
        <v>1</v>
      </c>
      <c r="H545" s="28">
        <f t="shared" si="24"/>
        <v>300</v>
      </c>
      <c r="I545" s="69" t="s">
        <v>82</v>
      </c>
      <c r="J545" s="28">
        <v>1</v>
      </c>
      <c r="K545" s="28">
        <v>1</v>
      </c>
      <c r="L545" s="28">
        <v>0.2</v>
      </c>
      <c r="M545" s="28" t="str">
        <f t="shared" si="23"/>
        <v>לא לרכוש</v>
      </c>
      <c r="N545" s="28"/>
      <c r="O545" s="28">
        <v>1000</v>
      </c>
      <c r="P545" s="27"/>
      <c r="Q545" s="27"/>
    </row>
    <row r="546" spans="1:17" s="32" customFormat="1" ht="14.25" customHeight="1">
      <c r="A546" s="33" t="s">
        <v>609</v>
      </c>
      <c r="B546" s="27" t="s">
        <v>429</v>
      </c>
      <c r="C546" s="34" t="s">
        <v>553</v>
      </c>
      <c r="D546" s="27" t="s">
        <v>469</v>
      </c>
      <c r="E546" s="33" t="s">
        <v>250</v>
      </c>
      <c r="F546" s="28">
        <v>300</v>
      </c>
      <c r="G546" s="28">
        <v>1</v>
      </c>
      <c r="H546" s="28">
        <f t="shared" si="24"/>
        <v>300</v>
      </c>
      <c r="I546" s="69" t="s">
        <v>82</v>
      </c>
      <c r="J546" s="28">
        <v>1</v>
      </c>
      <c r="K546" s="28">
        <v>1</v>
      </c>
      <c r="L546" s="28">
        <v>0.2</v>
      </c>
      <c r="M546" s="28" t="str">
        <f t="shared" ref="M546:M609" si="25">IF(AND(K546*L546*30*O546&gt;H546/J546,I546=""),"לרכוש","לא לרכוש")</f>
        <v>לא לרכוש</v>
      </c>
      <c r="N546" s="28"/>
      <c r="O546" s="28">
        <v>1000</v>
      </c>
      <c r="P546" s="27"/>
      <c r="Q546" s="27"/>
    </row>
    <row r="547" spans="1:17" s="32" customFormat="1" ht="14.25" customHeight="1">
      <c r="A547" s="33" t="s">
        <v>609</v>
      </c>
      <c r="B547" s="27" t="s">
        <v>429</v>
      </c>
      <c r="C547" s="34" t="s">
        <v>554</v>
      </c>
      <c r="D547" s="27" t="s">
        <v>469</v>
      </c>
      <c r="E547" s="33" t="s">
        <v>250</v>
      </c>
      <c r="F547" s="28">
        <v>300</v>
      </c>
      <c r="G547" s="28">
        <v>1</v>
      </c>
      <c r="H547" s="28">
        <f t="shared" si="24"/>
        <v>300</v>
      </c>
      <c r="I547" s="69" t="s">
        <v>82</v>
      </c>
      <c r="J547" s="28">
        <v>1</v>
      </c>
      <c r="K547" s="28">
        <v>1</v>
      </c>
      <c r="L547" s="28">
        <v>0.2</v>
      </c>
      <c r="M547" s="28" t="str">
        <f t="shared" si="25"/>
        <v>לא לרכוש</v>
      </c>
      <c r="N547" s="28"/>
      <c r="O547" s="28">
        <v>1000</v>
      </c>
      <c r="P547" s="27"/>
      <c r="Q547" s="27"/>
    </row>
    <row r="548" spans="1:17" s="32" customFormat="1" ht="14.25" customHeight="1">
      <c r="A548" s="33" t="s">
        <v>609</v>
      </c>
      <c r="B548" s="27" t="s">
        <v>429</v>
      </c>
      <c r="C548" s="34" t="s">
        <v>555</v>
      </c>
      <c r="D548" s="27" t="s">
        <v>469</v>
      </c>
      <c r="E548" s="33" t="s">
        <v>250</v>
      </c>
      <c r="F548" s="28">
        <v>300</v>
      </c>
      <c r="G548" s="28">
        <v>1</v>
      </c>
      <c r="H548" s="28">
        <f t="shared" si="24"/>
        <v>300</v>
      </c>
      <c r="I548" s="69" t="s">
        <v>82</v>
      </c>
      <c r="J548" s="28">
        <v>1</v>
      </c>
      <c r="K548" s="28">
        <v>1</v>
      </c>
      <c r="L548" s="28">
        <v>0.2</v>
      </c>
      <c r="M548" s="28" t="str">
        <f t="shared" si="25"/>
        <v>לא לרכוש</v>
      </c>
      <c r="N548" s="28"/>
      <c r="O548" s="28">
        <v>1000</v>
      </c>
      <c r="P548" s="27"/>
      <c r="Q548" s="27"/>
    </row>
    <row r="549" spans="1:17" s="32" customFormat="1" ht="14.25" customHeight="1">
      <c r="A549" s="33" t="s">
        <v>609</v>
      </c>
      <c r="B549" s="27" t="s">
        <v>429</v>
      </c>
      <c r="C549" s="34" t="s">
        <v>556</v>
      </c>
      <c r="D549" s="27" t="s">
        <v>469</v>
      </c>
      <c r="E549" s="33" t="s">
        <v>250</v>
      </c>
      <c r="F549" s="28">
        <v>300</v>
      </c>
      <c r="G549" s="28">
        <v>1</v>
      </c>
      <c r="H549" s="28">
        <f t="shared" si="24"/>
        <v>300</v>
      </c>
      <c r="I549" s="69" t="s">
        <v>82</v>
      </c>
      <c r="J549" s="28">
        <v>1</v>
      </c>
      <c r="K549" s="28">
        <v>1</v>
      </c>
      <c r="L549" s="28">
        <v>0.2</v>
      </c>
      <c r="M549" s="28" t="str">
        <f t="shared" si="25"/>
        <v>לא לרכוש</v>
      </c>
      <c r="N549" s="28"/>
      <c r="O549" s="28">
        <v>1000</v>
      </c>
      <c r="P549" s="27"/>
      <c r="Q549" s="27"/>
    </row>
    <row r="550" spans="1:17" s="32" customFormat="1" ht="14.25" customHeight="1">
      <c r="A550" s="33" t="s">
        <v>609</v>
      </c>
      <c r="B550" s="27" t="s">
        <v>429</v>
      </c>
      <c r="C550" s="34" t="s">
        <v>557</v>
      </c>
      <c r="D550" s="27" t="s">
        <v>469</v>
      </c>
      <c r="E550" s="33" t="s">
        <v>250</v>
      </c>
      <c r="F550" s="28">
        <v>300</v>
      </c>
      <c r="G550" s="28">
        <v>1</v>
      </c>
      <c r="H550" s="28">
        <f t="shared" si="24"/>
        <v>300</v>
      </c>
      <c r="I550" s="69" t="s">
        <v>82</v>
      </c>
      <c r="J550" s="28">
        <v>1</v>
      </c>
      <c r="K550" s="28">
        <v>1</v>
      </c>
      <c r="L550" s="28">
        <v>0.2</v>
      </c>
      <c r="M550" s="28" t="str">
        <f t="shared" si="25"/>
        <v>לא לרכוש</v>
      </c>
      <c r="N550" s="28"/>
      <c r="O550" s="28">
        <v>1000</v>
      </c>
      <c r="P550" s="27"/>
      <c r="Q550" s="27"/>
    </row>
    <row r="551" spans="1:17" s="32" customFormat="1" ht="14.25" customHeight="1">
      <c r="A551" s="33" t="s">
        <v>609</v>
      </c>
      <c r="B551" s="27" t="s">
        <v>429</v>
      </c>
      <c r="C551" s="34" t="s">
        <v>558</v>
      </c>
      <c r="D551" s="27" t="s">
        <v>469</v>
      </c>
      <c r="E551" s="33" t="s">
        <v>250</v>
      </c>
      <c r="F551" s="28">
        <v>300</v>
      </c>
      <c r="G551" s="28">
        <v>1</v>
      </c>
      <c r="H551" s="28">
        <f t="shared" si="24"/>
        <v>300</v>
      </c>
      <c r="I551" s="69" t="s">
        <v>82</v>
      </c>
      <c r="J551" s="28">
        <v>1</v>
      </c>
      <c r="K551" s="28">
        <v>1</v>
      </c>
      <c r="L551" s="28">
        <v>0.2</v>
      </c>
      <c r="M551" s="28" t="str">
        <f t="shared" si="25"/>
        <v>לא לרכוש</v>
      </c>
      <c r="N551" s="28"/>
      <c r="O551" s="28">
        <v>1000</v>
      </c>
      <c r="P551" s="27"/>
      <c r="Q551" s="27"/>
    </row>
    <row r="552" spans="1:17" s="32" customFormat="1" ht="14.25" customHeight="1">
      <c r="A552" s="33" t="s">
        <v>609</v>
      </c>
      <c r="B552" s="27" t="s">
        <v>429</v>
      </c>
      <c r="C552" s="34" t="s">
        <v>559</v>
      </c>
      <c r="D552" s="27" t="s">
        <v>469</v>
      </c>
      <c r="E552" s="33" t="s">
        <v>250</v>
      </c>
      <c r="F552" s="28">
        <v>300</v>
      </c>
      <c r="G552" s="28">
        <v>1</v>
      </c>
      <c r="H552" s="28">
        <f t="shared" si="24"/>
        <v>300</v>
      </c>
      <c r="I552" s="69" t="s">
        <v>82</v>
      </c>
      <c r="J552" s="28">
        <v>1</v>
      </c>
      <c r="K552" s="28">
        <v>1</v>
      </c>
      <c r="L552" s="28">
        <v>0.2</v>
      </c>
      <c r="M552" s="28" t="str">
        <f t="shared" si="25"/>
        <v>לא לרכוש</v>
      </c>
      <c r="N552" s="28"/>
      <c r="O552" s="28">
        <v>1000</v>
      </c>
      <c r="P552" s="27"/>
      <c r="Q552" s="27"/>
    </row>
    <row r="553" spans="1:17" s="32" customFormat="1" ht="14.25" customHeight="1">
      <c r="A553" s="33" t="s">
        <v>609</v>
      </c>
      <c r="B553" s="27" t="s">
        <v>429</v>
      </c>
      <c r="C553" s="34" t="s">
        <v>560</v>
      </c>
      <c r="D553" s="27" t="s">
        <v>469</v>
      </c>
      <c r="E553" s="33" t="s">
        <v>250</v>
      </c>
      <c r="F553" s="28">
        <v>300</v>
      </c>
      <c r="G553" s="28">
        <v>1</v>
      </c>
      <c r="H553" s="28">
        <f t="shared" si="24"/>
        <v>300</v>
      </c>
      <c r="I553" s="69" t="s">
        <v>82</v>
      </c>
      <c r="J553" s="28">
        <v>1</v>
      </c>
      <c r="K553" s="28">
        <v>1</v>
      </c>
      <c r="L553" s="28">
        <v>0.2</v>
      </c>
      <c r="M553" s="28" t="str">
        <f t="shared" si="25"/>
        <v>לא לרכוש</v>
      </c>
      <c r="N553" s="28"/>
      <c r="O553" s="28">
        <v>1000</v>
      </c>
      <c r="P553" s="27"/>
      <c r="Q553" s="27"/>
    </row>
    <row r="554" spans="1:17" s="32" customFormat="1" ht="14.25" customHeight="1">
      <c r="A554" s="33" t="s">
        <v>609</v>
      </c>
      <c r="B554" s="27" t="s">
        <v>429</v>
      </c>
      <c r="C554" s="34" t="s">
        <v>561</v>
      </c>
      <c r="D554" s="27" t="s">
        <v>469</v>
      </c>
      <c r="E554" s="33" t="s">
        <v>250</v>
      </c>
      <c r="F554" s="28">
        <v>300</v>
      </c>
      <c r="G554" s="28">
        <v>1</v>
      </c>
      <c r="H554" s="28">
        <f t="shared" si="24"/>
        <v>300</v>
      </c>
      <c r="I554" s="69" t="s">
        <v>82</v>
      </c>
      <c r="J554" s="28">
        <v>1</v>
      </c>
      <c r="K554" s="28">
        <v>1</v>
      </c>
      <c r="L554" s="28">
        <v>0.2</v>
      </c>
      <c r="M554" s="28" t="str">
        <f t="shared" si="25"/>
        <v>לא לרכוש</v>
      </c>
      <c r="N554" s="28"/>
      <c r="O554" s="28">
        <v>1000</v>
      </c>
      <c r="P554" s="27"/>
      <c r="Q554" s="27"/>
    </row>
    <row r="555" spans="1:17" s="32" customFormat="1" ht="14.25" customHeight="1">
      <c r="A555" s="33" t="s">
        <v>609</v>
      </c>
      <c r="B555" s="27" t="s">
        <v>429</v>
      </c>
      <c r="C555" s="34" t="s">
        <v>562</v>
      </c>
      <c r="D555" s="27" t="s">
        <v>469</v>
      </c>
      <c r="E555" s="33" t="s">
        <v>250</v>
      </c>
      <c r="F555" s="28">
        <v>300</v>
      </c>
      <c r="G555" s="28">
        <v>1</v>
      </c>
      <c r="H555" s="28">
        <f t="shared" si="24"/>
        <v>300</v>
      </c>
      <c r="I555" s="69" t="s">
        <v>82</v>
      </c>
      <c r="J555" s="28">
        <v>1</v>
      </c>
      <c r="K555" s="28">
        <v>1</v>
      </c>
      <c r="L555" s="28">
        <v>0.2</v>
      </c>
      <c r="M555" s="28" t="str">
        <f t="shared" si="25"/>
        <v>לא לרכוש</v>
      </c>
      <c r="N555" s="28"/>
      <c r="O555" s="28">
        <v>1000</v>
      </c>
      <c r="P555" s="27"/>
      <c r="Q555" s="27"/>
    </row>
    <row r="556" spans="1:17" s="32" customFormat="1" ht="14.25" customHeight="1">
      <c r="A556" s="33" t="s">
        <v>609</v>
      </c>
      <c r="B556" s="27" t="s">
        <v>429</v>
      </c>
      <c r="C556" s="34" t="s">
        <v>563</v>
      </c>
      <c r="D556" s="27" t="s">
        <v>469</v>
      </c>
      <c r="E556" s="33" t="s">
        <v>250</v>
      </c>
      <c r="F556" s="28">
        <v>300</v>
      </c>
      <c r="G556" s="28">
        <v>1</v>
      </c>
      <c r="H556" s="28">
        <f t="shared" si="24"/>
        <v>300</v>
      </c>
      <c r="I556" s="69" t="s">
        <v>82</v>
      </c>
      <c r="J556" s="28">
        <v>1</v>
      </c>
      <c r="K556" s="28">
        <v>1</v>
      </c>
      <c r="L556" s="28">
        <v>0.2</v>
      </c>
      <c r="M556" s="28" t="str">
        <f t="shared" si="25"/>
        <v>לא לרכוש</v>
      </c>
      <c r="N556" s="28"/>
      <c r="O556" s="28">
        <v>1000</v>
      </c>
      <c r="P556" s="27"/>
      <c r="Q556" s="27"/>
    </row>
    <row r="557" spans="1:17" s="32" customFormat="1" ht="14.25" customHeight="1">
      <c r="A557" s="33" t="s">
        <v>609</v>
      </c>
      <c r="B557" s="27" t="s">
        <v>429</v>
      </c>
      <c r="C557" s="34" t="s">
        <v>564</v>
      </c>
      <c r="D557" s="27" t="s">
        <v>469</v>
      </c>
      <c r="E557" s="33" t="s">
        <v>250</v>
      </c>
      <c r="F557" s="28">
        <v>300</v>
      </c>
      <c r="G557" s="28">
        <v>1</v>
      </c>
      <c r="H557" s="28">
        <f t="shared" si="24"/>
        <v>300</v>
      </c>
      <c r="I557" s="69" t="s">
        <v>82</v>
      </c>
      <c r="J557" s="28">
        <v>1</v>
      </c>
      <c r="K557" s="28">
        <v>1</v>
      </c>
      <c r="L557" s="28">
        <v>0.2</v>
      </c>
      <c r="M557" s="28" t="str">
        <f t="shared" si="25"/>
        <v>לא לרכוש</v>
      </c>
      <c r="N557" s="28"/>
      <c r="O557" s="28">
        <v>1000</v>
      </c>
      <c r="P557" s="27"/>
      <c r="Q557" s="27"/>
    </row>
    <row r="558" spans="1:17" s="32" customFormat="1" ht="14.25" customHeight="1">
      <c r="A558" s="33" t="s">
        <v>20</v>
      </c>
      <c r="B558" s="27" t="s">
        <v>431</v>
      </c>
      <c r="C558" s="34" t="s">
        <v>568</v>
      </c>
      <c r="D558" s="27" t="s">
        <v>302</v>
      </c>
      <c r="E558" s="33" t="s">
        <v>597</v>
      </c>
      <c r="F558" s="28">
        <v>300</v>
      </c>
      <c r="G558" s="28">
        <v>1</v>
      </c>
      <c r="H558" s="28">
        <f t="shared" si="24"/>
        <v>300</v>
      </c>
      <c r="I558" s="69"/>
      <c r="J558" s="28">
        <v>1</v>
      </c>
      <c r="K558" s="28">
        <v>1</v>
      </c>
      <c r="L558" s="28">
        <v>0.7</v>
      </c>
      <c r="M558" s="28" t="str">
        <f t="shared" si="25"/>
        <v>לרכוש</v>
      </c>
      <c r="N558" s="28"/>
      <c r="O558" s="28">
        <v>1000</v>
      </c>
      <c r="P558" s="27"/>
      <c r="Q558" s="27"/>
    </row>
    <row r="559" spans="1:17" s="32" customFormat="1" ht="14.25" customHeight="1">
      <c r="A559" s="33" t="s">
        <v>20</v>
      </c>
      <c r="B559" s="27" t="s">
        <v>431</v>
      </c>
      <c r="C559" s="34" t="s">
        <v>569</v>
      </c>
      <c r="D559" s="27" t="s">
        <v>302</v>
      </c>
      <c r="E559" s="33" t="s">
        <v>597</v>
      </c>
      <c r="F559" s="28">
        <v>300</v>
      </c>
      <c r="G559" s="28">
        <v>1</v>
      </c>
      <c r="H559" s="28">
        <f t="shared" si="24"/>
        <v>300</v>
      </c>
      <c r="I559" s="69"/>
      <c r="J559" s="28">
        <v>1</v>
      </c>
      <c r="K559" s="28">
        <v>1</v>
      </c>
      <c r="L559" s="28">
        <v>0.7</v>
      </c>
      <c r="M559" s="28" t="str">
        <f t="shared" si="25"/>
        <v>לרכוש</v>
      </c>
      <c r="N559" s="28"/>
      <c r="O559" s="28">
        <v>1000</v>
      </c>
      <c r="P559" s="27"/>
      <c r="Q559" s="27"/>
    </row>
    <row r="560" spans="1:17" s="32" customFormat="1" ht="14.25" customHeight="1">
      <c r="A560" s="27" t="s">
        <v>20</v>
      </c>
      <c r="B560" s="33" t="s">
        <v>432</v>
      </c>
      <c r="C560" s="34" t="s">
        <v>611</v>
      </c>
      <c r="D560" s="63" t="s">
        <v>469</v>
      </c>
      <c r="E560" s="33" t="s">
        <v>250</v>
      </c>
      <c r="F560" s="28">
        <v>300</v>
      </c>
      <c r="G560" s="28">
        <v>1</v>
      </c>
      <c r="H560" s="28">
        <f t="shared" si="24"/>
        <v>300</v>
      </c>
      <c r="I560" s="69" t="s">
        <v>82</v>
      </c>
      <c r="J560" s="28">
        <v>1</v>
      </c>
      <c r="K560" s="28">
        <v>1</v>
      </c>
      <c r="L560" s="28">
        <v>0.2</v>
      </c>
      <c r="M560" s="28" t="str">
        <f t="shared" si="25"/>
        <v>לא לרכוש</v>
      </c>
      <c r="N560" s="28"/>
      <c r="O560" s="28">
        <v>1000</v>
      </c>
      <c r="P560" s="27"/>
      <c r="Q560" s="27"/>
    </row>
    <row r="561" spans="1:17" s="32" customFormat="1" ht="14.25" customHeight="1">
      <c r="A561" s="27" t="s">
        <v>20</v>
      </c>
      <c r="B561" s="33" t="s">
        <v>432</v>
      </c>
      <c r="C561" s="34" t="s">
        <v>612</v>
      </c>
      <c r="D561" s="63" t="s">
        <v>469</v>
      </c>
      <c r="E561" s="33" t="s">
        <v>250</v>
      </c>
      <c r="F561" s="28">
        <v>300</v>
      </c>
      <c r="G561" s="28">
        <v>1</v>
      </c>
      <c r="H561" s="28">
        <f t="shared" si="24"/>
        <v>300</v>
      </c>
      <c r="I561" s="69" t="s">
        <v>82</v>
      </c>
      <c r="J561" s="28">
        <v>1</v>
      </c>
      <c r="K561" s="28">
        <v>1</v>
      </c>
      <c r="L561" s="28">
        <v>0.2</v>
      </c>
      <c r="M561" s="28" t="str">
        <f t="shared" si="25"/>
        <v>לא לרכוש</v>
      </c>
      <c r="N561" s="28"/>
      <c r="O561" s="28">
        <v>1000</v>
      </c>
      <c r="P561" s="27"/>
      <c r="Q561" s="27"/>
    </row>
    <row r="562" spans="1:17" s="32" customFormat="1" ht="14.25" customHeight="1">
      <c r="A562" s="27" t="s">
        <v>20</v>
      </c>
      <c r="B562" s="33" t="s">
        <v>432</v>
      </c>
      <c r="C562" s="34" t="s">
        <v>613</v>
      </c>
      <c r="D562" s="63" t="s">
        <v>469</v>
      </c>
      <c r="E562" s="33" t="s">
        <v>250</v>
      </c>
      <c r="F562" s="28">
        <v>300</v>
      </c>
      <c r="G562" s="28">
        <v>1</v>
      </c>
      <c r="H562" s="28">
        <f t="shared" si="24"/>
        <v>300</v>
      </c>
      <c r="I562" s="69" t="s">
        <v>82</v>
      </c>
      <c r="J562" s="28">
        <v>1</v>
      </c>
      <c r="K562" s="28">
        <v>1</v>
      </c>
      <c r="L562" s="28">
        <v>0.2</v>
      </c>
      <c r="M562" s="28" t="str">
        <f t="shared" si="25"/>
        <v>לא לרכוש</v>
      </c>
      <c r="N562" s="28"/>
      <c r="O562" s="28">
        <v>1000</v>
      </c>
      <c r="P562" s="27"/>
      <c r="Q562" s="27"/>
    </row>
    <row r="563" spans="1:17" s="32" customFormat="1" ht="14.25" customHeight="1">
      <c r="A563" s="27" t="s">
        <v>20</v>
      </c>
      <c r="B563" s="33" t="s">
        <v>432</v>
      </c>
      <c r="C563" s="34" t="s">
        <v>614</v>
      </c>
      <c r="D563" s="63" t="s">
        <v>469</v>
      </c>
      <c r="E563" s="33" t="s">
        <v>250</v>
      </c>
      <c r="F563" s="28">
        <v>300</v>
      </c>
      <c r="G563" s="28">
        <v>1</v>
      </c>
      <c r="H563" s="28">
        <f t="shared" si="24"/>
        <v>300</v>
      </c>
      <c r="I563" s="69" t="s">
        <v>82</v>
      </c>
      <c r="J563" s="28">
        <v>1</v>
      </c>
      <c r="K563" s="28">
        <v>1</v>
      </c>
      <c r="L563" s="28">
        <v>0.2</v>
      </c>
      <c r="M563" s="28" t="str">
        <f t="shared" si="25"/>
        <v>לא לרכוש</v>
      </c>
      <c r="N563" s="28"/>
      <c r="O563" s="28">
        <v>1000</v>
      </c>
      <c r="P563" s="27"/>
      <c r="Q563" s="27"/>
    </row>
    <row r="564" spans="1:17" s="32" customFormat="1" ht="14.25" customHeight="1">
      <c r="A564" s="27" t="s">
        <v>20</v>
      </c>
      <c r="B564" s="33" t="s">
        <v>432</v>
      </c>
      <c r="C564" s="34" t="s">
        <v>615</v>
      </c>
      <c r="D564" s="63" t="s">
        <v>469</v>
      </c>
      <c r="E564" s="33" t="s">
        <v>250</v>
      </c>
      <c r="F564" s="28">
        <v>300</v>
      </c>
      <c r="G564" s="28">
        <v>1</v>
      </c>
      <c r="H564" s="28">
        <f t="shared" si="24"/>
        <v>300</v>
      </c>
      <c r="I564" s="69" t="s">
        <v>82</v>
      </c>
      <c r="J564" s="28">
        <v>1</v>
      </c>
      <c r="K564" s="28">
        <v>1</v>
      </c>
      <c r="L564" s="28">
        <v>0.2</v>
      </c>
      <c r="M564" s="28" t="str">
        <f t="shared" si="25"/>
        <v>לא לרכוש</v>
      </c>
      <c r="N564" s="28"/>
      <c r="O564" s="28">
        <v>1000</v>
      </c>
      <c r="P564" s="27"/>
      <c r="Q564" s="27"/>
    </row>
    <row r="565" spans="1:17" s="32" customFormat="1" ht="14.25" customHeight="1">
      <c r="A565" s="27" t="s">
        <v>20</v>
      </c>
      <c r="B565" s="33" t="s">
        <v>432</v>
      </c>
      <c r="C565" s="34" t="s">
        <v>616</v>
      </c>
      <c r="D565" s="63" t="s">
        <v>469</v>
      </c>
      <c r="E565" s="33" t="s">
        <v>250</v>
      </c>
      <c r="F565" s="28">
        <v>300</v>
      </c>
      <c r="G565" s="28">
        <v>1</v>
      </c>
      <c r="H565" s="28">
        <f t="shared" si="24"/>
        <v>300</v>
      </c>
      <c r="I565" s="69" t="s">
        <v>82</v>
      </c>
      <c r="J565" s="28">
        <v>1</v>
      </c>
      <c r="K565" s="28">
        <v>1</v>
      </c>
      <c r="L565" s="28">
        <v>0.2</v>
      </c>
      <c r="M565" s="28" t="str">
        <f t="shared" si="25"/>
        <v>לא לרכוש</v>
      </c>
      <c r="N565" s="28"/>
      <c r="O565" s="28">
        <v>1000</v>
      </c>
      <c r="P565" s="27"/>
      <c r="Q565" s="27"/>
    </row>
    <row r="566" spans="1:17" s="32" customFormat="1" ht="14.25" customHeight="1">
      <c r="A566" s="27" t="s">
        <v>20</v>
      </c>
      <c r="B566" s="33" t="s">
        <v>432</v>
      </c>
      <c r="C566" s="34" t="s">
        <v>617</v>
      </c>
      <c r="D566" s="63" t="s">
        <v>469</v>
      </c>
      <c r="E566" s="33" t="s">
        <v>250</v>
      </c>
      <c r="F566" s="28">
        <v>300</v>
      </c>
      <c r="G566" s="28">
        <v>1</v>
      </c>
      <c r="H566" s="28">
        <f t="shared" si="24"/>
        <v>300</v>
      </c>
      <c r="I566" s="69" t="s">
        <v>82</v>
      </c>
      <c r="J566" s="28">
        <v>1</v>
      </c>
      <c r="K566" s="28">
        <v>1</v>
      </c>
      <c r="L566" s="28">
        <v>0.2</v>
      </c>
      <c r="M566" s="28" t="str">
        <f t="shared" si="25"/>
        <v>לא לרכוש</v>
      </c>
      <c r="N566" s="28"/>
      <c r="O566" s="28">
        <v>1000</v>
      </c>
      <c r="P566" s="27"/>
      <c r="Q566" s="27"/>
    </row>
    <row r="567" spans="1:17" s="32" customFormat="1" ht="14.25" customHeight="1">
      <c r="A567" s="27" t="s">
        <v>20</v>
      </c>
      <c r="B567" s="33" t="s">
        <v>432</v>
      </c>
      <c r="C567" s="34" t="s">
        <v>618</v>
      </c>
      <c r="D567" s="63" t="s">
        <v>469</v>
      </c>
      <c r="E567" s="33" t="s">
        <v>250</v>
      </c>
      <c r="F567" s="28">
        <v>300</v>
      </c>
      <c r="G567" s="28">
        <v>1</v>
      </c>
      <c r="H567" s="28">
        <f t="shared" si="24"/>
        <v>300</v>
      </c>
      <c r="I567" s="69" t="s">
        <v>82</v>
      </c>
      <c r="J567" s="28">
        <v>1</v>
      </c>
      <c r="K567" s="28">
        <v>1</v>
      </c>
      <c r="L567" s="28">
        <v>0.2</v>
      </c>
      <c r="M567" s="28" t="str">
        <f t="shared" si="25"/>
        <v>לא לרכוש</v>
      </c>
      <c r="N567" s="28"/>
      <c r="O567" s="28">
        <v>1000</v>
      </c>
      <c r="P567" s="27"/>
      <c r="Q567" s="27"/>
    </row>
    <row r="568" spans="1:17" s="32" customFormat="1" ht="14.25" customHeight="1">
      <c r="A568" s="27" t="s">
        <v>20</v>
      </c>
      <c r="B568" s="33" t="s">
        <v>432</v>
      </c>
      <c r="C568" s="34" t="s">
        <v>619</v>
      </c>
      <c r="D568" s="63" t="s">
        <v>469</v>
      </c>
      <c r="E568" s="33" t="s">
        <v>250</v>
      </c>
      <c r="F568" s="28">
        <v>300</v>
      </c>
      <c r="G568" s="28">
        <v>1</v>
      </c>
      <c r="H568" s="28">
        <f t="shared" si="24"/>
        <v>300</v>
      </c>
      <c r="I568" s="69" t="s">
        <v>82</v>
      </c>
      <c r="J568" s="28">
        <v>1</v>
      </c>
      <c r="K568" s="28">
        <v>1</v>
      </c>
      <c r="L568" s="28">
        <v>0.2</v>
      </c>
      <c r="M568" s="28" t="str">
        <f t="shared" si="25"/>
        <v>לא לרכוש</v>
      </c>
      <c r="N568" s="28"/>
      <c r="O568" s="28">
        <v>1000</v>
      </c>
      <c r="P568" s="27"/>
      <c r="Q568" s="27"/>
    </row>
    <row r="569" spans="1:17" s="32" customFormat="1" ht="14.25" customHeight="1">
      <c r="A569" s="27" t="s">
        <v>20</v>
      </c>
      <c r="B569" s="33" t="s">
        <v>432</v>
      </c>
      <c r="C569" s="34" t="s">
        <v>620</v>
      </c>
      <c r="D569" s="63" t="s">
        <v>469</v>
      </c>
      <c r="E569" s="33" t="s">
        <v>250</v>
      </c>
      <c r="F569" s="28">
        <v>300</v>
      </c>
      <c r="G569" s="28">
        <v>1</v>
      </c>
      <c r="H569" s="28">
        <f t="shared" si="24"/>
        <v>300</v>
      </c>
      <c r="I569" s="69" t="s">
        <v>82</v>
      </c>
      <c r="J569" s="28">
        <v>1</v>
      </c>
      <c r="K569" s="28">
        <v>1</v>
      </c>
      <c r="L569" s="28">
        <v>0.2</v>
      </c>
      <c r="M569" s="28" t="str">
        <f t="shared" si="25"/>
        <v>לא לרכוש</v>
      </c>
      <c r="N569" s="28"/>
      <c r="O569" s="28">
        <v>1000</v>
      </c>
      <c r="P569" s="27"/>
      <c r="Q569" s="27"/>
    </row>
    <row r="570" spans="1:17" s="32" customFormat="1" ht="14.25" customHeight="1">
      <c r="A570" s="27" t="s">
        <v>20</v>
      </c>
      <c r="B570" s="33" t="s">
        <v>432</v>
      </c>
      <c r="C570" s="34" t="s">
        <v>621</v>
      </c>
      <c r="D570" s="63" t="s">
        <v>469</v>
      </c>
      <c r="E570" s="33" t="s">
        <v>250</v>
      </c>
      <c r="F570" s="28">
        <v>300</v>
      </c>
      <c r="G570" s="28">
        <v>1</v>
      </c>
      <c r="H570" s="28">
        <f t="shared" si="24"/>
        <v>300</v>
      </c>
      <c r="I570" s="69" t="s">
        <v>82</v>
      </c>
      <c r="J570" s="28">
        <v>1</v>
      </c>
      <c r="K570" s="28">
        <v>1</v>
      </c>
      <c r="L570" s="28">
        <v>0.2</v>
      </c>
      <c r="M570" s="28" t="str">
        <f t="shared" si="25"/>
        <v>לא לרכוש</v>
      </c>
      <c r="N570" s="28"/>
      <c r="O570" s="28">
        <v>1000</v>
      </c>
      <c r="P570" s="27"/>
      <c r="Q570" s="27"/>
    </row>
    <row r="571" spans="1:17" s="32" customFormat="1" ht="14.25" customHeight="1">
      <c r="A571" s="27" t="s">
        <v>20</v>
      </c>
      <c r="B571" s="33" t="s">
        <v>432</v>
      </c>
      <c r="C571" s="34" t="s">
        <v>622</v>
      </c>
      <c r="D571" s="63" t="s">
        <v>469</v>
      </c>
      <c r="E571" s="33" t="s">
        <v>250</v>
      </c>
      <c r="F571" s="28">
        <v>300</v>
      </c>
      <c r="G571" s="28">
        <v>1</v>
      </c>
      <c r="H571" s="28">
        <f t="shared" si="24"/>
        <v>300</v>
      </c>
      <c r="I571" s="69" t="s">
        <v>82</v>
      </c>
      <c r="J571" s="28">
        <v>1</v>
      </c>
      <c r="K571" s="28">
        <v>1</v>
      </c>
      <c r="L571" s="28">
        <v>0.2</v>
      </c>
      <c r="M571" s="28" t="str">
        <f t="shared" si="25"/>
        <v>לא לרכוש</v>
      </c>
      <c r="N571" s="28"/>
      <c r="O571" s="28">
        <v>1000</v>
      </c>
      <c r="P571" s="27"/>
      <c r="Q571" s="27"/>
    </row>
    <row r="572" spans="1:17" s="32" customFormat="1" ht="14.25" customHeight="1">
      <c r="A572" s="27" t="s">
        <v>20</v>
      </c>
      <c r="B572" s="33" t="s">
        <v>432</v>
      </c>
      <c r="C572" s="34" t="s">
        <v>623</v>
      </c>
      <c r="D572" s="63" t="s">
        <v>469</v>
      </c>
      <c r="E572" s="33" t="s">
        <v>250</v>
      </c>
      <c r="F572" s="28">
        <v>300</v>
      </c>
      <c r="G572" s="28">
        <v>1</v>
      </c>
      <c r="H572" s="28">
        <f t="shared" si="24"/>
        <v>300</v>
      </c>
      <c r="I572" s="69" t="s">
        <v>82</v>
      </c>
      <c r="J572" s="28">
        <v>1</v>
      </c>
      <c r="K572" s="28">
        <v>1</v>
      </c>
      <c r="L572" s="28">
        <v>0.2</v>
      </c>
      <c r="M572" s="28" t="str">
        <f t="shared" si="25"/>
        <v>לא לרכוש</v>
      </c>
      <c r="N572" s="28"/>
      <c r="O572" s="28">
        <v>1000</v>
      </c>
      <c r="P572" s="27"/>
      <c r="Q572" s="27"/>
    </row>
    <row r="573" spans="1:17" s="32" customFormat="1" ht="14.25" customHeight="1">
      <c r="A573" s="27" t="s">
        <v>20</v>
      </c>
      <c r="B573" s="33" t="s">
        <v>432</v>
      </c>
      <c r="C573" s="34" t="s">
        <v>582</v>
      </c>
      <c r="D573" s="63" t="s">
        <v>469</v>
      </c>
      <c r="E573" s="33" t="s">
        <v>250</v>
      </c>
      <c r="F573" s="28">
        <v>300</v>
      </c>
      <c r="G573" s="28">
        <v>1</v>
      </c>
      <c r="H573" s="28">
        <f t="shared" si="24"/>
        <v>300</v>
      </c>
      <c r="I573" s="69" t="s">
        <v>82</v>
      </c>
      <c r="J573" s="28">
        <v>1</v>
      </c>
      <c r="K573" s="28">
        <v>1</v>
      </c>
      <c r="L573" s="28">
        <v>0.2</v>
      </c>
      <c r="M573" s="28" t="str">
        <f t="shared" si="25"/>
        <v>לא לרכוש</v>
      </c>
      <c r="N573" s="28"/>
      <c r="O573" s="28">
        <v>1000</v>
      </c>
      <c r="P573" s="27"/>
      <c r="Q573" s="27"/>
    </row>
    <row r="574" spans="1:17" s="32" customFormat="1" ht="14.25" customHeight="1">
      <c r="A574" s="27" t="s">
        <v>20</v>
      </c>
      <c r="B574" s="33" t="s">
        <v>432</v>
      </c>
      <c r="C574" s="34" t="s">
        <v>624</v>
      </c>
      <c r="D574" s="63" t="s">
        <v>469</v>
      </c>
      <c r="E574" s="33" t="s">
        <v>250</v>
      </c>
      <c r="F574" s="28">
        <v>300</v>
      </c>
      <c r="G574" s="28">
        <v>1</v>
      </c>
      <c r="H574" s="28">
        <f t="shared" si="24"/>
        <v>300</v>
      </c>
      <c r="I574" s="69" t="s">
        <v>82</v>
      </c>
      <c r="J574" s="28">
        <v>1</v>
      </c>
      <c r="K574" s="28">
        <v>1</v>
      </c>
      <c r="L574" s="28">
        <v>0.2</v>
      </c>
      <c r="M574" s="28" t="str">
        <f t="shared" si="25"/>
        <v>לא לרכוש</v>
      </c>
      <c r="N574" s="28"/>
      <c r="O574" s="28">
        <v>1000</v>
      </c>
      <c r="P574" s="27"/>
      <c r="Q574" s="27"/>
    </row>
    <row r="575" spans="1:17" s="32" customFormat="1" ht="14.25" customHeight="1">
      <c r="A575" s="27" t="s">
        <v>20</v>
      </c>
      <c r="B575" s="33" t="s">
        <v>432</v>
      </c>
      <c r="C575" s="34" t="s">
        <v>625</v>
      </c>
      <c r="D575" s="63" t="s">
        <v>469</v>
      </c>
      <c r="E575" s="33" t="s">
        <v>250</v>
      </c>
      <c r="F575" s="28">
        <v>300</v>
      </c>
      <c r="G575" s="28">
        <v>1</v>
      </c>
      <c r="H575" s="28">
        <f t="shared" si="24"/>
        <v>300</v>
      </c>
      <c r="I575" s="69" t="s">
        <v>82</v>
      </c>
      <c r="J575" s="28">
        <v>1</v>
      </c>
      <c r="K575" s="28">
        <v>1</v>
      </c>
      <c r="L575" s="28">
        <v>0.2</v>
      </c>
      <c r="M575" s="28" t="str">
        <f t="shared" si="25"/>
        <v>לא לרכוש</v>
      </c>
      <c r="N575" s="28"/>
      <c r="O575" s="28">
        <v>1000</v>
      </c>
      <c r="P575" s="27"/>
      <c r="Q575" s="27"/>
    </row>
    <row r="576" spans="1:17" s="32" customFormat="1" ht="14.25" customHeight="1">
      <c r="A576" s="27" t="s">
        <v>20</v>
      </c>
      <c r="B576" s="33" t="s">
        <v>432</v>
      </c>
      <c r="C576" s="34" t="s">
        <v>626</v>
      </c>
      <c r="D576" s="63" t="s">
        <v>749</v>
      </c>
      <c r="E576" s="33" t="s">
        <v>250</v>
      </c>
      <c r="F576" s="28">
        <v>300</v>
      </c>
      <c r="G576" s="28">
        <v>1</v>
      </c>
      <c r="H576" s="28">
        <f t="shared" si="24"/>
        <v>300</v>
      </c>
      <c r="I576" s="69" t="s">
        <v>82</v>
      </c>
      <c r="J576" s="28">
        <v>1</v>
      </c>
      <c r="K576" s="28">
        <v>1</v>
      </c>
      <c r="L576" s="28">
        <v>0.2</v>
      </c>
      <c r="M576" s="28" t="str">
        <f t="shared" si="25"/>
        <v>לא לרכוש</v>
      </c>
      <c r="N576" s="28"/>
      <c r="O576" s="28">
        <v>1000</v>
      </c>
      <c r="P576" s="27"/>
      <c r="Q576" s="27"/>
    </row>
    <row r="577" spans="1:17" s="32" customFormat="1" ht="14.25" customHeight="1">
      <c r="A577" s="27" t="s">
        <v>20</v>
      </c>
      <c r="B577" s="33" t="s">
        <v>432</v>
      </c>
      <c r="C577" s="34" t="s">
        <v>627</v>
      </c>
      <c r="D577" s="63" t="s">
        <v>749</v>
      </c>
      <c r="E577" s="33" t="s">
        <v>250</v>
      </c>
      <c r="F577" s="28">
        <v>300</v>
      </c>
      <c r="G577" s="28">
        <v>1</v>
      </c>
      <c r="H577" s="28">
        <f t="shared" si="24"/>
        <v>300</v>
      </c>
      <c r="I577" s="69" t="s">
        <v>82</v>
      </c>
      <c r="J577" s="28">
        <v>1</v>
      </c>
      <c r="K577" s="28">
        <v>1</v>
      </c>
      <c r="L577" s="28">
        <v>0.2</v>
      </c>
      <c r="M577" s="28" t="str">
        <f t="shared" si="25"/>
        <v>לא לרכוש</v>
      </c>
      <c r="N577" s="28"/>
      <c r="O577" s="28">
        <v>1000</v>
      </c>
      <c r="P577" s="27"/>
      <c r="Q577" s="27"/>
    </row>
    <row r="578" spans="1:17" s="32" customFormat="1" ht="14.25" customHeight="1">
      <c r="A578" s="27" t="s">
        <v>20</v>
      </c>
      <c r="B578" s="33" t="s">
        <v>432</v>
      </c>
      <c r="C578" s="34" t="s">
        <v>628</v>
      </c>
      <c r="D578" s="63" t="s">
        <v>749</v>
      </c>
      <c r="E578" s="33" t="s">
        <v>250</v>
      </c>
      <c r="F578" s="28">
        <v>300</v>
      </c>
      <c r="G578" s="28">
        <v>1</v>
      </c>
      <c r="H578" s="28">
        <f t="shared" si="24"/>
        <v>300</v>
      </c>
      <c r="I578" s="69" t="s">
        <v>82</v>
      </c>
      <c r="J578" s="28">
        <v>1</v>
      </c>
      <c r="K578" s="28">
        <v>1</v>
      </c>
      <c r="L578" s="28">
        <v>0.2</v>
      </c>
      <c r="M578" s="28" t="str">
        <f t="shared" si="25"/>
        <v>לא לרכוש</v>
      </c>
      <c r="N578" s="28"/>
      <c r="O578" s="28">
        <v>1000</v>
      </c>
      <c r="P578" s="27"/>
      <c r="Q578" s="27"/>
    </row>
    <row r="579" spans="1:17" s="32" customFormat="1" ht="14.25" customHeight="1">
      <c r="A579" s="27" t="s">
        <v>20</v>
      </c>
      <c r="B579" s="33" t="s">
        <v>432</v>
      </c>
      <c r="C579" s="34" t="s">
        <v>629</v>
      </c>
      <c r="D579" s="63" t="s">
        <v>749</v>
      </c>
      <c r="E579" s="33" t="s">
        <v>250</v>
      </c>
      <c r="F579" s="28">
        <v>300</v>
      </c>
      <c r="G579" s="28">
        <v>1</v>
      </c>
      <c r="H579" s="28">
        <f t="shared" si="24"/>
        <v>300</v>
      </c>
      <c r="I579" s="69" t="s">
        <v>82</v>
      </c>
      <c r="J579" s="28">
        <v>1</v>
      </c>
      <c r="K579" s="28">
        <v>1</v>
      </c>
      <c r="L579" s="28">
        <v>0.2</v>
      </c>
      <c r="M579" s="28" t="str">
        <f t="shared" si="25"/>
        <v>לא לרכוש</v>
      </c>
      <c r="N579" s="28"/>
      <c r="O579" s="28">
        <v>1000</v>
      </c>
      <c r="P579" s="27"/>
      <c r="Q579" s="27"/>
    </row>
    <row r="580" spans="1:17" s="32" customFormat="1" ht="14.25" customHeight="1">
      <c r="A580" s="27" t="s">
        <v>20</v>
      </c>
      <c r="B580" s="33" t="s">
        <v>432</v>
      </c>
      <c r="C580" s="34" t="s">
        <v>630</v>
      </c>
      <c r="D580" s="63" t="s">
        <v>749</v>
      </c>
      <c r="E580" s="33" t="s">
        <v>250</v>
      </c>
      <c r="F580" s="28">
        <v>300</v>
      </c>
      <c r="G580" s="28">
        <v>1</v>
      </c>
      <c r="H580" s="28">
        <f t="shared" si="24"/>
        <v>300</v>
      </c>
      <c r="I580" s="69" t="s">
        <v>82</v>
      </c>
      <c r="J580" s="28">
        <v>1</v>
      </c>
      <c r="K580" s="28">
        <v>1</v>
      </c>
      <c r="L580" s="28">
        <v>0.2</v>
      </c>
      <c r="M580" s="28" t="str">
        <f t="shared" si="25"/>
        <v>לא לרכוש</v>
      </c>
      <c r="N580" s="28"/>
      <c r="O580" s="28">
        <v>1000</v>
      </c>
      <c r="P580" s="27"/>
      <c r="Q580" s="27"/>
    </row>
    <row r="581" spans="1:17" s="32" customFormat="1" ht="14.25" customHeight="1">
      <c r="A581" s="27" t="s">
        <v>20</v>
      </c>
      <c r="B581" s="33" t="s">
        <v>432</v>
      </c>
      <c r="C581" s="34" t="s">
        <v>631</v>
      </c>
      <c r="D581" s="63" t="s">
        <v>749</v>
      </c>
      <c r="E581" s="33" t="s">
        <v>250</v>
      </c>
      <c r="F581" s="28">
        <v>300</v>
      </c>
      <c r="G581" s="28">
        <v>1</v>
      </c>
      <c r="H581" s="28">
        <f t="shared" si="24"/>
        <v>300</v>
      </c>
      <c r="I581" s="69" t="s">
        <v>82</v>
      </c>
      <c r="J581" s="28">
        <v>1</v>
      </c>
      <c r="K581" s="28">
        <v>1</v>
      </c>
      <c r="L581" s="28">
        <v>0.2</v>
      </c>
      <c r="M581" s="28" t="str">
        <f t="shared" si="25"/>
        <v>לא לרכוש</v>
      </c>
      <c r="N581" s="28"/>
      <c r="O581" s="28">
        <v>1000</v>
      </c>
      <c r="P581" s="27"/>
      <c r="Q581" s="27"/>
    </row>
    <row r="582" spans="1:17" s="32" customFormat="1" ht="14.25" customHeight="1">
      <c r="A582" s="27" t="s">
        <v>20</v>
      </c>
      <c r="B582" s="33" t="s">
        <v>432</v>
      </c>
      <c r="C582" s="34" t="s">
        <v>632</v>
      </c>
      <c r="D582" s="63" t="s">
        <v>749</v>
      </c>
      <c r="E582" s="33" t="s">
        <v>250</v>
      </c>
      <c r="F582" s="28">
        <v>300</v>
      </c>
      <c r="G582" s="28">
        <v>1</v>
      </c>
      <c r="H582" s="28">
        <f t="shared" si="24"/>
        <v>300</v>
      </c>
      <c r="I582" s="69" t="s">
        <v>82</v>
      </c>
      <c r="J582" s="28">
        <v>1</v>
      </c>
      <c r="K582" s="28">
        <v>1</v>
      </c>
      <c r="L582" s="28">
        <v>0.2</v>
      </c>
      <c r="M582" s="28" t="str">
        <f t="shared" si="25"/>
        <v>לא לרכוש</v>
      </c>
      <c r="N582" s="28"/>
      <c r="O582" s="28">
        <v>1000</v>
      </c>
      <c r="P582" s="27"/>
      <c r="Q582" s="27"/>
    </row>
    <row r="583" spans="1:17" s="32" customFormat="1" ht="14.25" customHeight="1">
      <c r="A583" s="27" t="s">
        <v>20</v>
      </c>
      <c r="B583" s="33" t="s">
        <v>432</v>
      </c>
      <c r="C583" s="34" t="s">
        <v>633</v>
      </c>
      <c r="D583" s="63" t="s">
        <v>749</v>
      </c>
      <c r="E583" s="33" t="s">
        <v>250</v>
      </c>
      <c r="F583" s="28">
        <v>300</v>
      </c>
      <c r="G583" s="28">
        <v>1</v>
      </c>
      <c r="H583" s="28">
        <f t="shared" si="24"/>
        <v>300</v>
      </c>
      <c r="I583" s="69" t="s">
        <v>82</v>
      </c>
      <c r="J583" s="28">
        <v>1</v>
      </c>
      <c r="K583" s="28">
        <v>1</v>
      </c>
      <c r="L583" s="28">
        <v>0.2</v>
      </c>
      <c r="M583" s="28" t="str">
        <f t="shared" si="25"/>
        <v>לא לרכוש</v>
      </c>
      <c r="N583" s="28"/>
      <c r="O583" s="28">
        <v>1000</v>
      </c>
      <c r="P583" s="27"/>
      <c r="Q583" s="27"/>
    </row>
    <row r="584" spans="1:17" s="32" customFormat="1" ht="14.25" customHeight="1">
      <c r="A584" s="27" t="s">
        <v>20</v>
      </c>
      <c r="B584" s="33" t="s">
        <v>432</v>
      </c>
      <c r="C584" s="34" t="s">
        <v>634</v>
      </c>
      <c r="D584" s="63" t="s">
        <v>749</v>
      </c>
      <c r="E584" s="33" t="s">
        <v>250</v>
      </c>
      <c r="F584" s="28">
        <v>300</v>
      </c>
      <c r="G584" s="28">
        <v>1</v>
      </c>
      <c r="H584" s="28">
        <f t="shared" si="24"/>
        <v>300</v>
      </c>
      <c r="I584" s="69" t="s">
        <v>82</v>
      </c>
      <c r="J584" s="28">
        <v>1</v>
      </c>
      <c r="K584" s="28">
        <v>1</v>
      </c>
      <c r="L584" s="28">
        <v>0.2</v>
      </c>
      <c r="M584" s="28" t="str">
        <f t="shared" si="25"/>
        <v>לא לרכוש</v>
      </c>
      <c r="N584" s="28"/>
      <c r="O584" s="28">
        <v>1000</v>
      </c>
      <c r="P584" s="27"/>
      <c r="Q584" s="27"/>
    </row>
    <row r="585" spans="1:17" s="32" customFormat="1" ht="14.25" customHeight="1">
      <c r="A585" s="27" t="s">
        <v>20</v>
      </c>
      <c r="B585" s="33" t="s">
        <v>432</v>
      </c>
      <c r="C585" s="34" t="s">
        <v>635</v>
      </c>
      <c r="D585" s="63" t="s">
        <v>749</v>
      </c>
      <c r="E585" s="33" t="s">
        <v>250</v>
      </c>
      <c r="F585" s="28">
        <v>300</v>
      </c>
      <c r="G585" s="28">
        <v>1</v>
      </c>
      <c r="H585" s="28">
        <f t="shared" si="24"/>
        <v>300</v>
      </c>
      <c r="I585" s="69" t="s">
        <v>82</v>
      </c>
      <c r="J585" s="28">
        <v>1</v>
      </c>
      <c r="K585" s="28">
        <v>1</v>
      </c>
      <c r="L585" s="28">
        <v>0.2</v>
      </c>
      <c r="M585" s="28" t="str">
        <f t="shared" si="25"/>
        <v>לא לרכוש</v>
      </c>
      <c r="N585" s="28"/>
      <c r="O585" s="28">
        <v>1000</v>
      </c>
      <c r="P585" s="27"/>
      <c r="Q585" s="27"/>
    </row>
    <row r="586" spans="1:17" s="32" customFormat="1" ht="14.25" customHeight="1">
      <c r="A586" s="27" t="s">
        <v>20</v>
      </c>
      <c r="B586" s="33" t="s">
        <v>432</v>
      </c>
      <c r="C586" s="34" t="s">
        <v>636</v>
      </c>
      <c r="D586" s="63" t="s">
        <v>749</v>
      </c>
      <c r="E586" s="33" t="s">
        <v>250</v>
      </c>
      <c r="F586" s="28">
        <v>300</v>
      </c>
      <c r="G586" s="28">
        <v>1</v>
      </c>
      <c r="H586" s="28">
        <f t="shared" si="24"/>
        <v>300</v>
      </c>
      <c r="I586" s="69" t="s">
        <v>82</v>
      </c>
      <c r="J586" s="28">
        <v>1</v>
      </c>
      <c r="K586" s="28">
        <v>1</v>
      </c>
      <c r="L586" s="28">
        <v>0.2</v>
      </c>
      <c r="M586" s="28" t="str">
        <f t="shared" si="25"/>
        <v>לא לרכוש</v>
      </c>
      <c r="N586" s="28"/>
      <c r="O586" s="28">
        <v>1000</v>
      </c>
      <c r="P586" s="27"/>
      <c r="Q586" s="27"/>
    </row>
    <row r="587" spans="1:17" s="32" customFormat="1" ht="14.25" customHeight="1">
      <c r="A587" s="33" t="s">
        <v>90</v>
      </c>
      <c r="B587" s="27" t="s">
        <v>438</v>
      </c>
      <c r="C587" s="34" t="s">
        <v>777</v>
      </c>
      <c r="D587" s="27" t="s">
        <v>994</v>
      </c>
      <c r="E587" s="33" t="s">
        <v>995</v>
      </c>
      <c r="F587" s="28">
        <v>300</v>
      </c>
      <c r="G587" s="28">
        <v>1</v>
      </c>
      <c r="H587" s="28">
        <f t="shared" si="24"/>
        <v>300</v>
      </c>
      <c r="I587" s="69"/>
      <c r="J587" s="28">
        <v>1</v>
      </c>
      <c r="K587" s="28">
        <v>1</v>
      </c>
      <c r="L587" s="28">
        <v>0.5</v>
      </c>
      <c r="M587" s="28" t="str">
        <f t="shared" si="25"/>
        <v>לרכוש</v>
      </c>
      <c r="N587" s="28"/>
      <c r="O587" s="28">
        <v>1000</v>
      </c>
      <c r="P587" s="27"/>
      <c r="Q587" s="27"/>
    </row>
    <row r="588" spans="1:17" s="32" customFormat="1" ht="14.25" customHeight="1">
      <c r="A588" s="15" t="s">
        <v>17</v>
      </c>
      <c r="B588" s="14" t="s">
        <v>438</v>
      </c>
      <c r="C588" s="13" t="s">
        <v>781</v>
      </c>
      <c r="D588" s="14" t="s">
        <v>343</v>
      </c>
      <c r="E588" s="15" t="s">
        <v>1001</v>
      </c>
      <c r="F588" s="16">
        <v>300</v>
      </c>
      <c r="G588" s="28">
        <v>1</v>
      </c>
      <c r="H588" s="16">
        <f t="shared" si="24"/>
        <v>300</v>
      </c>
      <c r="I588" s="72"/>
      <c r="J588" s="16">
        <v>1</v>
      </c>
      <c r="K588" s="16"/>
      <c r="L588" s="16">
        <v>0.5</v>
      </c>
      <c r="M588" s="16" t="str">
        <f t="shared" si="25"/>
        <v>לא לרכוש</v>
      </c>
      <c r="N588" s="16"/>
      <c r="O588" s="28">
        <v>1000</v>
      </c>
      <c r="P588" s="17"/>
      <c r="Q588" s="14"/>
    </row>
    <row r="589" spans="1:17" s="32" customFormat="1" ht="14.25" customHeight="1">
      <c r="A589" s="15" t="s">
        <v>17</v>
      </c>
      <c r="B589" s="14" t="s">
        <v>438</v>
      </c>
      <c r="C589" s="13" t="s">
        <v>782</v>
      </c>
      <c r="D589" s="14" t="s">
        <v>343</v>
      </c>
      <c r="E589" s="15" t="s">
        <v>1001</v>
      </c>
      <c r="F589" s="16">
        <v>300</v>
      </c>
      <c r="G589" s="28">
        <v>1</v>
      </c>
      <c r="H589" s="16">
        <f t="shared" si="24"/>
        <v>300</v>
      </c>
      <c r="I589" s="72"/>
      <c r="J589" s="16">
        <v>1</v>
      </c>
      <c r="K589" s="16"/>
      <c r="L589" s="16">
        <v>0.5</v>
      </c>
      <c r="M589" s="16" t="str">
        <f t="shared" si="25"/>
        <v>לא לרכוש</v>
      </c>
      <c r="N589" s="16"/>
      <c r="O589" s="28">
        <v>1000</v>
      </c>
      <c r="P589" s="17"/>
      <c r="Q589" s="14"/>
    </row>
    <row r="590" spans="1:17" s="32" customFormat="1" ht="14.25" customHeight="1">
      <c r="A590" s="33" t="s">
        <v>20</v>
      </c>
      <c r="B590" s="27" t="s">
        <v>440</v>
      </c>
      <c r="C590" s="34" t="s">
        <v>804</v>
      </c>
      <c r="D590" s="27" t="s">
        <v>469</v>
      </c>
      <c r="E590" s="33" t="s">
        <v>250</v>
      </c>
      <c r="F590" s="28">
        <v>300</v>
      </c>
      <c r="G590" s="28">
        <v>1</v>
      </c>
      <c r="H590" s="28">
        <f t="shared" si="24"/>
        <v>300</v>
      </c>
      <c r="I590" s="69" t="s">
        <v>82</v>
      </c>
      <c r="J590" s="28">
        <v>1</v>
      </c>
      <c r="K590" s="28">
        <v>0</v>
      </c>
      <c r="L590" s="28">
        <v>0.5</v>
      </c>
      <c r="M590" s="28" t="str">
        <f t="shared" si="25"/>
        <v>לא לרכוש</v>
      </c>
      <c r="N590" s="28"/>
      <c r="O590" s="28">
        <v>1000</v>
      </c>
      <c r="P590" s="27"/>
      <c r="Q590" s="27"/>
    </row>
    <row r="591" spans="1:17" s="32" customFormat="1" ht="14.25" customHeight="1">
      <c r="A591" s="33" t="s">
        <v>20</v>
      </c>
      <c r="B591" s="27" t="s">
        <v>440</v>
      </c>
      <c r="C591" s="34" t="s">
        <v>805</v>
      </c>
      <c r="D591" s="27" t="s">
        <v>469</v>
      </c>
      <c r="E591" s="33" t="s">
        <v>250</v>
      </c>
      <c r="F591" s="28">
        <v>300</v>
      </c>
      <c r="G591" s="28">
        <v>1</v>
      </c>
      <c r="H591" s="28">
        <f t="shared" si="24"/>
        <v>300</v>
      </c>
      <c r="I591" s="69" t="s">
        <v>82</v>
      </c>
      <c r="J591" s="28">
        <v>1</v>
      </c>
      <c r="K591" s="28">
        <v>1</v>
      </c>
      <c r="L591" s="28">
        <v>0.5</v>
      </c>
      <c r="M591" s="28" t="str">
        <f t="shared" si="25"/>
        <v>לא לרכוש</v>
      </c>
      <c r="N591" s="28"/>
      <c r="O591" s="28">
        <v>1000</v>
      </c>
      <c r="P591" s="27"/>
      <c r="Q591" s="27"/>
    </row>
    <row r="592" spans="1:17" s="32" customFormat="1" ht="14.25" customHeight="1">
      <c r="A592" s="33" t="s">
        <v>20</v>
      </c>
      <c r="B592" s="27" t="s">
        <v>440</v>
      </c>
      <c r="C592" s="34" t="s">
        <v>810</v>
      </c>
      <c r="D592" s="27" t="s">
        <v>469</v>
      </c>
      <c r="E592" s="33" t="s">
        <v>250</v>
      </c>
      <c r="F592" s="28">
        <v>300</v>
      </c>
      <c r="G592" s="28">
        <v>1</v>
      </c>
      <c r="H592" s="28">
        <f t="shared" si="24"/>
        <v>300</v>
      </c>
      <c r="I592" s="69" t="s">
        <v>82</v>
      </c>
      <c r="J592" s="28">
        <v>1</v>
      </c>
      <c r="K592" s="28">
        <v>1</v>
      </c>
      <c r="L592" s="28">
        <v>0.5</v>
      </c>
      <c r="M592" s="28" t="str">
        <f t="shared" si="25"/>
        <v>לא לרכוש</v>
      </c>
      <c r="N592" s="28"/>
      <c r="O592" s="28">
        <v>1000</v>
      </c>
      <c r="P592" s="27"/>
      <c r="Q592" s="27"/>
    </row>
    <row r="593" spans="1:17" s="32" customFormat="1" ht="14.25" customHeight="1">
      <c r="A593" s="33" t="s">
        <v>20</v>
      </c>
      <c r="B593" s="27" t="s">
        <v>440</v>
      </c>
      <c r="C593" s="34" t="s">
        <v>811</v>
      </c>
      <c r="D593" s="27" t="s">
        <v>469</v>
      </c>
      <c r="E593" s="33" t="s">
        <v>250</v>
      </c>
      <c r="F593" s="28">
        <v>300</v>
      </c>
      <c r="G593" s="28">
        <v>1</v>
      </c>
      <c r="H593" s="28">
        <f t="shared" si="24"/>
        <v>300</v>
      </c>
      <c r="I593" s="69" t="s">
        <v>82</v>
      </c>
      <c r="J593" s="28">
        <v>1</v>
      </c>
      <c r="K593" s="28">
        <v>1</v>
      </c>
      <c r="L593" s="28">
        <v>0.5</v>
      </c>
      <c r="M593" s="28" t="str">
        <f t="shared" si="25"/>
        <v>לא לרכוש</v>
      </c>
      <c r="N593" s="28"/>
      <c r="O593" s="28">
        <v>1000</v>
      </c>
      <c r="P593" s="27"/>
      <c r="Q593" s="27"/>
    </row>
    <row r="594" spans="1:17" s="32" customFormat="1" ht="14.25" customHeight="1">
      <c r="A594" s="33" t="s">
        <v>20</v>
      </c>
      <c r="B594" s="27" t="s">
        <v>440</v>
      </c>
      <c r="C594" s="34" t="s">
        <v>812</v>
      </c>
      <c r="D594" s="27" t="s">
        <v>469</v>
      </c>
      <c r="E594" s="33" t="s">
        <v>250</v>
      </c>
      <c r="F594" s="28">
        <v>300</v>
      </c>
      <c r="G594" s="28">
        <v>1</v>
      </c>
      <c r="H594" s="28">
        <f t="shared" si="24"/>
        <v>300</v>
      </c>
      <c r="I594" s="69" t="s">
        <v>82</v>
      </c>
      <c r="J594" s="28">
        <v>1</v>
      </c>
      <c r="K594" s="28">
        <v>1</v>
      </c>
      <c r="L594" s="28">
        <v>0.5</v>
      </c>
      <c r="M594" s="28" t="str">
        <f t="shared" si="25"/>
        <v>לא לרכוש</v>
      </c>
      <c r="N594" s="28"/>
      <c r="O594" s="28">
        <v>1000</v>
      </c>
      <c r="P594" s="27"/>
      <c r="Q594" s="27"/>
    </row>
    <row r="595" spans="1:17" s="32" customFormat="1" ht="14.25" customHeight="1">
      <c r="A595" s="33" t="s">
        <v>20</v>
      </c>
      <c r="B595" s="27" t="s">
        <v>440</v>
      </c>
      <c r="C595" s="34" t="s">
        <v>813</v>
      </c>
      <c r="D595" s="27" t="s">
        <v>469</v>
      </c>
      <c r="E595" s="33" t="s">
        <v>250</v>
      </c>
      <c r="F595" s="28">
        <v>300</v>
      </c>
      <c r="G595" s="28">
        <v>1</v>
      </c>
      <c r="H595" s="28">
        <f t="shared" si="24"/>
        <v>300</v>
      </c>
      <c r="I595" s="69" t="s">
        <v>82</v>
      </c>
      <c r="J595" s="28">
        <v>1</v>
      </c>
      <c r="K595" s="28">
        <v>1</v>
      </c>
      <c r="L595" s="28">
        <v>0.5</v>
      </c>
      <c r="M595" s="28" t="str">
        <f t="shared" si="25"/>
        <v>לא לרכוש</v>
      </c>
      <c r="N595" s="28"/>
      <c r="O595" s="28">
        <v>1000</v>
      </c>
      <c r="P595" s="27"/>
      <c r="Q595" s="27"/>
    </row>
    <row r="596" spans="1:17" s="32" customFormat="1" ht="14.25" customHeight="1">
      <c r="A596" s="33" t="s">
        <v>20</v>
      </c>
      <c r="B596" s="27" t="s">
        <v>440</v>
      </c>
      <c r="C596" s="34" t="s">
        <v>815</v>
      </c>
      <c r="D596" s="27" t="s">
        <v>469</v>
      </c>
      <c r="E596" s="33" t="s">
        <v>250</v>
      </c>
      <c r="F596" s="28">
        <v>300</v>
      </c>
      <c r="G596" s="28">
        <v>1</v>
      </c>
      <c r="H596" s="28">
        <f t="shared" si="24"/>
        <v>300</v>
      </c>
      <c r="I596" s="69" t="s">
        <v>82</v>
      </c>
      <c r="J596" s="28">
        <v>1</v>
      </c>
      <c r="K596" s="28">
        <v>1</v>
      </c>
      <c r="L596" s="28">
        <v>0.5</v>
      </c>
      <c r="M596" s="28" t="str">
        <f t="shared" si="25"/>
        <v>לא לרכוש</v>
      </c>
      <c r="N596" s="28"/>
      <c r="O596" s="28">
        <v>1000</v>
      </c>
      <c r="P596" s="27"/>
      <c r="Q596" s="27"/>
    </row>
    <row r="597" spans="1:17" s="32" customFormat="1" ht="14.25" customHeight="1">
      <c r="A597" s="33" t="s">
        <v>20</v>
      </c>
      <c r="B597" s="27" t="s">
        <v>440</v>
      </c>
      <c r="C597" s="34" t="s">
        <v>816</v>
      </c>
      <c r="D597" s="27" t="s">
        <v>469</v>
      </c>
      <c r="E597" s="33" t="s">
        <v>250</v>
      </c>
      <c r="F597" s="28">
        <v>300</v>
      </c>
      <c r="G597" s="28">
        <v>1</v>
      </c>
      <c r="H597" s="28">
        <f t="shared" si="24"/>
        <v>300</v>
      </c>
      <c r="I597" s="69" t="s">
        <v>82</v>
      </c>
      <c r="J597" s="28">
        <v>1</v>
      </c>
      <c r="K597" s="28">
        <v>1</v>
      </c>
      <c r="L597" s="28">
        <v>0.5</v>
      </c>
      <c r="M597" s="28" t="str">
        <f t="shared" si="25"/>
        <v>לא לרכוש</v>
      </c>
      <c r="N597" s="28"/>
      <c r="O597" s="28">
        <v>1000</v>
      </c>
      <c r="P597" s="27"/>
      <c r="Q597" s="27"/>
    </row>
    <row r="598" spans="1:17" s="32" customFormat="1" ht="14.25" customHeight="1">
      <c r="A598" s="33" t="s">
        <v>20</v>
      </c>
      <c r="B598" s="27" t="s">
        <v>440</v>
      </c>
      <c r="C598" s="34" t="s">
        <v>817</v>
      </c>
      <c r="D598" s="27" t="s">
        <v>469</v>
      </c>
      <c r="E598" s="33" t="s">
        <v>250</v>
      </c>
      <c r="F598" s="28">
        <v>300</v>
      </c>
      <c r="G598" s="28">
        <v>1</v>
      </c>
      <c r="H598" s="28">
        <f t="shared" si="24"/>
        <v>300</v>
      </c>
      <c r="I598" s="69" t="s">
        <v>82</v>
      </c>
      <c r="J598" s="28">
        <v>1</v>
      </c>
      <c r="K598" s="28">
        <v>1</v>
      </c>
      <c r="L598" s="28">
        <v>0.5</v>
      </c>
      <c r="M598" s="28" t="str">
        <f t="shared" si="25"/>
        <v>לא לרכוש</v>
      </c>
      <c r="N598" s="28"/>
      <c r="O598" s="28">
        <v>1000</v>
      </c>
      <c r="P598" s="27"/>
      <c r="Q598" s="27"/>
    </row>
    <row r="599" spans="1:17" s="32" customFormat="1" ht="14.25" customHeight="1">
      <c r="A599" s="33" t="s">
        <v>15</v>
      </c>
      <c r="B599" s="27" t="s">
        <v>440</v>
      </c>
      <c r="C599" s="34" t="s">
        <v>818</v>
      </c>
      <c r="D599" s="27" t="s">
        <v>585</v>
      </c>
      <c r="E599" s="33" t="s">
        <v>594</v>
      </c>
      <c r="F599" s="28">
        <v>300</v>
      </c>
      <c r="G599" s="28">
        <v>1</v>
      </c>
      <c r="H599" s="28">
        <f t="shared" si="24"/>
        <v>300</v>
      </c>
      <c r="I599" s="69" t="s">
        <v>82</v>
      </c>
      <c r="J599" s="28">
        <v>1</v>
      </c>
      <c r="K599" s="28">
        <v>1</v>
      </c>
      <c r="L599" s="28">
        <v>0.5</v>
      </c>
      <c r="M599" s="28" t="str">
        <f t="shared" si="25"/>
        <v>לא לרכוש</v>
      </c>
      <c r="N599" s="28"/>
      <c r="O599" s="28">
        <v>1000</v>
      </c>
      <c r="P599" s="27"/>
      <c r="Q599" s="27"/>
    </row>
    <row r="600" spans="1:17" s="32" customFormat="1" ht="14.25" customHeight="1">
      <c r="A600" s="33" t="s">
        <v>20</v>
      </c>
      <c r="B600" s="27" t="s">
        <v>440</v>
      </c>
      <c r="C600" s="34" t="s">
        <v>819</v>
      </c>
      <c r="D600" s="27" t="s">
        <v>469</v>
      </c>
      <c r="E600" s="33" t="s">
        <v>250</v>
      </c>
      <c r="F600" s="28">
        <v>300</v>
      </c>
      <c r="G600" s="28">
        <v>1</v>
      </c>
      <c r="H600" s="28">
        <f t="shared" si="24"/>
        <v>300</v>
      </c>
      <c r="I600" s="69" t="s">
        <v>82</v>
      </c>
      <c r="J600" s="28">
        <v>1</v>
      </c>
      <c r="K600" s="28">
        <v>1</v>
      </c>
      <c r="L600" s="28">
        <v>0.5</v>
      </c>
      <c r="M600" s="28" t="str">
        <f t="shared" si="25"/>
        <v>לא לרכוש</v>
      </c>
      <c r="N600" s="28"/>
      <c r="O600" s="28">
        <v>1000</v>
      </c>
      <c r="P600" s="27"/>
      <c r="Q600" s="27"/>
    </row>
    <row r="601" spans="1:17" s="32" customFormat="1" ht="14.25" customHeight="1">
      <c r="A601" s="33" t="s">
        <v>20</v>
      </c>
      <c r="B601" s="27" t="s">
        <v>440</v>
      </c>
      <c r="C601" s="34" t="s">
        <v>820</v>
      </c>
      <c r="D601" s="27" t="s">
        <v>469</v>
      </c>
      <c r="E601" s="33" t="s">
        <v>250</v>
      </c>
      <c r="F601" s="28">
        <v>300</v>
      </c>
      <c r="G601" s="28">
        <v>1</v>
      </c>
      <c r="H601" s="28">
        <f t="shared" si="24"/>
        <v>300</v>
      </c>
      <c r="I601" s="69" t="s">
        <v>82</v>
      </c>
      <c r="J601" s="28">
        <v>1</v>
      </c>
      <c r="K601" s="28">
        <v>1</v>
      </c>
      <c r="L601" s="28">
        <v>0.5</v>
      </c>
      <c r="M601" s="28" t="str">
        <f t="shared" si="25"/>
        <v>לא לרכוש</v>
      </c>
      <c r="N601" s="28"/>
      <c r="O601" s="28">
        <v>1000</v>
      </c>
      <c r="P601" s="27"/>
      <c r="Q601" s="27"/>
    </row>
    <row r="602" spans="1:17" s="32" customFormat="1" ht="14.25" customHeight="1">
      <c r="A602" s="33" t="s">
        <v>20</v>
      </c>
      <c r="B602" s="27" t="s">
        <v>440</v>
      </c>
      <c r="C602" s="34" t="s">
        <v>821</v>
      </c>
      <c r="D602" s="27" t="s">
        <v>469</v>
      </c>
      <c r="E602" s="33" t="s">
        <v>250</v>
      </c>
      <c r="F602" s="28">
        <v>300</v>
      </c>
      <c r="G602" s="28">
        <v>1</v>
      </c>
      <c r="H602" s="28">
        <f t="shared" si="24"/>
        <v>300</v>
      </c>
      <c r="I602" s="69" t="s">
        <v>82</v>
      </c>
      <c r="J602" s="28">
        <v>1</v>
      </c>
      <c r="K602" s="28">
        <v>1</v>
      </c>
      <c r="L602" s="28">
        <v>0.5</v>
      </c>
      <c r="M602" s="28" t="str">
        <f t="shared" si="25"/>
        <v>לא לרכוש</v>
      </c>
      <c r="N602" s="28"/>
      <c r="O602" s="28">
        <v>1000</v>
      </c>
      <c r="P602" s="27"/>
      <c r="Q602" s="27"/>
    </row>
    <row r="603" spans="1:17" s="32" customFormat="1" ht="14.25" customHeight="1">
      <c r="A603" s="33" t="s">
        <v>20</v>
      </c>
      <c r="B603" s="27" t="s">
        <v>440</v>
      </c>
      <c r="C603" s="34" t="s">
        <v>822</v>
      </c>
      <c r="D603" s="27" t="s">
        <v>469</v>
      </c>
      <c r="E603" s="33" t="s">
        <v>250</v>
      </c>
      <c r="F603" s="28">
        <v>300</v>
      </c>
      <c r="G603" s="28">
        <v>1</v>
      </c>
      <c r="H603" s="28">
        <f t="shared" si="24"/>
        <v>300</v>
      </c>
      <c r="I603" s="69" t="s">
        <v>82</v>
      </c>
      <c r="J603" s="28">
        <v>1</v>
      </c>
      <c r="K603" s="28">
        <v>1</v>
      </c>
      <c r="L603" s="28">
        <v>0.5</v>
      </c>
      <c r="M603" s="28" t="str">
        <f t="shared" si="25"/>
        <v>לא לרכוש</v>
      </c>
      <c r="N603" s="28"/>
      <c r="O603" s="28">
        <v>1000</v>
      </c>
      <c r="P603" s="27"/>
      <c r="Q603" s="27"/>
    </row>
    <row r="604" spans="1:17" s="32" customFormat="1" ht="14.25" customHeight="1">
      <c r="A604" s="33" t="s">
        <v>20</v>
      </c>
      <c r="B604" s="27" t="s">
        <v>440</v>
      </c>
      <c r="C604" s="34" t="s">
        <v>823</v>
      </c>
      <c r="D604" s="27" t="s">
        <v>469</v>
      </c>
      <c r="E604" s="33" t="s">
        <v>250</v>
      </c>
      <c r="F604" s="28">
        <v>300</v>
      </c>
      <c r="G604" s="28">
        <v>1</v>
      </c>
      <c r="H604" s="28">
        <f t="shared" ref="H604:H667" si="26">G604*F604</f>
        <v>300</v>
      </c>
      <c r="I604" s="69" t="s">
        <v>82</v>
      </c>
      <c r="J604" s="28">
        <v>1</v>
      </c>
      <c r="K604" s="28">
        <v>1</v>
      </c>
      <c r="L604" s="28">
        <v>0.5</v>
      </c>
      <c r="M604" s="28" t="str">
        <f t="shared" si="25"/>
        <v>לא לרכוש</v>
      </c>
      <c r="N604" s="28"/>
      <c r="O604" s="28">
        <v>1000</v>
      </c>
      <c r="P604" s="27"/>
      <c r="Q604" s="27"/>
    </row>
    <row r="605" spans="1:17" s="32" customFormat="1" ht="14.25" customHeight="1">
      <c r="A605" s="33" t="s">
        <v>20</v>
      </c>
      <c r="B605" s="27" t="s">
        <v>440</v>
      </c>
      <c r="C605" s="34" t="s">
        <v>824</v>
      </c>
      <c r="D605" s="27" t="s">
        <v>469</v>
      </c>
      <c r="E605" s="33" t="s">
        <v>250</v>
      </c>
      <c r="F605" s="28">
        <v>300</v>
      </c>
      <c r="G605" s="28">
        <v>1</v>
      </c>
      <c r="H605" s="28">
        <f t="shared" si="26"/>
        <v>300</v>
      </c>
      <c r="I605" s="69" t="s">
        <v>82</v>
      </c>
      <c r="J605" s="28">
        <v>1</v>
      </c>
      <c r="K605" s="28">
        <v>1</v>
      </c>
      <c r="L605" s="28">
        <v>0.5</v>
      </c>
      <c r="M605" s="28" t="str">
        <f t="shared" si="25"/>
        <v>לא לרכוש</v>
      </c>
      <c r="N605" s="28"/>
      <c r="O605" s="28">
        <v>1000</v>
      </c>
      <c r="P605" s="27"/>
      <c r="Q605" s="27"/>
    </row>
    <row r="606" spans="1:17" s="32" customFormat="1" ht="14.25" customHeight="1">
      <c r="A606" s="33" t="s">
        <v>20</v>
      </c>
      <c r="B606" s="27" t="s">
        <v>440</v>
      </c>
      <c r="C606" s="34" t="s">
        <v>825</v>
      </c>
      <c r="D606" s="27" t="s">
        <v>469</v>
      </c>
      <c r="E606" s="33" t="s">
        <v>250</v>
      </c>
      <c r="F606" s="28">
        <v>300</v>
      </c>
      <c r="G606" s="28">
        <v>1</v>
      </c>
      <c r="H606" s="28">
        <f t="shared" si="26"/>
        <v>300</v>
      </c>
      <c r="I606" s="69" t="s">
        <v>82</v>
      </c>
      <c r="J606" s="28">
        <v>1</v>
      </c>
      <c r="K606" s="28">
        <v>1</v>
      </c>
      <c r="L606" s="28">
        <v>0.5</v>
      </c>
      <c r="M606" s="28" t="str">
        <f t="shared" si="25"/>
        <v>לא לרכוש</v>
      </c>
      <c r="N606" s="28"/>
      <c r="O606" s="28">
        <v>1000</v>
      </c>
      <c r="P606" s="27"/>
      <c r="Q606" s="27"/>
    </row>
    <row r="607" spans="1:17" s="32" customFormat="1" ht="14.25" customHeight="1">
      <c r="A607" s="33" t="s">
        <v>20</v>
      </c>
      <c r="B607" s="27" t="s">
        <v>440</v>
      </c>
      <c r="C607" s="34" t="s">
        <v>826</v>
      </c>
      <c r="D607" s="27" t="s">
        <v>469</v>
      </c>
      <c r="E607" s="33" t="s">
        <v>250</v>
      </c>
      <c r="F607" s="28">
        <v>300</v>
      </c>
      <c r="G607" s="28">
        <v>1</v>
      </c>
      <c r="H607" s="28">
        <f t="shared" si="26"/>
        <v>300</v>
      </c>
      <c r="I607" s="69" t="s">
        <v>82</v>
      </c>
      <c r="J607" s="28">
        <v>1</v>
      </c>
      <c r="K607" s="28">
        <v>1</v>
      </c>
      <c r="L607" s="28">
        <v>0.5</v>
      </c>
      <c r="M607" s="28" t="str">
        <f t="shared" si="25"/>
        <v>לא לרכוש</v>
      </c>
      <c r="N607" s="28"/>
      <c r="O607" s="28">
        <v>1000</v>
      </c>
      <c r="P607" s="27"/>
      <c r="Q607" s="27"/>
    </row>
    <row r="608" spans="1:17" s="32" customFormat="1" ht="14.25" customHeight="1">
      <c r="A608" s="33" t="s">
        <v>20</v>
      </c>
      <c r="B608" s="27" t="s">
        <v>440</v>
      </c>
      <c r="C608" s="34" t="s">
        <v>827</v>
      </c>
      <c r="D608" s="27" t="s">
        <v>469</v>
      </c>
      <c r="E608" s="33" t="s">
        <v>250</v>
      </c>
      <c r="F608" s="28">
        <v>300</v>
      </c>
      <c r="G608" s="28">
        <v>1</v>
      </c>
      <c r="H608" s="28">
        <f t="shared" si="26"/>
        <v>300</v>
      </c>
      <c r="I608" s="69" t="s">
        <v>82</v>
      </c>
      <c r="J608" s="28">
        <v>1</v>
      </c>
      <c r="K608" s="28">
        <v>1</v>
      </c>
      <c r="L608" s="28">
        <v>0.5</v>
      </c>
      <c r="M608" s="28" t="str">
        <f t="shared" si="25"/>
        <v>לא לרכוש</v>
      </c>
      <c r="N608" s="28"/>
      <c r="O608" s="28">
        <v>1000</v>
      </c>
      <c r="P608" s="27"/>
      <c r="Q608" s="27"/>
    </row>
    <row r="609" spans="1:17" s="32" customFormat="1" ht="14.25" customHeight="1">
      <c r="A609" s="33" t="s">
        <v>20</v>
      </c>
      <c r="B609" s="27" t="s">
        <v>440</v>
      </c>
      <c r="C609" s="34" t="s">
        <v>828</v>
      </c>
      <c r="D609" s="27" t="s">
        <v>469</v>
      </c>
      <c r="E609" s="33" t="s">
        <v>250</v>
      </c>
      <c r="F609" s="28">
        <v>300</v>
      </c>
      <c r="G609" s="28">
        <v>1</v>
      </c>
      <c r="H609" s="28">
        <f t="shared" si="26"/>
        <v>300</v>
      </c>
      <c r="I609" s="69" t="s">
        <v>82</v>
      </c>
      <c r="J609" s="28">
        <v>1</v>
      </c>
      <c r="K609" s="28">
        <v>1</v>
      </c>
      <c r="L609" s="28">
        <v>0.5</v>
      </c>
      <c r="M609" s="28" t="str">
        <f t="shared" si="25"/>
        <v>לא לרכוש</v>
      </c>
      <c r="N609" s="28"/>
      <c r="O609" s="28">
        <v>1000</v>
      </c>
      <c r="P609" s="27"/>
      <c r="Q609" s="27"/>
    </row>
    <row r="610" spans="1:17" s="32" customFormat="1" ht="14.25" customHeight="1">
      <c r="A610" s="33" t="s">
        <v>20</v>
      </c>
      <c r="B610" s="27" t="s">
        <v>440</v>
      </c>
      <c r="C610" s="34" t="s">
        <v>829</v>
      </c>
      <c r="D610" s="27" t="s">
        <v>469</v>
      </c>
      <c r="E610" s="33" t="s">
        <v>250</v>
      </c>
      <c r="F610" s="28">
        <v>300</v>
      </c>
      <c r="G610" s="28">
        <v>1</v>
      </c>
      <c r="H610" s="28">
        <f t="shared" si="26"/>
        <v>300</v>
      </c>
      <c r="I610" s="69" t="s">
        <v>82</v>
      </c>
      <c r="J610" s="28">
        <v>1</v>
      </c>
      <c r="K610" s="28">
        <v>1</v>
      </c>
      <c r="L610" s="28">
        <v>0.5</v>
      </c>
      <c r="M610" s="28" t="str">
        <f t="shared" ref="M610:M673" si="27">IF(AND(K610*L610*30*O610&gt;H610/J610,I610=""),"לרכוש","לא לרכוש")</f>
        <v>לא לרכוש</v>
      </c>
      <c r="N610" s="28"/>
      <c r="O610" s="28">
        <v>1000</v>
      </c>
      <c r="P610" s="27"/>
      <c r="Q610" s="27"/>
    </row>
    <row r="611" spans="1:17" s="32" customFormat="1" ht="14.25" customHeight="1">
      <c r="A611" s="33" t="s">
        <v>20</v>
      </c>
      <c r="B611" s="27" t="s">
        <v>440</v>
      </c>
      <c r="C611" s="34" t="s">
        <v>830</v>
      </c>
      <c r="D611" s="27" t="s">
        <v>469</v>
      </c>
      <c r="E611" s="33" t="s">
        <v>250</v>
      </c>
      <c r="F611" s="28">
        <v>300</v>
      </c>
      <c r="G611" s="28">
        <v>1</v>
      </c>
      <c r="H611" s="28">
        <f t="shared" si="26"/>
        <v>300</v>
      </c>
      <c r="I611" s="69" t="s">
        <v>82</v>
      </c>
      <c r="J611" s="28">
        <v>1</v>
      </c>
      <c r="K611" s="28">
        <v>1</v>
      </c>
      <c r="L611" s="28">
        <v>0.5</v>
      </c>
      <c r="M611" s="28" t="str">
        <f t="shared" si="27"/>
        <v>לא לרכוש</v>
      </c>
      <c r="N611" s="28"/>
      <c r="O611" s="28">
        <v>1000</v>
      </c>
      <c r="P611" s="27"/>
      <c r="Q611" s="27"/>
    </row>
    <row r="612" spans="1:17" s="32" customFormat="1" ht="14.25" customHeight="1">
      <c r="A612" s="33" t="s">
        <v>20</v>
      </c>
      <c r="B612" s="27" t="s">
        <v>440</v>
      </c>
      <c r="C612" s="34" t="s">
        <v>831</v>
      </c>
      <c r="D612" s="27" t="s">
        <v>469</v>
      </c>
      <c r="E612" s="33" t="s">
        <v>250</v>
      </c>
      <c r="F612" s="28">
        <v>300</v>
      </c>
      <c r="G612" s="28">
        <v>1</v>
      </c>
      <c r="H612" s="28">
        <f t="shared" si="26"/>
        <v>300</v>
      </c>
      <c r="I612" s="69" t="s">
        <v>82</v>
      </c>
      <c r="J612" s="28">
        <v>1</v>
      </c>
      <c r="K612" s="28">
        <v>1</v>
      </c>
      <c r="L612" s="28">
        <v>0.5</v>
      </c>
      <c r="M612" s="28" t="str">
        <f t="shared" si="27"/>
        <v>לא לרכוש</v>
      </c>
      <c r="N612" s="28"/>
      <c r="O612" s="28">
        <v>1000</v>
      </c>
      <c r="P612" s="27"/>
      <c r="Q612" s="27"/>
    </row>
    <row r="613" spans="1:17" s="32" customFormat="1" ht="14.25" customHeight="1">
      <c r="A613" s="33" t="s">
        <v>20</v>
      </c>
      <c r="B613" s="27" t="s">
        <v>440</v>
      </c>
      <c r="C613" s="34" t="s">
        <v>832</v>
      </c>
      <c r="D613" s="27" t="s">
        <v>469</v>
      </c>
      <c r="E613" s="33" t="s">
        <v>250</v>
      </c>
      <c r="F613" s="28">
        <v>300</v>
      </c>
      <c r="G613" s="28">
        <v>1</v>
      </c>
      <c r="H613" s="28">
        <f t="shared" si="26"/>
        <v>300</v>
      </c>
      <c r="I613" s="69" t="s">
        <v>82</v>
      </c>
      <c r="J613" s="28">
        <v>1</v>
      </c>
      <c r="K613" s="28">
        <v>1</v>
      </c>
      <c r="L613" s="28">
        <v>0.5</v>
      </c>
      <c r="M613" s="28" t="str">
        <f t="shared" si="27"/>
        <v>לא לרכוש</v>
      </c>
      <c r="N613" s="28"/>
      <c r="O613" s="28">
        <v>1000</v>
      </c>
      <c r="P613" s="27"/>
      <c r="Q613" s="27"/>
    </row>
    <row r="614" spans="1:17" s="32" customFormat="1" ht="14.25" customHeight="1">
      <c r="A614" s="33" t="s">
        <v>20</v>
      </c>
      <c r="B614" s="27" t="s">
        <v>440</v>
      </c>
      <c r="C614" s="34" t="s">
        <v>833</v>
      </c>
      <c r="D614" s="27" t="s">
        <v>469</v>
      </c>
      <c r="E614" s="33" t="s">
        <v>250</v>
      </c>
      <c r="F614" s="28">
        <v>300</v>
      </c>
      <c r="G614" s="28">
        <v>1</v>
      </c>
      <c r="H614" s="28">
        <f t="shared" si="26"/>
        <v>300</v>
      </c>
      <c r="I614" s="69" t="s">
        <v>82</v>
      </c>
      <c r="J614" s="28">
        <v>1</v>
      </c>
      <c r="K614" s="28">
        <v>1</v>
      </c>
      <c r="L614" s="28">
        <v>0.5</v>
      </c>
      <c r="M614" s="28" t="str">
        <f t="shared" si="27"/>
        <v>לא לרכוש</v>
      </c>
      <c r="N614" s="28"/>
      <c r="O614" s="28">
        <v>1000</v>
      </c>
      <c r="P614" s="27"/>
      <c r="Q614" s="27"/>
    </row>
    <row r="615" spans="1:17" s="32" customFormat="1" ht="14.25" customHeight="1">
      <c r="A615" s="33" t="s">
        <v>20</v>
      </c>
      <c r="B615" s="27" t="s">
        <v>440</v>
      </c>
      <c r="C615" s="34" t="s">
        <v>834</v>
      </c>
      <c r="D615" s="27" t="s">
        <v>469</v>
      </c>
      <c r="E615" s="33" t="s">
        <v>250</v>
      </c>
      <c r="F615" s="28">
        <v>300</v>
      </c>
      <c r="G615" s="28">
        <v>1</v>
      </c>
      <c r="H615" s="28">
        <f t="shared" si="26"/>
        <v>300</v>
      </c>
      <c r="I615" s="69" t="s">
        <v>82</v>
      </c>
      <c r="J615" s="28">
        <v>1</v>
      </c>
      <c r="K615" s="28">
        <v>1</v>
      </c>
      <c r="L615" s="28">
        <v>0.5</v>
      </c>
      <c r="M615" s="28" t="str">
        <f t="shared" si="27"/>
        <v>לא לרכוש</v>
      </c>
      <c r="N615" s="28"/>
      <c r="O615" s="28">
        <v>1000</v>
      </c>
      <c r="P615" s="27"/>
      <c r="Q615" s="27"/>
    </row>
    <row r="616" spans="1:17" s="32" customFormat="1" ht="14.25" customHeight="1">
      <c r="A616" s="33" t="s">
        <v>20</v>
      </c>
      <c r="B616" s="27" t="s">
        <v>440</v>
      </c>
      <c r="C616" s="34" t="s">
        <v>835</v>
      </c>
      <c r="D616" s="27" t="s">
        <v>469</v>
      </c>
      <c r="E616" s="33" t="s">
        <v>250</v>
      </c>
      <c r="F616" s="28">
        <v>300</v>
      </c>
      <c r="G616" s="28">
        <v>1</v>
      </c>
      <c r="H616" s="28">
        <f t="shared" si="26"/>
        <v>300</v>
      </c>
      <c r="I616" s="69" t="s">
        <v>82</v>
      </c>
      <c r="J616" s="28">
        <v>1</v>
      </c>
      <c r="K616" s="28">
        <v>1</v>
      </c>
      <c r="L616" s="28">
        <v>0.5</v>
      </c>
      <c r="M616" s="28" t="str">
        <f t="shared" si="27"/>
        <v>לא לרכוש</v>
      </c>
      <c r="N616" s="28"/>
      <c r="O616" s="28">
        <v>1000</v>
      </c>
      <c r="P616" s="27"/>
      <c r="Q616" s="27"/>
    </row>
    <row r="617" spans="1:17" s="32" customFormat="1" ht="14.25" customHeight="1">
      <c r="A617" s="33" t="s">
        <v>20</v>
      </c>
      <c r="B617" s="27" t="s">
        <v>440</v>
      </c>
      <c r="C617" s="34" t="s">
        <v>836</v>
      </c>
      <c r="D617" s="27" t="s">
        <v>469</v>
      </c>
      <c r="E617" s="33" t="s">
        <v>250</v>
      </c>
      <c r="F617" s="28">
        <v>300</v>
      </c>
      <c r="G617" s="28">
        <v>1</v>
      </c>
      <c r="H617" s="28">
        <f t="shared" si="26"/>
        <v>300</v>
      </c>
      <c r="I617" s="69" t="s">
        <v>82</v>
      </c>
      <c r="J617" s="28">
        <v>1</v>
      </c>
      <c r="K617" s="28">
        <v>1</v>
      </c>
      <c r="L617" s="28">
        <v>0.5</v>
      </c>
      <c r="M617" s="28" t="str">
        <f t="shared" si="27"/>
        <v>לא לרכוש</v>
      </c>
      <c r="N617" s="28"/>
      <c r="O617" s="28">
        <v>1000</v>
      </c>
      <c r="P617" s="27"/>
      <c r="Q617" s="27"/>
    </row>
    <row r="618" spans="1:17" s="32" customFormat="1" ht="14.25" customHeight="1">
      <c r="A618" s="33" t="s">
        <v>20</v>
      </c>
      <c r="B618" s="27" t="s">
        <v>440</v>
      </c>
      <c r="C618" s="34" t="s">
        <v>837</v>
      </c>
      <c r="D618" s="27" t="s">
        <v>469</v>
      </c>
      <c r="E618" s="33" t="s">
        <v>250</v>
      </c>
      <c r="F618" s="28">
        <v>300</v>
      </c>
      <c r="G618" s="28">
        <v>1</v>
      </c>
      <c r="H618" s="28">
        <f t="shared" si="26"/>
        <v>300</v>
      </c>
      <c r="I618" s="69" t="s">
        <v>82</v>
      </c>
      <c r="J618" s="28">
        <v>1</v>
      </c>
      <c r="K618" s="28">
        <v>1</v>
      </c>
      <c r="L618" s="28">
        <v>0.5</v>
      </c>
      <c r="M618" s="28" t="str">
        <f t="shared" si="27"/>
        <v>לא לרכוש</v>
      </c>
      <c r="N618" s="28"/>
      <c r="O618" s="28">
        <v>1000</v>
      </c>
      <c r="P618" s="27"/>
      <c r="Q618" s="27"/>
    </row>
    <row r="619" spans="1:17" s="32" customFormat="1" ht="14.25" customHeight="1">
      <c r="A619" s="33" t="s">
        <v>20</v>
      </c>
      <c r="B619" s="27" t="s">
        <v>440</v>
      </c>
      <c r="C619" s="34" t="s">
        <v>838</v>
      </c>
      <c r="D619" s="27" t="s">
        <v>469</v>
      </c>
      <c r="E619" s="33" t="s">
        <v>250</v>
      </c>
      <c r="F619" s="28">
        <v>300</v>
      </c>
      <c r="G619" s="28">
        <v>1</v>
      </c>
      <c r="H619" s="28">
        <f t="shared" si="26"/>
        <v>300</v>
      </c>
      <c r="I619" s="69" t="s">
        <v>82</v>
      </c>
      <c r="J619" s="28">
        <v>1</v>
      </c>
      <c r="K619" s="28">
        <v>1</v>
      </c>
      <c r="L619" s="28">
        <v>0.5</v>
      </c>
      <c r="M619" s="28" t="str">
        <f t="shared" si="27"/>
        <v>לא לרכוש</v>
      </c>
      <c r="N619" s="28"/>
      <c r="O619" s="28">
        <v>1000</v>
      </c>
      <c r="P619" s="27"/>
      <c r="Q619" s="27"/>
    </row>
    <row r="620" spans="1:17" s="32" customFormat="1" ht="14.25" customHeight="1">
      <c r="A620" s="33" t="s">
        <v>20</v>
      </c>
      <c r="B620" s="27" t="s">
        <v>440</v>
      </c>
      <c r="C620" s="34" t="s">
        <v>839</v>
      </c>
      <c r="D620" s="27" t="s">
        <v>469</v>
      </c>
      <c r="E620" s="33" t="s">
        <v>250</v>
      </c>
      <c r="F620" s="28">
        <v>300</v>
      </c>
      <c r="G620" s="28">
        <v>1</v>
      </c>
      <c r="H620" s="28">
        <f t="shared" si="26"/>
        <v>300</v>
      </c>
      <c r="I620" s="69" t="s">
        <v>82</v>
      </c>
      <c r="J620" s="28">
        <v>1</v>
      </c>
      <c r="K620" s="28">
        <v>1</v>
      </c>
      <c r="L620" s="28">
        <v>0.5</v>
      </c>
      <c r="M620" s="28" t="str">
        <f t="shared" si="27"/>
        <v>לא לרכוש</v>
      </c>
      <c r="N620" s="28"/>
      <c r="O620" s="28">
        <v>1000</v>
      </c>
      <c r="P620" s="27"/>
      <c r="Q620" s="27"/>
    </row>
    <row r="621" spans="1:17" s="32" customFormat="1" ht="14.25" customHeight="1">
      <c r="A621" s="33" t="s">
        <v>20</v>
      </c>
      <c r="B621" s="27" t="s">
        <v>440</v>
      </c>
      <c r="C621" s="34" t="s">
        <v>840</v>
      </c>
      <c r="D621" s="27" t="s">
        <v>469</v>
      </c>
      <c r="E621" s="33" t="s">
        <v>250</v>
      </c>
      <c r="F621" s="28">
        <v>300</v>
      </c>
      <c r="G621" s="28">
        <v>1</v>
      </c>
      <c r="H621" s="28">
        <f t="shared" si="26"/>
        <v>300</v>
      </c>
      <c r="I621" s="69" t="s">
        <v>82</v>
      </c>
      <c r="J621" s="28">
        <v>1</v>
      </c>
      <c r="K621" s="28">
        <v>1</v>
      </c>
      <c r="L621" s="28">
        <v>0.5</v>
      </c>
      <c r="M621" s="28" t="str">
        <f t="shared" si="27"/>
        <v>לא לרכוש</v>
      </c>
      <c r="N621" s="28"/>
      <c r="O621" s="28">
        <v>1000</v>
      </c>
      <c r="P621" s="27"/>
      <c r="Q621" s="27"/>
    </row>
    <row r="622" spans="1:17" s="32" customFormat="1" ht="14.25" customHeight="1">
      <c r="A622" s="33" t="s">
        <v>20</v>
      </c>
      <c r="B622" s="27" t="s">
        <v>440</v>
      </c>
      <c r="C622" s="34" t="s">
        <v>841</v>
      </c>
      <c r="D622" s="27" t="s">
        <v>469</v>
      </c>
      <c r="E622" s="33" t="s">
        <v>250</v>
      </c>
      <c r="F622" s="28">
        <v>300</v>
      </c>
      <c r="G622" s="28">
        <v>1</v>
      </c>
      <c r="H622" s="28">
        <f t="shared" si="26"/>
        <v>300</v>
      </c>
      <c r="I622" s="69" t="s">
        <v>82</v>
      </c>
      <c r="J622" s="28">
        <v>1</v>
      </c>
      <c r="K622" s="28">
        <v>1</v>
      </c>
      <c r="L622" s="28">
        <v>0.5</v>
      </c>
      <c r="M622" s="28" t="str">
        <f t="shared" si="27"/>
        <v>לא לרכוש</v>
      </c>
      <c r="N622" s="28"/>
      <c r="O622" s="28">
        <v>1000</v>
      </c>
      <c r="P622" s="27"/>
      <c r="Q622" s="27"/>
    </row>
    <row r="623" spans="1:17" s="32" customFormat="1" ht="14.25" customHeight="1">
      <c r="A623" s="33" t="s">
        <v>20</v>
      </c>
      <c r="B623" s="27" t="s">
        <v>440</v>
      </c>
      <c r="C623" s="34" t="s">
        <v>842</v>
      </c>
      <c r="D623" s="27" t="s">
        <v>469</v>
      </c>
      <c r="E623" s="33" t="s">
        <v>250</v>
      </c>
      <c r="F623" s="28">
        <v>300</v>
      </c>
      <c r="G623" s="28">
        <v>1</v>
      </c>
      <c r="H623" s="28">
        <f t="shared" si="26"/>
        <v>300</v>
      </c>
      <c r="I623" s="69" t="s">
        <v>82</v>
      </c>
      <c r="J623" s="28">
        <v>1</v>
      </c>
      <c r="K623" s="28">
        <v>1</v>
      </c>
      <c r="L623" s="28">
        <v>0.5</v>
      </c>
      <c r="M623" s="28" t="str">
        <f t="shared" si="27"/>
        <v>לא לרכוש</v>
      </c>
      <c r="N623" s="28"/>
      <c r="O623" s="28">
        <v>1000</v>
      </c>
      <c r="P623" s="27"/>
      <c r="Q623" s="27"/>
    </row>
    <row r="624" spans="1:17" s="32" customFormat="1" ht="14.25" customHeight="1">
      <c r="A624" s="33" t="s">
        <v>20</v>
      </c>
      <c r="B624" s="27" t="s">
        <v>440</v>
      </c>
      <c r="C624" s="34" t="s">
        <v>843</v>
      </c>
      <c r="D624" s="27" t="s">
        <v>469</v>
      </c>
      <c r="E624" s="93" t="s">
        <v>250</v>
      </c>
      <c r="F624" s="28">
        <v>300</v>
      </c>
      <c r="G624" s="28">
        <v>1</v>
      </c>
      <c r="H624" s="28">
        <f t="shared" si="26"/>
        <v>300</v>
      </c>
      <c r="I624" s="69" t="s">
        <v>82</v>
      </c>
      <c r="J624" s="28">
        <v>1</v>
      </c>
      <c r="K624" s="28">
        <v>1</v>
      </c>
      <c r="L624" s="28">
        <v>0.5</v>
      </c>
      <c r="M624" s="28" t="str">
        <f t="shared" si="27"/>
        <v>לא לרכוש</v>
      </c>
      <c r="N624" s="28"/>
      <c r="O624" s="28">
        <v>1000</v>
      </c>
      <c r="P624" s="27"/>
      <c r="Q624" s="27"/>
    </row>
    <row r="625" spans="1:17" s="32" customFormat="1" ht="14.25" customHeight="1">
      <c r="A625" s="33" t="s">
        <v>20</v>
      </c>
      <c r="B625" s="27" t="s">
        <v>440</v>
      </c>
      <c r="C625" s="34" t="s">
        <v>844</v>
      </c>
      <c r="D625" s="27" t="s">
        <v>469</v>
      </c>
      <c r="E625" s="33" t="s">
        <v>250</v>
      </c>
      <c r="F625" s="28">
        <v>300</v>
      </c>
      <c r="G625" s="28">
        <v>1</v>
      </c>
      <c r="H625" s="28">
        <f t="shared" si="26"/>
        <v>300</v>
      </c>
      <c r="I625" s="69" t="s">
        <v>82</v>
      </c>
      <c r="J625" s="28">
        <v>1</v>
      </c>
      <c r="K625" s="28">
        <v>1</v>
      </c>
      <c r="L625" s="28">
        <v>0.5</v>
      </c>
      <c r="M625" s="28" t="str">
        <f t="shared" si="27"/>
        <v>לא לרכוש</v>
      </c>
      <c r="N625" s="28"/>
      <c r="O625" s="28">
        <v>1000</v>
      </c>
      <c r="P625" s="27"/>
      <c r="Q625" s="27"/>
    </row>
    <row r="626" spans="1:17" s="32" customFormat="1" ht="14.25" customHeight="1">
      <c r="A626" s="33" t="s">
        <v>20</v>
      </c>
      <c r="B626" s="27" t="s">
        <v>440</v>
      </c>
      <c r="C626" s="34" t="s">
        <v>845</v>
      </c>
      <c r="D626" s="27" t="s">
        <v>469</v>
      </c>
      <c r="E626" s="33" t="s">
        <v>250</v>
      </c>
      <c r="F626" s="28">
        <v>300</v>
      </c>
      <c r="G626" s="28">
        <v>1</v>
      </c>
      <c r="H626" s="28">
        <f t="shared" si="26"/>
        <v>300</v>
      </c>
      <c r="I626" s="69" t="s">
        <v>82</v>
      </c>
      <c r="J626" s="28">
        <v>1</v>
      </c>
      <c r="K626" s="28">
        <v>1</v>
      </c>
      <c r="L626" s="28">
        <v>0.5</v>
      </c>
      <c r="M626" s="28" t="str">
        <f t="shared" si="27"/>
        <v>לא לרכוש</v>
      </c>
      <c r="N626" s="28"/>
      <c r="O626" s="28">
        <v>1000</v>
      </c>
      <c r="P626" s="27"/>
      <c r="Q626" s="27"/>
    </row>
    <row r="627" spans="1:17" s="32" customFormat="1" ht="14.25" customHeight="1">
      <c r="A627" s="33" t="s">
        <v>20</v>
      </c>
      <c r="B627" s="27" t="s">
        <v>440</v>
      </c>
      <c r="C627" s="34" t="s">
        <v>846</v>
      </c>
      <c r="D627" s="27" t="s">
        <v>469</v>
      </c>
      <c r="E627" s="33" t="s">
        <v>250</v>
      </c>
      <c r="F627" s="28">
        <v>300</v>
      </c>
      <c r="G627" s="28">
        <v>1</v>
      </c>
      <c r="H627" s="28">
        <f t="shared" si="26"/>
        <v>300</v>
      </c>
      <c r="I627" s="69" t="s">
        <v>82</v>
      </c>
      <c r="J627" s="28">
        <v>1</v>
      </c>
      <c r="K627" s="28">
        <v>1</v>
      </c>
      <c r="L627" s="28">
        <v>0.5</v>
      </c>
      <c r="M627" s="28" t="str">
        <f t="shared" si="27"/>
        <v>לא לרכוש</v>
      </c>
      <c r="N627" s="28"/>
      <c r="O627" s="28">
        <v>1000</v>
      </c>
      <c r="P627" s="27"/>
      <c r="Q627" s="27"/>
    </row>
    <row r="628" spans="1:17" s="32" customFormat="1" ht="14.25" customHeight="1">
      <c r="A628" s="33" t="s">
        <v>20</v>
      </c>
      <c r="B628" s="27" t="s">
        <v>440</v>
      </c>
      <c r="C628" s="34" t="s">
        <v>847</v>
      </c>
      <c r="D628" s="27" t="s">
        <v>749</v>
      </c>
      <c r="E628" s="33" t="s">
        <v>250</v>
      </c>
      <c r="F628" s="28">
        <v>300</v>
      </c>
      <c r="G628" s="28">
        <v>1</v>
      </c>
      <c r="H628" s="28">
        <f t="shared" si="26"/>
        <v>300</v>
      </c>
      <c r="I628" s="69" t="s">
        <v>82</v>
      </c>
      <c r="J628" s="28">
        <v>1</v>
      </c>
      <c r="K628" s="28">
        <v>1</v>
      </c>
      <c r="L628" s="28">
        <v>0.5</v>
      </c>
      <c r="M628" s="28" t="str">
        <f t="shared" si="27"/>
        <v>לא לרכוש</v>
      </c>
      <c r="N628" s="28"/>
      <c r="O628" s="28">
        <v>1000</v>
      </c>
      <c r="P628" s="27"/>
      <c r="Q628" s="27"/>
    </row>
    <row r="629" spans="1:17" s="32" customFormat="1" ht="14.25" customHeight="1">
      <c r="A629" s="33" t="s">
        <v>20</v>
      </c>
      <c r="B629" s="27" t="s">
        <v>440</v>
      </c>
      <c r="C629" s="34" t="s">
        <v>848</v>
      </c>
      <c r="D629" s="27" t="s">
        <v>749</v>
      </c>
      <c r="E629" s="33" t="s">
        <v>1015</v>
      </c>
      <c r="F629" s="28">
        <v>300</v>
      </c>
      <c r="G629" s="28">
        <v>1</v>
      </c>
      <c r="H629" s="28">
        <f t="shared" si="26"/>
        <v>300</v>
      </c>
      <c r="I629" s="69" t="s">
        <v>82</v>
      </c>
      <c r="J629" s="28">
        <v>1</v>
      </c>
      <c r="K629" s="28">
        <v>1</v>
      </c>
      <c r="L629" s="28">
        <v>0.5</v>
      </c>
      <c r="M629" s="28" t="str">
        <f t="shared" si="27"/>
        <v>לא לרכוש</v>
      </c>
      <c r="N629" s="28"/>
      <c r="O629" s="28">
        <v>1000</v>
      </c>
      <c r="P629" s="27"/>
      <c r="Q629" s="27"/>
    </row>
    <row r="630" spans="1:17" s="32" customFormat="1" ht="14.25" customHeight="1">
      <c r="A630" s="33" t="s">
        <v>20</v>
      </c>
      <c r="B630" s="27" t="s">
        <v>441</v>
      </c>
      <c r="C630" s="34" t="s">
        <v>859</v>
      </c>
      <c r="D630" s="27" t="s">
        <v>469</v>
      </c>
      <c r="E630" s="33" t="s">
        <v>250</v>
      </c>
      <c r="F630" s="28">
        <v>300</v>
      </c>
      <c r="G630" s="28">
        <v>1</v>
      </c>
      <c r="H630" s="28">
        <f t="shared" si="26"/>
        <v>300</v>
      </c>
      <c r="I630" s="69"/>
      <c r="J630" s="28">
        <v>1</v>
      </c>
      <c r="K630" s="28">
        <v>1</v>
      </c>
      <c r="L630" s="28">
        <v>0.5</v>
      </c>
      <c r="M630" s="28" t="str">
        <f t="shared" si="27"/>
        <v>לרכוש</v>
      </c>
      <c r="N630" s="28"/>
      <c r="O630" s="28">
        <v>1000</v>
      </c>
      <c r="P630" s="27"/>
      <c r="Q630" s="27"/>
    </row>
    <row r="631" spans="1:17" s="32" customFormat="1" ht="14.25" customHeight="1">
      <c r="A631" s="33" t="s">
        <v>17</v>
      </c>
      <c r="B631" s="27" t="s">
        <v>441</v>
      </c>
      <c r="C631" s="34" t="s">
        <v>867</v>
      </c>
      <c r="D631" s="27" t="s">
        <v>469</v>
      </c>
      <c r="E631" s="33" t="s">
        <v>250</v>
      </c>
      <c r="F631" s="28">
        <v>300</v>
      </c>
      <c r="G631" s="28">
        <v>1</v>
      </c>
      <c r="H631" s="28">
        <f t="shared" si="26"/>
        <v>300</v>
      </c>
      <c r="I631" s="69" t="s">
        <v>82</v>
      </c>
      <c r="J631" s="28">
        <v>1</v>
      </c>
      <c r="K631" s="28">
        <v>1</v>
      </c>
      <c r="L631" s="28">
        <v>0.5</v>
      </c>
      <c r="M631" s="28" t="str">
        <f t="shared" si="27"/>
        <v>לא לרכוש</v>
      </c>
      <c r="N631" s="28"/>
      <c r="O631" s="28">
        <v>1000</v>
      </c>
      <c r="P631" s="27"/>
      <c r="Q631" s="27"/>
    </row>
    <row r="632" spans="1:17" s="32" customFormat="1" ht="14.25" customHeight="1">
      <c r="A632" s="33" t="s">
        <v>20</v>
      </c>
      <c r="B632" s="27" t="s">
        <v>441</v>
      </c>
      <c r="C632" s="34" t="s">
        <v>872</v>
      </c>
      <c r="D632" s="27" t="s">
        <v>469</v>
      </c>
      <c r="E632" s="33" t="s">
        <v>250</v>
      </c>
      <c r="F632" s="28">
        <v>300</v>
      </c>
      <c r="G632" s="28">
        <v>1</v>
      </c>
      <c r="H632" s="28">
        <f t="shared" si="26"/>
        <v>300</v>
      </c>
      <c r="I632" s="69" t="s">
        <v>82</v>
      </c>
      <c r="J632" s="28">
        <v>1</v>
      </c>
      <c r="K632" s="28">
        <v>1</v>
      </c>
      <c r="L632" s="28">
        <v>0.5</v>
      </c>
      <c r="M632" s="28" t="str">
        <f t="shared" si="27"/>
        <v>לא לרכוש</v>
      </c>
      <c r="N632" s="28"/>
      <c r="O632" s="28">
        <v>1000</v>
      </c>
      <c r="P632" s="27"/>
      <c r="Q632" s="27"/>
    </row>
    <row r="633" spans="1:17" s="32" customFormat="1" ht="14.25" customHeight="1">
      <c r="A633" s="33" t="s">
        <v>20</v>
      </c>
      <c r="B633" s="27" t="s">
        <v>441</v>
      </c>
      <c r="C633" s="34" t="s">
        <v>873</v>
      </c>
      <c r="D633" s="27" t="s">
        <v>469</v>
      </c>
      <c r="E633" s="33" t="s">
        <v>250</v>
      </c>
      <c r="F633" s="28">
        <v>300</v>
      </c>
      <c r="G633" s="28">
        <v>1</v>
      </c>
      <c r="H633" s="28">
        <f t="shared" si="26"/>
        <v>300</v>
      </c>
      <c r="I633" s="69" t="s">
        <v>82</v>
      </c>
      <c r="J633" s="28">
        <v>1</v>
      </c>
      <c r="K633" s="28">
        <v>1</v>
      </c>
      <c r="L633" s="28">
        <v>0.5</v>
      </c>
      <c r="M633" s="28" t="str">
        <f t="shared" si="27"/>
        <v>לא לרכוש</v>
      </c>
      <c r="N633" s="28"/>
      <c r="O633" s="28">
        <v>1000</v>
      </c>
      <c r="P633" s="27"/>
      <c r="Q633" s="27"/>
    </row>
    <row r="634" spans="1:17" s="32" customFormat="1" ht="14.25" customHeight="1">
      <c r="A634" s="33" t="s">
        <v>20</v>
      </c>
      <c r="B634" s="27" t="s">
        <v>441</v>
      </c>
      <c r="C634" s="34" t="s">
        <v>874</v>
      </c>
      <c r="D634" s="27" t="s">
        <v>469</v>
      </c>
      <c r="E634" s="33" t="s">
        <v>250</v>
      </c>
      <c r="F634" s="28">
        <v>300</v>
      </c>
      <c r="G634" s="28">
        <v>1</v>
      </c>
      <c r="H634" s="28">
        <f t="shared" si="26"/>
        <v>300</v>
      </c>
      <c r="I634" s="69" t="s">
        <v>82</v>
      </c>
      <c r="J634" s="28">
        <v>1</v>
      </c>
      <c r="K634" s="28">
        <v>1</v>
      </c>
      <c r="L634" s="28">
        <v>0.5</v>
      </c>
      <c r="M634" s="28" t="str">
        <f t="shared" si="27"/>
        <v>לא לרכוש</v>
      </c>
      <c r="N634" s="28"/>
      <c r="O634" s="28">
        <v>1000</v>
      </c>
      <c r="P634" s="27"/>
      <c r="Q634" s="27"/>
    </row>
    <row r="635" spans="1:17" s="32" customFormat="1" ht="14.25" customHeight="1">
      <c r="A635" s="33" t="s">
        <v>20</v>
      </c>
      <c r="B635" s="27" t="s">
        <v>441</v>
      </c>
      <c r="C635" s="34" t="s">
        <v>875</v>
      </c>
      <c r="D635" s="27" t="s">
        <v>469</v>
      </c>
      <c r="E635" s="33" t="s">
        <v>250</v>
      </c>
      <c r="F635" s="28">
        <v>300</v>
      </c>
      <c r="G635" s="28">
        <v>1</v>
      </c>
      <c r="H635" s="28">
        <f t="shared" si="26"/>
        <v>300</v>
      </c>
      <c r="I635" s="69" t="s">
        <v>82</v>
      </c>
      <c r="J635" s="28">
        <v>1</v>
      </c>
      <c r="K635" s="28">
        <v>1</v>
      </c>
      <c r="L635" s="28">
        <v>0.5</v>
      </c>
      <c r="M635" s="28" t="str">
        <f t="shared" si="27"/>
        <v>לא לרכוש</v>
      </c>
      <c r="N635" s="28"/>
      <c r="O635" s="28">
        <v>1000</v>
      </c>
      <c r="P635" s="27"/>
      <c r="Q635" s="27"/>
    </row>
    <row r="636" spans="1:17" s="32" customFormat="1" ht="14.25" customHeight="1">
      <c r="A636" s="33" t="s">
        <v>17</v>
      </c>
      <c r="B636" s="27" t="s">
        <v>442</v>
      </c>
      <c r="C636" s="34" t="s">
        <v>876</v>
      </c>
      <c r="D636" s="27" t="s">
        <v>1017</v>
      </c>
      <c r="E636" s="33" t="s">
        <v>250</v>
      </c>
      <c r="F636" s="28">
        <v>300</v>
      </c>
      <c r="G636" s="28">
        <v>1</v>
      </c>
      <c r="H636" s="28">
        <f t="shared" si="26"/>
        <v>300</v>
      </c>
      <c r="I636" s="69"/>
      <c r="J636" s="28">
        <v>1</v>
      </c>
      <c r="K636" s="28">
        <v>1</v>
      </c>
      <c r="L636" s="28">
        <v>0.5</v>
      </c>
      <c r="M636" s="28" t="str">
        <f t="shared" si="27"/>
        <v>לרכוש</v>
      </c>
      <c r="N636" s="28"/>
      <c r="O636" s="28">
        <v>1000</v>
      </c>
      <c r="P636" s="27"/>
      <c r="Q636" s="27"/>
    </row>
    <row r="637" spans="1:17" s="32" customFormat="1" ht="14.25" customHeight="1">
      <c r="A637" s="33" t="s">
        <v>17</v>
      </c>
      <c r="B637" s="27" t="s">
        <v>442</v>
      </c>
      <c r="C637" s="34" t="s">
        <v>877</v>
      </c>
      <c r="D637" s="27" t="s">
        <v>1017</v>
      </c>
      <c r="E637" s="33" t="s">
        <v>250</v>
      </c>
      <c r="F637" s="28">
        <v>300</v>
      </c>
      <c r="G637" s="28">
        <v>1</v>
      </c>
      <c r="H637" s="28">
        <f t="shared" si="26"/>
        <v>300</v>
      </c>
      <c r="I637" s="69"/>
      <c r="J637" s="28">
        <v>1</v>
      </c>
      <c r="K637" s="28">
        <v>1</v>
      </c>
      <c r="L637" s="28">
        <v>0.5</v>
      </c>
      <c r="M637" s="28" t="str">
        <f t="shared" si="27"/>
        <v>לרכוש</v>
      </c>
      <c r="N637" s="28"/>
      <c r="O637" s="28">
        <v>1000</v>
      </c>
      <c r="P637" s="27"/>
      <c r="Q637" s="27"/>
    </row>
    <row r="638" spans="1:17" s="32" customFormat="1" ht="14.25" customHeight="1">
      <c r="A638" s="33" t="s">
        <v>17</v>
      </c>
      <c r="B638" s="27" t="s">
        <v>442</v>
      </c>
      <c r="C638" s="34" t="s">
        <v>883</v>
      </c>
      <c r="D638" s="27" t="s">
        <v>1017</v>
      </c>
      <c r="E638" s="33" t="s">
        <v>250</v>
      </c>
      <c r="F638" s="28">
        <v>300</v>
      </c>
      <c r="G638" s="28">
        <v>1</v>
      </c>
      <c r="H638" s="28">
        <f t="shared" si="26"/>
        <v>300</v>
      </c>
      <c r="I638" s="69"/>
      <c r="J638" s="28">
        <v>1</v>
      </c>
      <c r="K638" s="28">
        <v>1</v>
      </c>
      <c r="L638" s="28">
        <v>0.5</v>
      </c>
      <c r="M638" s="28" t="str">
        <f t="shared" si="27"/>
        <v>לרכוש</v>
      </c>
      <c r="N638" s="28"/>
      <c r="O638" s="28">
        <v>1000</v>
      </c>
      <c r="P638" s="27"/>
      <c r="Q638" s="27"/>
    </row>
    <row r="639" spans="1:17" s="32" customFormat="1" ht="14.25" customHeight="1">
      <c r="A639" s="33" t="s">
        <v>17</v>
      </c>
      <c r="B639" s="27" t="s">
        <v>442</v>
      </c>
      <c r="C639" s="34" t="s">
        <v>884</v>
      </c>
      <c r="D639" s="27" t="s">
        <v>1017</v>
      </c>
      <c r="E639" s="33" t="s">
        <v>250</v>
      </c>
      <c r="F639" s="28">
        <v>300</v>
      </c>
      <c r="G639" s="28">
        <v>1</v>
      </c>
      <c r="H639" s="28">
        <f t="shared" si="26"/>
        <v>300</v>
      </c>
      <c r="I639" s="69"/>
      <c r="J639" s="28">
        <v>1</v>
      </c>
      <c r="K639" s="28">
        <v>1</v>
      </c>
      <c r="L639" s="28">
        <v>0.5</v>
      </c>
      <c r="M639" s="28" t="str">
        <f t="shared" si="27"/>
        <v>לרכוש</v>
      </c>
      <c r="N639" s="28"/>
      <c r="O639" s="28">
        <v>1000</v>
      </c>
      <c r="P639" s="27"/>
      <c r="Q639" s="27"/>
    </row>
    <row r="640" spans="1:17" s="32" customFormat="1" ht="14.25" customHeight="1">
      <c r="A640" s="33" t="s">
        <v>17</v>
      </c>
      <c r="B640" s="27" t="s">
        <v>442</v>
      </c>
      <c r="C640" s="34" t="s">
        <v>885</v>
      </c>
      <c r="D640" s="27" t="s">
        <v>1017</v>
      </c>
      <c r="E640" s="33" t="s">
        <v>250</v>
      </c>
      <c r="F640" s="28">
        <v>300</v>
      </c>
      <c r="G640" s="28">
        <v>1</v>
      </c>
      <c r="H640" s="28">
        <f t="shared" si="26"/>
        <v>300</v>
      </c>
      <c r="I640" s="69"/>
      <c r="J640" s="28">
        <v>1</v>
      </c>
      <c r="K640" s="28">
        <v>1</v>
      </c>
      <c r="L640" s="28">
        <v>0.5</v>
      </c>
      <c r="M640" s="28" t="str">
        <f t="shared" si="27"/>
        <v>לרכוש</v>
      </c>
      <c r="N640" s="28"/>
      <c r="O640" s="28">
        <v>1000</v>
      </c>
      <c r="P640" s="27"/>
      <c r="Q640" s="27"/>
    </row>
    <row r="641" spans="1:17" s="32" customFormat="1" ht="14.25" customHeight="1">
      <c r="A641" s="33" t="s">
        <v>17</v>
      </c>
      <c r="B641" s="27" t="s">
        <v>443</v>
      </c>
      <c r="C641" s="34" t="s">
        <v>886</v>
      </c>
      <c r="D641" s="27" t="s">
        <v>1017</v>
      </c>
      <c r="E641" s="33" t="s">
        <v>250</v>
      </c>
      <c r="F641" s="28">
        <v>300</v>
      </c>
      <c r="G641" s="28">
        <v>1</v>
      </c>
      <c r="H641" s="28">
        <f t="shared" si="26"/>
        <v>300</v>
      </c>
      <c r="I641" s="69"/>
      <c r="J641" s="28">
        <v>1</v>
      </c>
      <c r="K641" s="28">
        <v>1</v>
      </c>
      <c r="L641" s="28">
        <v>0.5</v>
      </c>
      <c r="M641" s="28" t="str">
        <f t="shared" si="27"/>
        <v>לרכוש</v>
      </c>
      <c r="N641" s="28"/>
      <c r="O641" s="28">
        <v>1000</v>
      </c>
      <c r="P641" s="27"/>
      <c r="Q641" s="27"/>
    </row>
    <row r="642" spans="1:17" s="32" customFormat="1" ht="14.25" customHeight="1">
      <c r="A642" s="33" t="s">
        <v>17</v>
      </c>
      <c r="B642" s="27" t="s">
        <v>443</v>
      </c>
      <c r="C642" s="34" t="s">
        <v>887</v>
      </c>
      <c r="D642" s="27" t="s">
        <v>1017</v>
      </c>
      <c r="E642" s="33" t="s">
        <v>250</v>
      </c>
      <c r="F642" s="28">
        <v>300</v>
      </c>
      <c r="G642" s="28">
        <v>1</v>
      </c>
      <c r="H642" s="28">
        <f t="shared" si="26"/>
        <v>300</v>
      </c>
      <c r="I642" s="69"/>
      <c r="J642" s="28">
        <v>1</v>
      </c>
      <c r="K642" s="28">
        <v>1</v>
      </c>
      <c r="L642" s="28">
        <v>0.5</v>
      </c>
      <c r="M642" s="28" t="str">
        <f t="shared" si="27"/>
        <v>לרכוש</v>
      </c>
      <c r="N642" s="28"/>
      <c r="O642" s="28">
        <v>1000</v>
      </c>
      <c r="P642" s="27"/>
      <c r="Q642" s="27"/>
    </row>
    <row r="643" spans="1:17" s="32" customFormat="1" ht="14.25" customHeight="1">
      <c r="A643" s="33" t="s">
        <v>271</v>
      </c>
      <c r="B643" s="27" t="s">
        <v>443</v>
      </c>
      <c r="C643" s="34" t="s">
        <v>888</v>
      </c>
      <c r="D643" s="27" t="s">
        <v>1018</v>
      </c>
      <c r="E643" s="33" t="s">
        <v>1019</v>
      </c>
      <c r="F643" s="28">
        <v>300</v>
      </c>
      <c r="G643" s="28">
        <v>1</v>
      </c>
      <c r="H643" s="28">
        <f t="shared" si="26"/>
        <v>300</v>
      </c>
      <c r="I643" s="69" t="s">
        <v>82</v>
      </c>
      <c r="J643" s="28">
        <v>1</v>
      </c>
      <c r="K643" s="28">
        <v>1</v>
      </c>
      <c r="L643" s="28">
        <v>0.5</v>
      </c>
      <c r="M643" s="28" t="str">
        <f t="shared" si="27"/>
        <v>לא לרכוש</v>
      </c>
      <c r="N643" s="28"/>
      <c r="O643" s="28">
        <v>1000</v>
      </c>
      <c r="P643" s="27"/>
      <c r="Q643" s="27"/>
    </row>
    <row r="644" spans="1:17" s="32" customFormat="1" ht="14.25" customHeight="1">
      <c r="A644" s="33" t="s">
        <v>17</v>
      </c>
      <c r="B644" s="27" t="s">
        <v>443</v>
      </c>
      <c r="C644" s="34" t="s">
        <v>893</v>
      </c>
      <c r="D644" s="27" t="s">
        <v>1017</v>
      </c>
      <c r="E644" s="33" t="s">
        <v>250</v>
      </c>
      <c r="F644" s="28">
        <v>300</v>
      </c>
      <c r="G644" s="28">
        <v>1</v>
      </c>
      <c r="H644" s="28">
        <f t="shared" si="26"/>
        <v>300</v>
      </c>
      <c r="I644" s="69"/>
      <c r="J644" s="28">
        <v>1</v>
      </c>
      <c r="K644" s="28">
        <v>1</v>
      </c>
      <c r="L644" s="28">
        <v>0.5</v>
      </c>
      <c r="M644" s="28" t="str">
        <f t="shared" si="27"/>
        <v>לרכוש</v>
      </c>
      <c r="N644" s="28"/>
      <c r="O644" s="28">
        <v>1000</v>
      </c>
      <c r="P644" s="27"/>
      <c r="Q644" s="27"/>
    </row>
    <row r="645" spans="1:17" s="32" customFormat="1" ht="14.25" customHeight="1">
      <c r="A645" s="33" t="s">
        <v>17</v>
      </c>
      <c r="B645" s="27" t="s">
        <v>444</v>
      </c>
      <c r="C645" s="34" t="s">
        <v>894</v>
      </c>
      <c r="D645" s="27" t="s">
        <v>1017</v>
      </c>
      <c r="E645" s="33" t="s">
        <v>250</v>
      </c>
      <c r="F645" s="28">
        <v>300</v>
      </c>
      <c r="G645" s="28">
        <v>1</v>
      </c>
      <c r="H645" s="28">
        <f t="shared" si="26"/>
        <v>300</v>
      </c>
      <c r="I645" s="69"/>
      <c r="J645" s="28">
        <v>1</v>
      </c>
      <c r="K645" s="28">
        <v>1</v>
      </c>
      <c r="L645" s="28">
        <v>0.5</v>
      </c>
      <c r="M645" s="28" t="str">
        <f t="shared" si="27"/>
        <v>לרכוש</v>
      </c>
      <c r="N645" s="28"/>
      <c r="O645" s="28">
        <v>1000</v>
      </c>
      <c r="P645" s="27"/>
      <c r="Q645" s="27"/>
    </row>
    <row r="646" spans="1:17" s="32" customFormat="1" ht="14.25" customHeight="1">
      <c r="A646" s="33" t="s">
        <v>17</v>
      </c>
      <c r="B646" s="27" t="s">
        <v>444</v>
      </c>
      <c r="C646" s="34" t="s">
        <v>895</v>
      </c>
      <c r="D646" s="27" t="s">
        <v>1017</v>
      </c>
      <c r="E646" s="33" t="s">
        <v>250</v>
      </c>
      <c r="F646" s="28">
        <v>300</v>
      </c>
      <c r="G646" s="28">
        <v>1</v>
      </c>
      <c r="H646" s="28">
        <f t="shared" si="26"/>
        <v>300</v>
      </c>
      <c r="I646" s="69"/>
      <c r="J646" s="28">
        <v>1</v>
      </c>
      <c r="K646" s="28">
        <v>1</v>
      </c>
      <c r="L646" s="28">
        <v>0.5</v>
      </c>
      <c r="M646" s="28" t="str">
        <f t="shared" si="27"/>
        <v>לרכוש</v>
      </c>
      <c r="N646" s="28"/>
      <c r="O646" s="28">
        <v>1000</v>
      </c>
      <c r="P646" s="27"/>
      <c r="Q646" s="27"/>
    </row>
    <row r="647" spans="1:17" s="32" customFormat="1" ht="14.25" customHeight="1">
      <c r="A647" s="33" t="s">
        <v>17</v>
      </c>
      <c r="B647" s="27" t="s">
        <v>444</v>
      </c>
      <c r="C647" s="34" t="s">
        <v>901</v>
      </c>
      <c r="D647" s="27" t="s">
        <v>1017</v>
      </c>
      <c r="E647" s="33" t="s">
        <v>250</v>
      </c>
      <c r="F647" s="28">
        <v>300</v>
      </c>
      <c r="G647" s="28">
        <v>1</v>
      </c>
      <c r="H647" s="28">
        <f t="shared" si="26"/>
        <v>300</v>
      </c>
      <c r="I647" s="69"/>
      <c r="J647" s="28">
        <v>1</v>
      </c>
      <c r="K647" s="28">
        <v>1</v>
      </c>
      <c r="L647" s="28">
        <v>0.5</v>
      </c>
      <c r="M647" s="28" t="str">
        <f t="shared" si="27"/>
        <v>לרכוש</v>
      </c>
      <c r="N647" s="28"/>
      <c r="O647" s="28">
        <v>1000</v>
      </c>
      <c r="P647" s="27"/>
      <c r="Q647" s="27"/>
    </row>
    <row r="648" spans="1:17" s="32" customFormat="1" ht="14.25" customHeight="1">
      <c r="A648" s="33" t="s">
        <v>17</v>
      </c>
      <c r="B648" s="27" t="s">
        <v>445</v>
      </c>
      <c r="C648" s="34" t="s">
        <v>902</v>
      </c>
      <c r="D648" s="27" t="s">
        <v>1017</v>
      </c>
      <c r="E648" s="33" t="s">
        <v>250</v>
      </c>
      <c r="F648" s="28">
        <v>300</v>
      </c>
      <c r="G648" s="28">
        <v>1</v>
      </c>
      <c r="H648" s="28">
        <f t="shared" si="26"/>
        <v>300</v>
      </c>
      <c r="I648" s="69"/>
      <c r="J648" s="28">
        <v>1</v>
      </c>
      <c r="K648" s="28">
        <v>1</v>
      </c>
      <c r="L648" s="28">
        <v>0.5</v>
      </c>
      <c r="M648" s="28" t="str">
        <f t="shared" si="27"/>
        <v>לרכוש</v>
      </c>
      <c r="N648" s="28"/>
      <c r="O648" s="28">
        <v>1000</v>
      </c>
      <c r="P648" s="27"/>
      <c r="Q648" s="27"/>
    </row>
    <row r="649" spans="1:17" s="32" customFormat="1" ht="14.25" customHeight="1">
      <c r="A649" s="33" t="s">
        <v>17</v>
      </c>
      <c r="B649" s="27" t="s">
        <v>445</v>
      </c>
      <c r="C649" s="34" t="s">
        <v>906</v>
      </c>
      <c r="D649" s="27" t="s">
        <v>1017</v>
      </c>
      <c r="E649" s="33" t="s">
        <v>250</v>
      </c>
      <c r="F649" s="28">
        <v>300</v>
      </c>
      <c r="G649" s="28">
        <v>1</v>
      </c>
      <c r="H649" s="28">
        <f t="shared" si="26"/>
        <v>300</v>
      </c>
      <c r="I649" s="69"/>
      <c r="J649" s="28">
        <v>1</v>
      </c>
      <c r="K649" s="28">
        <v>1</v>
      </c>
      <c r="L649" s="28">
        <v>0.5</v>
      </c>
      <c r="M649" s="28" t="str">
        <f t="shared" si="27"/>
        <v>לרכוש</v>
      </c>
      <c r="N649" s="28"/>
      <c r="O649" s="28">
        <v>1000</v>
      </c>
      <c r="P649" s="27"/>
      <c r="Q649" s="27"/>
    </row>
    <row r="650" spans="1:17" s="32" customFormat="1" ht="14.25" customHeight="1">
      <c r="A650" s="33" t="s">
        <v>272</v>
      </c>
      <c r="B650" s="27" t="s">
        <v>275</v>
      </c>
      <c r="C650" s="34" t="s">
        <v>277</v>
      </c>
      <c r="D650" s="27" t="s">
        <v>300</v>
      </c>
      <c r="E650" s="33" t="s">
        <v>306</v>
      </c>
      <c r="F650" s="28">
        <v>250</v>
      </c>
      <c r="G650" s="28">
        <v>1</v>
      </c>
      <c r="H650" s="28">
        <f t="shared" si="26"/>
        <v>250</v>
      </c>
      <c r="I650" s="69" t="s">
        <v>82</v>
      </c>
      <c r="J650" s="28">
        <v>1</v>
      </c>
      <c r="K650" s="28">
        <v>1</v>
      </c>
      <c r="L650" s="28">
        <v>0.5</v>
      </c>
      <c r="M650" s="28" t="str">
        <f t="shared" si="27"/>
        <v>לא לרכוש</v>
      </c>
      <c r="N650" s="28"/>
      <c r="O650" s="28">
        <v>1000</v>
      </c>
      <c r="P650" s="27"/>
      <c r="Q650" s="27"/>
    </row>
    <row r="651" spans="1:17" s="32" customFormat="1" ht="14.25" customHeight="1">
      <c r="A651" s="33" t="s">
        <v>272</v>
      </c>
      <c r="B651" s="27" t="s">
        <v>275</v>
      </c>
      <c r="C651" s="34" t="s">
        <v>279</v>
      </c>
      <c r="D651" s="27" t="s">
        <v>300</v>
      </c>
      <c r="E651" s="33" t="s">
        <v>306</v>
      </c>
      <c r="F651" s="28">
        <v>250</v>
      </c>
      <c r="G651" s="28">
        <v>1</v>
      </c>
      <c r="H651" s="28">
        <f t="shared" si="26"/>
        <v>250</v>
      </c>
      <c r="I651" s="69" t="s">
        <v>82</v>
      </c>
      <c r="J651" s="28">
        <v>1</v>
      </c>
      <c r="K651" s="28">
        <v>1</v>
      </c>
      <c r="L651" s="28">
        <v>0.5</v>
      </c>
      <c r="M651" s="28" t="str">
        <f t="shared" si="27"/>
        <v>לא לרכוש</v>
      </c>
      <c r="N651" s="28"/>
      <c r="O651" s="28">
        <v>1000</v>
      </c>
      <c r="P651" s="27"/>
      <c r="Q651" s="27"/>
    </row>
    <row r="652" spans="1:17" s="32" customFormat="1" ht="14.25" customHeight="1">
      <c r="A652" s="33" t="s">
        <v>272</v>
      </c>
      <c r="B652" s="27" t="s">
        <v>275</v>
      </c>
      <c r="C652" s="34" t="s">
        <v>281</v>
      </c>
      <c r="D652" s="27" t="s">
        <v>300</v>
      </c>
      <c r="E652" s="33" t="s">
        <v>306</v>
      </c>
      <c r="F652" s="28">
        <v>250</v>
      </c>
      <c r="G652" s="28">
        <v>1</v>
      </c>
      <c r="H652" s="28">
        <f t="shared" si="26"/>
        <v>250</v>
      </c>
      <c r="I652" s="69" t="s">
        <v>82</v>
      </c>
      <c r="J652" s="28">
        <v>1</v>
      </c>
      <c r="K652" s="28">
        <v>1</v>
      </c>
      <c r="L652" s="28">
        <v>0.5</v>
      </c>
      <c r="M652" s="28" t="str">
        <f t="shared" si="27"/>
        <v>לא לרכוש</v>
      </c>
      <c r="N652" s="28"/>
      <c r="O652" s="28">
        <v>1000</v>
      </c>
      <c r="P652" s="27"/>
      <c r="Q652" s="27"/>
    </row>
    <row r="653" spans="1:17" s="32" customFormat="1" ht="14.25" customHeight="1">
      <c r="A653" s="33" t="s">
        <v>272</v>
      </c>
      <c r="B653" s="27" t="s">
        <v>275</v>
      </c>
      <c r="C653" s="34" t="s">
        <v>283</v>
      </c>
      <c r="D653" s="27" t="s">
        <v>300</v>
      </c>
      <c r="E653" s="33" t="s">
        <v>306</v>
      </c>
      <c r="F653" s="28">
        <v>250</v>
      </c>
      <c r="G653" s="28">
        <v>1</v>
      </c>
      <c r="H653" s="28">
        <f t="shared" si="26"/>
        <v>250</v>
      </c>
      <c r="I653" s="69" t="s">
        <v>82</v>
      </c>
      <c r="J653" s="28">
        <v>1</v>
      </c>
      <c r="K653" s="28">
        <v>1</v>
      </c>
      <c r="L653" s="28">
        <v>0.5</v>
      </c>
      <c r="M653" s="28" t="str">
        <f t="shared" si="27"/>
        <v>לא לרכוש</v>
      </c>
      <c r="N653" s="28"/>
      <c r="O653" s="28">
        <v>1000</v>
      </c>
      <c r="P653" s="27"/>
      <c r="Q653" s="27"/>
    </row>
    <row r="654" spans="1:17" s="32" customFormat="1" ht="14.25" customHeight="1">
      <c r="A654" s="33" t="s">
        <v>272</v>
      </c>
      <c r="B654" s="27" t="s">
        <v>275</v>
      </c>
      <c r="C654" s="34" t="s">
        <v>285</v>
      </c>
      <c r="D654" s="27" t="s">
        <v>300</v>
      </c>
      <c r="E654" s="33" t="s">
        <v>306</v>
      </c>
      <c r="F654" s="28">
        <v>250</v>
      </c>
      <c r="G654" s="28">
        <v>1</v>
      </c>
      <c r="H654" s="28">
        <f t="shared" si="26"/>
        <v>250</v>
      </c>
      <c r="I654" s="69" t="s">
        <v>82</v>
      </c>
      <c r="J654" s="28">
        <v>1</v>
      </c>
      <c r="K654" s="28">
        <v>1</v>
      </c>
      <c r="L654" s="28">
        <v>0.5</v>
      </c>
      <c r="M654" s="28" t="str">
        <f t="shared" si="27"/>
        <v>לא לרכוש</v>
      </c>
      <c r="N654" s="28"/>
      <c r="O654" s="28">
        <v>1000</v>
      </c>
      <c r="P654" s="27"/>
      <c r="Q654" s="27"/>
    </row>
    <row r="655" spans="1:17" s="32" customFormat="1" ht="14.25" customHeight="1">
      <c r="A655" s="33" t="s">
        <v>272</v>
      </c>
      <c r="B655" s="27" t="s">
        <v>312</v>
      </c>
      <c r="C655" s="34" t="s">
        <v>314</v>
      </c>
      <c r="D655" s="27" t="s">
        <v>300</v>
      </c>
      <c r="E655" s="33" t="s">
        <v>306</v>
      </c>
      <c r="F655" s="28">
        <v>250</v>
      </c>
      <c r="G655" s="28">
        <v>1</v>
      </c>
      <c r="H655" s="28">
        <f t="shared" si="26"/>
        <v>250</v>
      </c>
      <c r="I655" s="69" t="s">
        <v>82</v>
      </c>
      <c r="J655" s="28">
        <v>1</v>
      </c>
      <c r="K655" s="28">
        <v>1</v>
      </c>
      <c r="L655" s="28">
        <v>0.5</v>
      </c>
      <c r="M655" s="28" t="str">
        <f t="shared" si="27"/>
        <v>לא לרכוש</v>
      </c>
      <c r="N655" s="28"/>
      <c r="O655" s="28">
        <v>1000</v>
      </c>
      <c r="P655" s="27"/>
      <c r="Q655" s="27"/>
    </row>
    <row r="656" spans="1:17" s="32" customFormat="1" ht="14.25" customHeight="1">
      <c r="A656" s="33" t="s">
        <v>272</v>
      </c>
      <c r="B656" s="27" t="s">
        <v>312</v>
      </c>
      <c r="C656" s="34" t="s">
        <v>316</v>
      </c>
      <c r="D656" s="27" t="s">
        <v>300</v>
      </c>
      <c r="E656" s="33" t="s">
        <v>306</v>
      </c>
      <c r="F656" s="28">
        <v>250</v>
      </c>
      <c r="G656" s="28">
        <v>1</v>
      </c>
      <c r="H656" s="28">
        <f t="shared" si="26"/>
        <v>250</v>
      </c>
      <c r="I656" s="69" t="s">
        <v>82</v>
      </c>
      <c r="J656" s="28">
        <v>1</v>
      </c>
      <c r="K656" s="28">
        <v>1</v>
      </c>
      <c r="L656" s="28">
        <v>0.5</v>
      </c>
      <c r="M656" s="28" t="str">
        <f t="shared" si="27"/>
        <v>לא לרכוש</v>
      </c>
      <c r="N656" s="28"/>
      <c r="O656" s="28">
        <v>1000</v>
      </c>
      <c r="P656" s="27"/>
      <c r="Q656" s="27"/>
    </row>
    <row r="657" spans="1:17" s="32" customFormat="1" ht="14.25" customHeight="1">
      <c r="A657" s="33" t="s">
        <v>272</v>
      </c>
      <c r="B657" s="27" t="s">
        <v>312</v>
      </c>
      <c r="C657" s="34" t="s">
        <v>318</v>
      </c>
      <c r="D657" s="27" t="s">
        <v>300</v>
      </c>
      <c r="E657" s="33" t="s">
        <v>306</v>
      </c>
      <c r="F657" s="28">
        <v>250</v>
      </c>
      <c r="G657" s="28">
        <v>1</v>
      </c>
      <c r="H657" s="28">
        <f t="shared" si="26"/>
        <v>250</v>
      </c>
      <c r="I657" s="69" t="s">
        <v>82</v>
      </c>
      <c r="J657" s="28">
        <v>1</v>
      </c>
      <c r="K657" s="28">
        <v>1</v>
      </c>
      <c r="L657" s="28">
        <v>0.5</v>
      </c>
      <c r="M657" s="28" t="str">
        <f t="shared" si="27"/>
        <v>לא לרכוש</v>
      </c>
      <c r="N657" s="28"/>
      <c r="O657" s="28">
        <v>1000</v>
      </c>
      <c r="P657" s="27"/>
      <c r="Q657" s="27"/>
    </row>
    <row r="658" spans="1:17" s="32" customFormat="1" ht="14.25" customHeight="1">
      <c r="A658" s="33" t="s">
        <v>272</v>
      </c>
      <c r="B658" s="27" t="s">
        <v>331</v>
      </c>
      <c r="C658" s="34" t="s">
        <v>334</v>
      </c>
      <c r="D658" s="27" t="s">
        <v>300</v>
      </c>
      <c r="E658" s="33" t="s">
        <v>306</v>
      </c>
      <c r="F658" s="28">
        <v>250</v>
      </c>
      <c r="G658" s="28">
        <v>1</v>
      </c>
      <c r="H658" s="28">
        <f t="shared" si="26"/>
        <v>250</v>
      </c>
      <c r="I658" s="69" t="s">
        <v>82</v>
      </c>
      <c r="J658" s="28">
        <v>1</v>
      </c>
      <c r="K658" s="28">
        <v>1</v>
      </c>
      <c r="L658" s="28">
        <v>0.5</v>
      </c>
      <c r="M658" s="28" t="str">
        <f t="shared" si="27"/>
        <v>לא לרכוש</v>
      </c>
      <c r="N658" s="28"/>
      <c r="O658" s="28">
        <v>1000</v>
      </c>
      <c r="P658" s="27"/>
      <c r="Q658" s="27"/>
    </row>
    <row r="659" spans="1:17" s="32" customFormat="1" ht="14.25" customHeight="1">
      <c r="A659" s="33" t="s">
        <v>220</v>
      </c>
      <c r="B659" s="27" t="s">
        <v>344</v>
      </c>
      <c r="C659" s="34" t="s">
        <v>353</v>
      </c>
      <c r="D659" s="27" t="s">
        <v>396</v>
      </c>
      <c r="E659" s="33" t="s">
        <v>403</v>
      </c>
      <c r="F659" s="28">
        <v>250</v>
      </c>
      <c r="G659" s="28">
        <v>1</v>
      </c>
      <c r="H659" s="28">
        <f t="shared" si="26"/>
        <v>250</v>
      </c>
      <c r="I659" s="69" t="s">
        <v>82</v>
      </c>
      <c r="J659" s="28">
        <v>1</v>
      </c>
      <c r="K659" s="28">
        <v>0</v>
      </c>
      <c r="L659" s="28">
        <v>0.5</v>
      </c>
      <c r="M659" s="28" t="str">
        <f t="shared" si="27"/>
        <v>לא לרכוש</v>
      </c>
      <c r="N659" s="28"/>
      <c r="O659" s="28">
        <v>1000</v>
      </c>
      <c r="P659" s="27"/>
      <c r="Q659" s="27"/>
    </row>
    <row r="660" spans="1:17" s="32" customFormat="1" ht="14.25" customHeight="1">
      <c r="A660" s="33" t="s">
        <v>468</v>
      </c>
      <c r="B660" s="27" t="s">
        <v>426</v>
      </c>
      <c r="C660" s="34" t="s">
        <v>453</v>
      </c>
      <c r="D660" s="27" t="s">
        <v>302</v>
      </c>
      <c r="E660" s="33" t="s">
        <v>473</v>
      </c>
      <c r="F660" s="28">
        <v>250</v>
      </c>
      <c r="G660" s="28">
        <v>1</v>
      </c>
      <c r="H660" s="28">
        <f t="shared" si="26"/>
        <v>250</v>
      </c>
      <c r="I660" s="69" t="s">
        <v>82</v>
      </c>
      <c r="J660" s="28">
        <v>1</v>
      </c>
      <c r="K660" s="28">
        <v>1</v>
      </c>
      <c r="L660" s="28">
        <v>0.5</v>
      </c>
      <c r="M660" s="28" t="str">
        <f t="shared" si="27"/>
        <v>לא לרכוש</v>
      </c>
      <c r="N660" s="28"/>
      <c r="O660" s="28">
        <v>1000</v>
      </c>
      <c r="P660" s="27"/>
      <c r="Q660" s="27"/>
    </row>
    <row r="661" spans="1:17" s="32" customFormat="1" ht="14.25" customHeight="1">
      <c r="A661" s="33" t="s">
        <v>468</v>
      </c>
      <c r="B661" s="27" t="s">
        <v>426</v>
      </c>
      <c r="C661" s="34" t="s">
        <v>454</v>
      </c>
      <c r="D661" s="27" t="s">
        <v>302</v>
      </c>
      <c r="E661" s="33" t="s">
        <v>473</v>
      </c>
      <c r="F661" s="28">
        <v>250</v>
      </c>
      <c r="G661" s="28">
        <v>1</v>
      </c>
      <c r="H661" s="28">
        <f t="shared" si="26"/>
        <v>250</v>
      </c>
      <c r="I661" s="69" t="s">
        <v>82</v>
      </c>
      <c r="J661" s="28">
        <v>1</v>
      </c>
      <c r="K661" s="28">
        <v>1</v>
      </c>
      <c r="L661" s="28">
        <v>0.5</v>
      </c>
      <c r="M661" s="28" t="str">
        <f t="shared" si="27"/>
        <v>לא לרכוש</v>
      </c>
      <c r="N661" s="28"/>
      <c r="O661" s="28">
        <v>1000</v>
      </c>
      <c r="P661" s="27"/>
      <c r="Q661" s="27"/>
    </row>
    <row r="662" spans="1:17" s="32" customFormat="1" ht="14.25" customHeight="1">
      <c r="A662" s="33" t="s">
        <v>274</v>
      </c>
      <c r="B662" s="27" t="s">
        <v>426</v>
      </c>
      <c r="C662" s="34" t="s">
        <v>455</v>
      </c>
      <c r="D662" s="27" t="s">
        <v>302</v>
      </c>
      <c r="E662" s="33" t="s">
        <v>473</v>
      </c>
      <c r="F662" s="28">
        <v>250</v>
      </c>
      <c r="G662" s="28">
        <v>1</v>
      </c>
      <c r="H662" s="28">
        <f t="shared" si="26"/>
        <v>250</v>
      </c>
      <c r="I662" s="69" t="s">
        <v>82</v>
      </c>
      <c r="J662" s="28">
        <v>1</v>
      </c>
      <c r="K662" s="28">
        <v>1</v>
      </c>
      <c r="L662" s="28">
        <v>0.5</v>
      </c>
      <c r="M662" s="28" t="str">
        <f t="shared" si="27"/>
        <v>לא לרכוש</v>
      </c>
      <c r="N662" s="28"/>
      <c r="O662" s="28">
        <v>1000</v>
      </c>
      <c r="P662" s="27"/>
      <c r="Q662" s="27"/>
    </row>
    <row r="663" spans="1:17" s="32" customFormat="1" ht="14.25" customHeight="1">
      <c r="A663" s="33" t="s">
        <v>468</v>
      </c>
      <c r="B663" s="27" t="s">
        <v>426</v>
      </c>
      <c r="C663" s="34" t="s">
        <v>456</v>
      </c>
      <c r="D663" s="27" t="s">
        <v>302</v>
      </c>
      <c r="E663" s="33" t="s">
        <v>473</v>
      </c>
      <c r="F663" s="28">
        <v>250</v>
      </c>
      <c r="G663" s="28">
        <v>1</v>
      </c>
      <c r="H663" s="28">
        <f t="shared" si="26"/>
        <v>250</v>
      </c>
      <c r="I663" s="69" t="s">
        <v>82</v>
      </c>
      <c r="J663" s="28">
        <v>1</v>
      </c>
      <c r="K663" s="28">
        <v>1</v>
      </c>
      <c r="L663" s="28">
        <v>0.5</v>
      </c>
      <c r="M663" s="28" t="str">
        <f t="shared" si="27"/>
        <v>לא לרכוש</v>
      </c>
      <c r="N663" s="28"/>
      <c r="O663" s="28">
        <v>1000</v>
      </c>
      <c r="P663" s="27"/>
      <c r="Q663" s="27"/>
    </row>
    <row r="664" spans="1:17" s="32" customFormat="1" ht="14.25" customHeight="1">
      <c r="A664" s="33" t="s">
        <v>468</v>
      </c>
      <c r="B664" s="27" t="s">
        <v>426</v>
      </c>
      <c r="C664" s="34" t="s">
        <v>457</v>
      </c>
      <c r="D664" s="27" t="s">
        <v>302</v>
      </c>
      <c r="E664" s="33" t="s">
        <v>473</v>
      </c>
      <c r="F664" s="28">
        <v>250</v>
      </c>
      <c r="G664" s="28">
        <v>1</v>
      </c>
      <c r="H664" s="28">
        <f t="shared" si="26"/>
        <v>250</v>
      </c>
      <c r="I664" s="69" t="s">
        <v>82</v>
      </c>
      <c r="J664" s="28">
        <v>1</v>
      </c>
      <c r="K664" s="28">
        <v>1</v>
      </c>
      <c r="L664" s="28">
        <v>0.5</v>
      </c>
      <c r="M664" s="28" t="str">
        <f t="shared" si="27"/>
        <v>לא לרכוש</v>
      </c>
      <c r="N664" s="28"/>
      <c r="O664" s="28">
        <v>1000</v>
      </c>
      <c r="P664" s="27"/>
      <c r="Q664" s="27"/>
    </row>
    <row r="665" spans="1:17" s="32" customFormat="1" ht="14.25" customHeight="1">
      <c r="A665" s="33" t="s">
        <v>468</v>
      </c>
      <c r="B665" s="27" t="s">
        <v>426</v>
      </c>
      <c r="C665" s="34" t="s">
        <v>458</v>
      </c>
      <c r="D665" s="27" t="s">
        <v>302</v>
      </c>
      <c r="E665" s="33" t="s">
        <v>473</v>
      </c>
      <c r="F665" s="28">
        <v>250</v>
      </c>
      <c r="G665" s="28">
        <v>1</v>
      </c>
      <c r="H665" s="28">
        <f t="shared" si="26"/>
        <v>250</v>
      </c>
      <c r="I665" s="69" t="s">
        <v>82</v>
      </c>
      <c r="J665" s="28">
        <v>1</v>
      </c>
      <c r="K665" s="28">
        <v>1</v>
      </c>
      <c r="L665" s="28">
        <v>0.5</v>
      </c>
      <c r="M665" s="28" t="str">
        <f t="shared" si="27"/>
        <v>לא לרכוש</v>
      </c>
      <c r="N665" s="28"/>
      <c r="O665" s="28">
        <v>1000</v>
      </c>
      <c r="P665" s="27"/>
      <c r="Q665" s="27"/>
    </row>
    <row r="666" spans="1:17" s="32" customFormat="1" ht="14.25" customHeight="1">
      <c r="A666" s="33" t="s">
        <v>468</v>
      </c>
      <c r="B666" s="27" t="s">
        <v>426</v>
      </c>
      <c r="C666" s="34" t="s">
        <v>459</v>
      </c>
      <c r="D666" s="27" t="s">
        <v>302</v>
      </c>
      <c r="E666" s="33" t="s">
        <v>473</v>
      </c>
      <c r="F666" s="28">
        <v>250</v>
      </c>
      <c r="G666" s="28">
        <v>1</v>
      </c>
      <c r="H666" s="28">
        <f t="shared" si="26"/>
        <v>250</v>
      </c>
      <c r="I666" s="69" t="s">
        <v>82</v>
      </c>
      <c r="J666" s="28">
        <v>1</v>
      </c>
      <c r="K666" s="28">
        <v>1</v>
      </c>
      <c r="L666" s="28">
        <v>0.5</v>
      </c>
      <c r="M666" s="28" t="str">
        <f t="shared" si="27"/>
        <v>לא לרכוש</v>
      </c>
      <c r="N666" s="28"/>
      <c r="O666" s="28">
        <v>1000</v>
      </c>
      <c r="P666" s="27"/>
      <c r="Q666" s="27"/>
    </row>
    <row r="667" spans="1:17" s="32" customFormat="1" ht="14.25" customHeight="1">
      <c r="A667" s="33" t="s">
        <v>274</v>
      </c>
      <c r="B667" s="27" t="s">
        <v>426</v>
      </c>
      <c r="C667" s="34" t="s">
        <v>460</v>
      </c>
      <c r="D667" s="27" t="s">
        <v>302</v>
      </c>
      <c r="E667" s="33" t="s">
        <v>473</v>
      </c>
      <c r="F667" s="28">
        <v>250</v>
      </c>
      <c r="G667" s="28">
        <v>1</v>
      </c>
      <c r="H667" s="28">
        <f t="shared" si="26"/>
        <v>250</v>
      </c>
      <c r="I667" s="69" t="s">
        <v>82</v>
      </c>
      <c r="J667" s="28">
        <v>1</v>
      </c>
      <c r="K667" s="28">
        <v>1</v>
      </c>
      <c r="L667" s="28">
        <v>0.5</v>
      </c>
      <c r="M667" s="28" t="str">
        <f t="shared" si="27"/>
        <v>לא לרכוש</v>
      </c>
      <c r="N667" s="28"/>
      <c r="O667" s="28">
        <v>1000</v>
      </c>
      <c r="P667" s="27"/>
      <c r="Q667" s="27"/>
    </row>
    <row r="668" spans="1:17" s="32" customFormat="1" ht="14.25" customHeight="1">
      <c r="A668" s="33" t="s">
        <v>468</v>
      </c>
      <c r="B668" s="27" t="s">
        <v>426</v>
      </c>
      <c r="C668" s="34" t="s">
        <v>461</v>
      </c>
      <c r="D668" s="27" t="s">
        <v>302</v>
      </c>
      <c r="E668" s="33" t="s">
        <v>473</v>
      </c>
      <c r="F668" s="28">
        <v>250</v>
      </c>
      <c r="G668" s="28">
        <v>1</v>
      </c>
      <c r="H668" s="28">
        <f t="shared" ref="H668:H731" si="28">G668*F668</f>
        <v>250</v>
      </c>
      <c r="I668" s="69" t="s">
        <v>82</v>
      </c>
      <c r="J668" s="28">
        <v>1</v>
      </c>
      <c r="K668" s="28">
        <v>1</v>
      </c>
      <c r="L668" s="28">
        <v>0.5</v>
      </c>
      <c r="M668" s="28" t="str">
        <f t="shared" si="27"/>
        <v>לא לרכוש</v>
      </c>
      <c r="N668" s="28"/>
      <c r="O668" s="28">
        <v>1000</v>
      </c>
      <c r="P668" s="27"/>
      <c r="Q668" s="27"/>
    </row>
    <row r="669" spans="1:17" s="32" customFormat="1" ht="14.25" customHeight="1">
      <c r="A669" s="33" t="s">
        <v>274</v>
      </c>
      <c r="B669" s="27" t="s">
        <v>426</v>
      </c>
      <c r="C669" s="34" t="s">
        <v>463</v>
      </c>
      <c r="D669" s="27" t="s">
        <v>302</v>
      </c>
      <c r="E669" s="33" t="s">
        <v>473</v>
      </c>
      <c r="F669" s="28">
        <v>250</v>
      </c>
      <c r="G669" s="28">
        <v>1</v>
      </c>
      <c r="H669" s="28">
        <f t="shared" si="28"/>
        <v>250</v>
      </c>
      <c r="I669" s="69" t="s">
        <v>82</v>
      </c>
      <c r="J669" s="28">
        <v>1</v>
      </c>
      <c r="K669" s="28">
        <v>1</v>
      </c>
      <c r="L669" s="28">
        <v>0.5</v>
      </c>
      <c r="M669" s="28" t="str">
        <f t="shared" si="27"/>
        <v>לא לרכוש</v>
      </c>
      <c r="N669" s="28"/>
      <c r="O669" s="28">
        <v>1000</v>
      </c>
      <c r="P669" s="27"/>
      <c r="Q669" s="27"/>
    </row>
    <row r="670" spans="1:17" s="32" customFormat="1" ht="14.25" customHeight="1">
      <c r="A670" s="33" t="s">
        <v>468</v>
      </c>
      <c r="B670" s="27" t="s">
        <v>426</v>
      </c>
      <c r="C670" s="34" t="s">
        <v>481</v>
      </c>
      <c r="D670" s="27" t="s">
        <v>302</v>
      </c>
      <c r="E670" s="33" t="s">
        <v>473</v>
      </c>
      <c r="F670" s="28">
        <v>250</v>
      </c>
      <c r="G670" s="28">
        <v>1</v>
      </c>
      <c r="H670" s="28">
        <f t="shared" si="28"/>
        <v>250</v>
      </c>
      <c r="I670" s="69" t="s">
        <v>82</v>
      </c>
      <c r="J670" s="28">
        <v>1</v>
      </c>
      <c r="K670" s="28">
        <v>1</v>
      </c>
      <c r="L670" s="28">
        <v>0.5</v>
      </c>
      <c r="M670" s="28" t="str">
        <f t="shared" si="27"/>
        <v>לא לרכוש</v>
      </c>
      <c r="N670" s="28"/>
      <c r="O670" s="28">
        <v>1000</v>
      </c>
      <c r="P670" s="27"/>
      <c r="Q670" s="27"/>
    </row>
    <row r="671" spans="1:17" s="32" customFormat="1" ht="14.25" customHeight="1">
      <c r="A671" s="33" t="s">
        <v>468</v>
      </c>
      <c r="B671" s="27" t="s">
        <v>426</v>
      </c>
      <c r="C671" s="34" t="s">
        <v>485</v>
      </c>
      <c r="D671" s="27" t="s">
        <v>302</v>
      </c>
      <c r="E671" s="33" t="s">
        <v>473</v>
      </c>
      <c r="F671" s="28">
        <v>250</v>
      </c>
      <c r="G671" s="28">
        <v>1</v>
      </c>
      <c r="H671" s="28">
        <f t="shared" si="28"/>
        <v>250</v>
      </c>
      <c r="I671" s="69" t="s">
        <v>82</v>
      </c>
      <c r="J671" s="28">
        <v>1</v>
      </c>
      <c r="K671" s="28">
        <v>1</v>
      </c>
      <c r="L671" s="28">
        <v>0.5</v>
      </c>
      <c r="M671" s="28" t="str">
        <f t="shared" si="27"/>
        <v>לא לרכוש</v>
      </c>
      <c r="N671" s="28"/>
      <c r="O671" s="28">
        <v>1000</v>
      </c>
      <c r="P671" s="27"/>
      <c r="Q671" s="27"/>
    </row>
    <row r="672" spans="1:17" s="32" customFormat="1" ht="14.25" customHeight="1">
      <c r="A672" s="33" t="s">
        <v>274</v>
      </c>
      <c r="B672" s="27" t="s">
        <v>426</v>
      </c>
      <c r="C672" s="34" t="s">
        <v>489</v>
      </c>
      <c r="D672" s="27" t="s">
        <v>302</v>
      </c>
      <c r="E672" s="33" t="s">
        <v>473</v>
      </c>
      <c r="F672" s="28">
        <v>250</v>
      </c>
      <c r="G672" s="28">
        <v>1</v>
      </c>
      <c r="H672" s="28">
        <f t="shared" si="28"/>
        <v>250</v>
      </c>
      <c r="I672" s="69" t="s">
        <v>82</v>
      </c>
      <c r="J672" s="28">
        <v>1</v>
      </c>
      <c r="K672" s="28">
        <v>1</v>
      </c>
      <c r="L672" s="28">
        <v>0.5</v>
      </c>
      <c r="M672" s="28" t="str">
        <f t="shared" si="27"/>
        <v>לא לרכוש</v>
      </c>
      <c r="N672" s="28"/>
      <c r="O672" s="28">
        <v>1000</v>
      </c>
      <c r="P672" s="27"/>
      <c r="Q672" s="27"/>
    </row>
    <row r="673" spans="1:17" s="32" customFormat="1" ht="14.25" customHeight="1">
      <c r="A673" s="33" t="s">
        <v>468</v>
      </c>
      <c r="B673" s="27" t="s">
        <v>426</v>
      </c>
      <c r="C673" s="34" t="s">
        <v>494</v>
      </c>
      <c r="D673" s="27" t="s">
        <v>302</v>
      </c>
      <c r="E673" s="33" t="s">
        <v>473</v>
      </c>
      <c r="F673" s="28">
        <v>250</v>
      </c>
      <c r="G673" s="28">
        <v>1</v>
      </c>
      <c r="H673" s="28">
        <f t="shared" si="28"/>
        <v>250</v>
      </c>
      <c r="I673" s="69" t="s">
        <v>82</v>
      </c>
      <c r="J673" s="28">
        <v>1</v>
      </c>
      <c r="K673" s="28">
        <v>1</v>
      </c>
      <c r="L673" s="28">
        <v>0.5</v>
      </c>
      <c r="M673" s="28" t="str">
        <f t="shared" si="27"/>
        <v>לא לרכוש</v>
      </c>
      <c r="N673" s="28"/>
      <c r="O673" s="28">
        <v>1000</v>
      </c>
      <c r="P673" s="27"/>
      <c r="Q673" s="27"/>
    </row>
    <row r="674" spans="1:17" s="32" customFormat="1" ht="14.25" customHeight="1">
      <c r="A674" s="27" t="s">
        <v>273</v>
      </c>
      <c r="B674" s="33" t="s">
        <v>433</v>
      </c>
      <c r="C674" s="34" t="s">
        <v>643</v>
      </c>
      <c r="D674" s="63" t="s">
        <v>752</v>
      </c>
      <c r="E674" s="33" t="s">
        <v>758</v>
      </c>
      <c r="F674" s="28">
        <v>250</v>
      </c>
      <c r="G674" s="28">
        <v>1</v>
      </c>
      <c r="H674" s="28">
        <f t="shared" si="28"/>
        <v>250</v>
      </c>
      <c r="I674" s="69" t="s">
        <v>82</v>
      </c>
      <c r="J674" s="28">
        <v>1</v>
      </c>
      <c r="K674" s="28">
        <v>0</v>
      </c>
      <c r="L674" s="28">
        <v>0.5</v>
      </c>
      <c r="M674" s="28" t="str">
        <f t="shared" ref="M674:M737" si="29">IF(AND(K674*L674*30*O674&gt;H674/J674,I674=""),"לרכוש","לא לרכוש")</f>
        <v>לא לרכוש</v>
      </c>
      <c r="N674" s="28"/>
      <c r="O674" s="28">
        <v>1000</v>
      </c>
      <c r="P674" s="27"/>
      <c r="Q674" s="27"/>
    </row>
    <row r="675" spans="1:17" s="32" customFormat="1" ht="14.25" customHeight="1">
      <c r="A675" s="27" t="s">
        <v>273</v>
      </c>
      <c r="B675" s="33" t="s">
        <v>433</v>
      </c>
      <c r="C675" s="34" t="s">
        <v>644</v>
      </c>
      <c r="D675" s="63" t="s">
        <v>752</v>
      </c>
      <c r="E675" s="33" t="s">
        <v>758</v>
      </c>
      <c r="F675" s="28">
        <v>250</v>
      </c>
      <c r="G675" s="28">
        <v>1</v>
      </c>
      <c r="H675" s="28">
        <f t="shared" si="28"/>
        <v>250</v>
      </c>
      <c r="I675" s="69" t="s">
        <v>82</v>
      </c>
      <c r="J675" s="28">
        <v>1</v>
      </c>
      <c r="K675" s="28">
        <v>0</v>
      </c>
      <c r="L675" s="28">
        <v>0.5</v>
      </c>
      <c r="M675" s="28" t="str">
        <f t="shared" si="29"/>
        <v>לא לרכוש</v>
      </c>
      <c r="N675" s="28"/>
      <c r="O675" s="28">
        <v>1000</v>
      </c>
      <c r="P675" s="27"/>
      <c r="Q675" s="27"/>
    </row>
    <row r="676" spans="1:17" s="32" customFormat="1" ht="14.25" customHeight="1">
      <c r="A676" s="27" t="s">
        <v>273</v>
      </c>
      <c r="B676" s="33" t="s">
        <v>433</v>
      </c>
      <c r="C676" s="34" t="s">
        <v>645</v>
      </c>
      <c r="D676" s="63" t="s">
        <v>752</v>
      </c>
      <c r="E676" s="33" t="s">
        <v>758</v>
      </c>
      <c r="F676" s="28">
        <v>250</v>
      </c>
      <c r="G676" s="28">
        <v>1</v>
      </c>
      <c r="H676" s="28">
        <f t="shared" si="28"/>
        <v>250</v>
      </c>
      <c r="I676" s="69" t="s">
        <v>82</v>
      </c>
      <c r="J676" s="28">
        <v>1</v>
      </c>
      <c r="K676" s="28">
        <v>0</v>
      </c>
      <c r="L676" s="28">
        <v>0.5</v>
      </c>
      <c r="M676" s="28" t="str">
        <f t="shared" si="29"/>
        <v>לא לרכוש</v>
      </c>
      <c r="N676" s="28"/>
      <c r="O676" s="28">
        <v>1000</v>
      </c>
      <c r="P676" s="27"/>
      <c r="Q676" s="27"/>
    </row>
    <row r="677" spans="1:17" s="32" customFormat="1" ht="14.25" customHeight="1">
      <c r="A677" s="27" t="s">
        <v>273</v>
      </c>
      <c r="B677" s="33" t="s">
        <v>433</v>
      </c>
      <c r="C677" s="34" t="s">
        <v>651</v>
      </c>
      <c r="D677" s="63" t="s">
        <v>752</v>
      </c>
      <c r="E677" s="33" t="s">
        <v>761</v>
      </c>
      <c r="F677" s="28">
        <v>250</v>
      </c>
      <c r="G677" s="28">
        <v>1</v>
      </c>
      <c r="H677" s="28">
        <f t="shared" si="28"/>
        <v>250</v>
      </c>
      <c r="I677" s="69"/>
      <c r="J677" s="28">
        <v>1</v>
      </c>
      <c r="K677" s="28">
        <v>1</v>
      </c>
      <c r="L677" s="28">
        <v>0.5</v>
      </c>
      <c r="M677" s="28" t="str">
        <f t="shared" si="29"/>
        <v>לרכוש</v>
      </c>
      <c r="N677" s="28"/>
      <c r="O677" s="28">
        <v>1000</v>
      </c>
      <c r="P677" s="27"/>
      <c r="Q677" s="27"/>
    </row>
    <row r="678" spans="1:17" s="32" customFormat="1" ht="14.25" customHeight="1">
      <c r="A678" s="27" t="s">
        <v>19</v>
      </c>
      <c r="B678" s="33" t="s">
        <v>434</v>
      </c>
      <c r="C678" s="34" t="s">
        <v>665</v>
      </c>
      <c r="D678" s="63" t="s">
        <v>590</v>
      </c>
      <c r="E678" s="33" t="s">
        <v>763</v>
      </c>
      <c r="F678" s="28">
        <v>250</v>
      </c>
      <c r="G678" s="28">
        <v>1</v>
      </c>
      <c r="H678" s="28">
        <f t="shared" si="28"/>
        <v>250</v>
      </c>
      <c r="I678" s="69" t="s">
        <v>82</v>
      </c>
      <c r="J678" s="28">
        <v>1</v>
      </c>
      <c r="K678" s="28">
        <v>0</v>
      </c>
      <c r="L678" s="28">
        <v>0.5</v>
      </c>
      <c r="M678" s="28" t="str">
        <f t="shared" si="29"/>
        <v>לא לרכוש</v>
      </c>
      <c r="N678" s="28"/>
      <c r="O678" s="28">
        <v>1000</v>
      </c>
      <c r="P678" s="27"/>
      <c r="Q678" s="27"/>
    </row>
    <row r="679" spans="1:17" s="32" customFormat="1" ht="14.25" customHeight="1">
      <c r="A679" s="27" t="s">
        <v>19</v>
      </c>
      <c r="B679" s="33" t="s">
        <v>434</v>
      </c>
      <c r="C679" s="34" t="s">
        <v>666</v>
      </c>
      <c r="D679" s="63" t="s">
        <v>590</v>
      </c>
      <c r="E679" s="33" t="s">
        <v>763</v>
      </c>
      <c r="F679" s="28">
        <v>250</v>
      </c>
      <c r="G679" s="28">
        <v>1</v>
      </c>
      <c r="H679" s="28">
        <f t="shared" si="28"/>
        <v>250</v>
      </c>
      <c r="I679" s="69" t="s">
        <v>82</v>
      </c>
      <c r="J679" s="28">
        <v>1</v>
      </c>
      <c r="K679" s="28">
        <v>0</v>
      </c>
      <c r="L679" s="28">
        <v>0.5</v>
      </c>
      <c r="M679" s="28" t="str">
        <f t="shared" si="29"/>
        <v>לא לרכוש</v>
      </c>
      <c r="N679" s="28"/>
      <c r="O679" s="28">
        <v>1000</v>
      </c>
      <c r="P679" s="27"/>
      <c r="Q679" s="27"/>
    </row>
    <row r="680" spans="1:17" s="32" customFormat="1" ht="14.25" customHeight="1">
      <c r="A680" s="27" t="s">
        <v>14</v>
      </c>
      <c r="B680" s="33" t="s">
        <v>435</v>
      </c>
      <c r="C680" s="34" t="s">
        <v>694</v>
      </c>
      <c r="D680" s="63" t="s">
        <v>590</v>
      </c>
      <c r="E680" s="33" t="s">
        <v>763</v>
      </c>
      <c r="F680" s="28">
        <v>250</v>
      </c>
      <c r="G680" s="28">
        <v>1</v>
      </c>
      <c r="H680" s="28">
        <f t="shared" si="28"/>
        <v>250</v>
      </c>
      <c r="I680" s="69" t="s">
        <v>82</v>
      </c>
      <c r="J680" s="28">
        <v>1</v>
      </c>
      <c r="K680" s="28">
        <v>0</v>
      </c>
      <c r="L680" s="28">
        <v>0.5</v>
      </c>
      <c r="M680" s="28" t="str">
        <f t="shared" si="29"/>
        <v>לא לרכוש</v>
      </c>
      <c r="N680" s="28"/>
      <c r="O680" s="28">
        <v>1000</v>
      </c>
      <c r="P680" s="27"/>
      <c r="Q680" s="27"/>
    </row>
    <row r="681" spans="1:17" s="32" customFormat="1" ht="14.25" customHeight="1">
      <c r="A681" s="27" t="s">
        <v>14</v>
      </c>
      <c r="B681" s="33" t="s">
        <v>435</v>
      </c>
      <c r="C681" s="34" t="s">
        <v>695</v>
      </c>
      <c r="D681" s="63" t="s">
        <v>590</v>
      </c>
      <c r="E681" s="33" t="s">
        <v>763</v>
      </c>
      <c r="F681" s="28">
        <v>250</v>
      </c>
      <c r="G681" s="28">
        <v>1</v>
      </c>
      <c r="H681" s="28">
        <f t="shared" si="28"/>
        <v>250</v>
      </c>
      <c r="I681" s="69" t="s">
        <v>82</v>
      </c>
      <c r="J681" s="28">
        <v>1</v>
      </c>
      <c r="K681" s="28">
        <v>0</v>
      </c>
      <c r="L681" s="28">
        <v>0.5</v>
      </c>
      <c r="M681" s="28" t="str">
        <f t="shared" si="29"/>
        <v>לא לרכוש</v>
      </c>
      <c r="N681" s="28"/>
      <c r="O681" s="28">
        <v>1000</v>
      </c>
      <c r="P681" s="27"/>
      <c r="Q681" s="27"/>
    </row>
    <row r="682" spans="1:17" s="32" customFormat="1" ht="14.25" customHeight="1">
      <c r="A682" s="27" t="s">
        <v>14</v>
      </c>
      <c r="B682" s="33" t="s">
        <v>435</v>
      </c>
      <c r="C682" s="34" t="s">
        <v>696</v>
      </c>
      <c r="D682" s="63" t="s">
        <v>590</v>
      </c>
      <c r="E682" s="33" t="s">
        <v>763</v>
      </c>
      <c r="F682" s="28">
        <v>250</v>
      </c>
      <c r="G682" s="28">
        <v>1</v>
      </c>
      <c r="H682" s="28">
        <f t="shared" si="28"/>
        <v>250</v>
      </c>
      <c r="I682" s="69" t="s">
        <v>82</v>
      </c>
      <c r="J682" s="28">
        <v>1</v>
      </c>
      <c r="K682" s="28">
        <v>0</v>
      </c>
      <c r="L682" s="28">
        <v>0.5</v>
      </c>
      <c r="M682" s="28" t="str">
        <f t="shared" si="29"/>
        <v>לא לרכוש</v>
      </c>
      <c r="N682" s="28"/>
      <c r="O682" s="28">
        <v>1000</v>
      </c>
      <c r="P682" s="27"/>
      <c r="Q682" s="27"/>
    </row>
    <row r="683" spans="1:17" s="32" customFormat="1" ht="14.25" customHeight="1">
      <c r="A683" s="27" t="s">
        <v>14</v>
      </c>
      <c r="B683" s="33" t="s">
        <v>435</v>
      </c>
      <c r="C683" s="34" t="s">
        <v>697</v>
      </c>
      <c r="D683" s="63" t="s">
        <v>590</v>
      </c>
      <c r="E683" s="33" t="s">
        <v>763</v>
      </c>
      <c r="F683" s="28">
        <v>250</v>
      </c>
      <c r="G683" s="28">
        <v>1</v>
      </c>
      <c r="H683" s="28">
        <f t="shared" si="28"/>
        <v>250</v>
      </c>
      <c r="I683" s="69" t="s">
        <v>82</v>
      </c>
      <c r="J683" s="28">
        <v>1</v>
      </c>
      <c r="K683" s="28">
        <v>0</v>
      </c>
      <c r="L683" s="28">
        <v>0.5</v>
      </c>
      <c r="M683" s="28" t="str">
        <f t="shared" si="29"/>
        <v>לא לרכוש</v>
      </c>
      <c r="N683" s="28"/>
      <c r="O683" s="28">
        <v>1000</v>
      </c>
      <c r="P683" s="27"/>
      <c r="Q683" s="27"/>
    </row>
    <row r="684" spans="1:17" s="32" customFormat="1" ht="14.25" customHeight="1">
      <c r="A684" s="27" t="s">
        <v>273</v>
      </c>
      <c r="B684" s="33" t="s">
        <v>437</v>
      </c>
      <c r="C684" s="34" t="s">
        <v>744</v>
      </c>
      <c r="D684" s="63" t="s">
        <v>590</v>
      </c>
      <c r="E684" s="33">
        <v>930.83</v>
      </c>
      <c r="F684" s="28">
        <v>250</v>
      </c>
      <c r="G684" s="28">
        <v>1</v>
      </c>
      <c r="H684" s="28">
        <f t="shared" si="28"/>
        <v>250</v>
      </c>
      <c r="I684" s="69" t="s">
        <v>82</v>
      </c>
      <c r="J684" s="28">
        <v>1</v>
      </c>
      <c r="K684" s="28">
        <v>0</v>
      </c>
      <c r="L684" s="28">
        <v>0.5</v>
      </c>
      <c r="M684" s="28" t="str">
        <f t="shared" si="29"/>
        <v>לא לרכוש</v>
      </c>
      <c r="N684" s="28"/>
      <c r="O684" s="28">
        <v>1000</v>
      </c>
      <c r="P684" s="27"/>
      <c r="Q684" s="27"/>
    </row>
    <row r="685" spans="1:17" s="32" customFormat="1" ht="14.25" customHeight="1">
      <c r="A685" s="27" t="s">
        <v>273</v>
      </c>
      <c r="B685" s="33" t="s">
        <v>437</v>
      </c>
      <c r="C685" s="34" t="s">
        <v>745</v>
      </c>
      <c r="D685" s="63" t="s">
        <v>590</v>
      </c>
      <c r="E685" s="33" t="s">
        <v>763</v>
      </c>
      <c r="F685" s="28">
        <v>250</v>
      </c>
      <c r="G685" s="28">
        <v>1</v>
      </c>
      <c r="H685" s="28">
        <f t="shared" si="28"/>
        <v>250</v>
      </c>
      <c r="I685" s="69" t="s">
        <v>82</v>
      </c>
      <c r="J685" s="28">
        <v>1</v>
      </c>
      <c r="K685" s="28">
        <v>0</v>
      </c>
      <c r="L685" s="28">
        <v>0.5</v>
      </c>
      <c r="M685" s="28" t="str">
        <f t="shared" si="29"/>
        <v>לא לרכוש</v>
      </c>
      <c r="N685" s="28"/>
      <c r="O685" s="28">
        <v>1000</v>
      </c>
      <c r="P685" s="27"/>
      <c r="Q685" s="27"/>
    </row>
    <row r="686" spans="1:17" s="32" customFormat="1" ht="14.25" customHeight="1">
      <c r="A686" s="27" t="s">
        <v>273</v>
      </c>
      <c r="B686" s="33" t="s">
        <v>436</v>
      </c>
      <c r="C686" s="34" t="s">
        <v>746</v>
      </c>
      <c r="D686" s="63" t="s">
        <v>590</v>
      </c>
      <c r="E686" s="33" t="s">
        <v>763</v>
      </c>
      <c r="F686" s="28">
        <v>250</v>
      </c>
      <c r="G686" s="28">
        <v>1</v>
      </c>
      <c r="H686" s="28">
        <f t="shared" si="28"/>
        <v>250</v>
      </c>
      <c r="I686" s="69" t="s">
        <v>82</v>
      </c>
      <c r="J686" s="28">
        <v>1</v>
      </c>
      <c r="K686" s="28">
        <v>0</v>
      </c>
      <c r="L686" s="28">
        <v>0.5</v>
      </c>
      <c r="M686" s="28" t="str">
        <f t="shared" si="29"/>
        <v>לא לרכוש</v>
      </c>
      <c r="N686" s="28"/>
      <c r="O686" s="28">
        <v>1000</v>
      </c>
      <c r="P686" s="27"/>
      <c r="Q686" s="27"/>
    </row>
    <row r="687" spans="1:17" s="32" customFormat="1" ht="14.25" customHeight="1">
      <c r="A687" s="27" t="s">
        <v>273</v>
      </c>
      <c r="B687" s="33" t="s">
        <v>436</v>
      </c>
      <c r="C687" s="34" t="s">
        <v>747</v>
      </c>
      <c r="D687" s="63" t="s">
        <v>590</v>
      </c>
      <c r="E687" s="33">
        <v>930.83</v>
      </c>
      <c r="F687" s="28">
        <v>250</v>
      </c>
      <c r="G687" s="28">
        <v>1</v>
      </c>
      <c r="H687" s="28">
        <f t="shared" si="28"/>
        <v>250</v>
      </c>
      <c r="I687" s="69" t="s">
        <v>82</v>
      </c>
      <c r="J687" s="28">
        <v>1</v>
      </c>
      <c r="K687" s="28">
        <v>0</v>
      </c>
      <c r="L687" s="28">
        <v>0.5</v>
      </c>
      <c r="M687" s="28" t="str">
        <f t="shared" si="29"/>
        <v>לא לרכוש</v>
      </c>
      <c r="N687" s="28"/>
      <c r="O687" s="28">
        <v>1000</v>
      </c>
      <c r="P687" s="27"/>
      <c r="Q687" s="27"/>
    </row>
    <row r="688" spans="1:17" s="32" customFormat="1" ht="14.25" customHeight="1">
      <c r="A688" s="33" t="s">
        <v>774</v>
      </c>
      <c r="B688" s="27" t="s">
        <v>440</v>
      </c>
      <c r="C688" s="34" t="s">
        <v>798</v>
      </c>
      <c r="D688" s="27" t="s">
        <v>470</v>
      </c>
      <c r="E688" s="33" t="s">
        <v>1010</v>
      </c>
      <c r="F688" s="28">
        <v>250</v>
      </c>
      <c r="G688" s="28">
        <v>1</v>
      </c>
      <c r="H688" s="28">
        <f t="shared" si="28"/>
        <v>250</v>
      </c>
      <c r="I688" s="69" t="s">
        <v>82</v>
      </c>
      <c r="J688" s="28">
        <v>1</v>
      </c>
      <c r="K688" s="28">
        <v>0</v>
      </c>
      <c r="L688" s="28">
        <v>0.5</v>
      </c>
      <c r="M688" s="28" t="str">
        <f t="shared" si="29"/>
        <v>לא לרכוש</v>
      </c>
      <c r="N688" s="28"/>
      <c r="O688" s="28">
        <v>1000</v>
      </c>
      <c r="P688" s="27"/>
      <c r="Q688" s="27"/>
    </row>
    <row r="689" spans="1:17" s="32" customFormat="1" ht="14.25" customHeight="1">
      <c r="A689" s="33" t="s">
        <v>1050</v>
      </c>
      <c r="B689" s="27" t="s">
        <v>440</v>
      </c>
      <c r="C689" s="34" t="s">
        <v>800</v>
      </c>
      <c r="D689" s="27" t="s">
        <v>470</v>
      </c>
      <c r="E689" s="33" t="s">
        <v>1012</v>
      </c>
      <c r="F689" s="28">
        <v>250</v>
      </c>
      <c r="G689" s="28">
        <v>1</v>
      </c>
      <c r="H689" s="28">
        <f t="shared" si="28"/>
        <v>250</v>
      </c>
      <c r="I689" s="69" t="s">
        <v>82</v>
      </c>
      <c r="J689" s="28">
        <v>1</v>
      </c>
      <c r="K689" s="28">
        <v>0</v>
      </c>
      <c r="L689" s="28">
        <v>0.5</v>
      </c>
      <c r="M689" s="28" t="str">
        <f t="shared" si="29"/>
        <v>לא לרכוש</v>
      </c>
      <c r="N689" s="28"/>
      <c r="O689" s="28">
        <v>1000</v>
      </c>
      <c r="P689" s="27"/>
      <c r="Q689" s="27"/>
    </row>
    <row r="690" spans="1:17" s="32" customFormat="1" ht="14.25" customHeight="1">
      <c r="A690" s="33" t="s">
        <v>1050</v>
      </c>
      <c r="B690" s="27" t="s">
        <v>440</v>
      </c>
      <c r="C690" s="34" t="s">
        <v>802</v>
      </c>
      <c r="D690" s="27" t="s">
        <v>470</v>
      </c>
      <c r="E690" s="33" t="s">
        <v>1012</v>
      </c>
      <c r="F690" s="28">
        <v>250</v>
      </c>
      <c r="G690" s="28">
        <v>1</v>
      </c>
      <c r="H690" s="28">
        <f t="shared" si="28"/>
        <v>250</v>
      </c>
      <c r="I690" s="69" t="s">
        <v>82</v>
      </c>
      <c r="J690" s="28">
        <v>1</v>
      </c>
      <c r="K690" s="28">
        <v>0</v>
      </c>
      <c r="L690" s="28">
        <v>0.5</v>
      </c>
      <c r="M690" s="28" t="str">
        <f t="shared" si="29"/>
        <v>לא לרכוש</v>
      </c>
      <c r="N690" s="28"/>
      <c r="O690" s="28">
        <v>1000</v>
      </c>
      <c r="P690" s="27"/>
      <c r="Q690" s="27"/>
    </row>
    <row r="691" spans="1:17" s="32" customFormat="1" ht="14.25" customHeight="1">
      <c r="A691" s="33" t="s">
        <v>273</v>
      </c>
      <c r="B691" s="27" t="s">
        <v>442</v>
      </c>
      <c r="C691" s="34" t="s">
        <v>879</v>
      </c>
      <c r="D691" s="27" t="s">
        <v>752</v>
      </c>
      <c r="E691" s="33" t="s">
        <v>761</v>
      </c>
      <c r="F691" s="28">
        <v>250</v>
      </c>
      <c r="G691" s="28">
        <v>1</v>
      </c>
      <c r="H691" s="28">
        <f t="shared" si="28"/>
        <v>250</v>
      </c>
      <c r="I691" s="69" t="s">
        <v>82</v>
      </c>
      <c r="J691" s="28">
        <v>1</v>
      </c>
      <c r="K691" s="28">
        <v>0</v>
      </c>
      <c r="L691" s="28">
        <v>0.3</v>
      </c>
      <c r="M691" s="28" t="str">
        <f t="shared" si="29"/>
        <v>לא לרכוש</v>
      </c>
      <c r="N691" s="28"/>
      <c r="O691" s="28">
        <v>1000</v>
      </c>
      <c r="P691" s="27"/>
      <c r="Q691" s="27"/>
    </row>
    <row r="692" spans="1:17" s="32" customFormat="1" ht="14.25" customHeight="1">
      <c r="A692" s="33" t="s">
        <v>273</v>
      </c>
      <c r="B692" s="27" t="s">
        <v>442</v>
      </c>
      <c r="C692" s="34" t="s">
        <v>880</v>
      </c>
      <c r="D692" s="27" t="s">
        <v>752</v>
      </c>
      <c r="E692" s="33" t="s">
        <v>758</v>
      </c>
      <c r="F692" s="28">
        <v>250</v>
      </c>
      <c r="G692" s="28">
        <v>1</v>
      </c>
      <c r="H692" s="28">
        <f t="shared" si="28"/>
        <v>250</v>
      </c>
      <c r="I692" s="69" t="s">
        <v>82</v>
      </c>
      <c r="J692" s="28">
        <v>1</v>
      </c>
      <c r="K692" s="28">
        <v>0</v>
      </c>
      <c r="L692" s="28">
        <v>0.3</v>
      </c>
      <c r="M692" s="28" t="str">
        <f t="shared" si="29"/>
        <v>לא לרכוש</v>
      </c>
      <c r="N692" s="28"/>
      <c r="O692" s="28">
        <v>1000</v>
      </c>
      <c r="P692" s="27"/>
      <c r="Q692" s="27"/>
    </row>
    <row r="693" spans="1:17" s="32" customFormat="1" ht="14.25" customHeight="1">
      <c r="A693" s="33" t="s">
        <v>273</v>
      </c>
      <c r="B693" s="27" t="s">
        <v>442</v>
      </c>
      <c r="C693" s="34" t="s">
        <v>881</v>
      </c>
      <c r="D693" s="27" t="s">
        <v>752</v>
      </c>
      <c r="E693" s="33" t="s">
        <v>758</v>
      </c>
      <c r="F693" s="28">
        <v>250</v>
      </c>
      <c r="G693" s="28">
        <v>1</v>
      </c>
      <c r="H693" s="28">
        <f t="shared" si="28"/>
        <v>250</v>
      </c>
      <c r="I693" s="69" t="s">
        <v>82</v>
      </c>
      <c r="J693" s="28">
        <v>1</v>
      </c>
      <c r="K693" s="28">
        <v>0</v>
      </c>
      <c r="L693" s="28">
        <v>0.3</v>
      </c>
      <c r="M693" s="28" t="str">
        <f t="shared" si="29"/>
        <v>לא לרכוש</v>
      </c>
      <c r="N693" s="28"/>
      <c r="O693" s="28">
        <v>1000</v>
      </c>
      <c r="P693" s="27"/>
      <c r="Q693" s="27"/>
    </row>
    <row r="694" spans="1:17" s="32" customFormat="1" ht="14.25" customHeight="1">
      <c r="A694" s="33" t="s">
        <v>273</v>
      </c>
      <c r="B694" s="27" t="s">
        <v>443</v>
      </c>
      <c r="C694" s="34" t="s">
        <v>889</v>
      </c>
      <c r="D694" s="27" t="s">
        <v>752</v>
      </c>
      <c r="E694" s="33" t="s">
        <v>761</v>
      </c>
      <c r="F694" s="28">
        <v>250</v>
      </c>
      <c r="G694" s="28">
        <v>1</v>
      </c>
      <c r="H694" s="28">
        <f t="shared" si="28"/>
        <v>250</v>
      </c>
      <c r="I694" s="69" t="s">
        <v>82</v>
      </c>
      <c r="J694" s="28">
        <v>1</v>
      </c>
      <c r="K694" s="28">
        <v>0</v>
      </c>
      <c r="L694" s="28">
        <v>0.3</v>
      </c>
      <c r="M694" s="28" t="str">
        <f t="shared" si="29"/>
        <v>לא לרכוש</v>
      </c>
      <c r="N694" s="28"/>
      <c r="O694" s="28">
        <v>1000</v>
      </c>
      <c r="P694" s="27"/>
      <c r="Q694" s="27"/>
    </row>
    <row r="695" spans="1:17" s="32" customFormat="1" ht="14.25" customHeight="1">
      <c r="A695" s="33" t="s">
        <v>273</v>
      </c>
      <c r="B695" s="27" t="s">
        <v>443</v>
      </c>
      <c r="C695" s="34" t="s">
        <v>890</v>
      </c>
      <c r="D695" s="27" t="s">
        <v>752</v>
      </c>
      <c r="E695" s="33" t="s">
        <v>758</v>
      </c>
      <c r="F695" s="28">
        <v>250</v>
      </c>
      <c r="G695" s="28">
        <v>1</v>
      </c>
      <c r="H695" s="28">
        <f t="shared" si="28"/>
        <v>250</v>
      </c>
      <c r="I695" s="69" t="s">
        <v>82</v>
      </c>
      <c r="J695" s="28">
        <v>1</v>
      </c>
      <c r="K695" s="28">
        <v>0</v>
      </c>
      <c r="L695" s="28">
        <v>0.3</v>
      </c>
      <c r="M695" s="28" t="str">
        <f t="shared" si="29"/>
        <v>לא לרכוש</v>
      </c>
      <c r="N695" s="28"/>
      <c r="O695" s="28">
        <v>1000</v>
      </c>
      <c r="P695" s="27"/>
      <c r="Q695" s="27"/>
    </row>
    <row r="696" spans="1:17" s="32" customFormat="1" ht="14.25" customHeight="1">
      <c r="A696" s="33" t="s">
        <v>273</v>
      </c>
      <c r="B696" s="27" t="s">
        <v>443</v>
      </c>
      <c r="C696" s="34" t="s">
        <v>891</v>
      </c>
      <c r="D696" s="27" t="s">
        <v>752</v>
      </c>
      <c r="E696" s="33" t="s">
        <v>758</v>
      </c>
      <c r="F696" s="28">
        <v>250</v>
      </c>
      <c r="G696" s="28">
        <v>1</v>
      </c>
      <c r="H696" s="28">
        <f t="shared" si="28"/>
        <v>250</v>
      </c>
      <c r="I696" s="69" t="s">
        <v>82</v>
      </c>
      <c r="J696" s="28">
        <v>1</v>
      </c>
      <c r="K696" s="28">
        <v>0</v>
      </c>
      <c r="L696" s="28">
        <v>0.3</v>
      </c>
      <c r="M696" s="28" t="str">
        <f t="shared" si="29"/>
        <v>לא לרכוש</v>
      </c>
      <c r="N696" s="28"/>
      <c r="O696" s="28">
        <v>1000</v>
      </c>
      <c r="P696" s="27"/>
      <c r="Q696" s="27"/>
    </row>
    <row r="697" spans="1:17" s="32" customFormat="1" ht="14.25" customHeight="1">
      <c r="A697" s="33" t="s">
        <v>273</v>
      </c>
      <c r="B697" s="27" t="s">
        <v>444</v>
      </c>
      <c r="C697" s="34" t="s">
        <v>897</v>
      </c>
      <c r="D697" s="27" t="s">
        <v>752</v>
      </c>
      <c r="E697" s="33" t="s">
        <v>761</v>
      </c>
      <c r="F697" s="28">
        <v>250</v>
      </c>
      <c r="G697" s="28">
        <v>1</v>
      </c>
      <c r="H697" s="28">
        <f t="shared" si="28"/>
        <v>250</v>
      </c>
      <c r="I697" s="69" t="s">
        <v>82</v>
      </c>
      <c r="J697" s="28">
        <v>1</v>
      </c>
      <c r="K697" s="28">
        <v>0</v>
      </c>
      <c r="L697" s="28">
        <v>0.3</v>
      </c>
      <c r="M697" s="28" t="str">
        <f t="shared" si="29"/>
        <v>לא לרכוש</v>
      </c>
      <c r="N697" s="28"/>
      <c r="O697" s="28">
        <v>1000</v>
      </c>
      <c r="P697" s="27"/>
      <c r="Q697" s="27"/>
    </row>
    <row r="698" spans="1:17" s="32" customFormat="1" ht="14.25" customHeight="1">
      <c r="A698" s="33" t="s">
        <v>273</v>
      </c>
      <c r="B698" s="27" t="s">
        <v>444</v>
      </c>
      <c r="C698" s="34" t="s">
        <v>898</v>
      </c>
      <c r="D698" s="27" t="s">
        <v>752</v>
      </c>
      <c r="E698" s="33" t="s">
        <v>758</v>
      </c>
      <c r="F698" s="28">
        <v>250</v>
      </c>
      <c r="G698" s="28">
        <v>1</v>
      </c>
      <c r="H698" s="28">
        <f t="shared" si="28"/>
        <v>250</v>
      </c>
      <c r="I698" s="69" t="s">
        <v>82</v>
      </c>
      <c r="J698" s="28">
        <v>1</v>
      </c>
      <c r="K698" s="28">
        <v>0</v>
      </c>
      <c r="L698" s="28">
        <v>0.3</v>
      </c>
      <c r="M698" s="28" t="str">
        <f t="shared" si="29"/>
        <v>לא לרכוש</v>
      </c>
      <c r="N698" s="28"/>
      <c r="O698" s="28">
        <v>1000</v>
      </c>
      <c r="P698" s="27"/>
      <c r="Q698" s="27"/>
    </row>
    <row r="699" spans="1:17" s="32" customFormat="1" ht="14.25" customHeight="1">
      <c r="A699" s="33" t="s">
        <v>273</v>
      </c>
      <c r="B699" s="27" t="s">
        <v>444</v>
      </c>
      <c r="C699" s="34" t="s">
        <v>899</v>
      </c>
      <c r="D699" s="27" t="s">
        <v>752</v>
      </c>
      <c r="E699" s="33" t="s">
        <v>758</v>
      </c>
      <c r="F699" s="28">
        <v>250</v>
      </c>
      <c r="G699" s="28">
        <v>1</v>
      </c>
      <c r="H699" s="28">
        <f t="shared" si="28"/>
        <v>250</v>
      </c>
      <c r="I699" s="69" t="s">
        <v>82</v>
      </c>
      <c r="J699" s="28">
        <v>1</v>
      </c>
      <c r="K699" s="28">
        <v>0</v>
      </c>
      <c r="L699" s="28">
        <v>0.3</v>
      </c>
      <c r="M699" s="28" t="str">
        <f t="shared" si="29"/>
        <v>לא לרכוש</v>
      </c>
      <c r="N699" s="28"/>
      <c r="O699" s="28">
        <v>1000</v>
      </c>
      <c r="P699" s="27"/>
      <c r="Q699" s="27"/>
    </row>
    <row r="700" spans="1:17" s="32" customFormat="1" ht="14.25" customHeight="1">
      <c r="A700" s="33" t="s">
        <v>273</v>
      </c>
      <c r="B700" s="27" t="s">
        <v>445</v>
      </c>
      <c r="C700" s="34" t="s">
        <v>907</v>
      </c>
      <c r="D700" s="27" t="s">
        <v>752</v>
      </c>
      <c r="E700" s="33" t="s">
        <v>761</v>
      </c>
      <c r="F700" s="28">
        <v>250</v>
      </c>
      <c r="G700" s="28">
        <v>1</v>
      </c>
      <c r="H700" s="28">
        <f t="shared" si="28"/>
        <v>250</v>
      </c>
      <c r="I700" s="69" t="s">
        <v>82</v>
      </c>
      <c r="J700" s="28">
        <v>1</v>
      </c>
      <c r="K700" s="28">
        <v>0</v>
      </c>
      <c r="L700" s="28">
        <v>0.3</v>
      </c>
      <c r="M700" s="28" t="str">
        <f t="shared" si="29"/>
        <v>לא לרכוש</v>
      </c>
      <c r="N700" s="28"/>
      <c r="O700" s="28">
        <v>1000</v>
      </c>
      <c r="P700" s="27"/>
      <c r="Q700" s="27"/>
    </row>
    <row r="701" spans="1:17" s="32" customFormat="1" ht="14.25" customHeight="1">
      <c r="A701" s="33" t="s">
        <v>273</v>
      </c>
      <c r="B701" s="27" t="s">
        <v>445</v>
      </c>
      <c r="C701" s="34" t="s">
        <v>908</v>
      </c>
      <c r="D701" s="27" t="s">
        <v>752</v>
      </c>
      <c r="E701" s="33" t="s">
        <v>758</v>
      </c>
      <c r="F701" s="28">
        <v>250</v>
      </c>
      <c r="G701" s="28">
        <v>1</v>
      </c>
      <c r="H701" s="28">
        <f t="shared" si="28"/>
        <v>250</v>
      </c>
      <c r="I701" s="69" t="s">
        <v>82</v>
      </c>
      <c r="J701" s="28">
        <v>1</v>
      </c>
      <c r="K701" s="28">
        <v>0</v>
      </c>
      <c r="L701" s="28">
        <v>0.3</v>
      </c>
      <c r="M701" s="28" t="str">
        <f t="shared" si="29"/>
        <v>לא לרכוש</v>
      </c>
      <c r="N701" s="28"/>
      <c r="O701" s="28">
        <v>1000</v>
      </c>
      <c r="P701" s="27"/>
      <c r="Q701" s="27"/>
    </row>
    <row r="702" spans="1:17" s="32" customFormat="1" ht="14.25" customHeight="1">
      <c r="A702" s="33" t="s">
        <v>273</v>
      </c>
      <c r="B702" s="27" t="s">
        <v>445</v>
      </c>
      <c r="C702" s="34" t="s">
        <v>909</v>
      </c>
      <c r="D702" s="27" t="s">
        <v>752</v>
      </c>
      <c r="E702" s="33" t="s">
        <v>758</v>
      </c>
      <c r="F702" s="28">
        <v>250</v>
      </c>
      <c r="G702" s="28">
        <v>1</v>
      </c>
      <c r="H702" s="28">
        <f t="shared" si="28"/>
        <v>250</v>
      </c>
      <c r="I702" s="69" t="s">
        <v>82</v>
      </c>
      <c r="J702" s="28">
        <v>1</v>
      </c>
      <c r="K702" s="28">
        <v>0</v>
      </c>
      <c r="L702" s="28">
        <v>0.3</v>
      </c>
      <c r="M702" s="28" t="str">
        <f t="shared" si="29"/>
        <v>לא לרכוש</v>
      </c>
      <c r="N702" s="28"/>
      <c r="O702" s="28">
        <v>1000</v>
      </c>
      <c r="P702" s="27"/>
      <c r="Q702" s="27"/>
    </row>
    <row r="703" spans="1:17" s="32" customFormat="1" ht="14.25" customHeight="1">
      <c r="A703" s="33" t="s">
        <v>608</v>
      </c>
      <c r="B703" s="27" t="s">
        <v>446</v>
      </c>
      <c r="C703" s="34" t="s">
        <v>915</v>
      </c>
      <c r="D703" s="27" t="s">
        <v>750</v>
      </c>
      <c r="E703" s="33" t="s">
        <v>756</v>
      </c>
      <c r="F703" s="28">
        <v>250</v>
      </c>
      <c r="G703" s="28">
        <v>1</v>
      </c>
      <c r="H703" s="28">
        <f t="shared" si="28"/>
        <v>250</v>
      </c>
      <c r="I703" s="69" t="s">
        <v>82</v>
      </c>
      <c r="J703" s="28">
        <v>1</v>
      </c>
      <c r="K703" s="28">
        <v>0</v>
      </c>
      <c r="L703" s="28">
        <v>0.5</v>
      </c>
      <c r="M703" s="28" t="str">
        <f t="shared" si="29"/>
        <v>לא לרכוש</v>
      </c>
      <c r="N703" s="28"/>
      <c r="O703" s="28">
        <v>1000</v>
      </c>
      <c r="P703" s="27"/>
      <c r="Q703" s="27"/>
    </row>
    <row r="704" spans="1:17" s="32" customFormat="1" ht="14.25" customHeight="1">
      <c r="A704" s="45" t="s">
        <v>195</v>
      </c>
      <c r="B704" s="37" t="s">
        <v>116</v>
      </c>
      <c r="C704" s="38" t="s">
        <v>196</v>
      </c>
      <c r="D704" s="28" t="s">
        <v>198</v>
      </c>
      <c r="E704" s="47" t="s">
        <v>199</v>
      </c>
      <c r="F704" s="28">
        <v>200</v>
      </c>
      <c r="G704" s="28">
        <v>1</v>
      </c>
      <c r="H704" s="28">
        <f t="shared" si="28"/>
        <v>200</v>
      </c>
      <c r="I704" s="69" t="s">
        <v>82</v>
      </c>
      <c r="J704" s="28">
        <v>1</v>
      </c>
      <c r="K704" s="46">
        <v>0</v>
      </c>
      <c r="L704" s="28">
        <v>0.2</v>
      </c>
      <c r="M704" s="28" t="str">
        <f t="shared" si="29"/>
        <v>לא לרכוש</v>
      </c>
      <c r="N704" s="28"/>
      <c r="O704" s="28">
        <v>1000</v>
      </c>
      <c r="P704" s="27"/>
      <c r="Q704" s="27" t="s">
        <v>200</v>
      </c>
    </row>
    <row r="705" spans="1:17" s="32" customFormat="1" ht="14.25" customHeight="1">
      <c r="A705" s="45" t="s">
        <v>195</v>
      </c>
      <c r="B705" s="37" t="s">
        <v>116</v>
      </c>
      <c r="C705" s="38" t="s">
        <v>197</v>
      </c>
      <c r="D705" s="28" t="s">
        <v>394</v>
      </c>
      <c r="E705" s="47" t="s">
        <v>202</v>
      </c>
      <c r="F705" s="28">
        <v>200</v>
      </c>
      <c r="G705" s="28">
        <v>1</v>
      </c>
      <c r="H705" s="28">
        <f t="shared" si="28"/>
        <v>200</v>
      </c>
      <c r="I705" s="69" t="s">
        <v>82</v>
      </c>
      <c r="J705" s="28">
        <v>1</v>
      </c>
      <c r="K705" s="46">
        <v>0</v>
      </c>
      <c r="L705" s="28">
        <v>0.2</v>
      </c>
      <c r="M705" s="28" t="str">
        <f t="shared" si="29"/>
        <v>לא לרכוש</v>
      </c>
      <c r="N705" s="28"/>
      <c r="O705" s="28">
        <v>1000</v>
      </c>
      <c r="P705" s="27"/>
      <c r="Q705" s="48" t="s">
        <v>201</v>
      </c>
    </row>
    <row r="706" spans="1:17" s="32" customFormat="1" ht="14.25" customHeight="1">
      <c r="A706" s="33" t="s">
        <v>273</v>
      </c>
      <c r="B706" s="27" t="s">
        <v>431</v>
      </c>
      <c r="C706" s="34" t="s">
        <v>574</v>
      </c>
      <c r="D706" s="27" t="s">
        <v>590</v>
      </c>
      <c r="E706" s="33">
        <v>930.83</v>
      </c>
      <c r="F706" s="28">
        <v>200</v>
      </c>
      <c r="G706" s="28">
        <v>1</v>
      </c>
      <c r="H706" s="28">
        <f t="shared" si="28"/>
        <v>200</v>
      </c>
      <c r="I706" s="69"/>
      <c r="J706" s="28">
        <v>1</v>
      </c>
      <c r="K706" s="28">
        <v>1</v>
      </c>
      <c r="L706" s="28">
        <v>0.2</v>
      </c>
      <c r="M706" s="28" t="str">
        <f t="shared" si="29"/>
        <v>לרכוש</v>
      </c>
      <c r="N706" s="28"/>
      <c r="O706" s="28">
        <v>1000</v>
      </c>
      <c r="P706" s="27"/>
      <c r="Q706" s="27"/>
    </row>
    <row r="707" spans="1:17" s="32" customFormat="1" ht="14.25" customHeight="1">
      <c r="A707" s="33" t="s">
        <v>273</v>
      </c>
      <c r="B707" s="27" t="s">
        <v>431</v>
      </c>
      <c r="C707" s="34" t="s">
        <v>575</v>
      </c>
      <c r="D707" s="27" t="s">
        <v>590</v>
      </c>
      <c r="E707" s="33">
        <v>930.83</v>
      </c>
      <c r="F707" s="28">
        <v>200</v>
      </c>
      <c r="G707" s="28">
        <v>1</v>
      </c>
      <c r="H707" s="28">
        <f t="shared" si="28"/>
        <v>200</v>
      </c>
      <c r="I707" s="69"/>
      <c r="J707" s="28">
        <v>1</v>
      </c>
      <c r="K707" s="28">
        <v>1</v>
      </c>
      <c r="L707" s="28">
        <v>0.2</v>
      </c>
      <c r="M707" s="28" t="str">
        <f t="shared" si="29"/>
        <v>לרכוש</v>
      </c>
      <c r="N707" s="28"/>
      <c r="O707" s="28">
        <v>1000</v>
      </c>
      <c r="P707" s="27"/>
      <c r="Q707" s="27"/>
    </row>
    <row r="708" spans="1:17" s="32" customFormat="1" ht="14.25" customHeight="1">
      <c r="A708" s="33" t="s">
        <v>273</v>
      </c>
      <c r="B708" s="27" t="s">
        <v>431</v>
      </c>
      <c r="C708" s="34" t="s">
        <v>576</v>
      </c>
      <c r="D708" s="27" t="s">
        <v>590</v>
      </c>
      <c r="E708" s="33">
        <v>930.83</v>
      </c>
      <c r="F708" s="28">
        <v>200</v>
      </c>
      <c r="G708" s="28">
        <v>1</v>
      </c>
      <c r="H708" s="28">
        <f t="shared" si="28"/>
        <v>200</v>
      </c>
      <c r="I708" s="69"/>
      <c r="J708" s="28">
        <v>1</v>
      </c>
      <c r="K708" s="28">
        <v>1</v>
      </c>
      <c r="L708" s="28">
        <v>0.2</v>
      </c>
      <c r="M708" s="28" t="str">
        <f t="shared" si="29"/>
        <v>לרכוש</v>
      </c>
      <c r="N708" s="28"/>
      <c r="O708" s="28">
        <v>1000</v>
      </c>
      <c r="P708" s="27"/>
      <c r="Q708" s="27"/>
    </row>
    <row r="709" spans="1:17" s="32" customFormat="1" ht="14.25" customHeight="1">
      <c r="A709" s="33" t="s">
        <v>273</v>
      </c>
      <c r="B709" s="27" t="s">
        <v>431</v>
      </c>
      <c r="C709" s="34" t="s">
        <v>577</v>
      </c>
      <c r="D709" s="27" t="s">
        <v>590</v>
      </c>
      <c r="E709" s="33">
        <v>930.83</v>
      </c>
      <c r="F709" s="28">
        <v>200</v>
      </c>
      <c r="G709" s="28">
        <v>1</v>
      </c>
      <c r="H709" s="28">
        <f t="shared" si="28"/>
        <v>200</v>
      </c>
      <c r="I709" s="69"/>
      <c r="J709" s="28">
        <v>1</v>
      </c>
      <c r="K709" s="28">
        <v>1</v>
      </c>
      <c r="L709" s="28">
        <v>0.2</v>
      </c>
      <c r="M709" s="28" t="str">
        <f t="shared" si="29"/>
        <v>לרכוש</v>
      </c>
      <c r="N709" s="28"/>
      <c r="O709" s="28">
        <v>1000</v>
      </c>
      <c r="P709" s="27"/>
      <c r="Q709" s="27"/>
    </row>
    <row r="710" spans="1:17" s="32" customFormat="1" ht="14.25" customHeight="1">
      <c r="A710" s="27" t="s">
        <v>608</v>
      </c>
      <c r="B710" s="33" t="s">
        <v>432</v>
      </c>
      <c r="C710" s="34" t="s">
        <v>637</v>
      </c>
      <c r="D710" s="63" t="s">
        <v>750</v>
      </c>
      <c r="E710" s="33" t="s">
        <v>756</v>
      </c>
      <c r="F710" s="28">
        <v>150</v>
      </c>
      <c r="G710" s="28">
        <v>1</v>
      </c>
      <c r="H710" s="28">
        <f t="shared" si="28"/>
        <v>150</v>
      </c>
      <c r="I710" s="69" t="s">
        <v>82</v>
      </c>
      <c r="J710" s="28">
        <v>1</v>
      </c>
      <c r="K710" s="28">
        <v>0</v>
      </c>
      <c r="L710" s="28">
        <v>0.2</v>
      </c>
      <c r="M710" s="28" t="str">
        <f t="shared" si="29"/>
        <v>לא לרכוש</v>
      </c>
      <c r="N710" s="28"/>
      <c r="O710" s="28">
        <v>1000</v>
      </c>
      <c r="P710" s="27"/>
      <c r="Q710" s="27"/>
    </row>
    <row r="711" spans="1:17" s="32" customFormat="1" ht="14.25" customHeight="1">
      <c r="A711" s="27" t="s">
        <v>608</v>
      </c>
      <c r="B711" s="33" t="s">
        <v>432</v>
      </c>
      <c r="C711" s="34" t="s">
        <v>638</v>
      </c>
      <c r="D711" s="63" t="s">
        <v>750</v>
      </c>
      <c r="E711" s="33" t="s">
        <v>756</v>
      </c>
      <c r="F711" s="28">
        <v>150</v>
      </c>
      <c r="G711" s="28">
        <v>1</v>
      </c>
      <c r="H711" s="28">
        <f t="shared" si="28"/>
        <v>150</v>
      </c>
      <c r="I711" s="69" t="s">
        <v>82</v>
      </c>
      <c r="J711" s="28">
        <v>1</v>
      </c>
      <c r="K711" s="28">
        <v>0</v>
      </c>
      <c r="L711" s="28">
        <v>0.2</v>
      </c>
      <c r="M711" s="28" t="str">
        <f t="shared" si="29"/>
        <v>לא לרכוש</v>
      </c>
      <c r="N711" s="28"/>
      <c r="O711" s="28">
        <v>1000</v>
      </c>
      <c r="P711" s="27"/>
      <c r="Q711" s="27"/>
    </row>
    <row r="712" spans="1:17" s="32" customFormat="1" ht="14.25" customHeight="1">
      <c r="A712" s="27" t="s">
        <v>608</v>
      </c>
      <c r="B712" s="33" t="s">
        <v>432</v>
      </c>
      <c r="C712" s="34" t="s">
        <v>639</v>
      </c>
      <c r="D712" s="63" t="s">
        <v>750</v>
      </c>
      <c r="E712" s="33" t="s">
        <v>756</v>
      </c>
      <c r="F712" s="28">
        <v>150</v>
      </c>
      <c r="G712" s="28">
        <v>1</v>
      </c>
      <c r="H712" s="28">
        <f t="shared" si="28"/>
        <v>150</v>
      </c>
      <c r="I712" s="69" t="s">
        <v>82</v>
      </c>
      <c r="J712" s="28">
        <v>1</v>
      </c>
      <c r="K712" s="28">
        <v>0</v>
      </c>
      <c r="L712" s="28">
        <v>0.2</v>
      </c>
      <c r="M712" s="28" t="str">
        <f t="shared" si="29"/>
        <v>לא לרכוש</v>
      </c>
      <c r="N712" s="28"/>
      <c r="O712" s="28">
        <v>1000</v>
      </c>
      <c r="P712" s="27"/>
      <c r="Q712" s="27"/>
    </row>
    <row r="713" spans="1:17" s="32" customFormat="1" ht="14.25" customHeight="1">
      <c r="A713" s="15" t="s">
        <v>1077</v>
      </c>
      <c r="B713" s="14" t="s">
        <v>1078</v>
      </c>
      <c r="C713" s="14" t="s">
        <v>1078</v>
      </c>
      <c r="D713" s="14" t="s">
        <v>1082</v>
      </c>
      <c r="E713" s="15" t="s">
        <v>1083</v>
      </c>
      <c r="F713" s="16">
        <v>150</v>
      </c>
      <c r="G713" s="16">
        <v>1</v>
      </c>
      <c r="H713" s="16">
        <f t="shared" si="28"/>
        <v>150</v>
      </c>
      <c r="I713" s="69" t="s">
        <v>82</v>
      </c>
      <c r="J713" s="16">
        <v>1</v>
      </c>
      <c r="K713" s="16">
        <v>1</v>
      </c>
      <c r="L713" s="16">
        <v>0.1</v>
      </c>
      <c r="M713" s="16" t="str">
        <f t="shared" si="29"/>
        <v>לא לרכוש</v>
      </c>
      <c r="N713" s="16"/>
      <c r="O713" s="16">
        <v>1000</v>
      </c>
      <c r="P713" s="17"/>
      <c r="Q713" s="14"/>
    </row>
    <row r="714" spans="1:17" ht="14.25" customHeight="1">
      <c r="A714" s="15" t="s">
        <v>1081</v>
      </c>
      <c r="B714" s="14" t="s">
        <v>1078</v>
      </c>
      <c r="C714" s="13" t="s">
        <v>1078</v>
      </c>
      <c r="D714" s="14" t="s">
        <v>1079</v>
      </c>
      <c r="E714" s="15" t="s">
        <v>1080</v>
      </c>
      <c r="F714" s="16">
        <v>40</v>
      </c>
      <c r="G714" s="16">
        <v>1</v>
      </c>
      <c r="H714" s="16">
        <f t="shared" si="28"/>
        <v>40</v>
      </c>
      <c r="I714" s="69" t="s">
        <v>82</v>
      </c>
      <c r="J714" s="16">
        <v>1</v>
      </c>
      <c r="K714" s="16">
        <v>1</v>
      </c>
      <c r="L714" s="16">
        <v>0.1</v>
      </c>
      <c r="M714" s="16" t="str">
        <f t="shared" si="29"/>
        <v>לא לרכוש</v>
      </c>
      <c r="N714" s="16"/>
      <c r="O714" s="16">
        <v>1000</v>
      </c>
      <c r="P714" s="17"/>
      <c r="Q714" s="14"/>
    </row>
    <row r="715" spans="1:17" ht="14.25" customHeight="1">
      <c r="A715" s="15" t="s">
        <v>1084</v>
      </c>
      <c r="B715" s="14" t="s">
        <v>1078</v>
      </c>
      <c r="C715" s="13" t="s">
        <v>1078</v>
      </c>
      <c r="D715" s="14" t="s">
        <v>1085</v>
      </c>
      <c r="E715" s="15" t="s">
        <v>1086</v>
      </c>
      <c r="F715" s="16">
        <v>150</v>
      </c>
      <c r="G715" s="16">
        <v>1</v>
      </c>
      <c r="H715" s="16">
        <f t="shared" si="28"/>
        <v>150</v>
      </c>
      <c r="I715" s="69" t="s">
        <v>82</v>
      </c>
      <c r="J715" s="16">
        <v>1</v>
      </c>
      <c r="K715" s="16">
        <v>1</v>
      </c>
      <c r="L715" s="16">
        <v>0.1</v>
      </c>
      <c r="M715" s="16" t="str">
        <f t="shared" si="29"/>
        <v>לא לרכוש</v>
      </c>
      <c r="N715" s="16"/>
      <c r="O715" s="16">
        <v>1000</v>
      </c>
      <c r="P715" s="17"/>
      <c r="Q715" s="14"/>
    </row>
    <row r="716" spans="1:17" ht="14.25" customHeight="1">
      <c r="A716" s="15"/>
      <c r="B716" s="14"/>
      <c r="C716" s="13"/>
      <c r="D716" s="14"/>
      <c r="E716" s="15"/>
      <c r="F716" s="16"/>
      <c r="G716" s="16"/>
      <c r="H716" s="16">
        <f t="shared" si="28"/>
        <v>0</v>
      </c>
      <c r="I716" s="72"/>
      <c r="J716" s="16"/>
      <c r="K716" s="16"/>
      <c r="L716" s="16"/>
      <c r="M716" s="16" t="e">
        <f t="shared" si="29"/>
        <v>#DIV/0!</v>
      </c>
      <c r="N716" s="16"/>
      <c r="O716" s="16"/>
      <c r="P716" s="17"/>
      <c r="Q716" s="14"/>
    </row>
    <row r="717" spans="1:17" ht="14.25" customHeight="1">
      <c r="A717" s="15"/>
      <c r="B717" s="14"/>
      <c r="C717" s="13"/>
      <c r="D717" s="14"/>
      <c r="E717" s="15"/>
      <c r="F717" s="16"/>
      <c r="G717" s="16"/>
      <c r="H717" s="16">
        <f t="shared" si="28"/>
        <v>0</v>
      </c>
      <c r="I717" s="72"/>
      <c r="J717" s="16"/>
      <c r="K717" s="16"/>
      <c r="L717" s="16"/>
      <c r="M717" s="16" t="e">
        <f t="shared" si="29"/>
        <v>#DIV/0!</v>
      </c>
      <c r="N717" s="16"/>
      <c r="O717" s="16"/>
      <c r="P717" s="17"/>
      <c r="Q717" s="14"/>
    </row>
    <row r="718" spans="1:17" ht="14.25" customHeight="1">
      <c r="A718" s="15"/>
      <c r="B718" s="14"/>
      <c r="C718" s="13"/>
      <c r="D718" s="14"/>
      <c r="E718" s="15"/>
      <c r="F718" s="16"/>
      <c r="G718" s="16"/>
      <c r="H718" s="16">
        <f t="shared" si="28"/>
        <v>0</v>
      </c>
      <c r="I718" s="72"/>
      <c r="J718" s="16"/>
      <c r="K718" s="16"/>
      <c r="L718" s="16"/>
      <c r="M718" s="16" t="e">
        <f t="shared" si="29"/>
        <v>#DIV/0!</v>
      </c>
      <c r="N718" s="16"/>
      <c r="O718" s="16"/>
      <c r="P718" s="17"/>
      <c r="Q718" s="14"/>
    </row>
    <row r="719" spans="1:17" ht="14.25" customHeight="1">
      <c r="A719" s="15"/>
      <c r="B719" s="14"/>
      <c r="C719" s="13"/>
      <c r="D719" s="14"/>
      <c r="E719" s="15"/>
      <c r="F719" s="16"/>
      <c r="G719" s="16"/>
      <c r="H719" s="16">
        <f t="shared" si="28"/>
        <v>0</v>
      </c>
      <c r="I719" s="72"/>
      <c r="J719" s="16"/>
      <c r="K719" s="16"/>
      <c r="L719" s="16"/>
      <c r="M719" s="16" t="e">
        <f t="shared" si="29"/>
        <v>#DIV/0!</v>
      </c>
      <c r="N719" s="16"/>
      <c r="O719" s="16"/>
      <c r="P719" s="17"/>
      <c r="Q719" s="14"/>
    </row>
    <row r="720" spans="1:17" ht="14.25" customHeight="1">
      <c r="A720" s="15"/>
      <c r="B720" s="14"/>
      <c r="C720" s="13"/>
      <c r="D720" s="14"/>
      <c r="E720" s="15"/>
      <c r="F720" s="16"/>
      <c r="G720" s="16"/>
      <c r="H720" s="16">
        <f t="shared" si="28"/>
        <v>0</v>
      </c>
      <c r="I720" s="72"/>
      <c r="J720" s="16"/>
      <c r="K720" s="16"/>
      <c r="L720" s="16"/>
      <c r="M720" s="16" t="e">
        <f t="shared" si="29"/>
        <v>#DIV/0!</v>
      </c>
      <c r="N720" s="16"/>
      <c r="O720" s="16"/>
      <c r="P720" s="17"/>
      <c r="Q720" s="14"/>
    </row>
    <row r="721" spans="1:17" ht="14.25" customHeight="1">
      <c r="A721" s="15"/>
      <c r="B721" s="14"/>
      <c r="C721" s="13"/>
      <c r="D721" s="14"/>
      <c r="E721" s="15"/>
      <c r="F721" s="16"/>
      <c r="G721" s="16"/>
      <c r="H721" s="16">
        <f t="shared" si="28"/>
        <v>0</v>
      </c>
      <c r="I721" s="72"/>
      <c r="J721" s="16"/>
      <c r="K721" s="16"/>
      <c r="L721" s="16"/>
      <c r="M721" s="16" t="e">
        <f t="shared" si="29"/>
        <v>#DIV/0!</v>
      </c>
      <c r="N721" s="16"/>
      <c r="O721" s="16"/>
      <c r="P721" s="17"/>
      <c r="Q721" s="14"/>
    </row>
    <row r="722" spans="1:17" ht="14.25" customHeight="1">
      <c r="A722" s="15"/>
      <c r="B722" s="14"/>
      <c r="C722" s="13"/>
      <c r="D722" s="14"/>
      <c r="E722" s="15"/>
      <c r="F722" s="16"/>
      <c r="G722" s="16"/>
      <c r="H722" s="16">
        <f t="shared" si="28"/>
        <v>0</v>
      </c>
      <c r="I722" s="72"/>
      <c r="J722" s="16"/>
      <c r="K722" s="16"/>
      <c r="L722" s="16"/>
      <c r="M722" s="16" t="e">
        <f t="shared" si="29"/>
        <v>#DIV/0!</v>
      </c>
      <c r="N722" s="16"/>
      <c r="O722" s="16"/>
      <c r="P722" s="17"/>
      <c r="Q722" s="14"/>
    </row>
    <row r="723" spans="1:17" ht="14.25" customHeight="1">
      <c r="A723" s="15"/>
      <c r="B723" s="14"/>
      <c r="C723" s="13"/>
      <c r="D723" s="14"/>
      <c r="E723" s="15"/>
      <c r="F723" s="16"/>
      <c r="G723" s="16"/>
      <c r="H723" s="16">
        <f t="shared" si="28"/>
        <v>0</v>
      </c>
      <c r="I723" s="72"/>
      <c r="J723" s="16"/>
      <c r="K723" s="16"/>
      <c r="L723" s="16"/>
      <c r="M723" s="16" t="e">
        <f t="shared" si="29"/>
        <v>#DIV/0!</v>
      </c>
      <c r="N723" s="16"/>
      <c r="O723" s="16"/>
      <c r="P723" s="17"/>
      <c r="Q723" s="14"/>
    </row>
    <row r="724" spans="1:17" ht="14.25" customHeight="1">
      <c r="A724" s="15"/>
      <c r="B724" s="14"/>
      <c r="C724" s="13"/>
      <c r="D724" s="14"/>
      <c r="E724" s="15"/>
      <c r="F724" s="16"/>
      <c r="G724" s="16"/>
      <c r="H724" s="16">
        <f t="shared" si="28"/>
        <v>0</v>
      </c>
      <c r="I724" s="72"/>
      <c r="J724" s="16"/>
      <c r="K724" s="16"/>
      <c r="L724" s="16"/>
      <c r="M724" s="16" t="e">
        <f t="shared" si="29"/>
        <v>#DIV/0!</v>
      </c>
      <c r="N724" s="16"/>
      <c r="O724" s="16"/>
      <c r="P724" s="17"/>
      <c r="Q724" s="14"/>
    </row>
    <row r="725" spans="1:17" ht="14.25" customHeight="1">
      <c r="A725" s="15"/>
      <c r="B725" s="14"/>
      <c r="C725" s="13"/>
      <c r="D725" s="14"/>
      <c r="E725" s="15"/>
      <c r="F725" s="16"/>
      <c r="G725" s="16"/>
      <c r="H725" s="16">
        <f t="shared" si="28"/>
        <v>0</v>
      </c>
      <c r="I725" s="72"/>
      <c r="J725" s="16"/>
      <c r="K725" s="16"/>
      <c r="L725" s="16"/>
      <c r="M725" s="16" t="e">
        <f t="shared" si="29"/>
        <v>#DIV/0!</v>
      </c>
      <c r="N725" s="16"/>
      <c r="O725" s="16"/>
      <c r="P725" s="17"/>
      <c r="Q725" s="14"/>
    </row>
    <row r="726" spans="1:17" ht="14.25" customHeight="1">
      <c r="A726" s="15"/>
      <c r="B726" s="14"/>
      <c r="C726" s="13"/>
      <c r="D726" s="14"/>
      <c r="E726" s="15"/>
      <c r="F726" s="16"/>
      <c r="G726" s="16"/>
      <c r="H726" s="16">
        <f t="shared" si="28"/>
        <v>0</v>
      </c>
      <c r="I726" s="72"/>
      <c r="J726" s="16"/>
      <c r="K726" s="16"/>
      <c r="L726" s="16"/>
      <c r="M726" s="16" t="e">
        <f t="shared" si="29"/>
        <v>#DIV/0!</v>
      </c>
      <c r="N726" s="16"/>
      <c r="O726" s="16"/>
      <c r="P726" s="17"/>
      <c r="Q726" s="14"/>
    </row>
    <row r="727" spans="1:17" ht="14.25" customHeight="1">
      <c r="A727" s="15"/>
      <c r="B727" s="14"/>
      <c r="C727" s="13"/>
      <c r="D727" s="14"/>
      <c r="E727" s="15"/>
      <c r="F727" s="16"/>
      <c r="G727" s="16"/>
      <c r="H727" s="16">
        <f t="shared" si="28"/>
        <v>0</v>
      </c>
      <c r="I727" s="72"/>
      <c r="J727" s="16"/>
      <c r="K727" s="16"/>
      <c r="L727" s="16"/>
      <c r="M727" s="16" t="e">
        <f t="shared" si="29"/>
        <v>#DIV/0!</v>
      </c>
      <c r="N727" s="16"/>
      <c r="O727" s="16"/>
      <c r="P727" s="17"/>
      <c r="Q727" s="14"/>
    </row>
    <row r="728" spans="1:17" ht="14.25" customHeight="1">
      <c r="A728" s="15"/>
      <c r="B728" s="14"/>
      <c r="C728" s="13"/>
      <c r="D728" s="14"/>
      <c r="E728" s="15"/>
      <c r="F728" s="16"/>
      <c r="G728" s="16"/>
      <c r="H728" s="16">
        <f t="shared" si="28"/>
        <v>0</v>
      </c>
      <c r="I728" s="72"/>
      <c r="J728" s="16"/>
      <c r="K728" s="16"/>
      <c r="L728" s="16"/>
      <c r="M728" s="16" t="e">
        <f t="shared" si="29"/>
        <v>#DIV/0!</v>
      </c>
      <c r="N728" s="16"/>
      <c r="O728" s="16"/>
      <c r="P728" s="17"/>
      <c r="Q728" s="14"/>
    </row>
    <row r="729" spans="1:17" ht="14.25" customHeight="1">
      <c r="A729" s="15"/>
      <c r="B729" s="14"/>
      <c r="C729" s="13"/>
      <c r="D729" s="14"/>
      <c r="E729" s="15"/>
      <c r="F729" s="16"/>
      <c r="G729" s="16"/>
      <c r="H729" s="16">
        <f t="shared" si="28"/>
        <v>0</v>
      </c>
      <c r="I729" s="72"/>
      <c r="J729" s="16"/>
      <c r="K729" s="16"/>
      <c r="L729" s="16"/>
      <c r="M729" s="16" t="e">
        <f t="shared" si="29"/>
        <v>#DIV/0!</v>
      </c>
      <c r="N729" s="16"/>
      <c r="O729" s="16"/>
      <c r="P729" s="17"/>
      <c r="Q729" s="14"/>
    </row>
    <row r="730" spans="1:17" ht="14.25" customHeight="1">
      <c r="A730" s="15"/>
      <c r="B730" s="14"/>
      <c r="C730" s="13"/>
      <c r="D730" s="14"/>
      <c r="E730" s="15"/>
      <c r="F730" s="16"/>
      <c r="G730" s="16"/>
      <c r="H730" s="16">
        <f t="shared" si="28"/>
        <v>0</v>
      </c>
      <c r="I730" s="72"/>
      <c r="J730" s="16"/>
      <c r="K730" s="16"/>
      <c r="L730" s="16"/>
      <c r="M730" s="16" t="e">
        <f t="shared" si="29"/>
        <v>#DIV/0!</v>
      </c>
      <c r="N730" s="16"/>
      <c r="O730" s="16"/>
      <c r="P730" s="17"/>
      <c r="Q730" s="14"/>
    </row>
    <row r="731" spans="1:17" ht="14.25" customHeight="1">
      <c r="A731" s="15"/>
      <c r="B731" s="14"/>
      <c r="C731" s="13"/>
      <c r="D731" s="14"/>
      <c r="E731" s="15"/>
      <c r="F731" s="16"/>
      <c r="G731" s="16"/>
      <c r="H731" s="16">
        <f t="shared" si="28"/>
        <v>0</v>
      </c>
      <c r="I731" s="72"/>
      <c r="J731" s="16"/>
      <c r="K731" s="16"/>
      <c r="L731" s="16"/>
      <c r="M731" s="16" t="e">
        <f t="shared" si="29"/>
        <v>#DIV/0!</v>
      </c>
      <c r="N731" s="16"/>
      <c r="O731" s="16"/>
      <c r="P731" s="17"/>
      <c r="Q731" s="14"/>
    </row>
    <row r="732" spans="1:17" ht="14.25" customHeight="1">
      <c r="A732" s="15"/>
      <c r="B732" s="14"/>
      <c r="C732" s="13"/>
      <c r="D732" s="14"/>
      <c r="E732" s="15"/>
      <c r="F732" s="16"/>
      <c r="G732" s="16"/>
      <c r="H732" s="16">
        <f t="shared" ref="H732:H795" si="30">G732*F732</f>
        <v>0</v>
      </c>
      <c r="I732" s="72"/>
      <c r="J732" s="16"/>
      <c r="K732" s="16"/>
      <c r="L732" s="16"/>
      <c r="M732" s="16" t="e">
        <f t="shared" si="29"/>
        <v>#DIV/0!</v>
      </c>
      <c r="N732" s="16"/>
      <c r="O732" s="16"/>
      <c r="P732" s="17"/>
      <c r="Q732" s="14"/>
    </row>
    <row r="733" spans="1:17" ht="14.25" customHeight="1">
      <c r="A733" s="15"/>
      <c r="B733" s="14"/>
      <c r="C733" s="13"/>
      <c r="D733" s="14"/>
      <c r="E733" s="15"/>
      <c r="F733" s="16"/>
      <c r="G733" s="16"/>
      <c r="H733" s="16">
        <f t="shared" si="30"/>
        <v>0</v>
      </c>
      <c r="I733" s="72"/>
      <c r="J733" s="16"/>
      <c r="K733" s="16"/>
      <c r="L733" s="16"/>
      <c r="M733" s="16" t="e">
        <f t="shared" si="29"/>
        <v>#DIV/0!</v>
      </c>
      <c r="N733" s="16"/>
      <c r="O733" s="16"/>
      <c r="P733" s="17"/>
      <c r="Q733" s="14"/>
    </row>
    <row r="734" spans="1:17" ht="14.25" customHeight="1">
      <c r="A734" s="15"/>
      <c r="B734" s="14"/>
      <c r="C734" s="13"/>
      <c r="D734" s="14"/>
      <c r="E734" s="15"/>
      <c r="F734" s="16"/>
      <c r="G734" s="16"/>
      <c r="H734" s="16">
        <f t="shared" si="30"/>
        <v>0</v>
      </c>
      <c r="I734" s="72"/>
      <c r="J734" s="16"/>
      <c r="K734" s="16"/>
      <c r="L734" s="16"/>
      <c r="M734" s="16" t="e">
        <f t="shared" si="29"/>
        <v>#DIV/0!</v>
      </c>
      <c r="N734" s="16"/>
      <c r="O734" s="16"/>
      <c r="P734" s="17"/>
      <c r="Q734" s="14"/>
    </row>
    <row r="735" spans="1:17" ht="14.25" customHeight="1">
      <c r="A735" s="15"/>
      <c r="B735" s="14"/>
      <c r="C735" s="13"/>
      <c r="D735" s="14"/>
      <c r="E735" s="15"/>
      <c r="F735" s="16"/>
      <c r="G735" s="16"/>
      <c r="H735" s="16">
        <f t="shared" si="30"/>
        <v>0</v>
      </c>
      <c r="I735" s="72"/>
      <c r="J735" s="16"/>
      <c r="K735" s="16"/>
      <c r="L735" s="16"/>
      <c r="M735" s="16" t="e">
        <f t="shared" si="29"/>
        <v>#DIV/0!</v>
      </c>
      <c r="N735" s="16"/>
      <c r="O735" s="16"/>
      <c r="P735" s="17"/>
      <c r="Q735" s="14"/>
    </row>
    <row r="736" spans="1:17" ht="14.25" customHeight="1">
      <c r="A736" s="15"/>
      <c r="B736" s="14"/>
      <c r="C736" s="13"/>
      <c r="D736" s="14"/>
      <c r="E736" s="15"/>
      <c r="F736" s="16"/>
      <c r="G736" s="16"/>
      <c r="H736" s="16">
        <f t="shared" si="30"/>
        <v>0</v>
      </c>
      <c r="I736" s="72"/>
      <c r="J736" s="16"/>
      <c r="K736" s="16"/>
      <c r="L736" s="16"/>
      <c r="M736" s="16" t="e">
        <f t="shared" si="29"/>
        <v>#DIV/0!</v>
      </c>
      <c r="N736" s="16"/>
      <c r="O736" s="16"/>
      <c r="P736" s="17"/>
      <c r="Q736" s="14"/>
    </row>
    <row r="737" spans="1:17" ht="14.25" customHeight="1">
      <c r="A737" s="15"/>
      <c r="B737" s="14"/>
      <c r="C737" s="13"/>
      <c r="D737" s="14"/>
      <c r="E737" s="15"/>
      <c r="F737" s="16"/>
      <c r="G737" s="16"/>
      <c r="H737" s="16">
        <f t="shared" si="30"/>
        <v>0</v>
      </c>
      <c r="I737" s="72"/>
      <c r="J737" s="16"/>
      <c r="K737" s="16"/>
      <c r="L737" s="16"/>
      <c r="M737" s="16" t="e">
        <f t="shared" si="29"/>
        <v>#DIV/0!</v>
      </c>
      <c r="N737" s="16"/>
      <c r="O737" s="16"/>
      <c r="P737" s="17"/>
      <c r="Q737" s="14"/>
    </row>
    <row r="738" spans="1:17" ht="14.25" customHeight="1">
      <c r="A738" s="15"/>
      <c r="B738" s="14"/>
      <c r="C738" s="13"/>
      <c r="D738" s="14"/>
      <c r="E738" s="15"/>
      <c r="F738" s="16"/>
      <c r="G738" s="16"/>
      <c r="H738" s="16">
        <f t="shared" si="30"/>
        <v>0</v>
      </c>
      <c r="I738" s="72"/>
      <c r="J738" s="16"/>
      <c r="K738" s="16"/>
      <c r="L738" s="16"/>
      <c r="M738" s="16" t="e">
        <f t="shared" ref="M738:M801" si="31">IF(AND(K738*L738*30*O738&gt;H738/J738,I738=""),"לרכוש","לא לרכוש")</f>
        <v>#DIV/0!</v>
      </c>
      <c r="N738" s="16"/>
      <c r="O738" s="16"/>
      <c r="P738" s="17"/>
      <c r="Q738" s="14"/>
    </row>
    <row r="739" spans="1:17" ht="14.25" customHeight="1">
      <c r="A739" s="15"/>
      <c r="B739" s="14"/>
      <c r="C739" s="13"/>
      <c r="D739" s="14"/>
      <c r="E739" s="15"/>
      <c r="F739" s="16"/>
      <c r="G739" s="16"/>
      <c r="H739" s="16">
        <f t="shared" si="30"/>
        <v>0</v>
      </c>
      <c r="I739" s="72"/>
      <c r="J739" s="16"/>
      <c r="K739" s="16"/>
      <c r="L739" s="16"/>
      <c r="M739" s="16" t="e">
        <f t="shared" si="31"/>
        <v>#DIV/0!</v>
      </c>
      <c r="N739" s="16"/>
      <c r="O739" s="16"/>
      <c r="P739" s="17"/>
      <c r="Q739" s="14"/>
    </row>
    <row r="740" spans="1:17" ht="14.25" customHeight="1">
      <c r="A740" s="15"/>
      <c r="B740" s="14"/>
      <c r="C740" s="13"/>
      <c r="D740" s="14"/>
      <c r="E740" s="15"/>
      <c r="F740" s="16"/>
      <c r="G740" s="16"/>
      <c r="H740" s="16">
        <f t="shared" si="30"/>
        <v>0</v>
      </c>
      <c r="I740" s="72"/>
      <c r="J740" s="16"/>
      <c r="K740" s="16"/>
      <c r="L740" s="16"/>
      <c r="M740" s="16" t="e">
        <f t="shared" si="31"/>
        <v>#DIV/0!</v>
      </c>
      <c r="N740" s="16"/>
      <c r="O740" s="16"/>
      <c r="P740" s="17"/>
      <c r="Q740" s="14"/>
    </row>
    <row r="741" spans="1:17" ht="14.25" customHeight="1">
      <c r="A741" s="15"/>
      <c r="B741" s="14"/>
      <c r="C741" s="13"/>
      <c r="D741" s="14"/>
      <c r="E741" s="15"/>
      <c r="F741" s="16"/>
      <c r="G741" s="16"/>
      <c r="H741" s="16">
        <f t="shared" si="30"/>
        <v>0</v>
      </c>
      <c r="I741" s="72"/>
      <c r="J741" s="16"/>
      <c r="K741" s="16"/>
      <c r="L741" s="16"/>
      <c r="M741" s="16" t="e">
        <f t="shared" si="31"/>
        <v>#DIV/0!</v>
      </c>
      <c r="N741" s="16"/>
      <c r="O741" s="16"/>
      <c r="P741" s="17"/>
      <c r="Q741" s="14"/>
    </row>
    <row r="742" spans="1:17" ht="14.25" customHeight="1">
      <c r="A742" s="15"/>
      <c r="B742" s="14"/>
      <c r="C742" s="13"/>
      <c r="D742" s="14"/>
      <c r="E742" s="15"/>
      <c r="F742" s="16"/>
      <c r="G742" s="16"/>
      <c r="H742" s="16">
        <f t="shared" si="30"/>
        <v>0</v>
      </c>
      <c r="I742" s="72"/>
      <c r="J742" s="16"/>
      <c r="K742" s="16"/>
      <c r="L742" s="16"/>
      <c r="M742" s="16" t="e">
        <f t="shared" si="31"/>
        <v>#DIV/0!</v>
      </c>
      <c r="N742" s="16"/>
      <c r="O742" s="16"/>
      <c r="P742" s="17"/>
      <c r="Q742" s="14"/>
    </row>
    <row r="743" spans="1:17" ht="14.25" customHeight="1">
      <c r="A743" s="15"/>
      <c r="B743" s="14"/>
      <c r="C743" s="13"/>
      <c r="D743" s="14"/>
      <c r="E743" s="15"/>
      <c r="F743" s="16"/>
      <c r="G743" s="16"/>
      <c r="H743" s="16">
        <f t="shared" si="30"/>
        <v>0</v>
      </c>
      <c r="I743" s="72"/>
      <c r="J743" s="16"/>
      <c r="K743" s="16"/>
      <c r="L743" s="16"/>
      <c r="M743" s="16" t="e">
        <f t="shared" si="31"/>
        <v>#DIV/0!</v>
      </c>
      <c r="N743" s="16"/>
      <c r="O743" s="16"/>
      <c r="P743" s="17"/>
      <c r="Q743" s="14"/>
    </row>
    <row r="744" spans="1:17" ht="14.25" customHeight="1">
      <c r="A744" s="15"/>
      <c r="B744" s="14"/>
      <c r="C744" s="13"/>
      <c r="D744" s="14"/>
      <c r="E744" s="15"/>
      <c r="F744" s="16"/>
      <c r="G744" s="16"/>
      <c r="H744" s="16">
        <f t="shared" si="30"/>
        <v>0</v>
      </c>
      <c r="I744" s="72"/>
      <c r="J744" s="16"/>
      <c r="K744" s="16"/>
      <c r="L744" s="16"/>
      <c r="M744" s="16" t="e">
        <f t="shared" si="31"/>
        <v>#DIV/0!</v>
      </c>
      <c r="N744" s="16"/>
      <c r="O744" s="16"/>
      <c r="P744" s="17"/>
      <c r="Q744" s="14"/>
    </row>
    <row r="745" spans="1:17" ht="14.25" customHeight="1">
      <c r="A745" s="15"/>
      <c r="B745" s="14"/>
      <c r="C745" s="13"/>
      <c r="D745" s="14"/>
      <c r="E745" s="15"/>
      <c r="F745" s="16"/>
      <c r="G745" s="16"/>
      <c r="H745" s="16">
        <f t="shared" si="30"/>
        <v>0</v>
      </c>
      <c r="I745" s="72"/>
      <c r="J745" s="16"/>
      <c r="K745" s="16"/>
      <c r="L745" s="16"/>
      <c r="M745" s="16" t="e">
        <f t="shared" si="31"/>
        <v>#DIV/0!</v>
      </c>
      <c r="N745" s="16"/>
      <c r="O745" s="16"/>
      <c r="P745" s="17"/>
      <c r="Q745" s="14"/>
    </row>
    <row r="746" spans="1:17" ht="14.25" customHeight="1">
      <c r="A746" s="15"/>
      <c r="B746" s="14"/>
      <c r="C746" s="13"/>
      <c r="D746" s="14"/>
      <c r="E746" s="15"/>
      <c r="F746" s="16"/>
      <c r="G746" s="16"/>
      <c r="H746" s="16">
        <f t="shared" si="30"/>
        <v>0</v>
      </c>
      <c r="I746" s="72"/>
      <c r="J746" s="16"/>
      <c r="K746" s="16"/>
      <c r="L746" s="16"/>
      <c r="M746" s="16" t="e">
        <f t="shared" si="31"/>
        <v>#DIV/0!</v>
      </c>
      <c r="N746" s="16"/>
      <c r="O746" s="16"/>
      <c r="P746" s="17"/>
      <c r="Q746" s="14"/>
    </row>
    <row r="747" spans="1:17" ht="14.25" customHeight="1">
      <c r="A747" s="15"/>
      <c r="B747" s="14"/>
      <c r="C747" s="13"/>
      <c r="D747" s="14"/>
      <c r="E747" s="15"/>
      <c r="F747" s="16"/>
      <c r="G747" s="16"/>
      <c r="H747" s="16">
        <f t="shared" si="30"/>
        <v>0</v>
      </c>
      <c r="I747" s="72"/>
      <c r="J747" s="16"/>
      <c r="K747" s="16"/>
      <c r="L747" s="16"/>
      <c r="M747" s="16" t="e">
        <f t="shared" si="31"/>
        <v>#DIV/0!</v>
      </c>
      <c r="N747" s="16"/>
      <c r="O747" s="16"/>
      <c r="P747" s="17"/>
      <c r="Q747" s="14"/>
    </row>
    <row r="748" spans="1:17" ht="14.25" customHeight="1">
      <c r="A748" s="15"/>
      <c r="B748" s="14"/>
      <c r="C748" s="13"/>
      <c r="D748" s="14"/>
      <c r="E748" s="15"/>
      <c r="F748" s="16"/>
      <c r="G748" s="16"/>
      <c r="H748" s="16">
        <f t="shared" si="30"/>
        <v>0</v>
      </c>
      <c r="I748" s="72"/>
      <c r="J748" s="16"/>
      <c r="K748" s="16"/>
      <c r="L748" s="16"/>
      <c r="M748" s="16" t="e">
        <f t="shared" si="31"/>
        <v>#DIV/0!</v>
      </c>
      <c r="N748" s="16"/>
      <c r="O748" s="16"/>
      <c r="P748" s="17"/>
      <c r="Q748" s="14"/>
    </row>
    <row r="749" spans="1:17" ht="14.25" customHeight="1">
      <c r="A749" s="15"/>
      <c r="B749" s="14"/>
      <c r="C749" s="13"/>
      <c r="D749" s="14"/>
      <c r="E749" s="15"/>
      <c r="F749" s="16"/>
      <c r="G749" s="16"/>
      <c r="H749" s="16">
        <f t="shared" si="30"/>
        <v>0</v>
      </c>
      <c r="I749" s="72"/>
      <c r="J749" s="16"/>
      <c r="K749" s="16"/>
      <c r="L749" s="16"/>
      <c r="M749" s="16" t="e">
        <f t="shared" si="31"/>
        <v>#DIV/0!</v>
      </c>
      <c r="N749" s="16"/>
      <c r="O749" s="16"/>
      <c r="P749" s="17"/>
      <c r="Q749" s="14"/>
    </row>
    <row r="750" spans="1:17" ht="14.25" customHeight="1">
      <c r="A750" s="15"/>
      <c r="B750" s="14"/>
      <c r="C750" s="13"/>
      <c r="D750" s="14"/>
      <c r="E750" s="15"/>
      <c r="F750" s="16"/>
      <c r="G750" s="16"/>
      <c r="H750" s="16">
        <f t="shared" si="30"/>
        <v>0</v>
      </c>
      <c r="I750" s="72"/>
      <c r="J750" s="16"/>
      <c r="K750" s="16"/>
      <c r="L750" s="16"/>
      <c r="M750" s="16" t="e">
        <f t="shared" si="31"/>
        <v>#DIV/0!</v>
      </c>
      <c r="N750" s="16"/>
      <c r="O750" s="16"/>
      <c r="P750" s="17"/>
      <c r="Q750" s="14"/>
    </row>
    <row r="751" spans="1:17" ht="14.25" customHeight="1">
      <c r="A751" s="15"/>
      <c r="B751" s="14"/>
      <c r="C751" s="13"/>
      <c r="D751" s="14"/>
      <c r="E751" s="15"/>
      <c r="F751" s="16"/>
      <c r="G751" s="16"/>
      <c r="H751" s="16">
        <f t="shared" si="30"/>
        <v>0</v>
      </c>
      <c r="I751" s="72"/>
      <c r="J751" s="16"/>
      <c r="K751" s="16"/>
      <c r="L751" s="16"/>
      <c r="M751" s="16" t="e">
        <f t="shared" si="31"/>
        <v>#DIV/0!</v>
      </c>
      <c r="N751" s="16"/>
      <c r="O751" s="16"/>
      <c r="P751" s="17"/>
      <c r="Q751" s="14"/>
    </row>
    <row r="752" spans="1:17" ht="14.25" customHeight="1">
      <c r="A752" s="15"/>
      <c r="B752" s="14"/>
      <c r="C752" s="13"/>
      <c r="D752" s="14"/>
      <c r="E752" s="15"/>
      <c r="F752" s="16"/>
      <c r="G752" s="16"/>
      <c r="H752" s="16">
        <f t="shared" si="30"/>
        <v>0</v>
      </c>
      <c r="I752" s="72"/>
      <c r="J752" s="16"/>
      <c r="K752" s="16"/>
      <c r="L752" s="16"/>
      <c r="M752" s="16" t="e">
        <f t="shared" si="31"/>
        <v>#DIV/0!</v>
      </c>
      <c r="N752" s="16"/>
      <c r="O752" s="16"/>
      <c r="P752" s="17"/>
      <c r="Q752" s="14"/>
    </row>
    <row r="753" spans="1:17" ht="14.25" customHeight="1">
      <c r="A753" s="15"/>
      <c r="B753" s="14"/>
      <c r="C753" s="13"/>
      <c r="D753" s="14"/>
      <c r="E753" s="15"/>
      <c r="F753" s="16"/>
      <c r="G753" s="16"/>
      <c r="H753" s="16">
        <f t="shared" si="30"/>
        <v>0</v>
      </c>
      <c r="I753" s="72"/>
      <c r="J753" s="16"/>
      <c r="K753" s="16"/>
      <c r="L753" s="16"/>
      <c r="M753" s="16" t="e">
        <f t="shared" si="31"/>
        <v>#DIV/0!</v>
      </c>
      <c r="N753" s="16"/>
      <c r="O753" s="16"/>
      <c r="P753" s="17"/>
      <c r="Q753" s="14"/>
    </row>
    <row r="754" spans="1:17" ht="14.25" customHeight="1">
      <c r="A754" s="15"/>
      <c r="B754" s="14"/>
      <c r="C754" s="13"/>
      <c r="D754" s="14"/>
      <c r="E754" s="15"/>
      <c r="F754" s="16"/>
      <c r="G754" s="16"/>
      <c r="H754" s="16">
        <f t="shared" si="30"/>
        <v>0</v>
      </c>
      <c r="I754" s="72"/>
      <c r="J754" s="16"/>
      <c r="K754" s="16"/>
      <c r="L754" s="16"/>
      <c r="M754" s="16" t="e">
        <f t="shared" si="31"/>
        <v>#DIV/0!</v>
      </c>
      <c r="N754" s="16"/>
      <c r="O754" s="16"/>
      <c r="P754" s="17"/>
      <c r="Q754" s="14"/>
    </row>
    <row r="755" spans="1:17" ht="14.25" customHeight="1">
      <c r="A755" s="15"/>
      <c r="B755" s="14"/>
      <c r="C755" s="13"/>
      <c r="D755" s="14"/>
      <c r="E755" s="15"/>
      <c r="F755" s="16"/>
      <c r="G755" s="16"/>
      <c r="H755" s="16">
        <f t="shared" si="30"/>
        <v>0</v>
      </c>
      <c r="I755" s="72"/>
      <c r="J755" s="16"/>
      <c r="K755" s="16"/>
      <c r="L755" s="16"/>
      <c r="M755" s="16" t="e">
        <f t="shared" si="31"/>
        <v>#DIV/0!</v>
      </c>
      <c r="N755" s="16"/>
      <c r="O755" s="16"/>
      <c r="P755" s="17"/>
      <c r="Q755" s="14"/>
    </row>
    <row r="756" spans="1:17" ht="14.25" customHeight="1">
      <c r="A756" s="15"/>
      <c r="B756" s="14"/>
      <c r="C756" s="13"/>
      <c r="D756" s="14"/>
      <c r="E756" s="15"/>
      <c r="F756" s="16"/>
      <c r="G756" s="16"/>
      <c r="H756" s="16">
        <f t="shared" si="30"/>
        <v>0</v>
      </c>
      <c r="I756" s="72"/>
      <c r="J756" s="16"/>
      <c r="K756" s="16"/>
      <c r="L756" s="16"/>
      <c r="M756" s="16" t="e">
        <f t="shared" si="31"/>
        <v>#DIV/0!</v>
      </c>
      <c r="N756" s="16"/>
      <c r="O756" s="16"/>
      <c r="P756" s="17"/>
      <c r="Q756" s="14"/>
    </row>
    <row r="757" spans="1:17" ht="14.25" customHeight="1">
      <c r="A757" s="15"/>
      <c r="B757" s="14"/>
      <c r="C757" s="13"/>
      <c r="D757" s="14"/>
      <c r="E757" s="15"/>
      <c r="F757" s="16"/>
      <c r="G757" s="16"/>
      <c r="H757" s="16">
        <f t="shared" si="30"/>
        <v>0</v>
      </c>
      <c r="I757" s="72"/>
      <c r="J757" s="16"/>
      <c r="K757" s="16"/>
      <c r="L757" s="16"/>
      <c r="M757" s="16" t="e">
        <f t="shared" si="31"/>
        <v>#DIV/0!</v>
      </c>
      <c r="N757" s="16"/>
      <c r="O757" s="16"/>
      <c r="P757" s="17"/>
      <c r="Q757" s="14"/>
    </row>
    <row r="758" spans="1:17" ht="14.25" customHeight="1">
      <c r="A758" s="15"/>
      <c r="B758" s="14"/>
      <c r="C758" s="13"/>
      <c r="D758" s="14"/>
      <c r="E758" s="15"/>
      <c r="F758" s="16"/>
      <c r="G758" s="16"/>
      <c r="H758" s="16">
        <f t="shared" si="30"/>
        <v>0</v>
      </c>
      <c r="I758" s="72"/>
      <c r="J758" s="16"/>
      <c r="K758" s="16"/>
      <c r="L758" s="16"/>
      <c r="M758" s="16" t="e">
        <f t="shared" si="31"/>
        <v>#DIV/0!</v>
      </c>
      <c r="N758" s="16"/>
      <c r="O758" s="16"/>
      <c r="P758" s="17"/>
      <c r="Q758" s="14"/>
    </row>
    <row r="759" spans="1:17" ht="14.25" customHeight="1">
      <c r="A759" s="15"/>
      <c r="B759" s="14"/>
      <c r="C759" s="13"/>
      <c r="D759" s="14"/>
      <c r="E759" s="15"/>
      <c r="F759" s="16"/>
      <c r="G759" s="16"/>
      <c r="H759" s="16">
        <f t="shared" si="30"/>
        <v>0</v>
      </c>
      <c r="I759" s="72"/>
      <c r="J759" s="16"/>
      <c r="K759" s="16"/>
      <c r="L759" s="16"/>
      <c r="M759" s="16" t="e">
        <f t="shared" si="31"/>
        <v>#DIV/0!</v>
      </c>
      <c r="N759" s="16"/>
      <c r="O759" s="16"/>
      <c r="P759" s="17"/>
      <c r="Q759" s="14"/>
    </row>
    <row r="760" spans="1:17" ht="14.25" customHeight="1">
      <c r="A760" s="15"/>
      <c r="B760" s="14"/>
      <c r="C760" s="13"/>
      <c r="D760" s="14"/>
      <c r="E760" s="15"/>
      <c r="F760" s="16"/>
      <c r="G760" s="16"/>
      <c r="H760" s="16">
        <f t="shared" si="30"/>
        <v>0</v>
      </c>
      <c r="I760" s="72"/>
      <c r="J760" s="16"/>
      <c r="K760" s="16"/>
      <c r="L760" s="16"/>
      <c r="M760" s="16" t="e">
        <f t="shared" si="31"/>
        <v>#DIV/0!</v>
      </c>
      <c r="N760" s="16"/>
      <c r="O760" s="16"/>
      <c r="P760" s="17"/>
      <c r="Q760" s="14"/>
    </row>
    <row r="761" spans="1:17" ht="14.25" customHeight="1">
      <c r="A761" s="15"/>
      <c r="B761" s="14"/>
      <c r="C761" s="13"/>
      <c r="D761" s="14"/>
      <c r="E761" s="15"/>
      <c r="F761" s="16"/>
      <c r="G761" s="16"/>
      <c r="H761" s="16">
        <f t="shared" si="30"/>
        <v>0</v>
      </c>
      <c r="I761" s="72"/>
      <c r="J761" s="16"/>
      <c r="K761" s="16"/>
      <c r="L761" s="16"/>
      <c r="M761" s="16" t="e">
        <f t="shared" si="31"/>
        <v>#DIV/0!</v>
      </c>
      <c r="N761" s="16"/>
      <c r="O761" s="16"/>
      <c r="P761" s="17"/>
      <c r="Q761" s="14"/>
    </row>
    <row r="762" spans="1:17" ht="14.25" customHeight="1">
      <c r="A762" s="15"/>
      <c r="B762" s="14"/>
      <c r="C762" s="13"/>
      <c r="D762" s="14"/>
      <c r="E762" s="15"/>
      <c r="F762" s="16"/>
      <c r="G762" s="16"/>
      <c r="H762" s="16">
        <f t="shared" si="30"/>
        <v>0</v>
      </c>
      <c r="I762" s="72"/>
      <c r="J762" s="16"/>
      <c r="K762" s="16"/>
      <c r="L762" s="16"/>
      <c r="M762" s="16" t="e">
        <f t="shared" si="31"/>
        <v>#DIV/0!</v>
      </c>
      <c r="N762" s="16"/>
      <c r="O762" s="16"/>
      <c r="P762" s="17"/>
      <c r="Q762" s="14"/>
    </row>
    <row r="763" spans="1:17" ht="14.25" customHeight="1">
      <c r="A763" s="15"/>
      <c r="B763" s="14"/>
      <c r="C763" s="13"/>
      <c r="D763" s="14"/>
      <c r="E763" s="15"/>
      <c r="F763" s="16"/>
      <c r="G763" s="16"/>
      <c r="H763" s="16">
        <f t="shared" si="30"/>
        <v>0</v>
      </c>
      <c r="I763" s="72"/>
      <c r="J763" s="16"/>
      <c r="K763" s="16"/>
      <c r="L763" s="16"/>
      <c r="M763" s="16" t="e">
        <f t="shared" si="31"/>
        <v>#DIV/0!</v>
      </c>
      <c r="N763" s="16"/>
      <c r="O763" s="16"/>
      <c r="P763" s="17"/>
      <c r="Q763" s="14"/>
    </row>
    <row r="764" spans="1:17" ht="14.25" customHeight="1">
      <c r="A764" s="15"/>
      <c r="B764" s="14"/>
      <c r="C764" s="13"/>
      <c r="D764" s="14"/>
      <c r="E764" s="15"/>
      <c r="F764" s="16"/>
      <c r="G764" s="16"/>
      <c r="H764" s="16">
        <f t="shared" si="30"/>
        <v>0</v>
      </c>
      <c r="I764" s="72"/>
      <c r="J764" s="16"/>
      <c r="K764" s="16"/>
      <c r="L764" s="16"/>
      <c r="M764" s="16" t="e">
        <f t="shared" si="31"/>
        <v>#DIV/0!</v>
      </c>
      <c r="N764" s="16"/>
      <c r="O764" s="16"/>
      <c r="P764" s="17"/>
      <c r="Q764" s="14"/>
    </row>
    <row r="765" spans="1:17" ht="14.25" customHeight="1">
      <c r="A765" s="15"/>
      <c r="B765" s="14"/>
      <c r="C765" s="13"/>
      <c r="D765" s="14"/>
      <c r="E765" s="15"/>
      <c r="F765" s="16"/>
      <c r="G765" s="16"/>
      <c r="H765" s="16">
        <f t="shared" si="30"/>
        <v>0</v>
      </c>
      <c r="I765" s="72"/>
      <c r="J765" s="16"/>
      <c r="K765" s="16"/>
      <c r="L765" s="16"/>
      <c r="M765" s="16" t="e">
        <f t="shared" si="31"/>
        <v>#DIV/0!</v>
      </c>
      <c r="N765" s="16"/>
      <c r="O765" s="16"/>
      <c r="P765" s="17"/>
      <c r="Q765" s="14"/>
    </row>
    <row r="766" spans="1:17" ht="14.25" customHeight="1">
      <c r="A766" s="15"/>
      <c r="B766" s="14"/>
      <c r="C766" s="13"/>
      <c r="D766" s="14"/>
      <c r="E766" s="15"/>
      <c r="F766" s="16"/>
      <c r="G766" s="16"/>
      <c r="H766" s="16">
        <f t="shared" si="30"/>
        <v>0</v>
      </c>
      <c r="I766" s="72"/>
      <c r="J766" s="16"/>
      <c r="K766" s="16"/>
      <c r="L766" s="16"/>
      <c r="M766" s="16" t="e">
        <f t="shared" si="31"/>
        <v>#DIV/0!</v>
      </c>
      <c r="N766" s="16"/>
      <c r="O766" s="16"/>
      <c r="P766" s="17"/>
      <c r="Q766" s="14"/>
    </row>
    <row r="767" spans="1:17" ht="14.25" customHeight="1">
      <c r="A767" s="15"/>
      <c r="B767" s="14"/>
      <c r="C767" s="13"/>
      <c r="D767" s="14"/>
      <c r="E767" s="15"/>
      <c r="F767" s="16"/>
      <c r="G767" s="16"/>
      <c r="H767" s="16">
        <f t="shared" si="30"/>
        <v>0</v>
      </c>
      <c r="I767" s="72"/>
      <c r="J767" s="16"/>
      <c r="K767" s="16"/>
      <c r="L767" s="16"/>
      <c r="M767" s="16" t="e">
        <f t="shared" si="31"/>
        <v>#DIV/0!</v>
      </c>
      <c r="N767" s="16"/>
      <c r="O767" s="16"/>
      <c r="P767" s="17"/>
      <c r="Q767" s="14"/>
    </row>
    <row r="768" spans="1:17" ht="14.25" customHeight="1">
      <c r="A768" s="15"/>
      <c r="B768" s="14"/>
      <c r="C768" s="13"/>
      <c r="D768" s="14"/>
      <c r="E768" s="15"/>
      <c r="F768" s="16"/>
      <c r="G768" s="16"/>
      <c r="H768" s="16">
        <f t="shared" si="30"/>
        <v>0</v>
      </c>
      <c r="I768" s="72"/>
      <c r="J768" s="16"/>
      <c r="K768" s="16"/>
      <c r="L768" s="16"/>
      <c r="M768" s="16" t="e">
        <f t="shared" si="31"/>
        <v>#DIV/0!</v>
      </c>
      <c r="N768" s="16"/>
      <c r="O768" s="16"/>
      <c r="P768" s="17"/>
      <c r="Q768" s="14"/>
    </row>
    <row r="769" spans="1:17" ht="14.25" customHeight="1">
      <c r="A769" s="15"/>
      <c r="B769" s="14"/>
      <c r="C769" s="13"/>
      <c r="D769" s="14"/>
      <c r="E769" s="15"/>
      <c r="F769" s="16"/>
      <c r="G769" s="16"/>
      <c r="H769" s="16">
        <f t="shared" si="30"/>
        <v>0</v>
      </c>
      <c r="I769" s="72"/>
      <c r="J769" s="16"/>
      <c r="K769" s="16"/>
      <c r="L769" s="16"/>
      <c r="M769" s="16" t="e">
        <f t="shared" si="31"/>
        <v>#DIV/0!</v>
      </c>
      <c r="N769" s="16"/>
      <c r="O769" s="16"/>
      <c r="P769" s="17"/>
      <c r="Q769" s="14"/>
    </row>
    <row r="770" spans="1:17" ht="14.25" customHeight="1">
      <c r="A770" s="15"/>
      <c r="B770" s="14"/>
      <c r="C770" s="13"/>
      <c r="D770" s="14"/>
      <c r="E770" s="15"/>
      <c r="F770" s="16"/>
      <c r="G770" s="16"/>
      <c r="H770" s="16">
        <f t="shared" si="30"/>
        <v>0</v>
      </c>
      <c r="I770" s="72"/>
      <c r="J770" s="16"/>
      <c r="K770" s="16"/>
      <c r="L770" s="16"/>
      <c r="M770" s="16" t="e">
        <f t="shared" si="31"/>
        <v>#DIV/0!</v>
      </c>
      <c r="N770" s="16"/>
      <c r="O770" s="16"/>
      <c r="P770" s="17"/>
      <c r="Q770" s="14"/>
    </row>
    <row r="771" spans="1:17" ht="14.25" customHeight="1">
      <c r="A771" s="15"/>
      <c r="B771" s="14"/>
      <c r="C771" s="13"/>
      <c r="D771" s="14"/>
      <c r="E771" s="15"/>
      <c r="F771" s="16"/>
      <c r="G771" s="16"/>
      <c r="H771" s="16">
        <f t="shared" si="30"/>
        <v>0</v>
      </c>
      <c r="I771" s="72"/>
      <c r="J771" s="16"/>
      <c r="K771" s="16"/>
      <c r="L771" s="16"/>
      <c r="M771" s="16" t="e">
        <f t="shared" si="31"/>
        <v>#DIV/0!</v>
      </c>
      <c r="N771" s="16"/>
      <c r="O771" s="16"/>
      <c r="P771" s="17"/>
      <c r="Q771" s="14"/>
    </row>
    <row r="772" spans="1:17" ht="14.25" customHeight="1">
      <c r="A772" s="15"/>
      <c r="B772" s="14"/>
      <c r="C772" s="13"/>
      <c r="D772" s="14"/>
      <c r="E772" s="15"/>
      <c r="F772" s="16"/>
      <c r="G772" s="16"/>
      <c r="H772" s="16">
        <f t="shared" si="30"/>
        <v>0</v>
      </c>
      <c r="I772" s="72"/>
      <c r="J772" s="16"/>
      <c r="K772" s="16"/>
      <c r="L772" s="16"/>
      <c r="M772" s="16" t="e">
        <f t="shared" si="31"/>
        <v>#DIV/0!</v>
      </c>
      <c r="N772" s="16"/>
      <c r="O772" s="16"/>
      <c r="P772" s="17"/>
      <c r="Q772" s="14"/>
    </row>
    <row r="773" spans="1:17" ht="14.25" customHeight="1">
      <c r="A773" s="15"/>
      <c r="B773" s="14"/>
      <c r="C773" s="13"/>
      <c r="D773" s="14"/>
      <c r="E773" s="15"/>
      <c r="F773" s="16"/>
      <c r="G773" s="16"/>
      <c r="H773" s="16">
        <f t="shared" si="30"/>
        <v>0</v>
      </c>
      <c r="I773" s="72"/>
      <c r="J773" s="16"/>
      <c r="K773" s="16"/>
      <c r="L773" s="16"/>
      <c r="M773" s="16" t="e">
        <f t="shared" si="31"/>
        <v>#DIV/0!</v>
      </c>
      <c r="N773" s="16"/>
      <c r="O773" s="16"/>
      <c r="P773" s="17"/>
      <c r="Q773" s="14"/>
    </row>
    <row r="774" spans="1:17" ht="14.25" customHeight="1">
      <c r="A774" s="15"/>
      <c r="B774" s="14"/>
      <c r="C774" s="13"/>
      <c r="D774" s="14"/>
      <c r="E774" s="15"/>
      <c r="F774" s="16"/>
      <c r="G774" s="16"/>
      <c r="H774" s="16">
        <f t="shared" si="30"/>
        <v>0</v>
      </c>
      <c r="I774" s="72"/>
      <c r="J774" s="16"/>
      <c r="K774" s="16"/>
      <c r="L774" s="16"/>
      <c r="M774" s="16" t="e">
        <f t="shared" si="31"/>
        <v>#DIV/0!</v>
      </c>
      <c r="N774" s="16"/>
      <c r="O774" s="16"/>
      <c r="P774" s="17"/>
      <c r="Q774" s="14"/>
    </row>
    <row r="775" spans="1:17" ht="14.25" customHeight="1">
      <c r="A775" s="15"/>
      <c r="B775" s="14"/>
      <c r="C775" s="13"/>
      <c r="D775" s="14"/>
      <c r="E775" s="15"/>
      <c r="F775" s="16"/>
      <c r="G775" s="16"/>
      <c r="H775" s="16">
        <f t="shared" si="30"/>
        <v>0</v>
      </c>
      <c r="I775" s="72"/>
      <c r="J775" s="16"/>
      <c r="K775" s="16"/>
      <c r="L775" s="16"/>
      <c r="M775" s="16" t="e">
        <f t="shared" si="31"/>
        <v>#DIV/0!</v>
      </c>
      <c r="N775" s="16"/>
      <c r="O775" s="16"/>
      <c r="P775" s="17"/>
      <c r="Q775" s="14"/>
    </row>
    <row r="776" spans="1:17" ht="14.25" customHeight="1">
      <c r="A776" s="15"/>
      <c r="B776" s="14"/>
      <c r="C776" s="13"/>
      <c r="D776" s="14"/>
      <c r="E776" s="15"/>
      <c r="F776" s="16"/>
      <c r="G776" s="16"/>
      <c r="H776" s="16">
        <f t="shared" si="30"/>
        <v>0</v>
      </c>
      <c r="I776" s="72"/>
      <c r="J776" s="16"/>
      <c r="K776" s="16"/>
      <c r="L776" s="16"/>
      <c r="M776" s="16" t="e">
        <f t="shared" si="31"/>
        <v>#DIV/0!</v>
      </c>
      <c r="N776" s="16"/>
      <c r="O776" s="16"/>
      <c r="P776" s="17"/>
      <c r="Q776" s="14"/>
    </row>
    <row r="777" spans="1:17" ht="14.25" customHeight="1">
      <c r="A777" s="15"/>
      <c r="B777" s="14"/>
      <c r="C777" s="13"/>
      <c r="D777" s="14"/>
      <c r="E777" s="15"/>
      <c r="F777" s="16"/>
      <c r="G777" s="16"/>
      <c r="H777" s="16">
        <f t="shared" si="30"/>
        <v>0</v>
      </c>
      <c r="I777" s="72"/>
      <c r="J777" s="16"/>
      <c r="K777" s="16"/>
      <c r="L777" s="16"/>
      <c r="M777" s="16" t="e">
        <f t="shared" si="31"/>
        <v>#DIV/0!</v>
      </c>
      <c r="N777" s="16"/>
      <c r="O777" s="16"/>
      <c r="P777" s="17"/>
      <c r="Q777" s="14"/>
    </row>
    <row r="778" spans="1:17" ht="14.25" customHeight="1">
      <c r="A778" s="15"/>
      <c r="B778" s="14"/>
      <c r="C778" s="13"/>
      <c r="D778" s="14"/>
      <c r="E778" s="15"/>
      <c r="F778" s="16"/>
      <c r="G778" s="16"/>
      <c r="H778" s="16">
        <f t="shared" si="30"/>
        <v>0</v>
      </c>
      <c r="I778" s="72"/>
      <c r="J778" s="16"/>
      <c r="K778" s="16"/>
      <c r="L778" s="16"/>
      <c r="M778" s="16" t="e">
        <f t="shared" si="31"/>
        <v>#DIV/0!</v>
      </c>
      <c r="N778" s="16"/>
      <c r="O778" s="16"/>
      <c r="P778" s="17"/>
      <c r="Q778" s="14"/>
    </row>
    <row r="779" spans="1:17" ht="14.25" customHeight="1">
      <c r="A779" s="15"/>
      <c r="B779" s="14"/>
      <c r="C779" s="13"/>
      <c r="D779" s="14"/>
      <c r="E779" s="15"/>
      <c r="F779" s="16"/>
      <c r="G779" s="16"/>
      <c r="H779" s="16">
        <f t="shared" si="30"/>
        <v>0</v>
      </c>
      <c r="I779" s="72"/>
      <c r="J779" s="16"/>
      <c r="K779" s="16"/>
      <c r="L779" s="16"/>
      <c r="M779" s="16" t="e">
        <f t="shared" si="31"/>
        <v>#DIV/0!</v>
      </c>
      <c r="N779" s="16"/>
      <c r="O779" s="16"/>
      <c r="P779" s="17"/>
      <c r="Q779" s="14"/>
    </row>
    <row r="780" spans="1:17" ht="14.25" customHeight="1">
      <c r="A780" s="15"/>
      <c r="B780" s="14"/>
      <c r="C780" s="13"/>
      <c r="D780" s="14"/>
      <c r="E780" s="15"/>
      <c r="F780" s="16"/>
      <c r="G780" s="16"/>
      <c r="H780" s="16">
        <f t="shared" si="30"/>
        <v>0</v>
      </c>
      <c r="I780" s="72"/>
      <c r="J780" s="16"/>
      <c r="K780" s="16"/>
      <c r="L780" s="16"/>
      <c r="M780" s="16" t="e">
        <f t="shared" si="31"/>
        <v>#DIV/0!</v>
      </c>
      <c r="N780" s="16"/>
      <c r="O780" s="16"/>
      <c r="P780" s="17"/>
      <c r="Q780" s="14"/>
    </row>
    <row r="781" spans="1:17" ht="14.25" customHeight="1">
      <c r="A781" s="15"/>
      <c r="B781" s="14"/>
      <c r="C781" s="13"/>
      <c r="D781" s="14"/>
      <c r="E781" s="15"/>
      <c r="F781" s="16"/>
      <c r="G781" s="16"/>
      <c r="H781" s="16">
        <f t="shared" si="30"/>
        <v>0</v>
      </c>
      <c r="I781" s="72"/>
      <c r="J781" s="16"/>
      <c r="K781" s="16"/>
      <c r="L781" s="16"/>
      <c r="M781" s="16" t="e">
        <f t="shared" si="31"/>
        <v>#DIV/0!</v>
      </c>
      <c r="N781" s="16"/>
      <c r="O781" s="16"/>
      <c r="P781" s="17"/>
      <c r="Q781" s="14"/>
    </row>
    <row r="782" spans="1:17" ht="14.25" customHeight="1">
      <c r="A782" s="15"/>
      <c r="B782" s="14"/>
      <c r="C782" s="13"/>
      <c r="D782" s="14"/>
      <c r="E782" s="15"/>
      <c r="F782" s="16"/>
      <c r="G782" s="16"/>
      <c r="H782" s="16">
        <f t="shared" si="30"/>
        <v>0</v>
      </c>
      <c r="I782" s="72"/>
      <c r="J782" s="16"/>
      <c r="K782" s="16"/>
      <c r="L782" s="16"/>
      <c r="M782" s="16" t="e">
        <f t="shared" si="31"/>
        <v>#DIV/0!</v>
      </c>
      <c r="N782" s="16"/>
      <c r="O782" s="16"/>
      <c r="P782" s="17"/>
      <c r="Q782" s="14"/>
    </row>
    <row r="783" spans="1:17" ht="14.25" customHeight="1">
      <c r="A783" s="15"/>
      <c r="B783" s="14"/>
      <c r="C783" s="13"/>
      <c r="D783" s="14"/>
      <c r="E783" s="15"/>
      <c r="F783" s="16"/>
      <c r="G783" s="16"/>
      <c r="H783" s="16">
        <f t="shared" si="30"/>
        <v>0</v>
      </c>
      <c r="I783" s="72"/>
      <c r="J783" s="16"/>
      <c r="K783" s="16"/>
      <c r="L783" s="16"/>
      <c r="M783" s="16" t="e">
        <f t="shared" si="31"/>
        <v>#DIV/0!</v>
      </c>
      <c r="N783" s="16"/>
      <c r="O783" s="16"/>
      <c r="P783" s="17"/>
      <c r="Q783" s="14"/>
    </row>
    <row r="784" spans="1:17" ht="14.25" customHeight="1">
      <c r="A784" s="15"/>
      <c r="B784" s="14"/>
      <c r="C784" s="13"/>
      <c r="D784" s="14"/>
      <c r="E784" s="15"/>
      <c r="F784" s="16"/>
      <c r="G784" s="16"/>
      <c r="H784" s="16">
        <f t="shared" si="30"/>
        <v>0</v>
      </c>
      <c r="I784" s="72"/>
      <c r="J784" s="16"/>
      <c r="K784" s="16"/>
      <c r="L784" s="16"/>
      <c r="M784" s="16" t="e">
        <f t="shared" si="31"/>
        <v>#DIV/0!</v>
      </c>
      <c r="N784" s="16"/>
      <c r="O784" s="16"/>
      <c r="P784" s="17"/>
      <c r="Q784" s="14"/>
    </row>
    <row r="785" spans="1:17" ht="14.25" customHeight="1">
      <c r="A785" s="15"/>
      <c r="B785" s="14"/>
      <c r="C785" s="13"/>
      <c r="D785" s="14"/>
      <c r="E785" s="15"/>
      <c r="F785" s="16"/>
      <c r="G785" s="16"/>
      <c r="H785" s="16">
        <f t="shared" si="30"/>
        <v>0</v>
      </c>
      <c r="I785" s="72"/>
      <c r="J785" s="16"/>
      <c r="K785" s="16"/>
      <c r="L785" s="16"/>
      <c r="M785" s="16" t="e">
        <f t="shared" si="31"/>
        <v>#DIV/0!</v>
      </c>
      <c r="N785" s="16"/>
      <c r="O785" s="16"/>
      <c r="P785" s="17"/>
      <c r="Q785" s="14"/>
    </row>
    <row r="786" spans="1:17" ht="14.25" customHeight="1">
      <c r="A786" s="15"/>
      <c r="B786" s="14"/>
      <c r="C786" s="13"/>
      <c r="D786" s="14"/>
      <c r="E786" s="15"/>
      <c r="F786" s="16"/>
      <c r="G786" s="16"/>
      <c r="H786" s="16">
        <f t="shared" si="30"/>
        <v>0</v>
      </c>
      <c r="I786" s="72"/>
      <c r="J786" s="16"/>
      <c r="K786" s="16"/>
      <c r="L786" s="16"/>
      <c r="M786" s="16" t="e">
        <f t="shared" si="31"/>
        <v>#DIV/0!</v>
      </c>
      <c r="N786" s="16"/>
      <c r="O786" s="16"/>
      <c r="P786" s="17"/>
      <c r="Q786" s="14"/>
    </row>
    <row r="787" spans="1:17" ht="14.25" customHeight="1">
      <c r="A787" s="15"/>
      <c r="B787" s="14"/>
      <c r="C787" s="13"/>
      <c r="D787" s="14"/>
      <c r="E787" s="15"/>
      <c r="F787" s="16"/>
      <c r="G787" s="16"/>
      <c r="H787" s="16">
        <f t="shared" si="30"/>
        <v>0</v>
      </c>
      <c r="I787" s="72"/>
      <c r="J787" s="16"/>
      <c r="K787" s="16"/>
      <c r="L787" s="16"/>
      <c r="M787" s="16" t="e">
        <f t="shared" si="31"/>
        <v>#DIV/0!</v>
      </c>
      <c r="N787" s="16"/>
      <c r="O787" s="16"/>
      <c r="P787" s="17"/>
      <c r="Q787" s="14"/>
    </row>
    <row r="788" spans="1:17" ht="14.25" customHeight="1">
      <c r="A788" s="15"/>
      <c r="B788" s="14"/>
      <c r="C788" s="13"/>
      <c r="D788" s="14"/>
      <c r="E788" s="15"/>
      <c r="F788" s="16"/>
      <c r="G788" s="16"/>
      <c r="H788" s="16">
        <f t="shared" si="30"/>
        <v>0</v>
      </c>
      <c r="I788" s="72"/>
      <c r="J788" s="16"/>
      <c r="K788" s="16"/>
      <c r="L788" s="16"/>
      <c r="M788" s="16" t="e">
        <f t="shared" si="31"/>
        <v>#DIV/0!</v>
      </c>
      <c r="N788" s="16"/>
      <c r="O788" s="16"/>
      <c r="P788" s="17"/>
      <c r="Q788" s="14"/>
    </row>
    <row r="789" spans="1:17" ht="14.25" customHeight="1">
      <c r="A789" s="15"/>
      <c r="B789" s="14"/>
      <c r="C789" s="13"/>
      <c r="D789" s="14"/>
      <c r="E789" s="15"/>
      <c r="F789" s="16"/>
      <c r="G789" s="16"/>
      <c r="H789" s="16">
        <f t="shared" si="30"/>
        <v>0</v>
      </c>
      <c r="I789" s="72"/>
      <c r="J789" s="16"/>
      <c r="K789" s="16"/>
      <c r="L789" s="16"/>
      <c r="M789" s="16" t="e">
        <f t="shared" si="31"/>
        <v>#DIV/0!</v>
      </c>
      <c r="N789" s="16"/>
      <c r="O789" s="16"/>
      <c r="P789" s="17"/>
      <c r="Q789" s="14"/>
    </row>
    <row r="790" spans="1:17" ht="14.25" customHeight="1">
      <c r="A790" s="15"/>
      <c r="B790" s="14"/>
      <c r="C790" s="13"/>
      <c r="D790" s="14"/>
      <c r="E790" s="15"/>
      <c r="F790" s="16"/>
      <c r="G790" s="16"/>
      <c r="H790" s="16">
        <f t="shared" si="30"/>
        <v>0</v>
      </c>
      <c r="I790" s="72"/>
      <c r="J790" s="16"/>
      <c r="K790" s="16"/>
      <c r="L790" s="16"/>
      <c r="M790" s="16" t="e">
        <f t="shared" si="31"/>
        <v>#DIV/0!</v>
      </c>
      <c r="N790" s="16"/>
      <c r="O790" s="16"/>
      <c r="P790" s="17"/>
      <c r="Q790" s="14"/>
    </row>
    <row r="791" spans="1:17" ht="14.25" customHeight="1">
      <c r="A791" s="15"/>
      <c r="B791" s="14"/>
      <c r="C791" s="13"/>
      <c r="D791" s="14"/>
      <c r="E791" s="15"/>
      <c r="F791" s="16"/>
      <c r="G791" s="16"/>
      <c r="H791" s="16">
        <f t="shared" si="30"/>
        <v>0</v>
      </c>
      <c r="I791" s="72"/>
      <c r="J791" s="16"/>
      <c r="K791" s="16"/>
      <c r="L791" s="16"/>
      <c r="M791" s="16" t="e">
        <f t="shared" si="31"/>
        <v>#DIV/0!</v>
      </c>
      <c r="N791" s="16"/>
      <c r="O791" s="16"/>
      <c r="P791" s="17"/>
      <c r="Q791" s="14"/>
    </row>
    <row r="792" spans="1:17" ht="14.25" customHeight="1">
      <c r="A792" s="15"/>
      <c r="B792" s="14"/>
      <c r="C792" s="13"/>
      <c r="D792" s="14"/>
      <c r="E792" s="15"/>
      <c r="F792" s="16"/>
      <c r="G792" s="16"/>
      <c r="H792" s="16">
        <f t="shared" si="30"/>
        <v>0</v>
      </c>
      <c r="I792" s="72"/>
      <c r="J792" s="16"/>
      <c r="K792" s="16"/>
      <c r="L792" s="16"/>
      <c r="M792" s="16" t="e">
        <f t="shared" si="31"/>
        <v>#DIV/0!</v>
      </c>
      <c r="N792" s="16"/>
      <c r="O792" s="16"/>
      <c r="P792" s="17"/>
      <c r="Q792" s="14"/>
    </row>
    <row r="793" spans="1:17" ht="14.25" customHeight="1">
      <c r="A793" s="15"/>
      <c r="B793" s="14"/>
      <c r="C793" s="13"/>
      <c r="D793" s="14"/>
      <c r="E793" s="15"/>
      <c r="F793" s="16"/>
      <c r="G793" s="16"/>
      <c r="H793" s="16">
        <f t="shared" si="30"/>
        <v>0</v>
      </c>
      <c r="I793" s="72"/>
      <c r="J793" s="16"/>
      <c r="K793" s="16"/>
      <c r="L793" s="16"/>
      <c r="M793" s="16" t="e">
        <f t="shared" si="31"/>
        <v>#DIV/0!</v>
      </c>
      <c r="N793" s="16"/>
      <c r="O793" s="16"/>
      <c r="P793" s="17"/>
      <c r="Q793" s="14"/>
    </row>
    <row r="794" spans="1:17" ht="14.25" customHeight="1">
      <c r="A794" s="15"/>
      <c r="B794" s="14"/>
      <c r="C794" s="13"/>
      <c r="D794" s="14"/>
      <c r="E794" s="15"/>
      <c r="F794" s="16"/>
      <c r="G794" s="16"/>
      <c r="H794" s="16">
        <f t="shared" si="30"/>
        <v>0</v>
      </c>
      <c r="I794" s="72"/>
      <c r="J794" s="16"/>
      <c r="K794" s="16"/>
      <c r="L794" s="16"/>
      <c r="M794" s="16" t="e">
        <f t="shared" si="31"/>
        <v>#DIV/0!</v>
      </c>
      <c r="N794" s="16"/>
      <c r="O794" s="16"/>
      <c r="P794" s="17"/>
      <c r="Q794" s="14"/>
    </row>
    <row r="795" spans="1:17" ht="14.25" customHeight="1">
      <c r="A795" s="15"/>
      <c r="B795" s="14"/>
      <c r="C795" s="13"/>
      <c r="D795" s="14"/>
      <c r="E795" s="15"/>
      <c r="F795" s="16"/>
      <c r="G795" s="16"/>
      <c r="H795" s="16">
        <f t="shared" si="30"/>
        <v>0</v>
      </c>
      <c r="I795" s="72"/>
      <c r="J795" s="16"/>
      <c r="K795" s="16"/>
      <c r="L795" s="16"/>
      <c r="M795" s="16" t="e">
        <f t="shared" si="31"/>
        <v>#DIV/0!</v>
      </c>
      <c r="N795" s="16"/>
      <c r="O795" s="16"/>
      <c r="P795" s="17"/>
      <c r="Q795" s="14"/>
    </row>
    <row r="796" spans="1:17" ht="14.25" customHeight="1">
      <c r="A796" s="15"/>
      <c r="B796" s="14"/>
      <c r="C796" s="13"/>
      <c r="D796" s="14"/>
      <c r="E796" s="15"/>
      <c r="F796" s="16"/>
      <c r="G796" s="16"/>
      <c r="H796" s="16">
        <f t="shared" ref="H796:H859" si="32">G796*F796</f>
        <v>0</v>
      </c>
      <c r="I796" s="72"/>
      <c r="J796" s="16"/>
      <c r="K796" s="16"/>
      <c r="L796" s="16"/>
      <c r="M796" s="16" t="e">
        <f t="shared" si="31"/>
        <v>#DIV/0!</v>
      </c>
      <c r="N796" s="16"/>
      <c r="O796" s="16"/>
      <c r="P796" s="17"/>
      <c r="Q796" s="14"/>
    </row>
    <row r="797" spans="1:17" ht="14.25" customHeight="1">
      <c r="A797" s="15"/>
      <c r="B797" s="14"/>
      <c r="C797" s="13"/>
      <c r="D797" s="14"/>
      <c r="E797" s="15"/>
      <c r="F797" s="16"/>
      <c r="G797" s="16"/>
      <c r="H797" s="16">
        <f t="shared" si="32"/>
        <v>0</v>
      </c>
      <c r="I797" s="72"/>
      <c r="J797" s="16"/>
      <c r="K797" s="16"/>
      <c r="L797" s="16"/>
      <c r="M797" s="16" t="e">
        <f t="shared" si="31"/>
        <v>#DIV/0!</v>
      </c>
      <c r="N797" s="16"/>
      <c r="O797" s="16"/>
      <c r="P797" s="17"/>
      <c r="Q797" s="14"/>
    </row>
    <row r="798" spans="1:17" ht="14.25" customHeight="1">
      <c r="A798" s="15"/>
      <c r="B798" s="14"/>
      <c r="C798" s="13"/>
      <c r="D798" s="14"/>
      <c r="E798" s="15"/>
      <c r="F798" s="16"/>
      <c r="G798" s="16"/>
      <c r="H798" s="16">
        <f t="shared" si="32"/>
        <v>0</v>
      </c>
      <c r="I798" s="72"/>
      <c r="J798" s="16"/>
      <c r="K798" s="16"/>
      <c r="L798" s="16"/>
      <c r="M798" s="16" t="e">
        <f t="shared" si="31"/>
        <v>#DIV/0!</v>
      </c>
      <c r="N798" s="16"/>
      <c r="O798" s="16"/>
      <c r="P798" s="17"/>
      <c r="Q798" s="14"/>
    </row>
    <row r="799" spans="1:17" ht="14.25" customHeight="1">
      <c r="A799" s="15"/>
      <c r="B799" s="14"/>
      <c r="C799" s="13"/>
      <c r="D799" s="14"/>
      <c r="E799" s="15"/>
      <c r="F799" s="16"/>
      <c r="G799" s="16"/>
      <c r="H799" s="16">
        <f t="shared" si="32"/>
        <v>0</v>
      </c>
      <c r="I799" s="72"/>
      <c r="J799" s="16"/>
      <c r="K799" s="16"/>
      <c r="L799" s="16"/>
      <c r="M799" s="16" t="e">
        <f t="shared" si="31"/>
        <v>#DIV/0!</v>
      </c>
      <c r="N799" s="16"/>
      <c r="O799" s="16"/>
      <c r="P799" s="17"/>
      <c r="Q799" s="14"/>
    </row>
    <row r="800" spans="1:17" ht="14.25" customHeight="1">
      <c r="A800" s="15"/>
      <c r="B800" s="14"/>
      <c r="C800" s="13"/>
      <c r="D800" s="14"/>
      <c r="E800" s="15"/>
      <c r="F800" s="16"/>
      <c r="G800" s="16"/>
      <c r="H800" s="16">
        <f t="shared" si="32"/>
        <v>0</v>
      </c>
      <c r="I800" s="72"/>
      <c r="J800" s="16"/>
      <c r="K800" s="16"/>
      <c r="L800" s="16"/>
      <c r="M800" s="16" t="e">
        <f t="shared" si="31"/>
        <v>#DIV/0!</v>
      </c>
      <c r="N800" s="16"/>
      <c r="O800" s="16"/>
      <c r="P800" s="17"/>
      <c r="Q800" s="14"/>
    </row>
    <row r="801" spans="1:17" ht="14.25" customHeight="1">
      <c r="A801" s="15"/>
      <c r="B801" s="14"/>
      <c r="C801" s="13"/>
      <c r="D801" s="14"/>
      <c r="E801" s="15"/>
      <c r="F801" s="16"/>
      <c r="G801" s="16"/>
      <c r="H801" s="16">
        <f t="shared" si="32"/>
        <v>0</v>
      </c>
      <c r="I801" s="72"/>
      <c r="J801" s="16"/>
      <c r="K801" s="16"/>
      <c r="L801" s="16"/>
      <c r="M801" s="16" t="e">
        <f t="shared" si="31"/>
        <v>#DIV/0!</v>
      </c>
      <c r="N801" s="16"/>
      <c r="O801" s="16"/>
      <c r="P801" s="17"/>
      <c r="Q801" s="14"/>
    </row>
    <row r="802" spans="1:17" ht="14.25" customHeight="1">
      <c r="A802" s="15"/>
      <c r="B802" s="14"/>
      <c r="C802" s="13"/>
      <c r="D802" s="14"/>
      <c r="E802" s="15"/>
      <c r="F802" s="16"/>
      <c r="G802" s="16"/>
      <c r="H802" s="16">
        <f t="shared" si="32"/>
        <v>0</v>
      </c>
      <c r="I802" s="72"/>
      <c r="J802" s="16"/>
      <c r="K802" s="16"/>
      <c r="L802" s="16"/>
      <c r="M802" s="16" t="e">
        <f t="shared" ref="M802:M865" si="33">IF(AND(K802*L802*30*O802&gt;H802/J802,I802=""),"לרכוש","לא לרכוש")</f>
        <v>#DIV/0!</v>
      </c>
      <c r="N802" s="16"/>
      <c r="O802" s="16"/>
      <c r="P802" s="17"/>
      <c r="Q802" s="14"/>
    </row>
    <row r="803" spans="1:17" ht="14.25" customHeight="1">
      <c r="A803" s="15"/>
      <c r="B803" s="14"/>
      <c r="C803" s="13"/>
      <c r="D803" s="14"/>
      <c r="E803" s="15"/>
      <c r="F803" s="16"/>
      <c r="G803" s="16"/>
      <c r="H803" s="16">
        <f t="shared" si="32"/>
        <v>0</v>
      </c>
      <c r="I803" s="72"/>
      <c r="J803" s="16"/>
      <c r="K803" s="16"/>
      <c r="L803" s="16"/>
      <c r="M803" s="16" t="e">
        <f t="shared" si="33"/>
        <v>#DIV/0!</v>
      </c>
      <c r="N803" s="16"/>
      <c r="O803" s="16"/>
      <c r="P803" s="17"/>
      <c r="Q803" s="14"/>
    </row>
    <row r="804" spans="1:17" ht="14.25" customHeight="1">
      <c r="A804" s="15"/>
      <c r="B804" s="14"/>
      <c r="C804" s="13"/>
      <c r="D804" s="14"/>
      <c r="E804" s="15"/>
      <c r="F804" s="16"/>
      <c r="G804" s="16"/>
      <c r="H804" s="16">
        <f t="shared" si="32"/>
        <v>0</v>
      </c>
      <c r="I804" s="72"/>
      <c r="J804" s="16"/>
      <c r="K804" s="16"/>
      <c r="L804" s="16"/>
      <c r="M804" s="16" t="e">
        <f t="shared" si="33"/>
        <v>#DIV/0!</v>
      </c>
      <c r="N804" s="16"/>
      <c r="O804" s="16"/>
      <c r="P804" s="17"/>
      <c r="Q804" s="14"/>
    </row>
    <row r="805" spans="1:17" ht="14.25" customHeight="1">
      <c r="A805" s="15"/>
      <c r="B805" s="14"/>
      <c r="C805" s="13"/>
      <c r="D805" s="14"/>
      <c r="E805" s="15"/>
      <c r="F805" s="16"/>
      <c r="G805" s="16"/>
      <c r="H805" s="16">
        <f t="shared" si="32"/>
        <v>0</v>
      </c>
      <c r="I805" s="72"/>
      <c r="J805" s="16"/>
      <c r="K805" s="16"/>
      <c r="L805" s="16"/>
      <c r="M805" s="16" t="e">
        <f t="shared" si="33"/>
        <v>#DIV/0!</v>
      </c>
      <c r="N805" s="16"/>
      <c r="O805" s="16"/>
      <c r="P805" s="17"/>
      <c r="Q805" s="14"/>
    </row>
    <row r="806" spans="1:17" ht="14.25" customHeight="1">
      <c r="A806" s="15"/>
      <c r="B806" s="14"/>
      <c r="C806" s="13"/>
      <c r="D806" s="14"/>
      <c r="E806" s="15"/>
      <c r="F806" s="16"/>
      <c r="G806" s="16"/>
      <c r="H806" s="16">
        <f t="shared" si="32"/>
        <v>0</v>
      </c>
      <c r="I806" s="72"/>
      <c r="J806" s="16"/>
      <c r="K806" s="16"/>
      <c r="L806" s="16"/>
      <c r="M806" s="16" t="e">
        <f t="shared" si="33"/>
        <v>#DIV/0!</v>
      </c>
      <c r="N806" s="16"/>
      <c r="O806" s="16"/>
      <c r="P806" s="17"/>
      <c r="Q806" s="14"/>
    </row>
    <row r="807" spans="1:17" ht="14.25" customHeight="1">
      <c r="A807" s="15"/>
      <c r="B807" s="14"/>
      <c r="C807" s="13"/>
      <c r="D807" s="14"/>
      <c r="E807" s="15"/>
      <c r="F807" s="16"/>
      <c r="G807" s="16"/>
      <c r="H807" s="16">
        <f t="shared" si="32"/>
        <v>0</v>
      </c>
      <c r="I807" s="72"/>
      <c r="J807" s="16"/>
      <c r="K807" s="16"/>
      <c r="L807" s="16"/>
      <c r="M807" s="16" t="e">
        <f t="shared" si="33"/>
        <v>#DIV/0!</v>
      </c>
      <c r="N807" s="16"/>
      <c r="O807" s="16"/>
      <c r="P807" s="17"/>
      <c r="Q807" s="14"/>
    </row>
    <row r="808" spans="1:17" ht="14.25" customHeight="1">
      <c r="A808" s="15"/>
      <c r="B808" s="14"/>
      <c r="C808" s="13"/>
      <c r="D808" s="14"/>
      <c r="E808" s="15"/>
      <c r="F808" s="16"/>
      <c r="G808" s="16"/>
      <c r="H808" s="16">
        <f t="shared" si="32"/>
        <v>0</v>
      </c>
      <c r="I808" s="72"/>
      <c r="J808" s="16"/>
      <c r="K808" s="16"/>
      <c r="L808" s="16"/>
      <c r="M808" s="16" t="e">
        <f t="shared" si="33"/>
        <v>#DIV/0!</v>
      </c>
      <c r="N808" s="16"/>
      <c r="O808" s="16"/>
      <c r="P808" s="17"/>
      <c r="Q808" s="14"/>
    </row>
    <row r="809" spans="1:17" ht="14.25" customHeight="1">
      <c r="A809" s="15"/>
      <c r="B809" s="14"/>
      <c r="C809" s="13"/>
      <c r="D809" s="14"/>
      <c r="E809" s="15"/>
      <c r="F809" s="16"/>
      <c r="G809" s="16"/>
      <c r="H809" s="16">
        <f t="shared" si="32"/>
        <v>0</v>
      </c>
      <c r="I809" s="72"/>
      <c r="J809" s="16"/>
      <c r="K809" s="16"/>
      <c r="L809" s="16"/>
      <c r="M809" s="16" t="e">
        <f t="shared" si="33"/>
        <v>#DIV/0!</v>
      </c>
      <c r="N809" s="16"/>
      <c r="O809" s="16"/>
      <c r="P809" s="17"/>
      <c r="Q809" s="14"/>
    </row>
    <row r="810" spans="1:17" ht="14.25" customHeight="1">
      <c r="A810" s="15"/>
      <c r="B810" s="14"/>
      <c r="C810" s="13"/>
      <c r="D810" s="14"/>
      <c r="E810" s="15"/>
      <c r="F810" s="16"/>
      <c r="G810" s="16"/>
      <c r="H810" s="16">
        <f t="shared" si="32"/>
        <v>0</v>
      </c>
      <c r="I810" s="72"/>
      <c r="J810" s="16"/>
      <c r="K810" s="16"/>
      <c r="L810" s="16"/>
      <c r="M810" s="16" t="e">
        <f t="shared" si="33"/>
        <v>#DIV/0!</v>
      </c>
      <c r="N810" s="16"/>
      <c r="O810" s="16"/>
      <c r="P810" s="17"/>
      <c r="Q810" s="14"/>
    </row>
    <row r="811" spans="1:17" ht="14.25" customHeight="1">
      <c r="A811" s="15"/>
      <c r="B811" s="14"/>
      <c r="C811" s="13"/>
      <c r="D811" s="14"/>
      <c r="E811" s="15"/>
      <c r="F811" s="16"/>
      <c r="G811" s="16"/>
      <c r="H811" s="16">
        <f t="shared" si="32"/>
        <v>0</v>
      </c>
      <c r="I811" s="72"/>
      <c r="J811" s="16"/>
      <c r="K811" s="16"/>
      <c r="L811" s="16"/>
      <c r="M811" s="16" t="e">
        <f t="shared" si="33"/>
        <v>#DIV/0!</v>
      </c>
      <c r="N811" s="16"/>
      <c r="O811" s="16"/>
      <c r="P811" s="17"/>
      <c r="Q811" s="14"/>
    </row>
    <row r="812" spans="1:17" ht="14.25" customHeight="1">
      <c r="A812" s="15"/>
      <c r="B812" s="14"/>
      <c r="C812" s="13"/>
      <c r="D812" s="14"/>
      <c r="E812" s="15"/>
      <c r="F812" s="16"/>
      <c r="G812" s="16"/>
      <c r="H812" s="16">
        <f t="shared" si="32"/>
        <v>0</v>
      </c>
      <c r="I812" s="72"/>
      <c r="J812" s="16"/>
      <c r="K812" s="16"/>
      <c r="L812" s="16"/>
      <c r="M812" s="16" t="e">
        <f t="shared" si="33"/>
        <v>#DIV/0!</v>
      </c>
      <c r="N812" s="16"/>
      <c r="O812" s="16"/>
      <c r="P812" s="17"/>
      <c r="Q812" s="14"/>
    </row>
    <row r="813" spans="1:17" ht="14.25" customHeight="1">
      <c r="A813" s="15"/>
      <c r="B813" s="14"/>
      <c r="C813" s="13"/>
      <c r="D813" s="14"/>
      <c r="E813" s="15"/>
      <c r="F813" s="16"/>
      <c r="G813" s="16"/>
      <c r="H813" s="16">
        <f t="shared" si="32"/>
        <v>0</v>
      </c>
      <c r="I813" s="72"/>
      <c r="J813" s="16"/>
      <c r="K813" s="16"/>
      <c r="L813" s="16"/>
      <c r="M813" s="16" t="e">
        <f t="shared" si="33"/>
        <v>#DIV/0!</v>
      </c>
      <c r="N813" s="16"/>
      <c r="O813" s="16"/>
      <c r="P813" s="17"/>
      <c r="Q813" s="14"/>
    </row>
    <row r="814" spans="1:17" ht="14.25" customHeight="1">
      <c r="A814" s="15"/>
      <c r="B814" s="14"/>
      <c r="C814" s="13"/>
      <c r="D814" s="14"/>
      <c r="E814" s="15"/>
      <c r="F814" s="16"/>
      <c r="G814" s="16"/>
      <c r="H814" s="16">
        <f t="shared" si="32"/>
        <v>0</v>
      </c>
      <c r="I814" s="72"/>
      <c r="J814" s="16"/>
      <c r="K814" s="16"/>
      <c r="L814" s="16"/>
      <c r="M814" s="16" t="e">
        <f t="shared" si="33"/>
        <v>#DIV/0!</v>
      </c>
      <c r="N814" s="16"/>
      <c r="O814" s="16"/>
      <c r="P814" s="17"/>
      <c r="Q814" s="14"/>
    </row>
    <row r="815" spans="1:17" ht="14.25" customHeight="1">
      <c r="A815" s="15"/>
      <c r="B815" s="14"/>
      <c r="C815" s="13"/>
      <c r="D815" s="14"/>
      <c r="E815" s="15"/>
      <c r="F815" s="16"/>
      <c r="G815" s="16"/>
      <c r="H815" s="16">
        <f t="shared" si="32"/>
        <v>0</v>
      </c>
      <c r="I815" s="72"/>
      <c r="J815" s="16"/>
      <c r="K815" s="16"/>
      <c r="L815" s="16"/>
      <c r="M815" s="16" t="e">
        <f t="shared" si="33"/>
        <v>#DIV/0!</v>
      </c>
      <c r="N815" s="16"/>
      <c r="O815" s="16"/>
      <c r="P815" s="17"/>
      <c r="Q815" s="14"/>
    </row>
    <row r="816" spans="1:17" ht="14.25" customHeight="1">
      <c r="A816" s="15"/>
      <c r="B816" s="14"/>
      <c r="C816" s="13"/>
      <c r="D816" s="14"/>
      <c r="E816" s="15"/>
      <c r="F816" s="16"/>
      <c r="G816" s="16"/>
      <c r="H816" s="16">
        <f t="shared" si="32"/>
        <v>0</v>
      </c>
      <c r="I816" s="72"/>
      <c r="J816" s="16"/>
      <c r="K816" s="16"/>
      <c r="L816" s="16"/>
      <c r="M816" s="16" t="e">
        <f t="shared" si="33"/>
        <v>#DIV/0!</v>
      </c>
      <c r="N816" s="16"/>
      <c r="O816" s="16"/>
      <c r="P816" s="17"/>
      <c r="Q816" s="14"/>
    </row>
    <row r="817" spans="1:17" ht="14.25" customHeight="1">
      <c r="A817" s="15"/>
      <c r="B817" s="14"/>
      <c r="C817" s="13"/>
      <c r="D817" s="14"/>
      <c r="E817" s="15"/>
      <c r="F817" s="16"/>
      <c r="G817" s="16"/>
      <c r="H817" s="16">
        <f t="shared" si="32"/>
        <v>0</v>
      </c>
      <c r="I817" s="72"/>
      <c r="J817" s="16"/>
      <c r="K817" s="16"/>
      <c r="L817" s="16"/>
      <c r="M817" s="16" t="e">
        <f t="shared" si="33"/>
        <v>#DIV/0!</v>
      </c>
      <c r="N817" s="16"/>
      <c r="O817" s="16"/>
      <c r="P817" s="17"/>
      <c r="Q817" s="14"/>
    </row>
    <row r="818" spans="1:17" ht="14.25" customHeight="1">
      <c r="A818" s="15"/>
      <c r="B818" s="14"/>
      <c r="C818" s="13"/>
      <c r="D818" s="14"/>
      <c r="E818" s="15"/>
      <c r="F818" s="16"/>
      <c r="G818" s="16"/>
      <c r="H818" s="16">
        <f t="shared" si="32"/>
        <v>0</v>
      </c>
      <c r="I818" s="72"/>
      <c r="J818" s="16"/>
      <c r="K818" s="16"/>
      <c r="L818" s="16"/>
      <c r="M818" s="16" t="e">
        <f t="shared" si="33"/>
        <v>#DIV/0!</v>
      </c>
      <c r="N818" s="16"/>
      <c r="O818" s="16"/>
      <c r="P818" s="17"/>
      <c r="Q818" s="14"/>
    </row>
    <row r="819" spans="1:17" ht="14.25" customHeight="1">
      <c r="A819" s="15"/>
      <c r="B819" s="14"/>
      <c r="C819" s="13"/>
      <c r="D819" s="14"/>
      <c r="E819" s="15"/>
      <c r="F819" s="16"/>
      <c r="G819" s="16"/>
      <c r="H819" s="16">
        <f t="shared" si="32"/>
        <v>0</v>
      </c>
      <c r="I819" s="72"/>
      <c r="J819" s="16"/>
      <c r="K819" s="16"/>
      <c r="L819" s="16"/>
      <c r="M819" s="16" t="e">
        <f t="shared" si="33"/>
        <v>#DIV/0!</v>
      </c>
      <c r="N819" s="16"/>
      <c r="O819" s="16"/>
      <c r="P819" s="17"/>
      <c r="Q819" s="14"/>
    </row>
    <row r="820" spans="1:17" ht="14.25" customHeight="1">
      <c r="A820" s="15"/>
      <c r="B820" s="14"/>
      <c r="C820" s="13"/>
      <c r="D820" s="14"/>
      <c r="E820" s="15"/>
      <c r="F820" s="16"/>
      <c r="G820" s="16"/>
      <c r="H820" s="16">
        <f t="shared" si="32"/>
        <v>0</v>
      </c>
      <c r="I820" s="72"/>
      <c r="J820" s="16"/>
      <c r="K820" s="16"/>
      <c r="L820" s="16"/>
      <c r="M820" s="16" t="e">
        <f t="shared" si="33"/>
        <v>#DIV/0!</v>
      </c>
      <c r="N820" s="16"/>
      <c r="O820" s="16"/>
      <c r="P820" s="17"/>
      <c r="Q820" s="14"/>
    </row>
    <row r="821" spans="1:17" ht="14.25" customHeight="1">
      <c r="A821" s="15"/>
      <c r="B821" s="14"/>
      <c r="C821" s="13"/>
      <c r="D821" s="14"/>
      <c r="E821" s="15"/>
      <c r="F821" s="16"/>
      <c r="G821" s="16"/>
      <c r="H821" s="16">
        <f t="shared" si="32"/>
        <v>0</v>
      </c>
      <c r="I821" s="72"/>
      <c r="J821" s="16"/>
      <c r="K821" s="16"/>
      <c r="L821" s="16"/>
      <c r="M821" s="16" t="e">
        <f t="shared" si="33"/>
        <v>#DIV/0!</v>
      </c>
      <c r="N821" s="16"/>
      <c r="O821" s="16"/>
      <c r="P821" s="17"/>
      <c r="Q821" s="14"/>
    </row>
    <row r="822" spans="1:17" ht="14.25" customHeight="1">
      <c r="A822" s="15"/>
      <c r="B822" s="14"/>
      <c r="C822" s="13"/>
      <c r="D822" s="14"/>
      <c r="E822" s="15"/>
      <c r="F822" s="16"/>
      <c r="G822" s="16"/>
      <c r="H822" s="16">
        <f t="shared" si="32"/>
        <v>0</v>
      </c>
      <c r="I822" s="72"/>
      <c r="J822" s="16"/>
      <c r="K822" s="16"/>
      <c r="L822" s="16"/>
      <c r="M822" s="16" t="e">
        <f t="shared" si="33"/>
        <v>#DIV/0!</v>
      </c>
      <c r="N822" s="16"/>
      <c r="O822" s="16"/>
      <c r="P822" s="17"/>
      <c r="Q822" s="14"/>
    </row>
    <row r="823" spans="1:17" ht="14.25" customHeight="1">
      <c r="A823" s="15"/>
      <c r="B823" s="14"/>
      <c r="C823" s="13"/>
      <c r="D823" s="14"/>
      <c r="E823" s="15"/>
      <c r="F823" s="16"/>
      <c r="G823" s="16"/>
      <c r="H823" s="16">
        <f t="shared" si="32"/>
        <v>0</v>
      </c>
      <c r="I823" s="72"/>
      <c r="J823" s="16"/>
      <c r="K823" s="16"/>
      <c r="L823" s="16"/>
      <c r="M823" s="16" t="e">
        <f t="shared" si="33"/>
        <v>#DIV/0!</v>
      </c>
      <c r="N823" s="16"/>
      <c r="O823" s="16"/>
      <c r="P823" s="17"/>
      <c r="Q823" s="14"/>
    </row>
    <row r="824" spans="1:17" ht="14.25" customHeight="1">
      <c r="A824" s="15"/>
      <c r="B824" s="14"/>
      <c r="C824" s="13"/>
      <c r="D824" s="14"/>
      <c r="E824" s="15"/>
      <c r="F824" s="16"/>
      <c r="G824" s="16"/>
      <c r="H824" s="16">
        <f t="shared" si="32"/>
        <v>0</v>
      </c>
      <c r="I824" s="72"/>
      <c r="J824" s="16"/>
      <c r="K824" s="16"/>
      <c r="L824" s="16"/>
      <c r="M824" s="16" t="e">
        <f t="shared" si="33"/>
        <v>#DIV/0!</v>
      </c>
      <c r="N824" s="16"/>
      <c r="O824" s="16"/>
      <c r="P824" s="17"/>
      <c r="Q824" s="14"/>
    </row>
    <row r="825" spans="1:17" ht="14.25" customHeight="1">
      <c r="A825" s="15"/>
      <c r="B825" s="14"/>
      <c r="C825" s="13"/>
      <c r="D825" s="14"/>
      <c r="E825" s="15"/>
      <c r="F825" s="16"/>
      <c r="G825" s="16"/>
      <c r="H825" s="16">
        <f t="shared" si="32"/>
        <v>0</v>
      </c>
      <c r="I825" s="72"/>
      <c r="J825" s="16"/>
      <c r="K825" s="16"/>
      <c r="L825" s="16"/>
      <c r="M825" s="16" t="e">
        <f t="shared" si="33"/>
        <v>#DIV/0!</v>
      </c>
      <c r="N825" s="16"/>
      <c r="O825" s="16"/>
      <c r="P825" s="17"/>
      <c r="Q825" s="14"/>
    </row>
    <row r="826" spans="1:17" ht="14.25" customHeight="1">
      <c r="A826" s="15"/>
      <c r="B826" s="14"/>
      <c r="C826" s="13"/>
      <c r="D826" s="14"/>
      <c r="E826" s="15"/>
      <c r="F826" s="16"/>
      <c r="G826" s="16"/>
      <c r="H826" s="16">
        <f t="shared" si="32"/>
        <v>0</v>
      </c>
      <c r="I826" s="72"/>
      <c r="J826" s="16"/>
      <c r="K826" s="16"/>
      <c r="L826" s="16"/>
      <c r="M826" s="16" t="e">
        <f t="shared" si="33"/>
        <v>#DIV/0!</v>
      </c>
      <c r="N826" s="16"/>
      <c r="O826" s="16"/>
      <c r="P826" s="17"/>
      <c r="Q826" s="14"/>
    </row>
    <row r="827" spans="1:17" ht="14.25" customHeight="1">
      <c r="A827" s="15"/>
      <c r="B827" s="14"/>
      <c r="C827" s="13"/>
      <c r="D827" s="14"/>
      <c r="E827" s="15"/>
      <c r="F827" s="16"/>
      <c r="G827" s="16"/>
      <c r="H827" s="16">
        <f t="shared" si="32"/>
        <v>0</v>
      </c>
      <c r="I827" s="72"/>
      <c r="J827" s="16"/>
      <c r="K827" s="16"/>
      <c r="L827" s="16"/>
      <c r="M827" s="16" t="e">
        <f t="shared" si="33"/>
        <v>#DIV/0!</v>
      </c>
      <c r="N827" s="16"/>
      <c r="O827" s="16"/>
      <c r="P827" s="17"/>
      <c r="Q827" s="14"/>
    </row>
    <row r="828" spans="1:17" ht="14.25" customHeight="1">
      <c r="A828" s="15"/>
      <c r="B828" s="14"/>
      <c r="C828" s="13"/>
      <c r="D828" s="14"/>
      <c r="E828" s="15"/>
      <c r="F828" s="16"/>
      <c r="G828" s="16"/>
      <c r="H828" s="16">
        <f t="shared" si="32"/>
        <v>0</v>
      </c>
      <c r="I828" s="72"/>
      <c r="J828" s="16"/>
      <c r="K828" s="16"/>
      <c r="L828" s="16"/>
      <c r="M828" s="16" t="e">
        <f t="shared" si="33"/>
        <v>#DIV/0!</v>
      </c>
      <c r="N828" s="16"/>
      <c r="O828" s="16"/>
      <c r="P828" s="17"/>
      <c r="Q828" s="14"/>
    </row>
    <row r="829" spans="1:17" ht="14.25" customHeight="1">
      <c r="A829" s="15"/>
      <c r="B829" s="14"/>
      <c r="C829" s="13"/>
      <c r="D829" s="14"/>
      <c r="E829" s="15"/>
      <c r="F829" s="16"/>
      <c r="G829" s="16"/>
      <c r="H829" s="16">
        <f t="shared" si="32"/>
        <v>0</v>
      </c>
      <c r="I829" s="72"/>
      <c r="J829" s="16"/>
      <c r="K829" s="16"/>
      <c r="L829" s="16"/>
      <c r="M829" s="16" t="e">
        <f t="shared" si="33"/>
        <v>#DIV/0!</v>
      </c>
      <c r="N829" s="16"/>
      <c r="O829" s="16"/>
      <c r="P829" s="17"/>
      <c r="Q829" s="14"/>
    </row>
    <row r="830" spans="1:17" ht="14.25" customHeight="1">
      <c r="A830" s="15"/>
      <c r="B830" s="14"/>
      <c r="C830" s="13"/>
      <c r="D830" s="14"/>
      <c r="E830" s="15"/>
      <c r="F830" s="16"/>
      <c r="G830" s="16"/>
      <c r="H830" s="16">
        <f t="shared" si="32"/>
        <v>0</v>
      </c>
      <c r="I830" s="72"/>
      <c r="J830" s="16"/>
      <c r="K830" s="16"/>
      <c r="L830" s="16"/>
      <c r="M830" s="16" t="e">
        <f t="shared" si="33"/>
        <v>#DIV/0!</v>
      </c>
      <c r="N830" s="16"/>
      <c r="O830" s="16"/>
      <c r="P830" s="17"/>
      <c r="Q830" s="14"/>
    </row>
    <row r="831" spans="1:17" ht="14.25" customHeight="1">
      <c r="A831" s="15"/>
      <c r="B831" s="14"/>
      <c r="C831" s="13"/>
      <c r="D831" s="14"/>
      <c r="E831" s="15"/>
      <c r="F831" s="16"/>
      <c r="G831" s="16"/>
      <c r="H831" s="16">
        <f t="shared" si="32"/>
        <v>0</v>
      </c>
      <c r="I831" s="72"/>
      <c r="J831" s="16"/>
      <c r="K831" s="16"/>
      <c r="L831" s="16"/>
      <c r="M831" s="16" t="e">
        <f t="shared" si="33"/>
        <v>#DIV/0!</v>
      </c>
      <c r="N831" s="16"/>
      <c r="O831" s="16"/>
      <c r="P831" s="17"/>
      <c r="Q831" s="14"/>
    </row>
    <row r="832" spans="1:17" ht="14.25" customHeight="1">
      <c r="A832" s="15"/>
      <c r="B832" s="14"/>
      <c r="C832" s="13"/>
      <c r="D832" s="14"/>
      <c r="E832" s="15"/>
      <c r="F832" s="16"/>
      <c r="G832" s="16"/>
      <c r="H832" s="16">
        <f t="shared" si="32"/>
        <v>0</v>
      </c>
      <c r="I832" s="72"/>
      <c r="J832" s="16"/>
      <c r="K832" s="16"/>
      <c r="L832" s="16"/>
      <c r="M832" s="16" t="e">
        <f t="shared" si="33"/>
        <v>#DIV/0!</v>
      </c>
      <c r="N832" s="16"/>
      <c r="O832" s="16"/>
      <c r="P832" s="17"/>
      <c r="Q832" s="14"/>
    </row>
    <row r="833" spans="1:17" ht="14.25" customHeight="1">
      <c r="A833" s="15"/>
      <c r="B833" s="14"/>
      <c r="C833" s="13"/>
      <c r="D833" s="14"/>
      <c r="E833" s="15"/>
      <c r="F833" s="16"/>
      <c r="G833" s="16"/>
      <c r="H833" s="16">
        <f t="shared" si="32"/>
        <v>0</v>
      </c>
      <c r="I833" s="72"/>
      <c r="J833" s="16"/>
      <c r="K833" s="16"/>
      <c r="L833" s="16"/>
      <c r="M833" s="16" t="e">
        <f t="shared" si="33"/>
        <v>#DIV/0!</v>
      </c>
      <c r="N833" s="16"/>
      <c r="O833" s="16"/>
      <c r="P833" s="17"/>
      <c r="Q833" s="14"/>
    </row>
    <row r="834" spans="1:17" ht="14.25" customHeight="1">
      <c r="A834" s="15"/>
      <c r="B834" s="14"/>
      <c r="C834" s="13"/>
      <c r="D834" s="14"/>
      <c r="E834" s="15"/>
      <c r="F834" s="16"/>
      <c r="G834" s="16"/>
      <c r="H834" s="16">
        <f t="shared" si="32"/>
        <v>0</v>
      </c>
      <c r="I834" s="72"/>
      <c r="J834" s="16"/>
      <c r="K834" s="16"/>
      <c r="L834" s="16"/>
      <c r="M834" s="16" t="e">
        <f t="shared" si="33"/>
        <v>#DIV/0!</v>
      </c>
      <c r="N834" s="16"/>
      <c r="O834" s="16"/>
      <c r="P834" s="17"/>
      <c r="Q834" s="14"/>
    </row>
    <row r="835" spans="1:17" ht="14.25" customHeight="1">
      <c r="A835" s="15"/>
      <c r="B835" s="14"/>
      <c r="C835" s="13"/>
      <c r="D835" s="14"/>
      <c r="E835" s="15"/>
      <c r="F835" s="16"/>
      <c r="G835" s="16"/>
      <c r="H835" s="16">
        <f t="shared" si="32"/>
        <v>0</v>
      </c>
      <c r="I835" s="72"/>
      <c r="J835" s="16"/>
      <c r="K835" s="16"/>
      <c r="L835" s="16"/>
      <c r="M835" s="16" t="e">
        <f t="shared" si="33"/>
        <v>#DIV/0!</v>
      </c>
      <c r="N835" s="16"/>
      <c r="O835" s="16"/>
      <c r="P835" s="17"/>
      <c r="Q835" s="14"/>
    </row>
    <row r="836" spans="1:17" ht="14.25" customHeight="1">
      <c r="A836" s="15"/>
      <c r="B836" s="14"/>
      <c r="C836" s="13"/>
      <c r="D836" s="14"/>
      <c r="E836" s="15"/>
      <c r="F836" s="16"/>
      <c r="G836" s="16"/>
      <c r="H836" s="16">
        <f t="shared" si="32"/>
        <v>0</v>
      </c>
      <c r="I836" s="72"/>
      <c r="J836" s="16"/>
      <c r="K836" s="16"/>
      <c r="L836" s="16"/>
      <c r="M836" s="16" t="e">
        <f t="shared" si="33"/>
        <v>#DIV/0!</v>
      </c>
      <c r="N836" s="16"/>
      <c r="O836" s="16"/>
      <c r="P836" s="17"/>
      <c r="Q836" s="14"/>
    </row>
    <row r="837" spans="1:17" ht="14.25" customHeight="1">
      <c r="A837" s="15"/>
      <c r="B837" s="14"/>
      <c r="C837" s="13"/>
      <c r="D837" s="14"/>
      <c r="E837" s="15"/>
      <c r="F837" s="16"/>
      <c r="G837" s="16"/>
      <c r="H837" s="16">
        <f t="shared" si="32"/>
        <v>0</v>
      </c>
      <c r="I837" s="72"/>
      <c r="J837" s="16"/>
      <c r="K837" s="16"/>
      <c r="L837" s="16"/>
      <c r="M837" s="16" t="e">
        <f t="shared" si="33"/>
        <v>#DIV/0!</v>
      </c>
      <c r="N837" s="16"/>
      <c r="O837" s="16"/>
      <c r="P837" s="17"/>
      <c r="Q837" s="14"/>
    </row>
    <row r="838" spans="1:17" ht="14.25" customHeight="1">
      <c r="A838" s="15"/>
      <c r="B838" s="14"/>
      <c r="C838" s="13"/>
      <c r="D838" s="14"/>
      <c r="E838" s="15"/>
      <c r="F838" s="16"/>
      <c r="G838" s="16"/>
      <c r="H838" s="16">
        <f t="shared" si="32"/>
        <v>0</v>
      </c>
      <c r="I838" s="72"/>
      <c r="J838" s="16"/>
      <c r="K838" s="16"/>
      <c r="L838" s="16"/>
      <c r="M838" s="16" t="e">
        <f t="shared" si="33"/>
        <v>#DIV/0!</v>
      </c>
      <c r="N838" s="16"/>
      <c r="O838" s="16"/>
      <c r="P838" s="17"/>
      <c r="Q838" s="14"/>
    </row>
    <row r="839" spans="1:17" ht="14.25" customHeight="1">
      <c r="A839" s="15"/>
      <c r="B839" s="14"/>
      <c r="C839" s="13"/>
      <c r="D839" s="14"/>
      <c r="E839" s="15"/>
      <c r="F839" s="16"/>
      <c r="G839" s="16"/>
      <c r="H839" s="16">
        <f t="shared" si="32"/>
        <v>0</v>
      </c>
      <c r="I839" s="72"/>
      <c r="J839" s="16"/>
      <c r="K839" s="16"/>
      <c r="L839" s="16"/>
      <c r="M839" s="16" t="e">
        <f t="shared" si="33"/>
        <v>#DIV/0!</v>
      </c>
      <c r="N839" s="16"/>
      <c r="O839" s="16"/>
      <c r="P839" s="17"/>
      <c r="Q839" s="14"/>
    </row>
    <row r="840" spans="1:17" ht="14.25" customHeight="1">
      <c r="A840" s="15"/>
      <c r="B840" s="14"/>
      <c r="C840" s="13"/>
      <c r="D840" s="14"/>
      <c r="E840" s="15"/>
      <c r="F840" s="16"/>
      <c r="G840" s="16"/>
      <c r="H840" s="16">
        <f t="shared" si="32"/>
        <v>0</v>
      </c>
      <c r="I840" s="72"/>
      <c r="J840" s="16"/>
      <c r="K840" s="16"/>
      <c r="L840" s="16"/>
      <c r="M840" s="16" t="e">
        <f t="shared" si="33"/>
        <v>#DIV/0!</v>
      </c>
      <c r="N840" s="16"/>
      <c r="O840" s="16"/>
      <c r="P840" s="17"/>
      <c r="Q840" s="14"/>
    </row>
    <row r="841" spans="1:17" ht="14.25" customHeight="1">
      <c r="A841" s="15"/>
      <c r="B841" s="14"/>
      <c r="C841" s="13"/>
      <c r="D841" s="14"/>
      <c r="E841" s="15"/>
      <c r="F841" s="16"/>
      <c r="G841" s="16"/>
      <c r="H841" s="16">
        <f t="shared" si="32"/>
        <v>0</v>
      </c>
      <c r="I841" s="72"/>
      <c r="J841" s="16"/>
      <c r="K841" s="16"/>
      <c r="L841" s="16"/>
      <c r="M841" s="16" t="e">
        <f t="shared" si="33"/>
        <v>#DIV/0!</v>
      </c>
      <c r="N841" s="16"/>
      <c r="O841" s="16"/>
      <c r="P841" s="17"/>
      <c r="Q841" s="14"/>
    </row>
    <row r="842" spans="1:17" ht="14.25" customHeight="1">
      <c r="A842" s="15"/>
      <c r="B842" s="14"/>
      <c r="C842" s="13"/>
      <c r="D842" s="14"/>
      <c r="E842" s="15"/>
      <c r="F842" s="16"/>
      <c r="G842" s="16"/>
      <c r="H842" s="16">
        <f t="shared" si="32"/>
        <v>0</v>
      </c>
      <c r="I842" s="72"/>
      <c r="J842" s="16"/>
      <c r="K842" s="16"/>
      <c r="L842" s="16"/>
      <c r="M842" s="16" t="e">
        <f t="shared" si="33"/>
        <v>#DIV/0!</v>
      </c>
      <c r="N842" s="16"/>
      <c r="O842" s="16"/>
      <c r="P842" s="17"/>
      <c r="Q842" s="14"/>
    </row>
    <row r="843" spans="1:17" ht="14.25" customHeight="1">
      <c r="A843" s="15"/>
      <c r="B843" s="14"/>
      <c r="C843" s="13"/>
      <c r="D843" s="14"/>
      <c r="E843" s="15"/>
      <c r="F843" s="16"/>
      <c r="G843" s="16"/>
      <c r="H843" s="16">
        <f t="shared" si="32"/>
        <v>0</v>
      </c>
      <c r="I843" s="72"/>
      <c r="J843" s="16"/>
      <c r="K843" s="16"/>
      <c r="L843" s="16"/>
      <c r="M843" s="16" t="e">
        <f t="shared" si="33"/>
        <v>#DIV/0!</v>
      </c>
      <c r="N843" s="16"/>
      <c r="O843" s="16"/>
      <c r="P843" s="17"/>
      <c r="Q843" s="14"/>
    </row>
    <row r="844" spans="1:17" ht="14.25" customHeight="1">
      <c r="A844" s="15"/>
      <c r="B844" s="14"/>
      <c r="C844" s="13"/>
      <c r="D844" s="14"/>
      <c r="E844" s="15"/>
      <c r="F844" s="16"/>
      <c r="G844" s="16"/>
      <c r="H844" s="16">
        <f t="shared" si="32"/>
        <v>0</v>
      </c>
      <c r="I844" s="72"/>
      <c r="J844" s="16"/>
      <c r="K844" s="16"/>
      <c r="L844" s="16"/>
      <c r="M844" s="16" t="e">
        <f t="shared" si="33"/>
        <v>#DIV/0!</v>
      </c>
      <c r="N844" s="16"/>
      <c r="O844" s="16"/>
      <c r="P844" s="17"/>
      <c r="Q844" s="14"/>
    </row>
    <row r="845" spans="1:17" ht="14.25" customHeight="1">
      <c r="A845" s="15"/>
      <c r="B845" s="14"/>
      <c r="C845" s="13"/>
      <c r="D845" s="14"/>
      <c r="E845" s="15"/>
      <c r="F845" s="16"/>
      <c r="G845" s="16"/>
      <c r="H845" s="16">
        <f t="shared" si="32"/>
        <v>0</v>
      </c>
      <c r="I845" s="72"/>
      <c r="J845" s="16"/>
      <c r="K845" s="16"/>
      <c r="L845" s="16"/>
      <c r="M845" s="16" t="e">
        <f t="shared" si="33"/>
        <v>#DIV/0!</v>
      </c>
      <c r="N845" s="16"/>
      <c r="O845" s="16"/>
      <c r="P845" s="17"/>
      <c r="Q845" s="14"/>
    </row>
    <row r="846" spans="1:17" ht="14.25" customHeight="1">
      <c r="A846" s="15"/>
      <c r="B846" s="14"/>
      <c r="C846" s="13"/>
      <c r="D846" s="14"/>
      <c r="E846" s="15"/>
      <c r="F846" s="16"/>
      <c r="G846" s="16"/>
      <c r="H846" s="16">
        <f t="shared" si="32"/>
        <v>0</v>
      </c>
      <c r="I846" s="72"/>
      <c r="J846" s="16"/>
      <c r="K846" s="16"/>
      <c r="L846" s="16"/>
      <c r="M846" s="16" t="e">
        <f t="shared" si="33"/>
        <v>#DIV/0!</v>
      </c>
      <c r="N846" s="16"/>
      <c r="O846" s="16"/>
      <c r="P846" s="17"/>
      <c r="Q846" s="14"/>
    </row>
    <row r="847" spans="1:17" ht="14.25" customHeight="1">
      <c r="A847" s="15"/>
      <c r="B847" s="14"/>
      <c r="C847" s="13"/>
      <c r="D847" s="14"/>
      <c r="E847" s="15"/>
      <c r="F847" s="16"/>
      <c r="G847" s="16"/>
      <c r="H847" s="16">
        <f t="shared" si="32"/>
        <v>0</v>
      </c>
      <c r="I847" s="72"/>
      <c r="J847" s="16"/>
      <c r="K847" s="16"/>
      <c r="L847" s="16"/>
      <c r="M847" s="16" t="e">
        <f t="shared" si="33"/>
        <v>#DIV/0!</v>
      </c>
      <c r="N847" s="16"/>
      <c r="O847" s="16"/>
      <c r="P847" s="17"/>
      <c r="Q847" s="14"/>
    </row>
    <row r="848" spans="1:17" ht="14.25" customHeight="1">
      <c r="A848" s="15"/>
      <c r="B848" s="14"/>
      <c r="C848" s="13"/>
      <c r="D848" s="14"/>
      <c r="E848" s="15"/>
      <c r="F848" s="16"/>
      <c r="G848" s="16"/>
      <c r="H848" s="16">
        <f t="shared" si="32"/>
        <v>0</v>
      </c>
      <c r="I848" s="72"/>
      <c r="J848" s="16"/>
      <c r="K848" s="16"/>
      <c r="L848" s="16"/>
      <c r="M848" s="16" t="e">
        <f t="shared" si="33"/>
        <v>#DIV/0!</v>
      </c>
      <c r="N848" s="16"/>
      <c r="O848" s="16"/>
      <c r="P848" s="17"/>
      <c r="Q848" s="14"/>
    </row>
    <row r="849" spans="1:17" ht="14.25" customHeight="1">
      <c r="A849" s="15"/>
      <c r="B849" s="14"/>
      <c r="C849" s="13"/>
      <c r="D849" s="14"/>
      <c r="E849" s="15"/>
      <c r="F849" s="16"/>
      <c r="G849" s="16"/>
      <c r="H849" s="16">
        <f t="shared" si="32"/>
        <v>0</v>
      </c>
      <c r="I849" s="72"/>
      <c r="J849" s="16"/>
      <c r="K849" s="16"/>
      <c r="L849" s="16"/>
      <c r="M849" s="16" t="e">
        <f t="shared" si="33"/>
        <v>#DIV/0!</v>
      </c>
      <c r="N849" s="16"/>
      <c r="O849" s="16"/>
      <c r="P849" s="17"/>
      <c r="Q849" s="14"/>
    </row>
    <row r="850" spans="1:17" ht="14.25" customHeight="1">
      <c r="A850" s="15"/>
      <c r="B850" s="14"/>
      <c r="C850" s="13"/>
      <c r="D850" s="14"/>
      <c r="E850" s="15"/>
      <c r="F850" s="16"/>
      <c r="G850" s="16"/>
      <c r="H850" s="16">
        <f t="shared" si="32"/>
        <v>0</v>
      </c>
      <c r="I850" s="72"/>
      <c r="J850" s="16"/>
      <c r="K850" s="16"/>
      <c r="L850" s="16"/>
      <c r="M850" s="16" t="e">
        <f t="shared" si="33"/>
        <v>#DIV/0!</v>
      </c>
      <c r="N850" s="16"/>
      <c r="O850" s="16"/>
      <c r="P850" s="17"/>
      <c r="Q850" s="14"/>
    </row>
    <row r="851" spans="1:17" ht="14.25" customHeight="1">
      <c r="A851" s="15"/>
      <c r="B851" s="14"/>
      <c r="C851" s="13"/>
      <c r="D851" s="14"/>
      <c r="E851" s="15"/>
      <c r="F851" s="16"/>
      <c r="G851" s="16"/>
      <c r="H851" s="16">
        <f t="shared" si="32"/>
        <v>0</v>
      </c>
      <c r="I851" s="72"/>
      <c r="J851" s="16"/>
      <c r="K851" s="16"/>
      <c r="L851" s="16"/>
      <c r="M851" s="16" t="e">
        <f t="shared" si="33"/>
        <v>#DIV/0!</v>
      </c>
      <c r="N851" s="16"/>
      <c r="O851" s="16"/>
      <c r="P851" s="17"/>
      <c r="Q851" s="14"/>
    </row>
    <row r="852" spans="1:17" ht="14.25" customHeight="1">
      <c r="A852" s="15"/>
      <c r="B852" s="14"/>
      <c r="C852" s="13"/>
      <c r="D852" s="14"/>
      <c r="E852" s="15"/>
      <c r="F852" s="16"/>
      <c r="G852" s="16"/>
      <c r="H852" s="16">
        <f t="shared" si="32"/>
        <v>0</v>
      </c>
      <c r="I852" s="72"/>
      <c r="J852" s="16"/>
      <c r="K852" s="16"/>
      <c r="L852" s="16"/>
      <c r="M852" s="16" t="e">
        <f t="shared" si="33"/>
        <v>#DIV/0!</v>
      </c>
      <c r="N852" s="16"/>
      <c r="O852" s="16"/>
      <c r="P852" s="17"/>
      <c r="Q852" s="14"/>
    </row>
    <row r="853" spans="1:17" ht="14.25" customHeight="1">
      <c r="A853" s="15"/>
      <c r="B853" s="14"/>
      <c r="C853" s="13"/>
      <c r="D853" s="14"/>
      <c r="E853" s="15"/>
      <c r="F853" s="16"/>
      <c r="G853" s="16"/>
      <c r="H853" s="16">
        <f t="shared" si="32"/>
        <v>0</v>
      </c>
      <c r="I853" s="72"/>
      <c r="J853" s="16"/>
      <c r="K853" s="16"/>
      <c r="L853" s="16"/>
      <c r="M853" s="16" t="e">
        <f t="shared" si="33"/>
        <v>#DIV/0!</v>
      </c>
      <c r="N853" s="16"/>
      <c r="O853" s="16"/>
      <c r="P853" s="17"/>
      <c r="Q853" s="14"/>
    </row>
    <row r="854" spans="1:17" ht="14.25" customHeight="1">
      <c r="A854" s="15"/>
      <c r="B854" s="14"/>
      <c r="C854" s="13"/>
      <c r="D854" s="14"/>
      <c r="E854" s="15"/>
      <c r="F854" s="16"/>
      <c r="G854" s="16"/>
      <c r="H854" s="16">
        <f t="shared" si="32"/>
        <v>0</v>
      </c>
      <c r="I854" s="72"/>
      <c r="J854" s="16"/>
      <c r="K854" s="16"/>
      <c r="L854" s="16"/>
      <c r="M854" s="16" t="e">
        <f t="shared" si="33"/>
        <v>#DIV/0!</v>
      </c>
      <c r="N854" s="16"/>
      <c r="O854" s="16"/>
      <c r="P854" s="17"/>
      <c r="Q854" s="14"/>
    </row>
    <row r="855" spans="1:17" ht="14.25" customHeight="1">
      <c r="A855" s="15"/>
      <c r="B855" s="14"/>
      <c r="C855" s="13"/>
      <c r="D855" s="14"/>
      <c r="E855" s="15"/>
      <c r="F855" s="16"/>
      <c r="G855" s="16"/>
      <c r="H855" s="16">
        <f t="shared" si="32"/>
        <v>0</v>
      </c>
      <c r="I855" s="72"/>
      <c r="J855" s="16"/>
      <c r="K855" s="16"/>
      <c r="L855" s="16"/>
      <c r="M855" s="16" t="e">
        <f t="shared" si="33"/>
        <v>#DIV/0!</v>
      </c>
      <c r="N855" s="16"/>
      <c r="O855" s="16"/>
      <c r="P855" s="17"/>
      <c r="Q855" s="14"/>
    </row>
    <row r="856" spans="1:17" ht="14.25" customHeight="1">
      <c r="A856" s="15"/>
      <c r="B856" s="14"/>
      <c r="C856" s="13"/>
      <c r="D856" s="14"/>
      <c r="E856" s="15"/>
      <c r="F856" s="16"/>
      <c r="G856" s="16"/>
      <c r="H856" s="16">
        <f t="shared" si="32"/>
        <v>0</v>
      </c>
      <c r="I856" s="72"/>
      <c r="J856" s="16"/>
      <c r="K856" s="16"/>
      <c r="L856" s="16"/>
      <c r="M856" s="16" t="e">
        <f t="shared" si="33"/>
        <v>#DIV/0!</v>
      </c>
      <c r="N856" s="16"/>
      <c r="O856" s="16"/>
      <c r="P856" s="17"/>
      <c r="Q856" s="14"/>
    </row>
    <row r="857" spans="1:17" ht="14.25" customHeight="1">
      <c r="A857" s="15"/>
      <c r="B857" s="14"/>
      <c r="C857" s="13"/>
      <c r="D857" s="14"/>
      <c r="E857" s="15"/>
      <c r="F857" s="16"/>
      <c r="G857" s="16"/>
      <c r="H857" s="16">
        <f t="shared" si="32"/>
        <v>0</v>
      </c>
      <c r="I857" s="72"/>
      <c r="J857" s="16"/>
      <c r="K857" s="16"/>
      <c r="L857" s="16"/>
      <c r="M857" s="16" t="e">
        <f t="shared" si="33"/>
        <v>#DIV/0!</v>
      </c>
      <c r="N857" s="16"/>
      <c r="O857" s="16"/>
      <c r="P857" s="17"/>
      <c r="Q857" s="14"/>
    </row>
    <row r="858" spans="1:17" ht="14.25" customHeight="1">
      <c r="A858" s="15"/>
      <c r="B858" s="14"/>
      <c r="C858" s="13"/>
      <c r="D858" s="14"/>
      <c r="E858" s="15"/>
      <c r="F858" s="16"/>
      <c r="G858" s="16"/>
      <c r="H858" s="16">
        <f t="shared" si="32"/>
        <v>0</v>
      </c>
      <c r="I858" s="72"/>
      <c r="J858" s="16"/>
      <c r="K858" s="16"/>
      <c r="L858" s="16"/>
      <c r="M858" s="16" t="e">
        <f t="shared" si="33"/>
        <v>#DIV/0!</v>
      </c>
      <c r="N858" s="16"/>
      <c r="O858" s="16"/>
      <c r="P858" s="17"/>
      <c r="Q858" s="14"/>
    </row>
    <row r="859" spans="1:17" ht="14.25" customHeight="1">
      <c r="A859" s="15"/>
      <c r="B859" s="14"/>
      <c r="C859" s="13"/>
      <c r="D859" s="14"/>
      <c r="E859" s="15"/>
      <c r="F859" s="16"/>
      <c r="G859" s="16"/>
      <c r="H859" s="16">
        <f t="shared" si="32"/>
        <v>0</v>
      </c>
      <c r="I859" s="72"/>
      <c r="J859" s="16"/>
      <c r="K859" s="16"/>
      <c r="L859" s="16"/>
      <c r="M859" s="16" t="e">
        <f t="shared" si="33"/>
        <v>#DIV/0!</v>
      </c>
      <c r="N859" s="16"/>
      <c r="O859" s="16"/>
      <c r="P859" s="17"/>
      <c r="Q859" s="14"/>
    </row>
    <row r="860" spans="1:17" ht="14.25" customHeight="1">
      <c r="A860" s="15"/>
      <c r="B860" s="14"/>
      <c r="C860" s="13"/>
      <c r="D860" s="14"/>
      <c r="E860" s="15"/>
      <c r="F860" s="16"/>
      <c r="G860" s="16"/>
      <c r="H860" s="16">
        <f t="shared" ref="H860:H923" si="34">G860*F860</f>
        <v>0</v>
      </c>
      <c r="I860" s="72"/>
      <c r="J860" s="16"/>
      <c r="K860" s="16"/>
      <c r="L860" s="16"/>
      <c r="M860" s="16" t="e">
        <f t="shared" si="33"/>
        <v>#DIV/0!</v>
      </c>
      <c r="N860" s="16"/>
      <c r="O860" s="16"/>
      <c r="P860" s="17"/>
      <c r="Q860" s="14"/>
    </row>
    <row r="861" spans="1:17" ht="14.25" customHeight="1">
      <c r="A861" s="15"/>
      <c r="B861" s="14"/>
      <c r="C861" s="13"/>
      <c r="D861" s="14"/>
      <c r="E861" s="15"/>
      <c r="F861" s="16"/>
      <c r="G861" s="16"/>
      <c r="H861" s="16">
        <f t="shared" si="34"/>
        <v>0</v>
      </c>
      <c r="I861" s="72"/>
      <c r="J861" s="16"/>
      <c r="K861" s="16"/>
      <c r="L861" s="16"/>
      <c r="M861" s="16" t="e">
        <f t="shared" si="33"/>
        <v>#DIV/0!</v>
      </c>
      <c r="N861" s="16"/>
      <c r="O861" s="16"/>
      <c r="P861" s="17"/>
      <c r="Q861" s="14"/>
    </row>
    <row r="862" spans="1:17" ht="14.25" customHeight="1">
      <c r="A862" s="15"/>
      <c r="B862" s="14"/>
      <c r="C862" s="13"/>
      <c r="D862" s="14"/>
      <c r="E862" s="15"/>
      <c r="F862" s="16"/>
      <c r="G862" s="16"/>
      <c r="H862" s="16">
        <f t="shared" si="34"/>
        <v>0</v>
      </c>
      <c r="I862" s="72"/>
      <c r="J862" s="16"/>
      <c r="K862" s="16"/>
      <c r="L862" s="16"/>
      <c r="M862" s="16" t="e">
        <f t="shared" si="33"/>
        <v>#DIV/0!</v>
      </c>
      <c r="N862" s="16"/>
      <c r="O862" s="16"/>
      <c r="P862" s="17"/>
      <c r="Q862" s="14"/>
    </row>
    <row r="863" spans="1:17" ht="14.25" customHeight="1">
      <c r="A863" s="15"/>
      <c r="B863" s="14"/>
      <c r="C863" s="13"/>
      <c r="D863" s="14"/>
      <c r="E863" s="15"/>
      <c r="F863" s="16"/>
      <c r="G863" s="16"/>
      <c r="H863" s="16">
        <f t="shared" si="34"/>
        <v>0</v>
      </c>
      <c r="I863" s="72"/>
      <c r="J863" s="16"/>
      <c r="K863" s="16"/>
      <c r="L863" s="16"/>
      <c r="M863" s="16" t="e">
        <f t="shared" si="33"/>
        <v>#DIV/0!</v>
      </c>
      <c r="N863" s="16"/>
      <c r="O863" s="16"/>
      <c r="P863" s="17"/>
      <c r="Q863" s="14"/>
    </row>
    <row r="864" spans="1:17" ht="14.25" customHeight="1">
      <c r="A864" s="15"/>
      <c r="B864" s="14"/>
      <c r="C864" s="13"/>
      <c r="D864" s="14"/>
      <c r="E864" s="15"/>
      <c r="F864" s="16"/>
      <c r="G864" s="16"/>
      <c r="H864" s="16">
        <f t="shared" si="34"/>
        <v>0</v>
      </c>
      <c r="I864" s="72"/>
      <c r="J864" s="16"/>
      <c r="K864" s="16"/>
      <c r="L864" s="16"/>
      <c r="M864" s="16" t="e">
        <f t="shared" si="33"/>
        <v>#DIV/0!</v>
      </c>
      <c r="N864" s="16"/>
      <c r="O864" s="16"/>
      <c r="P864" s="17"/>
      <c r="Q864" s="14"/>
    </row>
    <row r="865" spans="1:17" ht="14.25" customHeight="1">
      <c r="A865" s="15"/>
      <c r="B865" s="14"/>
      <c r="C865" s="13"/>
      <c r="D865" s="14"/>
      <c r="E865" s="15"/>
      <c r="F865" s="16"/>
      <c r="G865" s="16"/>
      <c r="H865" s="16">
        <f t="shared" si="34"/>
        <v>0</v>
      </c>
      <c r="I865" s="72"/>
      <c r="J865" s="16"/>
      <c r="K865" s="16"/>
      <c r="L865" s="16"/>
      <c r="M865" s="16" t="e">
        <f t="shared" si="33"/>
        <v>#DIV/0!</v>
      </c>
      <c r="N865" s="16"/>
      <c r="O865" s="16"/>
      <c r="P865" s="17"/>
      <c r="Q865" s="14"/>
    </row>
    <row r="866" spans="1:17" ht="14.25" customHeight="1">
      <c r="A866" s="15"/>
      <c r="B866" s="14"/>
      <c r="C866" s="13"/>
      <c r="D866" s="14"/>
      <c r="E866" s="15"/>
      <c r="F866" s="16"/>
      <c r="G866" s="16"/>
      <c r="H866" s="16">
        <f t="shared" si="34"/>
        <v>0</v>
      </c>
      <c r="I866" s="72"/>
      <c r="J866" s="16"/>
      <c r="K866" s="16"/>
      <c r="L866" s="16"/>
      <c r="M866" s="16" t="e">
        <f t="shared" ref="M866:M929" si="35">IF(AND(K866*L866*30*O866&gt;H866/J866,I866=""),"לרכוש","לא לרכוש")</f>
        <v>#DIV/0!</v>
      </c>
      <c r="N866" s="16"/>
      <c r="O866" s="16"/>
      <c r="P866" s="17"/>
      <c r="Q866" s="14"/>
    </row>
    <row r="867" spans="1:17" ht="14.25" customHeight="1">
      <c r="A867" s="15"/>
      <c r="B867" s="14"/>
      <c r="C867" s="13"/>
      <c r="D867" s="14"/>
      <c r="E867" s="15"/>
      <c r="F867" s="16"/>
      <c r="G867" s="16"/>
      <c r="H867" s="16">
        <f t="shared" si="34"/>
        <v>0</v>
      </c>
      <c r="I867" s="72"/>
      <c r="J867" s="16"/>
      <c r="K867" s="16"/>
      <c r="L867" s="16"/>
      <c r="M867" s="16" t="e">
        <f t="shared" si="35"/>
        <v>#DIV/0!</v>
      </c>
      <c r="N867" s="16"/>
      <c r="O867" s="16"/>
      <c r="P867" s="17"/>
      <c r="Q867" s="14"/>
    </row>
    <row r="868" spans="1:17" ht="14.25" customHeight="1">
      <c r="A868" s="15"/>
      <c r="B868" s="14"/>
      <c r="C868" s="13"/>
      <c r="D868" s="14"/>
      <c r="E868" s="15"/>
      <c r="F868" s="16"/>
      <c r="G868" s="16"/>
      <c r="H868" s="16">
        <f t="shared" si="34"/>
        <v>0</v>
      </c>
      <c r="I868" s="72"/>
      <c r="J868" s="16"/>
      <c r="K868" s="16"/>
      <c r="L868" s="16"/>
      <c r="M868" s="16" t="e">
        <f t="shared" si="35"/>
        <v>#DIV/0!</v>
      </c>
      <c r="N868" s="16"/>
      <c r="O868" s="16"/>
      <c r="P868" s="17"/>
      <c r="Q868" s="14"/>
    </row>
    <row r="869" spans="1:17" ht="14.25" customHeight="1">
      <c r="A869" s="15"/>
      <c r="B869" s="14"/>
      <c r="C869" s="13"/>
      <c r="D869" s="14"/>
      <c r="E869" s="15"/>
      <c r="F869" s="16"/>
      <c r="G869" s="16"/>
      <c r="H869" s="16">
        <f t="shared" si="34"/>
        <v>0</v>
      </c>
      <c r="I869" s="72"/>
      <c r="J869" s="16"/>
      <c r="K869" s="16"/>
      <c r="L869" s="16"/>
      <c r="M869" s="16" t="e">
        <f t="shared" si="35"/>
        <v>#DIV/0!</v>
      </c>
      <c r="N869" s="16"/>
      <c r="O869" s="16"/>
      <c r="P869" s="17"/>
      <c r="Q869" s="14"/>
    </row>
    <row r="870" spans="1:17" ht="14.25" customHeight="1">
      <c r="A870" s="15"/>
      <c r="B870" s="14"/>
      <c r="C870" s="13"/>
      <c r="D870" s="14"/>
      <c r="E870" s="15"/>
      <c r="F870" s="16"/>
      <c r="G870" s="16"/>
      <c r="H870" s="16">
        <f t="shared" si="34"/>
        <v>0</v>
      </c>
      <c r="I870" s="72"/>
      <c r="J870" s="16"/>
      <c r="K870" s="16"/>
      <c r="L870" s="16"/>
      <c r="M870" s="16" t="e">
        <f t="shared" si="35"/>
        <v>#DIV/0!</v>
      </c>
      <c r="N870" s="16"/>
      <c r="O870" s="16"/>
      <c r="P870" s="17"/>
      <c r="Q870" s="14"/>
    </row>
    <row r="871" spans="1:17" ht="14.25" customHeight="1">
      <c r="A871" s="15"/>
      <c r="B871" s="14"/>
      <c r="C871" s="13"/>
      <c r="D871" s="14"/>
      <c r="E871" s="15"/>
      <c r="F871" s="16"/>
      <c r="G871" s="16"/>
      <c r="H871" s="16">
        <f t="shared" si="34"/>
        <v>0</v>
      </c>
      <c r="I871" s="72"/>
      <c r="J871" s="16"/>
      <c r="K871" s="16"/>
      <c r="L871" s="16"/>
      <c r="M871" s="16" t="e">
        <f t="shared" si="35"/>
        <v>#DIV/0!</v>
      </c>
      <c r="N871" s="16"/>
      <c r="O871" s="16"/>
      <c r="P871" s="17"/>
      <c r="Q871" s="14"/>
    </row>
    <row r="872" spans="1:17" ht="14.25" customHeight="1">
      <c r="A872" s="15"/>
      <c r="B872" s="14"/>
      <c r="C872" s="13"/>
      <c r="D872" s="14"/>
      <c r="E872" s="15"/>
      <c r="F872" s="16"/>
      <c r="G872" s="16"/>
      <c r="H872" s="16">
        <f t="shared" si="34"/>
        <v>0</v>
      </c>
      <c r="I872" s="72"/>
      <c r="J872" s="16"/>
      <c r="K872" s="16"/>
      <c r="L872" s="16"/>
      <c r="M872" s="16" t="e">
        <f t="shared" si="35"/>
        <v>#DIV/0!</v>
      </c>
      <c r="N872" s="16"/>
      <c r="O872" s="16"/>
      <c r="P872" s="17"/>
      <c r="Q872" s="14"/>
    </row>
    <row r="873" spans="1:17" ht="14.25" customHeight="1">
      <c r="A873" s="15"/>
      <c r="B873" s="14"/>
      <c r="C873" s="13"/>
      <c r="D873" s="14"/>
      <c r="E873" s="15"/>
      <c r="F873" s="16"/>
      <c r="G873" s="16"/>
      <c r="H873" s="16">
        <f t="shared" si="34"/>
        <v>0</v>
      </c>
      <c r="I873" s="72"/>
      <c r="J873" s="16"/>
      <c r="K873" s="16"/>
      <c r="L873" s="16"/>
      <c r="M873" s="16" t="e">
        <f t="shared" si="35"/>
        <v>#DIV/0!</v>
      </c>
      <c r="N873" s="16"/>
      <c r="O873" s="16"/>
      <c r="P873" s="17"/>
      <c r="Q873" s="14"/>
    </row>
    <row r="874" spans="1:17" ht="14.25" customHeight="1">
      <c r="A874" s="15"/>
      <c r="B874" s="14"/>
      <c r="C874" s="13"/>
      <c r="D874" s="14"/>
      <c r="E874" s="15"/>
      <c r="F874" s="16"/>
      <c r="G874" s="16"/>
      <c r="H874" s="16">
        <f t="shared" si="34"/>
        <v>0</v>
      </c>
      <c r="I874" s="72"/>
      <c r="J874" s="16"/>
      <c r="K874" s="16"/>
      <c r="L874" s="16"/>
      <c r="M874" s="16" t="e">
        <f t="shared" si="35"/>
        <v>#DIV/0!</v>
      </c>
      <c r="N874" s="16"/>
      <c r="O874" s="16"/>
      <c r="P874" s="17"/>
      <c r="Q874" s="14"/>
    </row>
    <row r="875" spans="1:17" ht="14.25" customHeight="1">
      <c r="A875" s="15"/>
      <c r="B875" s="14"/>
      <c r="C875" s="13"/>
      <c r="D875" s="14"/>
      <c r="E875" s="15"/>
      <c r="F875" s="16"/>
      <c r="G875" s="16"/>
      <c r="H875" s="16">
        <f t="shared" si="34"/>
        <v>0</v>
      </c>
      <c r="I875" s="72"/>
      <c r="J875" s="16"/>
      <c r="K875" s="16"/>
      <c r="L875" s="16"/>
      <c r="M875" s="16" t="e">
        <f t="shared" si="35"/>
        <v>#DIV/0!</v>
      </c>
      <c r="N875" s="16"/>
      <c r="O875" s="16"/>
      <c r="P875" s="17"/>
      <c r="Q875" s="14"/>
    </row>
    <row r="876" spans="1:17" ht="14.25" customHeight="1">
      <c r="A876" s="15"/>
      <c r="B876" s="14"/>
      <c r="C876" s="13"/>
      <c r="D876" s="14"/>
      <c r="E876" s="15"/>
      <c r="F876" s="16"/>
      <c r="G876" s="16"/>
      <c r="H876" s="16">
        <f t="shared" si="34"/>
        <v>0</v>
      </c>
      <c r="I876" s="72"/>
      <c r="J876" s="16"/>
      <c r="K876" s="16"/>
      <c r="L876" s="16"/>
      <c r="M876" s="16" t="e">
        <f t="shared" si="35"/>
        <v>#DIV/0!</v>
      </c>
      <c r="N876" s="16"/>
      <c r="O876" s="16"/>
      <c r="P876" s="17"/>
      <c r="Q876" s="14"/>
    </row>
    <row r="877" spans="1:17" ht="14.25" customHeight="1">
      <c r="A877" s="15"/>
      <c r="B877" s="14"/>
      <c r="C877" s="13"/>
      <c r="D877" s="14"/>
      <c r="E877" s="15"/>
      <c r="F877" s="16"/>
      <c r="G877" s="16"/>
      <c r="H877" s="16">
        <f t="shared" si="34"/>
        <v>0</v>
      </c>
      <c r="I877" s="72"/>
      <c r="J877" s="16"/>
      <c r="K877" s="16"/>
      <c r="L877" s="16"/>
      <c r="M877" s="16" t="e">
        <f t="shared" si="35"/>
        <v>#DIV/0!</v>
      </c>
      <c r="N877" s="16"/>
      <c r="O877" s="16"/>
      <c r="P877" s="17"/>
      <c r="Q877" s="14"/>
    </row>
    <row r="878" spans="1:17" ht="14.25" customHeight="1">
      <c r="A878" s="15"/>
      <c r="B878" s="14"/>
      <c r="C878" s="13"/>
      <c r="D878" s="14"/>
      <c r="E878" s="15"/>
      <c r="F878" s="16"/>
      <c r="G878" s="16"/>
      <c r="H878" s="16">
        <f t="shared" si="34"/>
        <v>0</v>
      </c>
      <c r="I878" s="72"/>
      <c r="J878" s="16"/>
      <c r="K878" s="16"/>
      <c r="L878" s="16"/>
      <c r="M878" s="16" t="e">
        <f t="shared" si="35"/>
        <v>#DIV/0!</v>
      </c>
      <c r="N878" s="16"/>
      <c r="O878" s="16"/>
      <c r="P878" s="17"/>
      <c r="Q878" s="14"/>
    </row>
    <row r="879" spans="1:17" ht="14.25" customHeight="1">
      <c r="A879" s="15"/>
      <c r="B879" s="14"/>
      <c r="C879" s="13"/>
      <c r="D879" s="14"/>
      <c r="E879" s="15"/>
      <c r="F879" s="16"/>
      <c r="G879" s="16"/>
      <c r="H879" s="16">
        <f t="shared" si="34"/>
        <v>0</v>
      </c>
      <c r="I879" s="72"/>
      <c r="J879" s="16"/>
      <c r="K879" s="16"/>
      <c r="L879" s="16"/>
      <c r="M879" s="16" t="e">
        <f t="shared" si="35"/>
        <v>#DIV/0!</v>
      </c>
      <c r="N879" s="16"/>
      <c r="O879" s="16"/>
      <c r="P879" s="17"/>
      <c r="Q879" s="14"/>
    </row>
    <row r="880" spans="1:17" ht="14.25" customHeight="1">
      <c r="A880" s="15"/>
      <c r="B880" s="14"/>
      <c r="C880" s="13"/>
      <c r="D880" s="14"/>
      <c r="E880" s="15"/>
      <c r="F880" s="16"/>
      <c r="G880" s="16"/>
      <c r="H880" s="16">
        <f t="shared" si="34"/>
        <v>0</v>
      </c>
      <c r="I880" s="72"/>
      <c r="J880" s="16"/>
      <c r="K880" s="16"/>
      <c r="L880" s="16"/>
      <c r="M880" s="16" t="e">
        <f t="shared" si="35"/>
        <v>#DIV/0!</v>
      </c>
      <c r="N880" s="16"/>
      <c r="O880" s="16"/>
      <c r="P880" s="17"/>
      <c r="Q880" s="14"/>
    </row>
    <row r="881" spans="1:17" ht="14.25" customHeight="1">
      <c r="A881" s="15"/>
      <c r="B881" s="14"/>
      <c r="C881" s="13"/>
      <c r="D881" s="14"/>
      <c r="E881" s="15"/>
      <c r="F881" s="16"/>
      <c r="G881" s="16"/>
      <c r="H881" s="16">
        <f t="shared" si="34"/>
        <v>0</v>
      </c>
      <c r="I881" s="72"/>
      <c r="J881" s="16"/>
      <c r="K881" s="16"/>
      <c r="L881" s="16"/>
      <c r="M881" s="16" t="e">
        <f t="shared" si="35"/>
        <v>#DIV/0!</v>
      </c>
      <c r="N881" s="16"/>
      <c r="O881" s="16"/>
      <c r="P881" s="17"/>
      <c r="Q881" s="14"/>
    </row>
    <row r="882" spans="1:17" ht="14.25" customHeight="1">
      <c r="A882" s="15"/>
      <c r="B882" s="14"/>
      <c r="C882" s="13"/>
      <c r="D882" s="14"/>
      <c r="E882" s="15"/>
      <c r="F882" s="16"/>
      <c r="G882" s="16"/>
      <c r="H882" s="16">
        <f t="shared" si="34"/>
        <v>0</v>
      </c>
      <c r="I882" s="72"/>
      <c r="J882" s="16"/>
      <c r="K882" s="16"/>
      <c r="L882" s="16"/>
      <c r="M882" s="16" t="e">
        <f t="shared" si="35"/>
        <v>#DIV/0!</v>
      </c>
      <c r="N882" s="16"/>
      <c r="O882" s="16"/>
      <c r="P882" s="17"/>
      <c r="Q882" s="14"/>
    </row>
    <row r="883" spans="1:17" ht="14.25" customHeight="1">
      <c r="A883" s="15"/>
      <c r="B883" s="14"/>
      <c r="C883" s="13"/>
      <c r="D883" s="14"/>
      <c r="E883" s="15"/>
      <c r="F883" s="16"/>
      <c r="G883" s="16"/>
      <c r="H883" s="16">
        <f t="shared" si="34"/>
        <v>0</v>
      </c>
      <c r="I883" s="72"/>
      <c r="J883" s="16"/>
      <c r="K883" s="16"/>
      <c r="L883" s="16"/>
      <c r="M883" s="16" t="e">
        <f t="shared" si="35"/>
        <v>#DIV/0!</v>
      </c>
      <c r="N883" s="16"/>
      <c r="O883" s="16"/>
      <c r="P883" s="17"/>
      <c r="Q883" s="14"/>
    </row>
    <row r="884" spans="1:17" ht="14.25" customHeight="1">
      <c r="A884" s="15"/>
      <c r="B884" s="14"/>
      <c r="C884" s="13"/>
      <c r="D884" s="14"/>
      <c r="E884" s="15"/>
      <c r="F884" s="16"/>
      <c r="G884" s="16"/>
      <c r="H884" s="16">
        <f t="shared" si="34"/>
        <v>0</v>
      </c>
      <c r="I884" s="72"/>
      <c r="J884" s="16"/>
      <c r="K884" s="16"/>
      <c r="L884" s="16"/>
      <c r="M884" s="16" t="e">
        <f t="shared" si="35"/>
        <v>#DIV/0!</v>
      </c>
      <c r="N884" s="16"/>
      <c r="O884" s="16"/>
      <c r="P884" s="17"/>
      <c r="Q884" s="14"/>
    </row>
    <row r="885" spans="1:17" ht="14.25" customHeight="1">
      <c r="A885" s="15"/>
      <c r="B885" s="14"/>
      <c r="C885" s="13"/>
      <c r="D885" s="14"/>
      <c r="E885" s="15"/>
      <c r="F885" s="16"/>
      <c r="G885" s="16"/>
      <c r="H885" s="16">
        <f t="shared" si="34"/>
        <v>0</v>
      </c>
      <c r="I885" s="72"/>
      <c r="J885" s="16"/>
      <c r="K885" s="16"/>
      <c r="L885" s="16"/>
      <c r="M885" s="16" t="e">
        <f t="shared" si="35"/>
        <v>#DIV/0!</v>
      </c>
      <c r="N885" s="16"/>
      <c r="O885" s="16"/>
      <c r="P885" s="17"/>
      <c r="Q885" s="14"/>
    </row>
    <row r="886" spans="1:17" ht="14.25" customHeight="1">
      <c r="A886" s="15"/>
      <c r="B886" s="14"/>
      <c r="C886" s="13"/>
      <c r="D886" s="14"/>
      <c r="E886" s="15"/>
      <c r="F886" s="16"/>
      <c r="G886" s="16"/>
      <c r="H886" s="16">
        <f t="shared" si="34"/>
        <v>0</v>
      </c>
      <c r="I886" s="72"/>
      <c r="J886" s="16"/>
      <c r="K886" s="16"/>
      <c r="L886" s="16"/>
      <c r="M886" s="16" t="e">
        <f t="shared" si="35"/>
        <v>#DIV/0!</v>
      </c>
      <c r="N886" s="16"/>
      <c r="O886" s="16"/>
      <c r="P886" s="17"/>
      <c r="Q886" s="14"/>
    </row>
    <row r="887" spans="1:17" ht="14.25" customHeight="1">
      <c r="A887" s="15"/>
      <c r="B887" s="14"/>
      <c r="C887" s="13"/>
      <c r="D887" s="14"/>
      <c r="E887" s="15"/>
      <c r="F887" s="16"/>
      <c r="G887" s="16"/>
      <c r="H887" s="16">
        <f t="shared" si="34"/>
        <v>0</v>
      </c>
      <c r="I887" s="72"/>
      <c r="J887" s="16"/>
      <c r="K887" s="16"/>
      <c r="L887" s="16"/>
      <c r="M887" s="16" t="e">
        <f t="shared" si="35"/>
        <v>#DIV/0!</v>
      </c>
      <c r="N887" s="16"/>
      <c r="O887" s="16"/>
      <c r="P887" s="17"/>
      <c r="Q887" s="14"/>
    </row>
    <row r="888" spans="1:17" ht="14.25" customHeight="1">
      <c r="A888" s="15"/>
      <c r="B888" s="14"/>
      <c r="C888" s="13"/>
      <c r="D888" s="14"/>
      <c r="E888" s="15"/>
      <c r="F888" s="16"/>
      <c r="G888" s="16"/>
      <c r="H888" s="16">
        <f t="shared" si="34"/>
        <v>0</v>
      </c>
      <c r="I888" s="72"/>
      <c r="J888" s="16"/>
      <c r="K888" s="16"/>
      <c r="L888" s="16"/>
      <c r="M888" s="16" t="e">
        <f t="shared" si="35"/>
        <v>#DIV/0!</v>
      </c>
      <c r="N888" s="16"/>
      <c r="O888" s="16"/>
      <c r="P888" s="17"/>
      <c r="Q888" s="14"/>
    </row>
    <row r="889" spans="1:17" ht="14.25" customHeight="1">
      <c r="A889" s="15"/>
      <c r="B889" s="14"/>
      <c r="C889" s="13"/>
      <c r="D889" s="14"/>
      <c r="E889" s="15"/>
      <c r="F889" s="16"/>
      <c r="G889" s="16"/>
      <c r="H889" s="16">
        <f t="shared" si="34"/>
        <v>0</v>
      </c>
      <c r="I889" s="72"/>
      <c r="J889" s="16"/>
      <c r="K889" s="16"/>
      <c r="L889" s="16"/>
      <c r="M889" s="16" t="e">
        <f t="shared" si="35"/>
        <v>#DIV/0!</v>
      </c>
      <c r="N889" s="16"/>
      <c r="O889" s="16"/>
      <c r="P889" s="17"/>
      <c r="Q889" s="14"/>
    </row>
    <row r="890" spans="1:17" ht="14.25" customHeight="1">
      <c r="A890" s="15"/>
      <c r="B890" s="14"/>
      <c r="C890" s="13"/>
      <c r="D890" s="14"/>
      <c r="E890" s="15"/>
      <c r="F890" s="16"/>
      <c r="G890" s="16"/>
      <c r="H890" s="16">
        <f t="shared" si="34"/>
        <v>0</v>
      </c>
      <c r="I890" s="72"/>
      <c r="J890" s="16"/>
      <c r="K890" s="16"/>
      <c r="L890" s="16"/>
      <c r="M890" s="16" t="e">
        <f t="shared" si="35"/>
        <v>#DIV/0!</v>
      </c>
      <c r="N890" s="16"/>
      <c r="O890" s="16"/>
      <c r="P890" s="17"/>
      <c r="Q890" s="14"/>
    </row>
    <row r="891" spans="1:17" ht="14.25" customHeight="1">
      <c r="A891" s="15"/>
      <c r="B891" s="14"/>
      <c r="C891" s="13"/>
      <c r="D891" s="14"/>
      <c r="E891" s="15"/>
      <c r="F891" s="16"/>
      <c r="G891" s="16"/>
      <c r="H891" s="16">
        <f t="shared" si="34"/>
        <v>0</v>
      </c>
      <c r="I891" s="72"/>
      <c r="J891" s="16"/>
      <c r="K891" s="16"/>
      <c r="L891" s="16"/>
      <c r="M891" s="16" t="e">
        <f t="shared" si="35"/>
        <v>#DIV/0!</v>
      </c>
      <c r="N891" s="16"/>
      <c r="O891" s="16"/>
      <c r="P891" s="17"/>
      <c r="Q891" s="14"/>
    </row>
    <row r="892" spans="1:17" ht="14.25" customHeight="1">
      <c r="A892" s="15"/>
      <c r="B892" s="14"/>
      <c r="C892" s="13"/>
      <c r="D892" s="14"/>
      <c r="E892" s="15"/>
      <c r="F892" s="16"/>
      <c r="G892" s="16"/>
      <c r="H892" s="16">
        <f t="shared" si="34"/>
        <v>0</v>
      </c>
      <c r="I892" s="72"/>
      <c r="J892" s="16"/>
      <c r="K892" s="16"/>
      <c r="L892" s="16"/>
      <c r="M892" s="16" t="e">
        <f t="shared" si="35"/>
        <v>#DIV/0!</v>
      </c>
      <c r="N892" s="16"/>
      <c r="O892" s="16"/>
      <c r="P892" s="17"/>
      <c r="Q892" s="14"/>
    </row>
    <row r="893" spans="1:17" ht="14.25" customHeight="1">
      <c r="A893" s="15"/>
      <c r="B893" s="14"/>
      <c r="C893" s="13"/>
      <c r="D893" s="14"/>
      <c r="E893" s="15"/>
      <c r="F893" s="16"/>
      <c r="G893" s="16"/>
      <c r="H893" s="16">
        <f t="shared" si="34"/>
        <v>0</v>
      </c>
      <c r="I893" s="72"/>
      <c r="J893" s="16"/>
      <c r="K893" s="16"/>
      <c r="L893" s="16"/>
      <c r="M893" s="16" t="e">
        <f t="shared" si="35"/>
        <v>#DIV/0!</v>
      </c>
      <c r="N893" s="16"/>
      <c r="O893" s="16"/>
      <c r="P893" s="17"/>
      <c r="Q893" s="14"/>
    </row>
    <row r="894" spans="1:17" ht="14.25" customHeight="1">
      <c r="A894" s="15"/>
      <c r="B894" s="14"/>
      <c r="C894" s="13"/>
      <c r="D894" s="14"/>
      <c r="E894" s="15"/>
      <c r="F894" s="16"/>
      <c r="G894" s="16"/>
      <c r="H894" s="16">
        <f t="shared" si="34"/>
        <v>0</v>
      </c>
      <c r="I894" s="72"/>
      <c r="J894" s="16"/>
      <c r="K894" s="16"/>
      <c r="L894" s="16"/>
      <c r="M894" s="16" t="e">
        <f t="shared" si="35"/>
        <v>#DIV/0!</v>
      </c>
      <c r="N894" s="16"/>
      <c r="O894" s="16"/>
      <c r="P894" s="17"/>
      <c r="Q894" s="14"/>
    </row>
    <row r="895" spans="1:17" ht="14.25" customHeight="1">
      <c r="A895" s="15"/>
      <c r="B895" s="14"/>
      <c r="C895" s="13"/>
      <c r="D895" s="14"/>
      <c r="E895" s="15"/>
      <c r="F895" s="16"/>
      <c r="G895" s="16"/>
      <c r="H895" s="16">
        <f t="shared" si="34"/>
        <v>0</v>
      </c>
      <c r="I895" s="72"/>
      <c r="J895" s="16"/>
      <c r="K895" s="16"/>
      <c r="L895" s="16"/>
      <c r="M895" s="16" t="e">
        <f t="shared" si="35"/>
        <v>#DIV/0!</v>
      </c>
      <c r="N895" s="16"/>
      <c r="O895" s="16"/>
      <c r="P895" s="17"/>
      <c r="Q895" s="14"/>
    </row>
    <row r="896" spans="1:17" ht="14.25" customHeight="1">
      <c r="A896" s="15"/>
      <c r="B896" s="14"/>
      <c r="C896" s="13"/>
      <c r="D896" s="14"/>
      <c r="E896" s="15"/>
      <c r="F896" s="16"/>
      <c r="G896" s="16"/>
      <c r="H896" s="16">
        <f t="shared" si="34"/>
        <v>0</v>
      </c>
      <c r="I896" s="72"/>
      <c r="J896" s="16"/>
      <c r="K896" s="16"/>
      <c r="L896" s="16"/>
      <c r="M896" s="16" t="e">
        <f t="shared" si="35"/>
        <v>#DIV/0!</v>
      </c>
      <c r="N896" s="16"/>
      <c r="O896" s="16"/>
      <c r="P896" s="17"/>
      <c r="Q896" s="14"/>
    </row>
    <row r="897" spans="1:17" ht="14.25" customHeight="1">
      <c r="A897" s="15"/>
      <c r="B897" s="14"/>
      <c r="C897" s="13"/>
      <c r="D897" s="14"/>
      <c r="E897" s="15"/>
      <c r="F897" s="16"/>
      <c r="G897" s="16"/>
      <c r="H897" s="16">
        <f t="shared" si="34"/>
        <v>0</v>
      </c>
      <c r="I897" s="72"/>
      <c r="J897" s="16"/>
      <c r="K897" s="16"/>
      <c r="L897" s="16"/>
      <c r="M897" s="16" t="e">
        <f t="shared" si="35"/>
        <v>#DIV/0!</v>
      </c>
      <c r="N897" s="16"/>
      <c r="O897" s="16"/>
      <c r="P897" s="17"/>
      <c r="Q897" s="14"/>
    </row>
    <row r="898" spans="1:17" ht="14.25" customHeight="1">
      <c r="A898" s="15"/>
      <c r="B898" s="14"/>
      <c r="C898" s="13"/>
      <c r="D898" s="14"/>
      <c r="E898" s="15"/>
      <c r="F898" s="16"/>
      <c r="G898" s="16"/>
      <c r="H898" s="16">
        <f t="shared" si="34"/>
        <v>0</v>
      </c>
      <c r="I898" s="72"/>
      <c r="J898" s="16"/>
      <c r="K898" s="16"/>
      <c r="L898" s="16"/>
      <c r="M898" s="16" t="e">
        <f t="shared" si="35"/>
        <v>#DIV/0!</v>
      </c>
      <c r="N898" s="16"/>
      <c r="O898" s="16"/>
      <c r="P898" s="17"/>
      <c r="Q898" s="14"/>
    </row>
    <row r="899" spans="1:17" ht="14.25" customHeight="1">
      <c r="A899" s="15"/>
      <c r="B899" s="14"/>
      <c r="C899" s="13"/>
      <c r="D899" s="14"/>
      <c r="E899" s="15"/>
      <c r="F899" s="16"/>
      <c r="G899" s="16"/>
      <c r="H899" s="16">
        <f t="shared" si="34"/>
        <v>0</v>
      </c>
      <c r="I899" s="72"/>
      <c r="J899" s="16"/>
      <c r="K899" s="16"/>
      <c r="L899" s="16"/>
      <c r="M899" s="16" t="e">
        <f t="shared" si="35"/>
        <v>#DIV/0!</v>
      </c>
      <c r="N899" s="16"/>
      <c r="O899" s="16"/>
      <c r="P899" s="17"/>
      <c r="Q899" s="14"/>
    </row>
    <row r="900" spans="1:17" ht="14.25" customHeight="1">
      <c r="A900" s="15"/>
      <c r="B900" s="14"/>
      <c r="C900" s="13"/>
      <c r="D900" s="14"/>
      <c r="E900" s="15"/>
      <c r="F900" s="16"/>
      <c r="G900" s="16"/>
      <c r="H900" s="16">
        <f t="shared" si="34"/>
        <v>0</v>
      </c>
      <c r="I900" s="72"/>
      <c r="J900" s="16"/>
      <c r="K900" s="16"/>
      <c r="L900" s="16"/>
      <c r="M900" s="16" t="e">
        <f t="shared" si="35"/>
        <v>#DIV/0!</v>
      </c>
      <c r="N900" s="16"/>
      <c r="O900" s="16"/>
      <c r="P900" s="17"/>
      <c r="Q900" s="14"/>
    </row>
    <row r="901" spans="1:17" ht="14.25" customHeight="1">
      <c r="A901" s="15"/>
      <c r="B901" s="14"/>
      <c r="C901" s="13"/>
      <c r="D901" s="14"/>
      <c r="E901" s="15"/>
      <c r="F901" s="16"/>
      <c r="G901" s="16"/>
      <c r="H901" s="16">
        <f t="shared" si="34"/>
        <v>0</v>
      </c>
      <c r="I901" s="72"/>
      <c r="J901" s="16"/>
      <c r="K901" s="16"/>
      <c r="L901" s="16"/>
      <c r="M901" s="16" t="e">
        <f t="shared" si="35"/>
        <v>#DIV/0!</v>
      </c>
      <c r="N901" s="16"/>
      <c r="O901" s="16"/>
      <c r="P901" s="17"/>
      <c r="Q901" s="14"/>
    </row>
    <row r="902" spans="1:17" ht="14.25" customHeight="1">
      <c r="A902" s="15"/>
      <c r="B902" s="14"/>
      <c r="C902" s="13"/>
      <c r="D902" s="14"/>
      <c r="E902" s="15"/>
      <c r="F902" s="16"/>
      <c r="G902" s="16"/>
      <c r="H902" s="16">
        <f t="shared" si="34"/>
        <v>0</v>
      </c>
      <c r="I902" s="72"/>
      <c r="J902" s="16"/>
      <c r="K902" s="16"/>
      <c r="L902" s="16"/>
      <c r="M902" s="16" t="e">
        <f t="shared" si="35"/>
        <v>#DIV/0!</v>
      </c>
      <c r="N902" s="16"/>
      <c r="O902" s="16"/>
      <c r="P902" s="17"/>
      <c r="Q902" s="14"/>
    </row>
    <row r="903" spans="1:17" ht="14.25" customHeight="1">
      <c r="A903" s="15"/>
      <c r="B903" s="14"/>
      <c r="C903" s="13"/>
      <c r="D903" s="14"/>
      <c r="E903" s="15"/>
      <c r="F903" s="16"/>
      <c r="G903" s="16"/>
      <c r="H903" s="16">
        <f t="shared" si="34"/>
        <v>0</v>
      </c>
      <c r="I903" s="72"/>
      <c r="J903" s="16"/>
      <c r="K903" s="16"/>
      <c r="L903" s="16"/>
      <c r="M903" s="16" t="e">
        <f t="shared" si="35"/>
        <v>#DIV/0!</v>
      </c>
      <c r="N903" s="16"/>
      <c r="O903" s="16"/>
      <c r="P903" s="17"/>
      <c r="Q903" s="14"/>
    </row>
    <row r="904" spans="1:17" ht="14.25" customHeight="1">
      <c r="A904" s="15"/>
      <c r="B904" s="14"/>
      <c r="C904" s="13"/>
      <c r="D904" s="14"/>
      <c r="E904" s="15"/>
      <c r="F904" s="16"/>
      <c r="G904" s="16"/>
      <c r="H904" s="16">
        <f t="shared" si="34"/>
        <v>0</v>
      </c>
      <c r="I904" s="72"/>
      <c r="J904" s="16"/>
      <c r="K904" s="16"/>
      <c r="L904" s="16"/>
      <c r="M904" s="16" t="e">
        <f t="shared" si="35"/>
        <v>#DIV/0!</v>
      </c>
      <c r="N904" s="16"/>
      <c r="O904" s="16"/>
      <c r="P904" s="17"/>
      <c r="Q904" s="14"/>
    </row>
    <row r="905" spans="1:17" ht="14.25" customHeight="1">
      <c r="A905" s="15"/>
      <c r="B905" s="14"/>
      <c r="C905" s="13"/>
      <c r="D905" s="14"/>
      <c r="E905" s="15"/>
      <c r="F905" s="16"/>
      <c r="G905" s="16"/>
      <c r="H905" s="16">
        <f t="shared" si="34"/>
        <v>0</v>
      </c>
      <c r="I905" s="72"/>
      <c r="J905" s="16"/>
      <c r="K905" s="16"/>
      <c r="L905" s="16"/>
      <c r="M905" s="16" t="e">
        <f t="shared" si="35"/>
        <v>#DIV/0!</v>
      </c>
      <c r="N905" s="16"/>
      <c r="O905" s="16"/>
      <c r="P905" s="17"/>
      <c r="Q905" s="14"/>
    </row>
    <row r="906" spans="1:17" ht="14.25" customHeight="1">
      <c r="A906" s="15"/>
      <c r="B906" s="14"/>
      <c r="C906" s="13"/>
      <c r="D906" s="14"/>
      <c r="E906" s="15"/>
      <c r="F906" s="16"/>
      <c r="G906" s="16"/>
      <c r="H906" s="16">
        <f t="shared" si="34"/>
        <v>0</v>
      </c>
      <c r="I906" s="72"/>
      <c r="J906" s="16"/>
      <c r="K906" s="16"/>
      <c r="L906" s="16"/>
      <c r="M906" s="16" t="e">
        <f t="shared" si="35"/>
        <v>#DIV/0!</v>
      </c>
      <c r="N906" s="16"/>
      <c r="O906" s="16"/>
      <c r="P906" s="17"/>
      <c r="Q906" s="14"/>
    </row>
    <row r="907" spans="1:17" ht="14.25" customHeight="1">
      <c r="A907" s="15"/>
      <c r="B907" s="14"/>
      <c r="C907" s="13"/>
      <c r="D907" s="14"/>
      <c r="E907" s="15"/>
      <c r="F907" s="16"/>
      <c r="G907" s="16"/>
      <c r="H907" s="16">
        <f t="shared" si="34"/>
        <v>0</v>
      </c>
      <c r="I907" s="72"/>
      <c r="J907" s="16"/>
      <c r="K907" s="16"/>
      <c r="L907" s="16"/>
      <c r="M907" s="16" t="e">
        <f t="shared" si="35"/>
        <v>#DIV/0!</v>
      </c>
      <c r="N907" s="16"/>
      <c r="O907" s="16"/>
      <c r="P907" s="17"/>
      <c r="Q907" s="14"/>
    </row>
    <row r="908" spans="1:17" ht="14.25" customHeight="1">
      <c r="A908" s="15"/>
      <c r="B908" s="14"/>
      <c r="C908" s="13"/>
      <c r="D908" s="14"/>
      <c r="E908" s="15"/>
      <c r="F908" s="16"/>
      <c r="G908" s="16"/>
      <c r="H908" s="16">
        <f t="shared" si="34"/>
        <v>0</v>
      </c>
      <c r="I908" s="72"/>
      <c r="J908" s="16"/>
      <c r="K908" s="16"/>
      <c r="L908" s="16"/>
      <c r="M908" s="16" t="e">
        <f t="shared" si="35"/>
        <v>#DIV/0!</v>
      </c>
      <c r="N908" s="16"/>
      <c r="O908" s="16"/>
      <c r="P908" s="17"/>
      <c r="Q908" s="14"/>
    </row>
    <row r="909" spans="1:17" ht="14.25" customHeight="1">
      <c r="A909" s="15"/>
      <c r="B909" s="14"/>
      <c r="C909" s="13"/>
      <c r="D909" s="14"/>
      <c r="E909" s="15"/>
      <c r="F909" s="16"/>
      <c r="G909" s="16"/>
      <c r="H909" s="16">
        <f t="shared" si="34"/>
        <v>0</v>
      </c>
      <c r="I909" s="72"/>
      <c r="J909" s="16"/>
      <c r="K909" s="16"/>
      <c r="L909" s="16"/>
      <c r="M909" s="16" t="e">
        <f t="shared" si="35"/>
        <v>#DIV/0!</v>
      </c>
      <c r="N909" s="16"/>
      <c r="O909" s="16"/>
      <c r="P909" s="17"/>
      <c r="Q909" s="14"/>
    </row>
    <row r="910" spans="1:17" ht="14.25" customHeight="1">
      <c r="A910" s="15"/>
      <c r="B910" s="14"/>
      <c r="C910" s="13"/>
      <c r="D910" s="14"/>
      <c r="E910" s="15"/>
      <c r="F910" s="16"/>
      <c r="G910" s="16"/>
      <c r="H910" s="16">
        <f t="shared" si="34"/>
        <v>0</v>
      </c>
      <c r="I910" s="72"/>
      <c r="J910" s="16"/>
      <c r="K910" s="16"/>
      <c r="L910" s="16"/>
      <c r="M910" s="16" t="e">
        <f t="shared" si="35"/>
        <v>#DIV/0!</v>
      </c>
      <c r="N910" s="16"/>
      <c r="O910" s="16"/>
      <c r="P910" s="17"/>
      <c r="Q910" s="14"/>
    </row>
    <row r="911" spans="1:17" ht="14.25" customHeight="1">
      <c r="A911" s="15"/>
      <c r="B911" s="14"/>
      <c r="C911" s="13"/>
      <c r="D911" s="14"/>
      <c r="E911" s="15"/>
      <c r="F911" s="16"/>
      <c r="G911" s="16"/>
      <c r="H911" s="16">
        <f t="shared" si="34"/>
        <v>0</v>
      </c>
      <c r="I911" s="72"/>
      <c r="J911" s="16"/>
      <c r="K911" s="16"/>
      <c r="L911" s="16"/>
      <c r="M911" s="16" t="e">
        <f t="shared" si="35"/>
        <v>#DIV/0!</v>
      </c>
      <c r="N911" s="16"/>
      <c r="O911" s="16"/>
      <c r="P911" s="17"/>
      <c r="Q911" s="14"/>
    </row>
    <row r="912" spans="1:17" ht="14.25" customHeight="1">
      <c r="A912" s="15"/>
      <c r="B912" s="14"/>
      <c r="C912" s="13"/>
      <c r="D912" s="14"/>
      <c r="E912" s="15"/>
      <c r="F912" s="16"/>
      <c r="G912" s="16"/>
      <c r="H912" s="16">
        <f t="shared" si="34"/>
        <v>0</v>
      </c>
      <c r="I912" s="72"/>
      <c r="J912" s="16"/>
      <c r="K912" s="16"/>
      <c r="L912" s="16"/>
      <c r="M912" s="16" t="e">
        <f t="shared" si="35"/>
        <v>#DIV/0!</v>
      </c>
      <c r="N912" s="16"/>
      <c r="O912" s="16"/>
      <c r="P912" s="17"/>
      <c r="Q912" s="14"/>
    </row>
    <row r="913" spans="1:17" ht="14.25" customHeight="1">
      <c r="A913" s="15"/>
      <c r="B913" s="14"/>
      <c r="C913" s="13"/>
      <c r="D913" s="14"/>
      <c r="E913" s="15"/>
      <c r="F913" s="16"/>
      <c r="G913" s="16"/>
      <c r="H913" s="16">
        <f t="shared" si="34"/>
        <v>0</v>
      </c>
      <c r="I913" s="72"/>
      <c r="J913" s="16"/>
      <c r="K913" s="16"/>
      <c r="L913" s="16"/>
      <c r="M913" s="16" t="e">
        <f t="shared" si="35"/>
        <v>#DIV/0!</v>
      </c>
      <c r="N913" s="16"/>
      <c r="O913" s="16"/>
      <c r="P913" s="17"/>
      <c r="Q913" s="14"/>
    </row>
    <row r="914" spans="1:17" ht="14.25" customHeight="1">
      <c r="A914" s="15"/>
      <c r="B914" s="14"/>
      <c r="C914" s="13"/>
      <c r="D914" s="14"/>
      <c r="E914" s="15"/>
      <c r="F914" s="16"/>
      <c r="G914" s="16"/>
      <c r="H914" s="16">
        <f t="shared" si="34"/>
        <v>0</v>
      </c>
      <c r="I914" s="72"/>
      <c r="J914" s="16"/>
      <c r="K914" s="16"/>
      <c r="L914" s="16"/>
      <c r="M914" s="16" t="e">
        <f t="shared" si="35"/>
        <v>#DIV/0!</v>
      </c>
      <c r="N914" s="16"/>
      <c r="O914" s="16"/>
      <c r="P914" s="17"/>
      <c r="Q914" s="14"/>
    </row>
    <row r="915" spans="1:17" ht="14.25" customHeight="1">
      <c r="A915" s="15"/>
      <c r="B915" s="14"/>
      <c r="C915" s="13"/>
      <c r="D915" s="14"/>
      <c r="E915" s="15"/>
      <c r="F915" s="16"/>
      <c r="G915" s="16"/>
      <c r="H915" s="16">
        <f t="shared" si="34"/>
        <v>0</v>
      </c>
      <c r="I915" s="72"/>
      <c r="J915" s="16"/>
      <c r="K915" s="16"/>
      <c r="L915" s="16"/>
      <c r="M915" s="16" t="e">
        <f t="shared" si="35"/>
        <v>#DIV/0!</v>
      </c>
      <c r="N915" s="16"/>
      <c r="O915" s="16"/>
      <c r="P915" s="17"/>
      <c r="Q915" s="14"/>
    </row>
    <row r="916" spans="1:17" ht="14.25" customHeight="1">
      <c r="A916" s="15"/>
      <c r="B916" s="14"/>
      <c r="C916" s="13"/>
      <c r="D916" s="14"/>
      <c r="E916" s="15"/>
      <c r="F916" s="16"/>
      <c r="G916" s="16"/>
      <c r="H916" s="16">
        <f t="shared" si="34"/>
        <v>0</v>
      </c>
      <c r="I916" s="72"/>
      <c r="J916" s="16"/>
      <c r="K916" s="16"/>
      <c r="L916" s="16"/>
      <c r="M916" s="16" t="e">
        <f t="shared" si="35"/>
        <v>#DIV/0!</v>
      </c>
      <c r="N916" s="16"/>
      <c r="O916" s="16"/>
      <c r="P916" s="17"/>
      <c r="Q916" s="14"/>
    </row>
    <row r="917" spans="1:17" ht="14.25" customHeight="1">
      <c r="A917" s="15"/>
      <c r="B917" s="14"/>
      <c r="C917" s="13"/>
      <c r="D917" s="14"/>
      <c r="E917" s="15"/>
      <c r="F917" s="16"/>
      <c r="G917" s="16"/>
      <c r="H917" s="16">
        <f t="shared" si="34"/>
        <v>0</v>
      </c>
      <c r="I917" s="72"/>
      <c r="J917" s="16"/>
      <c r="K917" s="16"/>
      <c r="L917" s="16"/>
      <c r="M917" s="16" t="e">
        <f t="shared" si="35"/>
        <v>#DIV/0!</v>
      </c>
      <c r="N917" s="16"/>
      <c r="O917" s="16"/>
      <c r="P917" s="17"/>
      <c r="Q917" s="14"/>
    </row>
    <row r="918" spans="1:17" ht="14.25" customHeight="1">
      <c r="A918" s="15"/>
      <c r="B918" s="14"/>
      <c r="C918" s="13"/>
      <c r="D918" s="14"/>
      <c r="E918" s="15"/>
      <c r="F918" s="16"/>
      <c r="G918" s="16"/>
      <c r="H918" s="16">
        <f t="shared" si="34"/>
        <v>0</v>
      </c>
      <c r="I918" s="72"/>
      <c r="J918" s="16"/>
      <c r="K918" s="16"/>
      <c r="L918" s="16"/>
      <c r="M918" s="16" t="e">
        <f t="shared" si="35"/>
        <v>#DIV/0!</v>
      </c>
      <c r="N918" s="16"/>
      <c r="O918" s="16"/>
      <c r="P918" s="17"/>
      <c r="Q918" s="14"/>
    </row>
    <row r="919" spans="1:17" ht="14.25" customHeight="1">
      <c r="A919" s="15"/>
      <c r="B919" s="14"/>
      <c r="C919" s="13"/>
      <c r="D919" s="14"/>
      <c r="E919" s="15"/>
      <c r="F919" s="16"/>
      <c r="G919" s="16"/>
      <c r="H919" s="16">
        <f t="shared" si="34"/>
        <v>0</v>
      </c>
      <c r="I919" s="72"/>
      <c r="J919" s="16"/>
      <c r="K919" s="16"/>
      <c r="L919" s="16"/>
      <c r="M919" s="16" t="e">
        <f t="shared" si="35"/>
        <v>#DIV/0!</v>
      </c>
      <c r="N919" s="16"/>
      <c r="O919" s="16"/>
      <c r="P919" s="17"/>
      <c r="Q919" s="14"/>
    </row>
    <row r="920" spans="1:17" ht="14.25" customHeight="1">
      <c r="A920" s="15"/>
      <c r="B920" s="14"/>
      <c r="C920" s="13"/>
      <c r="D920" s="14"/>
      <c r="E920" s="15"/>
      <c r="F920" s="16"/>
      <c r="G920" s="16"/>
      <c r="H920" s="16">
        <f t="shared" si="34"/>
        <v>0</v>
      </c>
      <c r="I920" s="72"/>
      <c r="J920" s="16"/>
      <c r="K920" s="16"/>
      <c r="L920" s="16"/>
      <c r="M920" s="16" t="e">
        <f t="shared" si="35"/>
        <v>#DIV/0!</v>
      </c>
      <c r="N920" s="16"/>
      <c r="O920" s="16"/>
      <c r="P920" s="17"/>
      <c r="Q920" s="14"/>
    </row>
    <row r="921" spans="1:17" ht="14.25" customHeight="1">
      <c r="A921" s="15"/>
      <c r="B921" s="14"/>
      <c r="C921" s="13"/>
      <c r="D921" s="14"/>
      <c r="E921" s="15"/>
      <c r="F921" s="16"/>
      <c r="G921" s="16"/>
      <c r="H921" s="16">
        <f t="shared" si="34"/>
        <v>0</v>
      </c>
      <c r="I921" s="72"/>
      <c r="J921" s="16"/>
      <c r="K921" s="16"/>
      <c r="L921" s="16"/>
      <c r="M921" s="16" t="e">
        <f t="shared" si="35"/>
        <v>#DIV/0!</v>
      </c>
      <c r="N921" s="16"/>
      <c r="O921" s="16"/>
      <c r="P921" s="17"/>
      <c r="Q921" s="14"/>
    </row>
    <row r="922" spans="1:17" ht="14.25" customHeight="1">
      <c r="A922" s="15"/>
      <c r="B922" s="14"/>
      <c r="C922" s="13"/>
      <c r="D922" s="14"/>
      <c r="E922" s="15"/>
      <c r="F922" s="16"/>
      <c r="G922" s="16"/>
      <c r="H922" s="16">
        <f t="shared" si="34"/>
        <v>0</v>
      </c>
      <c r="I922" s="72"/>
      <c r="J922" s="16"/>
      <c r="K922" s="16"/>
      <c r="L922" s="16"/>
      <c r="M922" s="16" t="e">
        <f t="shared" si="35"/>
        <v>#DIV/0!</v>
      </c>
      <c r="N922" s="16"/>
      <c r="O922" s="16"/>
      <c r="P922" s="17"/>
      <c r="Q922" s="14"/>
    </row>
    <row r="923" spans="1:17" ht="14.25" customHeight="1">
      <c r="A923" s="15"/>
      <c r="B923" s="14"/>
      <c r="C923" s="13"/>
      <c r="D923" s="14"/>
      <c r="E923" s="15"/>
      <c r="F923" s="16"/>
      <c r="G923" s="16"/>
      <c r="H923" s="16">
        <f t="shared" si="34"/>
        <v>0</v>
      </c>
      <c r="I923" s="72"/>
      <c r="J923" s="16"/>
      <c r="K923" s="16"/>
      <c r="L923" s="16"/>
      <c r="M923" s="16" t="e">
        <f t="shared" si="35"/>
        <v>#DIV/0!</v>
      </c>
      <c r="N923" s="16"/>
      <c r="O923" s="16"/>
      <c r="P923" s="17"/>
      <c r="Q923" s="14"/>
    </row>
    <row r="924" spans="1:17" ht="14.25" customHeight="1">
      <c r="A924" s="15"/>
      <c r="B924" s="14"/>
      <c r="C924" s="13"/>
      <c r="D924" s="14"/>
      <c r="E924" s="15"/>
      <c r="F924" s="16"/>
      <c r="G924" s="16"/>
      <c r="H924" s="16">
        <f t="shared" ref="H924:H983" si="36">G924*F924</f>
        <v>0</v>
      </c>
      <c r="I924" s="72"/>
      <c r="J924" s="16"/>
      <c r="K924" s="16"/>
      <c r="L924" s="16"/>
      <c r="M924" s="16" t="e">
        <f t="shared" si="35"/>
        <v>#DIV/0!</v>
      </c>
      <c r="N924" s="16"/>
      <c r="O924" s="16"/>
      <c r="P924" s="17"/>
      <c r="Q924" s="14"/>
    </row>
    <row r="925" spans="1:17" ht="14.25" customHeight="1">
      <c r="A925" s="15"/>
      <c r="B925" s="14"/>
      <c r="C925" s="13"/>
      <c r="D925" s="14"/>
      <c r="E925" s="15"/>
      <c r="F925" s="16"/>
      <c r="G925" s="16"/>
      <c r="H925" s="16">
        <f t="shared" si="36"/>
        <v>0</v>
      </c>
      <c r="I925" s="72"/>
      <c r="J925" s="16"/>
      <c r="K925" s="16"/>
      <c r="L925" s="16"/>
      <c r="M925" s="16" t="e">
        <f t="shared" si="35"/>
        <v>#DIV/0!</v>
      </c>
      <c r="N925" s="16"/>
      <c r="O925" s="16"/>
      <c r="P925" s="17"/>
      <c r="Q925" s="14"/>
    </row>
    <row r="926" spans="1:17" ht="14.25" customHeight="1">
      <c r="A926" s="15"/>
      <c r="B926" s="14"/>
      <c r="C926" s="13"/>
      <c r="D926" s="14"/>
      <c r="E926" s="15"/>
      <c r="F926" s="16"/>
      <c r="G926" s="16"/>
      <c r="H926" s="16">
        <f t="shared" si="36"/>
        <v>0</v>
      </c>
      <c r="I926" s="72"/>
      <c r="J926" s="16"/>
      <c r="K926" s="16"/>
      <c r="L926" s="16"/>
      <c r="M926" s="16" t="e">
        <f t="shared" si="35"/>
        <v>#DIV/0!</v>
      </c>
      <c r="N926" s="16"/>
      <c r="O926" s="16"/>
      <c r="P926" s="17"/>
      <c r="Q926" s="14"/>
    </row>
    <row r="927" spans="1:17" ht="14.25" customHeight="1">
      <c r="A927" s="15"/>
      <c r="B927" s="14"/>
      <c r="C927" s="13"/>
      <c r="D927" s="14"/>
      <c r="E927" s="15"/>
      <c r="F927" s="16"/>
      <c r="G927" s="16"/>
      <c r="H927" s="16">
        <f t="shared" si="36"/>
        <v>0</v>
      </c>
      <c r="I927" s="72"/>
      <c r="J927" s="16"/>
      <c r="K927" s="16"/>
      <c r="L927" s="16"/>
      <c r="M927" s="16" t="e">
        <f t="shared" si="35"/>
        <v>#DIV/0!</v>
      </c>
      <c r="N927" s="16"/>
      <c r="O927" s="16"/>
      <c r="P927" s="17"/>
      <c r="Q927" s="14"/>
    </row>
    <row r="928" spans="1:17" ht="14.25" customHeight="1">
      <c r="A928" s="15"/>
      <c r="B928" s="14"/>
      <c r="C928" s="13"/>
      <c r="D928" s="14"/>
      <c r="E928" s="15"/>
      <c r="F928" s="16"/>
      <c r="G928" s="16"/>
      <c r="H928" s="16">
        <f t="shared" si="36"/>
        <v>0</v>
      </c>
      <c r="I928" s="72"/>
      <c r="J928" s="16"/>
      <c r="K928" s="16"/>
      <c r="L928" s="16"/>
      <c r="M928" s="16" t="e">
        <f t="shared" si="35"/>
        <v>#DIV/0!</v>
      </c>
      <c r="N928" s="16"/>
      <c r="O928" s="16"/>
      <c r="P928" s="17"/>
      <c r="Q928" s="14"/>
    </row>
    <row r="929" spans="1:17" ht="14.25" customHeight="1">
      <c r="A929" s="15"/>
      <c r="B929" s="14"/>
      <c r="C929" s="13"/>
      <c r="D929" s="14"/>
      <c r="E929" s="15"/>
      <c r="F929" s="16"/>
      <c r="G929" s="16"/>
      <c r="H929" s="16">
        <f t="shared" si="36"/>
        <v>0</v>
      </c>
      <c r="I929" s="72"/>
      <c r="J929" s="16"/>
      <c r="K929" s="16"/>
      <c r="L929" s="16"/>
      <c r="M929" s="16" t="e">
        <f t="shared" si="35"/>
        <v>#DIV/0!</v>
      </c>
      <c r="N929" s="16"/>
      <c r="O929" s="16"/>
      <c r="P929" s="17"/>
      <c r="Q929" s="14"/>
    </row>
    <row r="930" spans="1:17" ht="14.25" customHeight="1">
      <c r="A930" s="15"/>
      <c r="B930" s="14"/>
      <c r="C930" s="13"/>
      <c r="D930" s="14"/>
      <c r="E930" s="15"/>
      <c r="F930" s="16"/>
      <c r="G930" s="16"/>
      <c r="H930" s="16">
        <f t="shared" si="36"/>
        <v>0</v>
      </c>
      <c r="I930" s="72"/>
      <c r="J930" s="16"/>
      <c r="K930" s="16"/>
      <c r="L930" s="16"/>
      <c r="M930" s="16" t="e">
        <f t="shared" ref="M930:M983" si="37">IF(AND(K930*L930*30*O930&gt;H930/J930,I930=""),"לרכוש","לא לרכוש")</f>
        <v>#DIV/0!</v>
      </c>
      <c r="N930" s="16"/>
      <c r="O930" s="16"/>
      <c r="P930" s="17"/>
      <c r="Q930" s="14"/>
    </row>
    <row r="931" spans="1:17" ht="14.25" customHeight="1">
      <c r="A931" s="15"/>
      <c r="B931" s="14"/>
      <c r="C931" s="13"/>
      <c r="D931" s="14"/>
      <c r="E931" s="15"/>
      <c r="F931" s="16"/>
      <c r="G931" s="16"/>
      <c r="H931" s="16">
        <f t="shared" si="36"/>
        <v>0</v>
      </c>
      <c r="I931" s="72"/>
      <c r="J931" s="16"/>
      <c r="K931" s="16"/>
      <c r="L931" s="16"/>
      <c r="M931" s="16" t="e">
        <f t="shared" si="37"/>
        <v>#DIV/0!</v>
      </c>
      <c r="N931" s="16"/>
      <c r="O931" s="16"/>
      <c r="P931" s="17"/>
      <c r="Q931" s="14"/>
    </row>
    <row r="932" spans="1:17" ht="14.25" customHeight="1">
      <c r="A932" s="15"/>
      <c r="B932" s="14"/>
      <c r="C932" s="13"/>
      <c r="D932" s="14"/>
      <c r="E932" s="15"/>
      <c r="F932" s="16"/>
      <c r="G932" s="16"/>
      <c r="H932" s="16">
        <f t="shared" si="36"/>
        <v>0</v>
      </c>
      <c r="I932" s="72"/>
      <c r="J932" s="16"/>
      <c r="K932" s="16"/>
      <c r="L932" s="16"/>
      <c r="M932" s="16" t="e">
        <f t="shared" si="37"/>
        <v>#DIV/0!</v>
      </c>
      <c r="N932" s="16"/>
      <c r="O932" s="16"/>
      <c r="P932" s="17"/>
      <c r="Q932" s="14"/>
    </row>
    <row r="933" spans="1:17" ht="14.25" customHeight="1">
      <c r="A933" s="15"/>
      <c r="B933" s="14"/>
      <c r="C933" s="13"/>
      <c r="D933" s="14"/>
      <c r="E933" s="15"/>
      <c r="F933" s="16"/>
      <c r="G933" s="16"/>
      <c r="H933" s="16">
        <f t="shared" si="36"/>
        <v>0</v>
      </c>
      <c r="I933" s="72"/>
      <c r="J933" s="16"/>
      <c r="K933" s="16"/>
      <c r="L933" s="16"/>
      <c r="M933" s="16" t="e">
        <f t="shared" si="37"/>
        <v>#DIV/0!</v>
      </c>
      <c r="N933" s="16"/>
      <c r="O933" s="16"/>
      <c r="P933" s="17"/>
      <c r="Q933" s="14"/>
    </row>
    <row r="934" spans="1:17" ht="14.25" customHeight="1">
      <c r="A934" s="15"/>
      <c r="B934" s="14"/>
      <c r="C934" s="13"/>
      <c r="D934" s="14"/>
      <c r="E934" s="15"/>
      <c r="F934" s="16"/>
      <c r="G934" s="16"/>
      <c r="H934" s="16">
        <f t="shared" si="36"/>
        <v>0</v>
      </c>
      <c r="I934" s="72"/>
      <c r="J934" s="16"/>
      <c r="K934" s="16"/>
      <c r="L934" s="16"/>
      <c r="M934" s="16" t="e">
        <f t="shared" si="37"/>
        <v>#DIV/0!</v>
      </c>
      <c r="N934" s="16"/>
      <c r="O934" s="16"/>
      <c r="P934" s="17"/>
      <c r="Q934" s="14"/>
    </row>
    <row r="935" spans="1:17" ht="14.25" customHeight="1">
      <c r="A935" s="15"/>
      <c r="B935" s="14"/>
      <c r="C935" s="13"/>
      <c r="D935" s="14"/>
      <c r="E935" s="15"/>
      <c r="F935" s="16"/>
      <c r="G935" s="16"/>
      <c r="H935" s="16">
        <f t="shared" si="36"/>
        <v>0</v>
      </c>
      <c r="I935" s="72"/>
      <c r="J935" s="16"/>
      <c r="K935" s="16"/>
      <c r="L935" s="16"/>
      <c r="M935" s="16" t="e">
        <f t="shared" si="37"/>
        <v>#DIV/0!</v>
      </c>
      <c r="N935" s="16"/>
      <c r="O935" s="16"/>
      <c r="P935" s="17"/>
      <c r="Q935" s="14"/>
    </row>
    <row r="936" spans="1:17" ht="14.25" customHeight="1">
      <c r="A936" s="15"/>
      <c r="B936" s="14"/>
      <c r="C936" s="13"/>
      <c r="D936" s="14"/>
      <c r="E936" s="15"/>
      <c r="F936" s="16"/>
      <c r="G936" s="16"/>
      <c r="H936" s="16">
        <f t="shared" si="36"/>
        <v>0</v>
      </c>
      <c r="I936" s="72"/>
      <c r="J936" s="16"/>
      <c r="K936" s="16"/>
      <c r="L936" s="16"/>
      <c r="M936" s="16" t="e">
        <f t="shared" si="37"/>
        <v>#DIV/0!</v>
      </c>
      <c r="N936" s="16"/>
      <c r="O936" s="16"/>
      <c r="P936" s="17"/>
      <c r="Q936" s="14"/>
    </row>
    <row r="937" spans="1:17" ht="14.25" customHeight="1">
      <c r="A937" s="15"/>
      <c r="B937" s="14"/>
      <c r="C937" s="13"/>
      <c r="D937" s="14"/>
      <c r="E937" s="15"/>
      <c r="F937" s="16"/>
      <c r="G937" s="16"/>
      <c r="H937" s="16">
        <f t="shared" si="36"/>
        <v>0</v>
      </c>
      <c r="I937" s="72"/>
      <c r="J937" s="16"/>
      <c r="K937" s="16"/>
      <c r="L937" s="16"/>
      <c r="M937" s="16" t="e">
        <f t="shared" si="37"/>
        <v>#DIV/0!</v>
      </c>
      <c r="N937" s="16"/>
      <c r="O937" s="16"/>
      <c r="P937" s="17"/>
      <c r="Q937" s="14"/>
    </row>
    <row r="938" spans="1:17" ht="14.25" customHeight="1">
      <c r="A938" s="15"/>
      <c r="B938" s="14"/>
      <c r="C938" s="13"/>
      <c r="D938" s="14"/>
      <c r="E938" s="15"/>
      <c r="F938" s="16"/>
      <c r="G938" s="16"/>
      <c r="H938" s="16">
        <f t="shared" si="36"/>
        <v>0</v>
      </c>
      <c r="I938" s="72"/>
      <c r="J938" s="16"/>
      <c r="K938" s="16"/>
      <c r="L938" s="16"/>
      <c r="M938" s="16" t="e">
        <f t="shared" si="37"/>
        <v>#DIV/0!</v>
      </c>
      <c r="N938" s="16"/>
      <c r="O938" s="16"/>
      <c r="P938" s="17"/>
      <c r="Q938" s="14"/>
    </row>
    <row r="939" spans="1:17" ht="14.25" customHeight="1">
      <c r="A939" s="15"/>
      <c r="B939" s="14"/>
      <c r="C939" s="13"/>
      <c r="D939" s="14"/>
      <c r="E939" s="15"/>
      <c r="F939" s="16"/>
      <c r="G939" s="16"/>
      <c r="H939" s="16">
        <f t="shared" si="36"/>
        <v>0</v>
      </c>
      <c r="I939" s="72"/>
      <c r="J939" s="16"/>
      <c r="K939" s="16"/>
      <c r="L939" s="16"/>
      <c r="M939" s="16" t="e">
        <f t="shared" si="37"/>
        <v>#DIV/0!</v>
      </c>
      <c r="N939" s="16"/>
      <c r="O939" s="16"/>
      <c r="P939" s="17"/>
      <c r="Q939" s="14"/>
    </row>
    <row r="940" spans="1:17" ht="14.25" customHeight="1">
      <c r="A940" s="15"/>
      <c r="B940" s="14"/>
      <c r="C940" s="13"/>
      <c r="D940" s="14"/>
      <c r="E940" s="15"/>
      <c r="F940" s="16"/>
      <c r="G940" s="16"/>
      <c r="H940" s="16">
        <f t="shared" si="36"/>
        <v>0</v>
      </c>
      <c r="I940" s="72"/>
      <c r="J940" s="16"/>
      <c r="K940" s="16"/>
      <c r="L940" s="16"/>
      <c r="M940" s="16" t="e">
        <f t="shared" si="37"/>
        <v>#DIV/0!</v>
      </c>
      <c r="N940" s="16"/>
      <c r="O940" s="16"/>
      <c r="P940" s="17"/>
      <c r="Q940" s="14"/>
    </row>
    <row r="941" spans="1:17" ht="14.25" customHeight="1">
      <c r="A941" s="15"/>
      <c r="B941" s="14"/>
      <c r="C941" s="13"/>
      <c r="D941" s="14"/>
      <c r="E941" s="15"/>
      <c r="F941" s="16"/>
      <c r="G941" s="16"/>
      <c r="H941" s="16">
        <f t="shared" si="36"/>
        <v>0</v>
      </c>
      <c r="I941" s="72"/>
      <c r="J941" s="16"/>
      <c r="K941" s="16"/>
      <c r="L941" s="16"/>
      <c r="M941" s="16" t="e">
        <f t="shared" si="37"/>
        <v>#DIV/0!</v>
      </c>
      <c r="N941" s="16"/>
      <c r="O941" s="16"/>
      <c r="P941" s="17"/>
      <c r="Q941" s="14"/>
    </row>
    <row r="942" spans="1:17" ht="14.25" customHeight="1">
      <c r="A942" s="15"/>
      <c r="B942" s="14"/>
      <c r="C942" s="13"/>
      <c r="D942" s="14"/>
      <c r="E942" s="15"/>
      <c r="F942" s="16"/>
      <c r="G942" s="16"/>
      <c r="H942" s="16">
        <f t="shared" si="36"/>
        <v>0</v>
      </c>
      <c r="I942" s="72"/>
      <c r="J942" s="16"/>
      <c r="K942" s="16"/>
      <c r="L942" s="16"/>
      <c r="M942" s="16" t="e">
        <f t="shared" si="37"/>
        <v>#DIV/0!</v>
      </c>
      <c r="N942" s="16"/>
      <c r="O942" s="16"/>
      <c r="P942" s="17"/>
      <c r="Q942" s="14"/>
    </row>
    <row r="943" spans="1:17" ht="14.25" customHeight="1">
      <c r="A943" s="15"/>
      <c r="B943" s="14"/>
      <c r="C943" s="13"/>
      <c r="D943" s="14"/>
      <c r="E943" s="15"/>
      <c r="F943" s="16"/>
      <c r="G943" s="16"/>
      <c r="H943" s="16">
        <f t="shared" si="36"/>
        <v>0</v>
      </c>
      <c r="I943" s="72"/>
      <c r="J943" s="16"/>
      <c r="K943" s="16"/>
      <c r="L943" s="16"/>
      <c r="M943" s="16" t="e">
        <f t="shared" si="37"/>
        <v>#DIV/0!</v>
      </c>
      <c r="N943" s="16"/>
      <c r="O943" s="16"/>
      <c r="P943" s="17"/>
      <c r="Q943" s="14"/>
    </row>
    <row r="944" spans="1:17" ht="14.25" customHeight="1">
      <c r="A944" s="15"/>
      <c r="B944" s="14"/>
      <c r="C944" s="13"/>
      <c r="D944" s="14"/>
      <c r="E944" s="15"/>
      <c r="F944" s="16"/>
      <c r="G944" s="16"/>
      <c r="H944" s="16">
        <f t="shared" si="36"/>
        <v>0</v>
      </c>
      <c r="I944" s="72"/>
      <c r="J944" s="16"/>
      <c r="K944" s="16"/>
      <c r="L944" s="16"/>
      <c r="M944" s="16" t="e">
        <f t="shared" si="37"/>
        <v>#DIV/0!</v>
      </c>
      <c r="N944" s="16"/>
      <c r="O944" s="16"/>
      <c r="P944" s="17"/>
      <c r="Q944" s="14"/>
    </row>
    <row r="945" spans="1:17" ht="14.25" customHeight="1">
      <c r="A945" s="15"/>
      <c r="B945" s="14"/>
      <c r="C945" s="13"/>
      <c r="D945" s="14"/>
      <c r="E945" s="15"/>
      <c r="F945" s="16"/>
      <c r="G945" s="16"/>
      <c r="H945" s="16">
        <f t="shared" si="36"/>
        <v>0</v>
      </c>
      <c r="I945" s="72"/>
      <c r="J945" s="16"/>
      <c r="K945" s="16"/>
      <c r="L945" s="16"/>
      <c r="M945" s="16" t="e">
        <f t="shared" si="37"/>
        <v>#DIV/0!</v>
      </c>
      <c r="N945" s="16"/>
      <c r="O945" s="16"/>
      <c r="P945" s="17"/>
      <c r="Q945" s="14"/>
    </row>
    <row r="946" spans="1:17" ht="14.25" customHeight="1">
      <c r="A946" s="15"/>
      <c r="B946" s="14"/>
      <c r="C946" s="13"/>
      <c r="D946" s="14"/>
      <c r="E946" s="15"/>
      <c r="F946" s="16"/>
      <c r="G946" s="16"/>
      <c r="H946" s="16">
        <f t="shared" si="36"/>
        <v>0</v>
      </c>
      <c r="I946" s="72"/>
      <c r="J946" s="16"/>
      <c r="K946" s="16"/>
      <c r="L946" s="16"/>
      <c r="M946" s="16" t="e">
        <f t="shared" si="37"/>
        <v>#DIV/0!</v>
      </c>
      <c r="N946" s="16"/>
      <c r="O946" s="16"/>
      <c r="P946" s="17"/>
      <c r="Q946" s="14"/>
    </row>
    <row r="947" spans="1:17" ht="14.25" customHeight="1">
      <c r="A947" s="15"/>
      <c r="B947" s="14"/>
      <c r="C947" s="13"/>
      <c r="D947" s="14"/>
      <c r="E947" s="15"/>
      <c r="F947" s="16"/>
      <c r="G947" s="16"/>
      <c r="H947" s="16">
        <f t="shared" si="36"/>
        <v>0</v>
      </c>
      <c r="I947" s="72"/>
      <c r="J947" s="16"/>
      <c r="K947" s="16"/>
      <c r="L947" s="16"/>
      <c r="M947" s="16" t="e">
        <f t="shared" si="37"/>
        <v>#DIV/0!</v>
      </c>
      <c r="N947" s="16"/>
      <c r="O947" s="16"/>
      <c r="P947" s="17"/>
      <c r="Q947" s="14"/>
    </row>
    <row r="948" spans="1:17" ht="14.25" customHeight="1">
      <c r="A948" s="15"/>
      <c r="B948" s="14"/>
      <c r="C948" s="13"/>
      <c r="D948" s="14"/>
      <c r="E948" s="15"/>
      <c r="F948" s="16"/>
      <c r="G948" s="16"/>
      <c r="H948" s="16">
        <f t="shared" si="36"/>
        <v>0</v>
      </c>
      <c r="I948" s="72"/>
      <c r="J948" s="16"/>
      <c r="K948" s="16"/>
      <c r="L948" s="16"/>
      <c r="M948" s="16" t="e">
        <f t="shared" si="37"/>
        <v>#DIV/0!</v>
      </c>
      <c r="N948" s="16"/>
      <c r="O948" s="16"/>
      <c r="P948" s="17"/>
      <c r="Q948" s="14"/>
    </row>
    <row r="949" spans="1:17" ht="14.25" customHeight="1">
      <c r="A949" s="15"/>
      <c r="B949" s="14"/>
      <c r="C949" s="13"/>
      <c r="D949" s="14"/>
      <c r="E949" s="15"/>
      <c r="F949" s="16"/>
      <c r="G949" s="16"/>
      <c r="H949" s="16">
        <f t="shared" si="36"/>
        <v>0</v>
      </c>
      <c r="I949" s="72"/>
      <c r="J949" s="16"/>
      <c r="K949" s="16"/>
      <c r="L949" s="16"/>
      <c r="M949" s="16" t="e">
        <f t="shared" si="37"/>
        <v>#DIV/0!</v>
      </c>
      <c r="N949" s="16"/>
      <c r="O949" s="16"/>
      <c r="P949" s="17"/>
      <c r="Q949" s="14"/>
    </row>
    <row r="950" spans="1:17" ht="14.25" customHeight="1">
      <c r="A950" s="15"/>
      <c r="B950" s="14"/>
      <c r="C950" s="13"/>
      <c r="D950" s="14"/>
      <c r="E950" s="15"/>
      <c r="F950" s="16"/>
      <c r="G950" s="16"/>
      <c r="H950" s="16">
        <f t="shared" si="36"/>
        <v>0</v>
      </c>
      <c r="I950" s="72"/>
      <c r="J950" s="16"/>
      <c r="K950" s="16"/>
      <c r="L950" s="16"/>
      <c r="M950" s="16" t="e">
        <f t="shared" si="37"/>
        <v>#DIV/0!</v>
      </c>
      <c r="N950" s="16"/>
      <c r="O950" s="16"/>
      <c r="P950" s="17"/>
      <c r="Q950" s="14"/>
    </row>
    <row r="951" spans="1:17" ht="14.25" customHeight="1">
      <c r="A951" s="15"/>
      <c r="B951" s="14"/>
      <c r="C951" s="13"/>
      <c r="D951" s="14"/>
      <c r="E951" s="15"/>
      <c r="F951" s="16"/>
      <c r="G951" s="16"/>
      <c r="H951" s="16">
        <f t="shared" si="36"/>
        <v>0</v>
      </c>
      <c r="I951" s="72"/>
      <c r="J951" s="16"/>
      <c r="K951" s="16"/>
      <c r="L951" s="16"/>
      <c r="M951" s="16" t="e">
        <f t="shared" si="37"/>
        <v>#DIV/0!</v>
      </c>
      <c r="N951" s="16"/>
      <c r="O951" s="16"/>
      <c r="P951" s="17"/>
      <c r="Q951" s="14"/>
    </row>
    <row r="952" spans="1:17" ht="14.25" customHeight="1">
      <c r="A952" s="15"/>
      <c r="B952" s="14"/>
      <c r="C952" s="13"/>
      <c r="D952" s="14"/>
      <c r="E952" s="15"/>
      <c r="F952" s="16"/>
      <c r="G952" s="16"/>
      <c r="H952" s="16">
        <f t="shared" si="36"/>
        <v>0</v>
      </c>
      <c r="I952" s="72"/>
      <c r="J952" s="16"/>
      <c r="K952" s="16"/>
      <c r="L952" s="16"/>
      <c r="M952" s="16" t="e">
        <f t="shared" si="37"/>
        <v>#DIV/0!</v>
      </c>
      <c r="N952" s="16"/>
      <c r="O952" s="16"/>
      <c r="P952" s="17"/>
      <c r="Q952" s="14"/>
    </row>
    <row r="953" spans="1:17" ht="14.25" customHeight="1">
      <c r="A953" s="15"/>
      <c r="B953" s="14"/>
      <c r="C953" s="13"/>
      <c r="D953" s="14"/>
      <c r="E953" s="15"/>
      <c r="F953" s="16"/>
      <c r="G953" s="16"/>
      <c r="H953" s="16">
        <f t="shared" si="36"/>
        <v>0</v>
      </c>
      <c r="I953" s="72"/>
      <c r="J953" s="16"/>
      <c r="K953" s="16"/>
      <c r="L953" s="16"/>
      <c r="M953" s="16" t="e">
        <f t="shared" si="37"/>
        <v>#DIV/0!</v>
      </c>
      <c r="N953" s="16"/>
      <c r="O953" s="16"/>
      <c r="P953" s="17"/>
      <c r="Q953" s="14"/>
    </row>
    <row r="954" spans="1:17" ht="14.25" customHeight="1">
      <c r="A954" s="15"/>
      <c r="B954" s="14"/>
      <c r="C954" s="13"/>
      <c r="D954" s="14"/>
      <c r="E954" s="15"/>
      <c r="F954" s="16"/>
      <c r="G954" s="16"/>
      <c r="H954" s="16">
        <f t="shared" si="36"/>
        <v>0</v>
      </c>
      <c r="I954" s="72"/>
      <c r="J954" s="16"/>
      <c r="K954" s="16"/>
      <c r="L954" s="16"/>
      <c r="M954" s="16" t="e">
        <f t="shared" si="37"/>
        <v>#DIV/0!</v>
      </c>
      <c r="N954" s="16"/>
      <c r="O954" s="16"/>
      <c r="P954" s="17"/>
      <c r="Q954" s="14"/>
    </row>
    <row r="955" spans="1:17" ht="14.25" customHeight="1">
      <c r="A955" s="15"/>
      <c r="B955" s="14"/>
      <c r="C955" s="13"/>
      <c r="D955" s="14"/>
      <c r="E955" s="15"/>
      <c r="F955" s="16"/>
      <c r="G955" s="16"/>
      <c r="H955" s="16">
        <f t="shared" si="36"/>
        <v>0</v>
      </c>
      <c r="I955" s="72"/>
      <c r="J955" s="16"/>
      <c r="K955" s="16"/>
      <c r="L955" s="16"/>
      <c r="M955" s="16" t="e">
        <f t="shared" si="37"/>
        <v>#DIV/0!</v>
      </c>
      <c r="N955" s="16"/>
      <c r="O955" s="16"/>
      <c r="P955" s="17"/>
      <c r="Q955" s="14"/>
    </row>
    <row r="956" spans="1:17" ht="14.25" customHeight="1">
      <c r="A956" s="15"/>
      <c r="B956" s="14"/>
      <c r="C956" s="13"/>
      <c r="D956" s="14"/>
      <c r="E956" s="15"/>
      <c r="F956" s="16"/>
      <c r="G956" s="16"/>
      <c r="H956" s="16">
        <f t="shared" si="36"/>
        <v>0</v>
      </c>
      <c r="I956" s="72"/>
      <c r="J956" s="16"/>
      <c r="K956" s="16"/>
      <c r="L956" s="16"/>
      <c r="M956" s="16" t="e">
        <f t="shared" si="37"/>
        <v>#DIV/0!</v>
      </c>
      <c r="N956" s="16"/>
      <c r="O956" s="16"/>
      <c r="P956" s="17"/>
      <c r="Q956" s="14"/>
    </row>
    <row r="957" spans="1:17" ht="14.25" customHeight="1">
      <c r="A957" s="15"/>
      <c r="B957" s="14"/>
      <c r="C957" s="13"/>
      <c r="D957" s="14"/>
      <c r="E957" s="15"/>
      <c r="F957" s="16"/>
      <c r="G957" s="16"/>
      <c r="H957" s="16">
        <f t="shared" si="36"/>
        <v>0</v>
      </c>
      <c r="I957" s="72"/>
      <c r="J957" s="16"/>
      <c r="K957" s="16"/>
      <c r="L957" s="16"/>
      <c r="M957" s="16" t="e">
        <f t="shared" si="37"/>
        <v>#DIV/0!</v>
      </c>
      <c r="N957" s="16"/>
      <c r="O957" s="16"/>
      <c r="P957" s="17"/>
      <c r="Q957" s="14"/>
    </row>
    <row r="958" spans="1:17" ht="14.25" customHeight="1">
      <c r="A958" s="15"/>
      <c r="B958" s="14"/>
      <c r="C958" s="13"/>
      <c r="D958" s="14"/>
      <c r="E958" s="15"/>
      <c r="F958" s="16"/>
      <c r="G958" s="16"/>
      <c r="H958" s="16">
        <f t="shared" si="36"/>
        <v>0</v>
      </c>
      <c r="I958" s="72"/>
      <c r="J958" s="16"/>
      <c r="K958" s="16"/>
      <c r="L958" s="16"/>
      <c r="M958" s="16" t="e">
        <f t="shared" si="37"/>
        <v>#DIV/0!</v>
      </c>
      <c r="N958" s="16"/>
      <c r="O958" s="16"/>
      <c r="P958" s="17"/>
      <c r="Q958" s="14"/>
    </row>
    <row r="959" spans="1:17" ht="14.25" customHeight="1">
      <c r="A959" s="15"/>
      <c r="B959" s="14"/>
      <c r="C959" s="13"/>
      <c r="D959" s="14"/>
      <c r="E959" s="15"/>
      <c r="F959" s="16"/>
      <c r="G959" s="16"/>
      <c r="H959" s="16">
        <f t="shared" si="36"/>
        <v>0</v>
      </c>
      <c r="I959" s="72"/>
      <c r="J959" s="16"/>
      <c r="K959" s="16"/>
      <c r="L959" s="16"/>
      <c r="M959" s="16" t="e">
        <f t="shared" si="37"/>
        <v>#DIV/0!</v>
      </c>
      <c r="N959" s="16"/>
      <c r="O959" s="16"/>
      <c r="P959" s="17"/>
      <c r="Q959" s="14"/>
    </row>
    <row r="960" spans="1:17" ht="14.25" customHeight="1">
      <c r="A960" s="15"/>
      <c r="B960" s="14"/>
      <c r="C960" s="13"/>
      <c r="D960" s="14"/>
      <c r="E960" s="15"/>
      <c r="F960" s="16"/>
      <c r="G960" s="16"/>
      <c r="H960" s="16">
        <f t="shared" si="36"/>
        <v>0</v>
      </c>
      <c r="I960" s="72"/>
      <c r="J960" s="16"/>
      <c r="K960" s="16"/>
      <c r="L960" s="16"/>
      <c r="M960" s="16" t="e">
        <f t="shared" si="37"/>
        <v>#DIV/0!</v>
      </c>
      <c r="N960" s="16"/>
      <c r="O960" s="16"/>
      <c r="P960" s="17"/>
      <c r="Q960" s="14"/>
    </row>
    <row r="961" spans="1:17" ht="14.25" customHeight="1">
      <c r="A961" s="15"/>
      <c r="B961" s="14"/>
      <c r="C961" s="13"/>
      <c r="D961" s="14"/>
      <c r="E961" s="15"/>
      <c r="F961" s="16"/>
      <c r="G961" s="16"/>
      <c r="H961" s="16">
        <f t="shared" si="36"/>
        <v>0</v>
      </c>
      <c r="I961" s="72"/>
      <c r="J961" s="16"/>
      <c r="K961" s="16"/>
      <c r="L961" s="16"/>
      <c r="M961" s="16" t="e">
        <f t="shared" si="37"/>
        <v>#DIV/0!</v>
      </c>
      <c r="N961" s="16"/>
      <c r="O961" s="16"/>
      <c r="P961" s="17"/>
      <c r="Q961" s="14"/>
    </row>
    <row r="962" spans="1:17" ht="14.25" customHeight="1">
      <c r="A962" s="15"/>
      <c r="B962" s="14"/>
      <c r="C962" s="13"/>
      <c r="D962" s="14"/>
      <c r="E962" s="15"/>
      <c r="F962" s="16"/>
      <c r="G962" s="16"/>
      <c r="H962" s="16">
        <f t="shared" si="36"/>
        <v>0</v>
      </c>
      <c r="I962" s="72"/>
      <c r="J962" s="16"/>
      <c r="K962" s="16"/>
      <c r="L962" s="16"/>
      <c r="M962" s="16" t="e">
        <f t="shared" si="37"/>
        <v>#DIV/0!</v>
      </c>
      <c r="N962" s="16"/>
      <c r="O962" s="16"/>
      <c r="P962" s="17"/>
      <c r="Q962" s="14"/>
    </row>
    <row r="963" spans="1:17" ht="14.25" customHeight="1">
      <c r="A963" s="15"/>
      <c r="B963" s="14"/>
      <c r="C963" s="13"/>
      <c r="D963" s="14"/>
      <c r="E963" s="15"/>
      <c r="F963" s="16"/>
      <c r="G963" s="16"/>
      <c r="H963" s="16">
        <f t="shared" si="36"/>
        <v>0</v>
      </c>
      <c r="I963" s="72"/>
      <c r="J963" s="16"/>
      <c r="K963" s="16"/>
      <c r="L963" s="16"/>
      <c r="M963" s="16" t="e">
        <f t="shared" si="37"/>
        <v>#DIV/0!</v>
      </c>
      <c r="N963" s="16"/>
      <c r="O963" s="16"/>
      <c r="P963" s="17"/>
      <c r="Q963" s="14"/>
    </row>
    <row r="964" spans="1:17" ht="14.25" customHeight="1">
      <c r="A964" s="15"/>
      <c r="B964" s="14"/>
      <c r="C964" s="13"/>
      <c r="D964" s="14"/>
      <c r="E964" s="15"/>
      <c r="F964" s="16"/>
      <c r="G964" s="16"/>
      <c r="H964" s="16">
        <f t="shared" si="36"/>
        <v>0</v>
      </c>
      <c r="I964" s="72"/>
      <c r="J964" s="16"/>
      <c r="K964" s="16"/>
      <c r="L964" s="16"/>
      <c r="M964" s="16" t="e">
        <f t="shared" si="37"/>
        <v>#DIV/0!</v>
      </c>
      <c r="N964" s="16"/>
      <c r="O964" s="16"/>
      <c r="P964" s="17"/>
      <c r="Q964" s="14"/>
    </row>
    <row r="965" spans="1:17" ht="14.25" customHeight="1">
      <c r="A965" s="15"/>
      <c r="B965" s="14"/>
      <c r="C965" s="13"/>
      <c r="D965" s="14"/>
      <c r="E965" s="15"/>
      <c r="F965" s="16"/>
      <c r="G965" s="16"/>
      <c r="H965" s="16">
        <f t="shared" si="36"/>
        <v>0</v>
      </c>
      <c r="I965" s="72"/>
      <c r="J965" s="16"/>
      <c r="K965" s="16"/>
      <c r="L965" s="16"/>
      <c r="M965" s="16" t="e">
        <f t="shared" si="37"/>
        <v>#DIV/0!</v>
      </c>
      <c r="N965" s="16"/>
      <c r="O965" s="16"/>
      <c r="P965" s="17"/>
      <c r="Q965" s="14"/>
    </row>
    <row r="966" spans="1:17" ht="14.25" customHeight="1">
      <c r="A966" s="15"/>
      <c r="B966" s="14"/>
      <c r="C966" s="13"/>
      <c r="D966" s="14"/>
      <c r="E966" s="15"/>
      <c r="F966" s="16"/>
      <c r="G966" s="16"/>
      <c r="H966" s="16">
        <f t="shared" si="36"/>
        <v>0</v>
      </c>
      <c r="I966" s="72"/>
      <c r="J966" s="16"/>
      <c r="K966" s="16"/>
      <c r="L966" s="16"/>
      <c r="M966" s="16" t="e">
        <f t="shared" si="37"/>
        <v>#DIV/0!</v>
      </c>
      <c r="N966" s="16"/>
      <c r="O966" s="16"/>
      <c r="P966" s="17"/>
      <c r="Q966" s="14"/>
    </row>
    <row r="967" spans="1:17" ht="14.25" customHeight="1">
      <c r="A967" s="15"/>
      <c r="B967" s="14"/>
      <c r="C967" s="13"/>
      <c r="D967" s="14"/>
      <c r="E967" s="15"/>
      <c r="F967" s="16"/>
      <c r="G967" s="16"/>
      <c r="H967" s="16">
        <f t="shared" si="36"/>
        <v>0</v>
      </c>
      <c r="I967" s="72"/>
      <c r="J967" s="16"/>
      <c r="K967" s="16"/>
      <c r="L967" s="16"/>
      <c r="M967" s="16" t="e">
        <f t="shared" si="37"/>
        <v>#DIV/0!</v>
      </c>
      <c r="N967" s="16"/>
      <c r="O967" s="16"/>
      <c r="P967" s="17"/>
      <c r="Q967" s="14"/>
    </row>
    <row r="968" spans="1:17" ht="14.25" customHeight="1">
      <c r="A968" s="15"/>
      <c r="B968" s="14"/>
      <c r="C968" s="13"/>
      <c r="D968" s="14"/>
      <c r="E968" s="15"/>
      <c r="F968" s="16"/>
      <c r="G968" s="16"/>
      <c r="H968" s="16">
        <f t="shared" si="36"/>
        <v>0</v>
      </c>
      <c r="I968" s="72"/>
      <c r="J968" s="16"/>
      <c r="K968" s="16"/>
      <c r="L968" s="16"/>
      <c r="M968" s="16" t="e">
        <f t="shared" si="37"/>
        <v>#DIV/0!</v>
      </c>
      <c r="N968" s="16"/>
      <c r="O968" s="16"/>
      <c r="P968" s="17"/>
      <c r="Q968" s="14"/>
    </row>
    <row r="969" spans="1:17" ht="14.25" customHeight="1">
      <c r="A969" s="15"/>
      <c r="B969" s="14"/>
      <c r="C969" s="13"/>
      <c r="D969" s="14"/>
      <c r="E969" s="15"/>
      <c r="F969" s="16"/>
      <c r="G969" s="16"/>
      <c r="H969" s="16">
        <f t="shared" si="36"/>
        <v>0</v>
      </c>
      <c r="I969" s="72"/>
      <c r="J969" s="16"/>
      <c r="K969" s="16"/>
      <c r="L969" s="16"/>
      <c r="M969" s="16" t="e">
        <f t="shared" si="37"/>
        <v>#DIV/0!</v>
      </c>
      <c r="N969" s="16"/>
      <c r="O969" s="16"/>
      <c r="P969" s="17"/>
      <c r="Q969" s="14"/>
    </row>
    <row r="970" spans="1:17" ht="14.25" customHeight="1">
      <c r="A970" s="15"/>
      <c r="B970" s="14"/>
      <c r="C970" s="13"/>
      <c r="D970" s="14"/>
      <c r="E970" s="15"/>
      <c r="F970" s="16"/>
      <c r="G970" s="16"/>
      <c r="H970" s="16">
        <f t="shared" si="36"/>
        <v>0</v>
      </c>
      <c r="I970" s="72"/>
      <c r="J970" s="16"/>
      <c r="K970" s="16"/>
      <c r="L970" s="16"/>
      <c r="M970" s="16" t="e">
        <f t="shared" si="37"/>
        <v>#DIV/0!</v>
      </c>
      <c r="N970" s="16"/>
      <c r="O970" s="16"/>
      <c r="P970" s="17"/>
      <c r="Q970" s="14"/>
    </row>
    <row r="971" spans="1:17" ht="14.25" customHeight="1">
      <c r="A971" s="15"/>
      <c r="B971" s="14"/>
      <c r="C971" s="13"/>
      <c r="D971" s="14"/>
      <c r="E971" s="15"/>
      <c r="F971" s="16"/>
      <c r="G971" s="16"/>
      <c r="H971" s="16">
        <f t="shared" si="36"/>
        <v>0</v>
      </c>
      <c r="I971" s="72"/>
      <c r="J971" s="16"/>
      <c r="K971" s="16"/>
      <c r="L971" s="16"/>
      <c r="M971" s="16" t="e">
        <f t="shared" si="37"/>
        <v>#DIV/0!</v>
      </c>
      <c r="N971" s="16"/>
      <c r="O971" s="16"/>
      <c r="P971" s="17"/>
      <c r="Q971" s="14"/>
    </row>
    <row r="972" spans="1:17" ht="14.25" customHeight="1">
      <c r="A972" s="15"/>
      <c r="B972" s="14"/>
      <c r="C972" s="13"/>
      <c r="D972" s="14"/>
      <c r="E972" s="15"/>
      <c r="F972" s="16"/>
      <c r="G972" s="16"/>
      <c r="H972" s="16">
        <f t="shared" si="36"/>
        <v>0</v>
      </c>
      <c r="I972" s="72"/>
      <c r="J972" s="16"/>
      <c r="K972" s="16"/>
      <c r="L972" s="16"/>
      <c r="M972" s="16" t="e">
        <f t="shared" si="37"/>
        <v>#DIV/0!</v>
      </c>
      <c r="N972" s="16"/>
      <c r="O972" s="16"/>
      <c r="P972" s="17"/>
      <c r="Q972" s="14"/>
    </row>
    <row r="973" spans="1:17" ht="14.25" customHeight="1">
      <c r="A973" s="15"/>
      <c r="B973" s="14"/>
      <c r="C973" s="13"/>
      <c r="D973" s="14"/>
      <c r="E973" s="15"/>
      <c r="F973" s="16"/>
      <c r="G973" s="16"/>
      <c r="H973" s="16">
        <f t="shared" si="36"/>
        <v>0</v>
      </c>
      <c r="I973" s="72"/>
      <c r="J973" s="16"/>
      <c r="K973" s="16"/>
      <c r="L973" s="16"/>
      <c r="M973" s="16" t="e">
        <f t="shared" si="37"/>
        <v>#DIV/0!</v>
      </c>
      <c r="N973" s="16"/>
      <c r="O973" s="16"/>
      <c r="P973" s="17"/>
      <c r="Q973" s="14"/>
    </row>
    <row r="974" spans="1:17" ht="14.25" customHeight="1">
      <c r="A974" s="15"/>
      <c r="B974" s="14"/>
      <c r="C974" s="13"/>
      <c r="D974" s="14"/>
      <c r="E974" s="15"/>
      <c r="F974" s="16"/>
      <c r="G974" s="16"/>
      <c r="H974" s="16">
        <f t="shared" si="36"/>
        <v>0</v>
      </c>
      <c r="I974" s="72"/>
      <c r="J974" s="16"/>
      <c r="K974" s="16"/>
      <c r="L974" s="16"/>
      <c r="M974" s="16" t="e">
        <f t="shared" si="37"/>
        <v>#DIV/0!</v>
      </c>
      <c r="N974" s="16"/>
      <c r="O974" s="16"/>
      <c r="P974" s="17"/>
      <c r="Q974" s="14"/>
    </row>
    <row r="975" spans="1:17" ht="14.25" customHeight="1">
      <c r="A975" s="15"/>
      <c r="B975" s="14"/>
      <c r="C975" s="13"/>
      <c r="D975" s="14"/>
      <c r="E975" s="15"/>
      <c r="F975" s="16"/>
      <c r="G975" s="16"/>
      <c r="H975" s="16">
        <f t="shared" si="36"/>
        <v>0</v>
      </c>
      <c r="I975" s="72"/>
      <c r="J975" s="16"/>
      <c r="K975" s="16"/>
      <c r="L975" s="16"/>
      <c r="M975" s="16" t="e">
        <f t="shared" si="37"/>
        <v>#DIV/0!</v>
      </c>
      <c r="N975" s="16"/>
      <c r="O975" s="16"/>
      <c r="P975" s="17"/>
      <c r="Q975" s="14"/>
    </row>
    <row r="976" spans="1:17" ht="14.25" customHeight="1">
      <c r="A976" s="15"/>
      <c r="B976" s="14"/>
      <c r="C976" s="13"/>
      <c r="D976" s="14"/>
      <c r="E976" s="15"/>
      <c r="F976" s="16"/>
      <c r="G976" s="16"/>
      <c r="H976" s="16">
        <f t="shared" si="36"/>
        <v>0</v>
      </c>
      <c r="I976" s="72"/>
      <c r="J976" s="16"/>
      <c r="K976" s="16"/>
      <c r="L976" s="16"/>
      <c r="M976" s="16" t="e">
        <f t="shared" si="37"/>
        <v>#DIV/0!</v>
      </c>
      <c r="N976" s="16"/>
      <c r="O976" s="16"/>
      <c r="P976" s="17"/>
      <c r="Q976" s="14"/>
    </row>
    <row r="977" spans="1:17" ht="14.25" customHeight="1">
      <c r="A977" s="15"/>
      <c r="B977" s="14"/>
      <c r="C977" s="13"/>
      <c r="D977" s="14"/>
      <c r="E977" s="15"/>
      <c r="F977" s="16"/>
      <c r="G977" s="16"/>
      <c r="H977" s="16">
        <f t="shared" si="36"/>
        <v>0</v>
      </c>
      <c r="I977" s="72"/>
      <c r="J977" s="16"/>
      <c r="K977" s="16"/>
      <c r="L977" s="16"/>
      <c r="M977" s="16" t="e">
        <f t="shared" si="37"/>
        <v>#DIV/0!</v>
      </c>
      <c r="N977" s="16"/>
      <c r="O977" s="16"/>
      <c r="P977" s="17"/>
      <c r="Q977" s="14"/>
    </row>
    <row r="978" spans="1:17" ht="14.25" customHeight="1">
      <c r="A978" s="15"/>
      <c r="B978" s="14"/>
      <c r="C978" s="13"/>
      <c r="D978" s="14"/>
      <c r="E978" s="15"/>
      <c r="F978" s="16"/>
      <c r="G978" s="16"/>
      <c r="H978" s="16">
        <f t="shared" si="36"/>
        <v>0</v>
      </c>
      <c r="I978" s="72"/>
      <c r="J978" s="16"/>
      <c r="K978" s="16"/>
      <c r="L978" s="16"/>
      <c r="M978" s="16" t="e">
        <f t="shared" si="37"/>
        <v>#DIV/0!</v>
      </c>
      <c r="N978" s="16"/>
      <c r="O978" s="16"/>
      <c r="P978" s="17"/>
      <c r="Q978" s="14"/>
    </row>
    <row r="979" spans="1:17" ht="14.25" customHeight="1">
      <c r="A979" s="15"/>
      <c r="B979" s="14"/>
      <c r="C979" s="13"/>
      <c r="D979" s="14"/>
      <c r="E979" s="15"/>
      <c r="F979" s="16"/>
      <c r="G979" s="16"/>
      <c r="H979" s="16">
        <f t="shared" si="36"/>
        <v>0</v>
      </c>
      <c r="I979" s="72"/>
      <c r="J979" s="16"/>
      <c r="K979" s="16"/>
      <c r="L979" s="16"/>
      <c r="M979" s="16" t="e">
        <f t="shared" si="37"/>
        <v>#DIV/0!</v>
      </c>
      <c r="N979" s="16"/>
      <c r="O979" s="16"/>
      <c r="P979" s="17"/>
      <c r="Q979" s="14"/>
    </row>
    <row r="980" spans="1:17" ht="14.25" customHeight="1">
      <c r="A980" s="15"/>
      <c r="B980" s="14"/>
      <c r="C980" s="13"/>
      <c r="D980" s="14"/>
      <c r="E980" s="15"/>
      <c r="F980" s="16"/>
      <c r="G980" s="16"/>
      <c r="H980" s="16">
        <f t="shared" si="36"/>
        <v>0</v>
      </c>
      <c r="I980" s="72"/>
      <c r="J980" s="16"/>
      <c r="K980" s="16"/>
      <c r="L980" s="16"/>
      <c r="M980" s="16" t="e">
        <f t="shared" si="37"/>
        <v>#DIV/0!</v>
      </c>
      <c r="N980" s="16"/>
      <c r="O980" s="16"/>
      <c r="P980" s="17"/>
      <c r="Q980" s="14"/>
    </row>
    <row r="981" spans="1:17" ht="14.25" customHeight="1">
      <c r="A981" s="15"/>
      <c r="B981" s="14"/>
      <c r="C981" s="13"/>
      <c r="D981" s="14"/>
      <c r="E981" s="15"/>
      <c r="F981" s="16"/>
      <c r="G981" s="16"/>
      <c r="H981" s="16">
        <f t="shared" si="36"/>
        <v>0</v>
      </c>
      <c r="I981" s="72"/>
      <c r="J981" s="16"/>
      <c r="K981" s="16"/>
      <c r="L981" s="16"/>
      <c r="M981" s="16" t="e">
        <f t="shared" si="37"/>
        <v>#DIV/0!</v>
      </c>
      <c r="N981" s="16"/>
      <c r="O981" s="16"/>
      <c r="P981" s="17"/>
      <c r="Q981" s="14"/>
    </row>
    <row r="982" spans="1:17" ht="14.25" customHeight="1">
      <c r="A982" s="15"/>
      <c r="B982" s="14"/>
      <c r="C982" s="13"/>
      <c r="D982" s="14"/>
      <c r="E982" s="15"/>
      <c r="F982" s="16"/>
      <c r="G982" s="16"/>
      <c r="H982" s="16">
        <f t="shared" si="36"/>
        <v>0</v>
      </c>
      <c r="I982" s="72"/>
      <c r="J982" s="16"/>
      <c r="K982" s="16"/>
      <c r="L982" s="16"/>
      <c r="M982" s="16" t="e">
        <f t="shared" si="37"/>
        <v>#DIV/0!</v>
      </c>
      <c r="N982" s="16"/>
      <c r="O982" s="16"/>
      <c r="P982" s="17"/>
      <c r="Q982" s="14"/>
    </row>
    <row r="983" spans="1:17" ht="14.25" customHeight="1">
      <c r="A983" s="15"/>
      <c r="B983" s="14"/>
      <c r="C983" s="13"/>
      <c r="D983" s="14"/>
      <c r="E983" s="15"/>
      <c r="F983" s="16"/>
      <c r="G983" s="16"/>
      <c r="H983" s="16">
        <f t="shared" si="36"/>
        <v>0</v>
      </c>
      <c r="I983" s="72"/>
      <c r="J983" s="16"/>
      <c r="K983" s="16"/>
      <c r="L983" s="16"/>
      <c r="M983" s="16" t="e">
        <f t="shared" si="37"/>
        <v>#DIV/0!</v>
      </c>
      <c r="N983" s="16"/>
      <c r="O983" s="16"/>
      <c r="P983" s="17"/>
      <c r="Q983" s="14"/>
    </row>
    <row r="984" spans="1:17" ht="14.25" customHeight="1">
      <c r="A984" s="80"/>
      <c r="B984" s="84"/>
      <c r="C984" s="84"/>
      <c r="D984" s="84"/>
      <c r="E984" s="91"/>
      <c r="F984" s="84"/>
      <c r="G984" s="84"/>
      <c r="H984" s="84"/>
      <c r="I984" s="91"/>
      <c r="J984" s="84"/>
      <c r="K984" s="91"/>
      <c r="L984" s="91"/>
      <c r="M984" s="84"/>
      <c r="N984" s="84"/>
      <c r="O984" s="91"/>
      <c r="P984" s="91"/>
      <c r="Q984" s="91"/>
    </row>
    <row r="985" spans="1:17" ht="14.25" customHeight="1">
      <c r="E985" s="20"/>
      <c r="P985" s="1"/>
      <c r="Q985" s="1"/>
    </row>
    <row r="986" spans="1:17" ht="14.25" customHeight="1">
      <c r="E986" s="20"/>
      <c r="P986" s="1"/>
      <c r="Q986" s="1"/>
    </row>
    <row r="987" spans="1:17" ht="14.25" customHeight="1">
      <c r="E987" s="20"/>
    </row>
    <row r="988" spans="1:17" ht="14.25" customHeight="1"/>
    <row r="989" spans="1:17">
      <c r="H989" s="79">
        <f>SUBTOTAL(9,H10:H988)</f>
        <v>1064840</v>
      </c>
    </row>
    <row r="990" spans="1:17">
      <c r="A990" s="10"/>
      <c r="B990" s="1"/>
      <c r="E990" s="77"/>
    </row>
    <row r="991" spans="1:17">
      <c r="A991" s="10"/>
      <c r="B991" s="1"/>
      <c r="H991">
        <f>SUBTOTAL(9,H5:H990)</f>
        <v>1244840</v>
      </c>
    </row>
    <row r="992" spans="1:17">
      <c r="A992" s="10"/>
      <c r="B992" s="1"/>
    </row>
    <row r="993" spans="1:4" customFormat="1">
      <c r="A993" s="10"/>
      <c r="B993" s="1"/>
      <c r="C993" s="11"/>
    </row>
    <row r="994" spans="1:4" customFormat="1">
      <c r="A994" s="10"/>
      <c r="B994" s="1"/>
      <c r="C994" s="11"/>
    </row>
    <row r="995" spans="1:4" customFormat="1">
      <c r="A995" s="10"/>
      <c r="B995" s="1"/>
      <c r="C995" s="11"/>
    </row>
    <row r="996" spans="1:4" customFormat="1">
      <c r="A996" s="10"/>
      <c r="B996" s="1"/>
      <c r="C996" s="11"/>
      <c r="D996" t="s">
        <v>606</v>
      </c>
    </row>
    <row r="997" spans="1:4" customFormat="1">
      <c r="A997" s="10"/>
      <c r="B997" s="1"/>
      <c r="C997" s="11"/>
    </row>
    <row r="998" spans="1:4" customFormat="1">
      <c r="A998" s="10"/>
      <c r="B998" s="1"/>
      <c r="C998" s="11"/>
    </row>
    <row r="999" spans="1:4" customFormat="1">
      <c r="A999" s="10"/>
      <c r="B999" s="1"/>
      <c r="C999" s="11"/>
    </row>
    <row r="1000" spans="1:4" customFormat="1">
      <c r="A1000" s="10"/>
      <c r="B1000" s="1"/>
      <c r="C1000" s="11"/>
    </row>
    <row r="1001" spans="1:4" customFormat="1">
      <c r="A1001" s="10"/>
      <c r="B1001" s="1"/>
      <c r="C1001" s="11"/>
    </row>
    <row r="1002" spans="1:4" customFormat="1">
      <c r="A1002" s="10"/>
      <c r="B1002" s="1"/>
      <c r="C1002" s="11"/>
    </row>
    <row r="1003" spans="1:4" customFormat="1">
      <c r="A1003" s="10"/>
      <c r="B1003" s="1"/>
      <c r="C1003" s="11"/>
    </row>
    <row r="1004" spans="1:4" customFormat="1">
      <c r="A1004" s="10"/>
      <c r="B1004" s="1"/>
      <c r="C1004" s="11"/>
    </row>
    <row r="1005" spans="1:4" customFormat="1">
      <c r="A1005" s="10"/>
      <c r="B1005" s="1"/>
      <c r="C1005" s="11"/>
    </row>
    <row r="1006" spans="1:4" customFormat="1">
      <c r="A1006" s="10"/>
      <c r="B1006" s="1"/>
      <c r="C1006" s="11"/>
    </row>
    <row r="1007" spans="1:4" customFormat="1">
      <c r="A1007" s="10"/>
      <c r="B1007" s="1"/>
      <c r="C1007" s="11"/>
    </row>
    <row r="1008" spans="1:4" customFormat="1">
      <c r="A1008" s="10"/>
      <c r="B1008" s="1"/>
      <c r="C1008" s="11"/>
    </row>
    <row r="1009" spans="1:2" customFormat="1">
      <c r="A1009" s="10"/>
      <c r="B1009" s="1"/>
    </row>
    <row r="1010" spans="1:2" customFormat="1">
      <c r="A1010" s="10"/>
      <c r="B1010" s="1"/>
    </row>
  </sheetData>
  <autoFilter ref="A3:Q987" xr:uid="{00000000-0009-0000-0000-000002000000}">
    <sortState ref="A4:Q987">
      <sortCondition descending="1" ref="H3:H987"/>
    </sortState>
  </autoFilter>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960"/>
  <sheetViews>
    <sheetView rightToLeft="1" zoomScaleNormal="100" workbookViewId="0">
      <pane ySplit="4" topLeftCell="A26" activePane="bottomLeft" state="frozen"/>
      <selection activeCell="G1" sqref="G1"/>
      <selection pane="bottomLeft" activeCell="C1" sqref="C1:C1048576"/>
    </sheetView>
  </sheetViews>
  <sheetFormatPr defaultColWidth="9.109375" defaultRowHeight="14.4"/>
  <cols>
    <col min="1" max="1" width="20" style="246" customWidth="1"/>
    <col min="2" max="2" width="21.21875" style="108" customWidth="1"/>
    <col min="3" max="3" width="21.77734375" style="235" customWidth="1"/>
    <col min="4" max="4" width="14.6640625" style="236" hidden="1" customWidth="1"/>
    <col min="5" max="5" width="17.77734375" style="108" hidden="1" customWidth="1"/>
    <col min="6" max="6" width="10.77734375" style="108" customWidth="1"/>
    <col min="7" max="7" width="9.77734375" style="108" hidden="1" customWidth="1"/>
    <col min="8" max="8" width="9.6640625" style="108" bestFit="1" customWidth="1"/>
    <col min="9" max="9" width="8" style="108" hidden="1" customWidth="1"/>
    <col min="10" max="10" width="9.109375" style="108"/>
    <col min="11" max="11" width="11.33203125" style="108" hidden="1" customWidth="1"/>
    <col min="12" max="12" width="9.109375" style="108"/>
    <col min="13" max="13" width="17" style="108" hidden="1" customWidth="1"/>
    <col min="14" max="14" width="0" style="124" hidden="1" customWidth="1"/>
    <col min="15" max="15" width="0" style="108" hidden="1" customWidth="1"/>
    <col min="16" max="16" width="13" style="108" customWidth="1"/>
    <col min="17" max="17" width="13" style="108" hidden="1" customWidth="1"/>
    <col min="18" max="18" width="13" style="108" customWidth="1"/>
    <col min="19" max="19" width="16" style="108" customWidth="1"/>
    <col min="20" max="20" width="13" style="108" customWidth="1"/>
    <col min="21" max="21" width="37.6640625" style="108" customWidth="1"/>
    <col min="22" max="22" width="9.109375" style="108"/>
    <col min="23" max="24" width="9.109375" style="108" customWidth="1"/>
    <col min="25" max="27" width="9.109375" style="108"/>
    <col min="28" max="28" width="14.88671875" style="108" bestFit="1" customWidth="1"/>
    <col min="29" max="16384" width="9.109375" style="108"/>
  </cols>
  <sheetData>
    <row r="1" spans="1:28" ht="13.65" customHeight="1" thickBot="1"/>
    <row r="2" spans="1:28" ht="54" customHeight="1" thickBot="1">
      <c r="A2" s="457" t="s">
        <v>1517</v>
      </c>
      <c r="B2" s="458"/>
      <c r="C2" s="458"/>
      <c r="D2" s="458"/>
      <c r="E2" s="458"/>
      <c r="F2" s="458"/>
      <c r="G2" s="458"/>
      <c r="H2" s="458"/>
      <c r="I2" s="458"/>
      <c r="J2" s="458"/>
      <c r="K2" s="458"/>
      <c r="L2" s="458"/>
      <c r="M2" s="458"/>
      <c r="N2" s="458"/>
      <c r="O2" s="458"/>
      <c r="P2" s="458"/>
      <c r="Q2" s="458"/>
      <c r="R2" s="458"/>
      <c r="S2" s="458"/>
      <c r="T2" s="458"/>
      <c r="U2" s="459"/>
      <c r="W2" s="124">
        <v>0</v>
      </c>
      <c r="X2" s="124">
        <v>1</v>
      </c>
    </row>
    <row r="3" spans="1:28" ht="39.75" customHeight="1">
      <c r="A3" s="247" t="s">
        <v>81</v>
      </c>
      <c r="B3" s="238" t="s">
        <v>2</v>
      </c>
      <c r="C3" s="248" t="s">
        <v>3</v>
      </c>
      <c r="D3" s="237" t="s">
        <v>0</v>
      </c>
      <c r="E3" s="238" t="s">
        <v>1</v>
      </c>
      <c r="F3" s="238" t="s">
        <v>84</v>
      </c>
      <c r="G3" s="248" t="s">
        <v>1072</v>
      </c>
      <c r="H3" s="238" t="s">
        <v>4</v>
      </c>
      <c r="I3" s="248" t="s">
        <v>80</v>
      </c>
      <c r="J3" s="238" t="s">
        <v>5</v>
      </c>
      <c r="K3" s="248" t="s">
        <v>6</v>
      </c>
      <c r="L3" s="248" t="s">
        <v>7</v>
      </c>
      <c r="M3" s="238" t="s">
        <v>203</v>
      </c>
      <c r="N3" s="248" t="s">
        <v>8</v>
      </c>
      <c r="O3" s="248" t="s">
        <v>9</v>
      </c>
      <c r="P3" s="248" t="s">
        <v>1076</v>
      </c>
      <c r="Q3" s="248" t="s">
        <v>1179</v>
      </c>
      <c r="R3" s="248" t="s">
        <v>1180</v>
      </c>
      <c r="S3" s="248" t="s">
        <v>1181</v>
      </c>
      <c r="T3" s="248" t="s">
        <v>1182</v>
      </c>
      <c r="U3" s="248" t="s">
        <v>10</v>
      </c>
      <c r="W3" s="108">
        <v>0.2</v>
      </c>
      <c r="X3" s="124">
        <v>3</v>
      </c>
    </row>
    <row r="4" spans="1:28" ht="0.75" customHeight="1">
      <c r="A4" s="249" t="s">
        <v>16</v>
      </c>
      <c r="B4" s="250" t="s">
        <v>54</v>
      </c>
      <c r="C4" s="249" t="s">
        <v>67</v>
      </c>
      <c r="D4" s="239" t="s">
        <v>23</v>
      </c>
      <c r="E4" s="251" t="s">
        <v>33</v>
      </c>
      <c r="F4" s="250">
        <v>70000</v>
      </c>
      <c r="G4" s="250">
        <v>1</v>
      </c>
      <c r="H4" s="250">
        <f>G4*F4</f>
        <v>70000</v>
      </c>
      <c r="I4" s="250"/>
      <c r="J4" s="250">
        <v>1</v>
      </c>
      <c r="K4" s="250">
        <v>0</v>
      </c>
      <c r="L4" s="250">
        <v>2</v>
      </c>
      <c r="M4" s="250" t="str">
        <f>IF(AND(K4*L4*30*N4&gt;H4/J4,I4=""),"לרכוש","לא לרכוש")</f>
        <v>לא לרכוש</v>
      </c>
      <c r="N4" s="250">
        <v>1000</v>
      </c>
      <c r="O4" s="250"/>
      <c r="P4" s="250"/>
      <c r="Q4" s="250"/>
      <c r="R4" s="250"/>
      <c r="S4" s="250"/>
      <c r="T4" s="250"/>
      <c r="U4" s="250"/>
      <c r="W4" s="108">
        <v>0.4</v>
      </c>
      <c r="X4" s="124">
        <v>1</v>
      </c>
    </row>
    <row r="5" spans="1:28" s="124" customFormat="1">
      <c r="A5" s="241" t="str">
        <f>'רשימת מכשור 2015'!A4</f>
        <v xml:space="preserve">אנלייזר פחמן אורגני </v>
      </c>
      <c r="B5" s="241" t="str">
        <f>'רשימת מכשור 2015'!B4</f>
        <v>THORNTON</v>
      </c>
      <c r="C5" s="241">
        <f>'רשימת מכשור 2015'!C4</f>
        <v>5000</v>
      </c>
      <c r="D5" s="241" t="str">
        <f>'רשימת מכשור 2015'!D4</f>
        <v>PW פיילוט</v>
      </c>
      <c r="E5" s="241" t="str">
        <f>'רשימת מכשור 2015'!E4</f>
        <v>1-TOC-1</v>
      </c>
      <c r="F5" s="241">
        <f>'רשימת מכשור 2015'!F4</f>
        <v>50000</v>
      </c>
      <c r="G5" s="252">
        <v>1</v>
      </c>
      <c r="H5" s="252">
        <f>G5*F5</f>
        <v>50000</v>
      </c>
      <c r="I5" s="252" t="s">
        <v>82</v>
      </c>
      <c r="J5" s="252">
        <v>1</v>
      </c>
      <c r="K5" s="252">
        <v>1</v>
      </c>
      <c r="L5" s="252">
        <v>1.5</v>
      </c>
      <c r="M5" s="252" t="str">
        <f>IF(AND(K5*L5*30*N5&gt;H5/J5,I5=""),"לרכוש","לא לרכוש")</f>
        <v>לא לרכוש</v>
      </c>
      <c r="N5" s="252">
        <v>1000</v>
      </c>
      <c r="O5" s="252"/>
      <c r="P5" s="252">
        <v>3</v>
      </c>
      <c r="Q5" s="252" t="e">
        <f>IF(I5=√, )</f>
        <v>#NAME?</v>
      </c>
      <c r="R5" s="252">
        <f t="shared" ref="R5:R36" si="0">P5*L5*J5</f>
        <v>4.5</v>
      </c>
      <c r="S5" s="252">
        <f t="shared" ref="S5:S36" si="1">IF(R5&gt;$AA$8,IF(R5&lt;$AA$9,$AB$9,$AB$10), $AB$8)</f>
        <v>1</v>
      </c>
      <c r="T5" s="252">
        <v>1</v>
      </c>
      <c r="U5" s="252"/>
      <c r="W5" s="124">
        <v>0.5</v>
      </c>
      <c r="X5" s="124">
        <v>23</v>
      </c>
    </row>
    <row r="6" spans="1:28" s="124" customFormat="1" ht="28.8">
      <c r="A6" s="241" t="str">
        <f>'רשימת מכשור 2015'!A5</f>
        <v xml:space="preserve">אנלייזר פחמן אורגני </v>
      </c>
      <c r="B6" s="241" t="str">
        <f>'רשימת מכשור 2015'!B5</f>
        <v xml:space="preserve"> Mettler Toledo</v>
      </c>
      <c r="C6" s="241" t="str">
        <f>'רשימת מכשור 2015'!C5</f>
        <v>5000TOC</v>
      </c>
      <c r="D6" s="241" t="str">
        <f>'רשימת מכשור 2015'!D5</f>
        <v>PW STORAGE
2500</v>
      </c>
      <c r="E6" s="241" t="str">
        <f>'רשימת מכשור 2015'!E5</f>
        <v>1-1-606-TOC-001</v>
      </c>
      <c r="F6" s="241">
        <f>'רשימת מכשור 2015'!F5</f>
        <v>50000</v>
      </c>
      <c r="G6" s="252">
        <v>1</v>
      </c>
      <c r="H6" s="252">
        <f>G6*F6</f>
        <v>50000</v>
      </c>
      <c r="I6" s="252" t="s">
        <v>82</v>
      </c>
      <c r="J6" s="252">
        <v>1</v>
      </c>
      <c r="K6" s="252">
        <v>1</v>
      </c>
      <c r="L6" s="252">
        <v>1.5</v>
      </c>
      <c r="M6" s="252" t="str">
        <f>IF(AND(K6*L6*30*N6&gt;H6/J6,I6=""),"לרכוש","לא לרכוש")</f>
        <v>לא לרכוש</v>
      </c>
      <c r="N6" s="252">
        <v>1000</v>
      </c>
      <c r="O6" s="252"/>
      <c r="P6" s="252">
        <v>3</v>
      </c>
      <c r="Q6" s="252"/>
      <c r="R6" s="252">
        <f t="shared" si="0"/>
        <v>4.5</v>
      </c>
      <c r="S6" s="252">
        <f t="shared" si="1"/>
        <v>1</v>
      </c>
      <c r="T6" s="252">
        <v>1</v>
      </c>
      <c r="U6" s="252"/>
      <c r="W6" s="108">
        <v>0.6</v>
      </c>
      <c r="X6" s="124">
        <v>1</v>
      </c>
      <c r="Z6" s="454" t="s">
        <v>1175</v>
      </c>
      <c r="AA6" s="455"/>
      <c r="AB6" s="456"/>
    </row>
    <row r="7" spans="1:28" s="124" customFormat="1">
      <c r="A7" s="241" t="str">
        <f>'רשימת מכשור 2015'!A7</f>
        <v>multi chanel</v>
      </c>
      <c r="B7" s="241" t="str">
        <f>'רשימת מכשור 2015'!B7</f>
        <v>Mettler Toledo</v>
      </c>
      <c r="C7" s="241" t="str">
        <f>'רשימת מכשור 2015'!C7</f>
        <v>770MAX</v>
      </c>
      <c r="D7" s="241">
        <f>'רשימת מכשור 2015'!D7</f>
        <v>5000</v>
      </c>
      <c r="E7" s="241" t="str">
        <f>'רשימת מכשור 2015'!E7</f>
        <v xml:space="preserve">N/A </v>
      </c>
      <c r="F7" s="241">
        <f>'רשימת מכשור 2015'!F7</f>
        <v>10000</v>
      </c>
      <c r="G7" s="252">
        <v>1</v>
      </c>
      <c r="H7" s="252">
        <v>20000</v>
      </c>
      <c r="I7" s="252" t="s">
        <v>82</v>
      </c>
      <c r="J7" s="252">
        <v>1</v>
      </c>
      <c r="K7" s="252">
        <v>1</v>
      </c>
      <c r="L7" s="252">
        <v>1.5</v>
      </c>
      <c r="M7" s="252" t="s">
        <v>1054</v>
      </c>
      <c r="N7" s="252">
        <v>1000</v>
      </c>
      <c r="O7" s="252"/>
      <c r="P7" s="252">
        <v>5</v>
      </c>
      <c r="Q7" s="252"/>
      <c r="R7" s="252">
        <f t="shared" si="0"/>
        <v>7.5</v>
      </c>
      <c r="S7" s="252">
        <f t="shared" si="1"/>
        <v>1</v>
      </c>
      <c r="T7" s="252">
        <v>1</v>
      </c>
      <c r="U7" s="252"/>
      <c r="W7" s="108">
        <v>0.8</v>
      </c>
      <c r="X7" s="124">
        <v>4</v>
      </c>
      <c r="Z7" s="242" t="s">
        <v>1176</v>
      </c>
      <c r="AA7" s="242" t="s">
        <v>1177</v>
      </c>
      <c r="AB7" s="242" t="s">
        <v>1178</v>
      </c>
    </row>
    <row r="8" spans="1:28" s="124" customFormat="1" ht="14.25" customHeight="1">
      <c r="A8" s="241" t="str">
        <f>'רשימת מכשור 2015'!A9</f>
        <v>אנלייזר קשיות</v>
      </c>
      <c r="B8" s="241" t="str">
        <f>'רשימת מכשור 2015'!B9</f>
        <v>ABB ISRAEL</v>
      </c>
      <c r="C8" s="241" t="str">
        <f>'רשימת מכשור 2015'!C9</f>
        <v>AW101/.1.2.1.1</v>
      </c>
      <c r="D8" s="241" t="str">
        <f>'רשימת מכשור 2015'!D9</f>
        <v xml:space="preserve">HSW </v>
      </c>
      <c r="E8" s="241" t="str">
        <f>'רשימת מכשור 2015'!E9</f>
        <v>1-1-57-HIC-1</v>
      </c>
      <c r="F8" s="241">
        <f>'רשימת מכשור 2015'!F9</f>
        <v>18000</v>
      </c>
      <c r="G8" s="252">
        <v>1</v>
      </c>
      <c r="H8" s="252">
        <v>18000</v>
      </c>
      <c r="I8" s="252"/>
      <c r="J8" s="252">
        <v>1</v>
      </c>
      <c r="K8" s="252">
        <v>1</v>
      </c>
      <c r="L8" s="252"/>
      <c r="M8" s="252"/>
      <c r="N8" s="252">
        <v>1000</v>
      </c>
      <c r="O8" s="252"/>
      <c r="P8" s="252">
        <v>1</v>
      </c>
      <c r="Q8" s="252"/>
      <c r="R8" s="252">
        <f t="shared" si="0"/>
        <v>0</v>
      </c>
      <c r="S8" s="252">
        <f t="shared" si="1"/>
        <v>1</v>
      </c>
      <c r="T8" s="252">
        <v>1</v>
      </c>
      <c r="U8" s="252"/>
      <c r="W8" s="124">
        <v>1</v>
      </c>
      <c r="X8" s="124">
        <v>26</v>
      </c>
      <c r="Z8" s="242">
        <v>0</v>
      </c>
      <c r="AA8" s="242">
        <v>8</v>
      </c>
      <c r="AB8" s="242">
        <v>1</v>
      </c>
    </row>
    <row r="9" spans="1:28" s="124" customFormat="1" ht="28.8">
      <c r="A9" s="241" t="str">
        <f>'רשימת מכשור 2015'!A10</f>
        <v>מד זרימה</v>
      </c>
      <c r="B9" s="241" t="str">
        <f>'רשימת מכשור 2015'!B10</f>
        <v>Liquid Controls Sponsler</v>
      </c>
      <c r="C9" s="241" t="str">
        <f>'רשימת מכשור 2015'!C10</f>
        <v>SP3/4-CS-PHL-3/4G-6MCIX3A</v>
      </c>
      <c r="D9" s="241" t="str">
        <f>'רשימת מכשור 2015'!D10</f>
        <v>CDI</v>
      </c>
      <c r="E9" s="241" t="str">
        <f>'רשימת מכשור 2015'!E10</f>
        <v>1-1-134-FIC-1</v>
      </c>
      <c r="F9" s="241">
        <f>'רשימת מכשור 2015'!F10</f>
        <v>14000</v>
      </c>
      <c r="G9" s="252">
        <v>1</v>
      </c>
      <c r="H9" s="252">
        <f>G9*F9</f>
        <v>14000</v>
      </c>
      <c r="I9" s="252" t="s">
        <v>82</v>
      </c>
      <c r="J9" s="252">
        <v>1</v>
      </c>
      <c r="K9" s="252">
        <v>1</v>
      </c>
      <c r="L9" s="252">
        <v>1.5</v>
      </c>
      <c r="M9" s="252" t="str">
        <f t="shared" ref="M9:M40" si="2">IF(AND(K9*L9*30*N9&gt;H9/J9,I9=""),"לרכוש","לא לרכוש")</f>
        <v>לא לרכוש</v>
      </c>
      <c r="N9" s="252">
        <v>1000</v>
      </c>
      <c r="O9" s="252"/>
      <c r="P9" s="252">
        <v>3</v>
      </c>
      <c r="Q9" s="252"/>
      <c r="R9" s="252">
        <f t="shared" si="0"/>
        <v>4.5</v>
      </c>
      <c r="S9" s="252">
        <f t="shared" si="1"/>
        <v>1</v>
      </c>
      <c r="T9" s="252">
        <v>1</v>
      </c>
      <c r="U9" s="252"/>
      <c r="W9" s="124">
        <v>1.2</v>
      </c>
      <c r="X9" s="124">
        <v>1</v>
      </c>
      <c r="Z9" s="242">
        <v>9</v>
      </c>
      <c r="AA9" s="242">
        <v>18</v>
      </c>
      <c r="AB9" s="242">
        <v>2</v>
      </c>
    </row>
    <row r="10" spans="1:28" s="124" customFormat="1" ht="14.25" customHeight="1">
      <c r="A10" s="241" t="str">
        <f>'רשימת מכשור 2015'!A12</f>
        <v>משדר זרימה</v>
      </c>
      <c r="B10" s="241" t="str">
        <f>'רשימת מכשור 2015'!B12</f>
        <v>Liquid Controls 
Sponsler</v>
      </c>
      <c r="C10" s="241" t="str">
        <f>'רשימת מכשור 2015'!C12</f>
        <v>SP3/4-CS-PHL
-3/4G-6MCIX3A</v>
      </c>
      <c r="D10" s="241" t="str">
        <f>'רשימת מכשור 2015'!D12</f>
        <v>PW PRODUCTION
2500</v>
      </c>
      <c r="E10" s="241" t="str">
        <f>'רשימת מכשור 2015'!E12</f>
        <v>1-1-604-FIT-001</v>
      </c>
      <c r="F10" s="241">
        <f>'רשימת מכשור 2015'!F12</f>
        <v>12000</v>
      </c>
      <c r="G10" s="252">
        <v>1</v>
      </c>
      <c r="H10" s="252">
        <f>G10*F10</f>
        <v>12000</v>
      </c>
      <c r="I10" s="252" t="s">
        <v>82</v>
      </c>
      <c r="J10" s="252">
        <v>1</v>
      </c>
      <c r="K10" s="252">
        <v>0</v>
      </c>
      <c r="L10" s="252">
        <v>1.5</v>
      </c>
      <c r="M10" s="252" t="str">
        <f t="shared" si="2"/>
        <v>לא לרכוש</v>
      </c>
      <c r="N10" s="252">
        <v>1000</v>
      </c>
      <c r="O10" s="252"/>
      <c r="P10" s="252">
        <v>3</v>
      </c>
      <c r="Q10" s="252"/>
      <c r="R10" s="252">
        <f t="shared" si="0"/>
        <v>4.5</v>
      </c>
      <c r="S10" s="252">
        <f t="shared" si="1"/>
        <v>1</v>
      </c>
      <c r="T10" s="252">
        <v>1</v>
      </c>
      <c r="U10" s="252"/>
      <c r="W10" s="108">
        <v>1.4</v>
      </c>
      <c r="X10" s="124">
        <v>2</v>
      </c>
      <c r="Z10" s="242">
        <v>19</v>
      </c>
      <c r="AA10" s="242">
        <v>1000</v>
      </c>
      <c r="AB10" s="242">
        <v>3</v>
      </c>
    </row>
    <row r="11" spans="1:28" s="124" customFormat="1" ht="28.8">
      <c r="A11" s="241" t="str">
        <f>'רשימת מכשור 2015'!A13</f>
        <v>מד מפלס</v>
      </c>
      <c r="B11" s="241" t="str">
        <f>'רשימת מכשור 2015'!B13</f>
        <v>E+H</v>
      </c>
      <c r="C11" s="241" t="str">
        <f>'רשימת מכשור 2015'!C13</f>
        <v xml:space="preserve"> MICROPILOT M FMR245-AETEJAA2AA</v>
      </c>
      <c r="D11" s="241" t="str">
        <f>'רשימת מכשור 2015'!D13</f>
        <v>NaOH</v>
      </c>
      <c r="E11" s="241" t="str">
        <f>'רשימת מכשור 2015'!E13</f>
        <v>1-1-5-LC-1</v>
      </c>
      <c r="F11" s="241">
        <f>'רשימת מכשור 2015'!F13</f>
        <v>120000</v>
      </c>
      <c r="G11" s="252">
        <v>1</v>
      </c>
      <c r="H11" s="252">
        <v>12000</v>
      </c>
      <c r="I11" s="252"/>
      <c r="J11" s="252">
        <v>1</v>
      </c>
      <c r="K11" s="252">
        <v>1</v>
      </c>
      <c r="L11" s="252">
        <v>1.5</v>
      </c>
      <c r="M11" s="252" t="str">
        <f t="shared" si="2"/>
        <v>לרכוש</v>
      </c>
      <c r="N11" s="252">
        <v>1000</v>
      </c>
      <c r="O11" s="252"/>
      <c r="P11" s="252">
        <v>2</v>
      </c>
      <c r="Q11" s="252"/>
      <c r="R11" s="252">
        <f t="shared" si="0"/>
        <v>3</v>
      </c>
      <c r="S11" s="252">
        <f t="shared" si="1"/>
        <v>1</v>
      </c>
      <c r="T11" s="252">
        <v>1</v>
      </c>
      <c r="U11" s="252"/>
      <c r="W11" s="124">
        <v>1.5</v>
      </c>
      <c r="X11" s="124">
        <v>20</v>
      </c>
    </row>
    <row r="12" spans="1:28" s="124" customFormat="1" ht="28.5" customHeight="1">
      <c r="A12" s="241" t="str">
        <f>'רשימת מכשור 2015'!A14</f>
        <v>מד מפלס</v>
      </c>
      <c r="B12" s="241" t="str">
        <f>'רשימת מכשור 2015'!B14</f>
        <v>E+H</v>
      </c>
      <c r="C12" s="241" t="str">
        <f>'רשימת מכשור 2015'!C14</f>
        <v xml:space="preserve"> MICROPILOT M 
FMR245-AETEJAA2AA</v>
      </c>
      <c r="D12" s="241" t="str">
        <f>'רשימת מכשור 2015'!D14</f>
        <v>ACID</v>
      </c>
      <c r="E12" s="241" t="str">
        <f>'רשימת מכשור 2015'!E14</f>
        <v>1-1-141-LC-1</v>
      </c>
      <c r="F12" s="241">
        <f>'רשימת מכשור 2015'!F14</f>
        <v>120000</v>
      </c>
      <c r="G12" s="252">
        <v>1</v>
      </c>
      <c r="H12" s="252">
        <v>12000</v>
      </c>
      <c r="I12" s="252"/>
      <c r="J12" s="252">
        <v>1</v>
      </c>
      <c r="K12" s="252">
        <v>1</v>
      </c>
      <c r="L12" s="252">
        <v>1.5</v>
      </c>
      <c r="M12" s="252" t="str">
        <f t="shared" si="2"/>
        <v>לרכוש</v>
      </c>
      <c r="N12" s="252">
        <v>1000</v>
      </c>
      <c r="O12" s="252"/>
      <c r="P12" s="252">
        <v>2</v>
      </c>
      <c r="Q12" s="252"/>
      <c r="R12" s="252">
        <f t="shared" si="0"/>
        <v>3</v>
      </c>
      <c r="S12" s="252">
        <f t="shared" si="1"/>
        <v>1</v>
      </c>
      <c r="T12" s="252">
        <v>1</v>
      </c>
      <c r="U12" s="252"/>
      <c r="W12" s="108">
        <v>1.7999999999999998</v>
      </c>
      <c r="X12" s="124">
        <v>1</v>
      </c>
    </row>
    <row r="13" spans="1:28" s="124" customFormat="1" ht="14.25" customHeight="1">
      <c r="A13" s="241" t="str">
        <f>'רשימת מכשור 2015'!A15</f>
        <v>מד מפלס</v>
      </c>
      <c r="B13" s="241" t="str">
        <f>'רשימת מכשור 2015'!B15</f>
        <v>E+H</v>
      </c>
      <c r="C13" s="241" t="str">
        <f>'רשימת מכשור 2015'!C15</f>
        <v>LEVELFLEX M FMP43-AS5TDJB21A2B</v>
      </c>
      <c r="D13" s="241" t="str">
        <f>'רשימת מכשור 2015'!D15</f>
        <v>WFI-PRODUCTION/STORAGE</v>
      </c>
      <c r="E13" s="241" t="str">
        <f>'רשימת מכשור 2015'!E15</f>
        <v>25-LT-001</v>
      </c>
      <c r="F13" s="241">
        <f>'רשימת מכשור 2015'!F15</f>
        <v>12000</v>
      </c>
      <c r="G13" s="252">
        <v>1</v>
      </c>
      <c r="H13" s="252">
        <f t="shared" ref="H13:H52" si="3">G13*F13</f>
        <v>12000</v>
      </c>
      <c r="I13" s="252"/>
      <c r="J13" s="252">
        <v>1</v>
      </c>
      <c r="K13" s="252">
        <v>1</v>
      </c>
      <c r="L13" s="252">
        <v>1.5</v>
      </c>
      <c r="M13" s="252" t="str">
        <f t="shared" si="2"/>
        <v>לרכוש</v>
      </c>
      <c r="N13" s="252">
        <v>1000</v>
      </c>
      <c r="O13" s="252"/>
      <c r="P13" s="252">
        <v>1</v>
      </c>
      <c r="Q13" s="252"/>
      <c r="R13" s="252">
        <f t="shared" si="0"/>
        <v>1.5</v>
      </c>
      <c r="S13" s="252">
        <f t="shared" si="1"/>
        <v>1</v>
      </c>
      <c r="T13" s="252">
        <v>1</v>
      </c>
      <c r="U13" s="252"/>
      <c r="W13" s="108">
        <v>2</v>
      </c>
      <c r="X13" s="124">
        <v>15</v>
      </c>
    </row>
    <row r="14" spans="1:28" s="124" customFormat="1" ht="14.25" customHeight="1">
      <c r="A14" s="241" t="str">
        <f>'רשימת מכשור 2015'!A16</f>
        <v>מד מפלס</v>
      </c>
      <c r="B14" s="241" t="str">
        <f>'רשימת מכשור 2015'!B16</f>
        <v>E+H</v>
      </c>
      <c r="C14" s="241" t="str">
        <f>'רשימת מכשור 2015'!C16</f>
        <v>LEVELFLEX M FMP41C-AATDKB21A2A</v>
      </c>
      <c r="D14" s="241" t="str">
        <f>'רשימת מכשור 2015'!D16</f>
        <v>SW SYSTEM</v>
      </c>
      <c r="E14" s="241" t="str">
        <f>'רשימת מכשור 2015'!E16</f>
        <v>1-1-132-LIC-1</v>
      </c>
      <c r="F14" s="241">
        <f>'רשימת מכשור 2015'!F16</f>
        <v>12000</v>
      </c>
      <c r="G14" s="252">
        <v>1</v>
      </c>
      <c r="H14" s="252">
        <f t="shared" si="3"/>
        <v>12000</v>
      </c>
      <c r="I14" s="252"/>
      <c r="J14" s="252">
        <v>1</v>
      </c>
      <c r="K14" s="252">
        <v>1</v>
      </c>
      <c r="L14" s="252">
        <v>1.5</v>
      </c>
      <c r="M14" s="252" t="str">
        <f t="shared" si="2"/>
        <v>לרכוש</v>
      </c>
      <c r="N14" s="252">
        <v>1000</v>
      </c>
      <c r="O14" s="252"/>
      <c r="P14" s="252">
        <v>1</v>
      </c>
      <c r="Q14" s="252"/>
      <c r="R14" s="252">
        <f t="shared" si="0"/>
        <v>1.5</v>
      </c>
      <c r="S14" s="252">
        <f t="shared" si="1"/>
        <v>1</v>
      </c>
      <c r="T14" s="252">
        <v>1</v>
      </c>
      <c r="U14" s="252"/>
      <c r="W14" s="108">
        <v>2.4</v>
      </c>
      <c r="X14" s="124">
        <v>2</v>
      </c>
    </row>
    <row r="15" spans="1:28" s="124" customFormat="1">
      <c r="A15" s="241" t="str">
        <f>'רשימת מכשור 2015'!A17</f>
        <v>משדר לחץ</v>
      </c>
      <c r="B15" s="241" t="str">
        <f>'רשימת מכשור 2015'!B17</f>
        <v>LABOM</v>
      </c>
      <c r="C15" s="241" t="str">
        <f>'רשימת מכשור 2015'!C17</f>
        <v>LABOM - CV3110</v>
      </c>
      <c r="D15" s="241" t="str">
        <f>'רשימת מכשור 2015'!D17</f>
        <v>צנטרפוגה</v>
      </c>
      <c r="E15" s="241" t="str">
        <f>'רשימת מכשור 2015'!E17</f>
        <v>PIAL 02-9-020</v>
      </c>
      <c r="F15" s="241">
        <f>'רשימת מכשור 2015'!F17</f>
        <v>10000</v>
      </c>
      <c r="G15" s="252">
        <v>1</v>
      </c>
      <c r="H15" s="252">
        <f t="shared" si="3"/>
        <v>10000</v>
      </c>
      <c r="I15" s="252"/>
      <c r="J15" s="252">
        <v>1</v>
      </c>
      <c r="K15" s="252">
        <v>1</v>
      </c>
      <c r="L15" s="252">
        <v>1.5</v>
      </c>
      <c r="M15" s="252" t="str">
        <f t="shared" si="2"/>
        <v>לרכוש</v>
      </c>
      <c r="N15" s="252">
        <v>1000</v>
      </c>
      <c r="O15" s="252"/>
      <c r="P15" s="252">
        <v>3</v>
      </c>
      <c r="Q15" s="252"/>
      <c r="R15" s="252">
        <f t="shared" si="0"/>
        <v>4.5</v>
      </c>
      <c r="S15" s="252">
        <f t="shared" si="1"/>
        <v>1</v>
      </c>
      <c r="T15" s="252">
        <v>1</v>
      </c>
      <c r="U15" s="252"/>
      <c r="W15" s="108">
        <v>2.4000000000000004</v>
      </c>
      <c r="X15" s="124">
        <v>2</v>
      </c>
    </row>
    <row r="16" spans="1:28" s="124" customFormat="1">
      <c r="A16" s="241" t="str">
        <f>'רשימת מכשור 2015'!A19</f>
        <v>multi chanel</v>
      </c>
      <c r="B16" s="241" t="str">
        <f>'רשימת מכשור 2015'!B19</f>
        <v>THORNTON</v>
      </c>
      <c r="C16" s="241" t="str">
        <f>'רשימת מכשור 2015'!C19</f>
        <v>770 max</v>
      </c>
      <c r="D16" s="241" t="str">
        <f>'רשימת מכשור 2015'!D19</f>
        <v>PW פיילוט</v>
      </c>
      <c r="E16" s="241">
        <f>'רשימת מכשור 2015'!E19</f>
        <v>0</v>
      </c>
      <c r="F16" s="241">
        <f>'רשימת מכשור 2015'!F19</f>
        <v>10000</v>
      </c>
      <c r="G16" s="252">
        <v>1</v>
      </c>
      <c r="H16" s="252">
        <f t="shared" si="3"/>
        <v>10000</v>
      </c>
      <c r="I16" s="252" t="s">
        <v>82</v>
      </c>
      <c r="J16" s="252">
        <v>1</v>
      </c>
      <c r="K16" s="252">
        <v>1</v>
      </c>
      <c r="L16" s="252">
        <v>1</v>
      </c>
      <c r="M16" s="252" t="str">
        <f t="shared" si="2"/>
        <v>לא לרכוש</v>
      </c>
      <c r="N16" s="252">
        <v>1000</v>
      </c>
      <c r="O16" s="252"/>
      <c r="P16" s="252">
        <v>5</v>
      </c>
      <c r="Q16" s="252"/>
      <c r="R16" s="252">
        <f t="shared" si="0"/>
        <v>5</v>
      </c>
      <c r="S16" s="252">
        <f t="shared" si="1"/>
        <v>1</v>
      </c>
      <c r="T16" s="252">
        <v>1</v>
      </c>
      <c r="U16" s="252"/>
      <c r="W16" s="124">
        <v>3</v>
      </c>
      <c r="X16" s="124">
        <v>21</v>
      </c>
    </row>
    <row r="17" spans="1:24" s="124" customFormat="1" ht="43.2">
      <c r="A17" s="241" t="str">
        <f>'רשימת מכשור 2015'!A20</f>
        <v>מד כלור</v>
      </c>
      <c r="B17" s="241" t="str">
        <f>'רשימת מכשור 2015'!B20</f>
        <v>E+H</v>
      </c>
      <c r="C17" s="241" t="str">
        <f>'רשימת מכשור 2015'!C20</f>
        <v>transmitter : liquisys m CCM253-EK8005 
FLOWFIT-W CCA250</v>
      </c>
      <c r="D17" s="241" t="str">
        <f>'רשימת מכשור 2015'!D20</f>
        <v>CLW</v>
      </c>
      <c r="E17" s="241" t="str">
        <f>'רשימת מכשור 2015'!E20</f>
        <v>1-1-1-CLIC-1</v>
      </c>
      <c r="F17" s="241">
        <f>'רשימת מכשור 2015'!F20</f>
        <v>7000</v>
      </c>
      <c r="G17" s="252">
        <v>1</v>
      </c>
      <c r="H17" s="252">
        <f t="shared" si="3"/>
        <v>7000</v>
      </c>
      <c r="I17" s="253"/>
      <c r="J17" s="252">
        <v>1</v>
      </c>
      <c r="K17" s="254">
        <v>1</v>
      </c>
      <c r="L17" s="252">
        <v>1.5</v>
      </c>
      <c r="M17" s="252" t="str">
        <f t="shared" si="2"/>
        <v>לרכוש</v>
      </c>
      <c r="N17" s="252">
        <v>1000</v>
      </c>
      <c r="O17" s="252"/>
      <c r="P17" s="252">
        <v>1</v>
      </c>
      <c r="Q17" s="252"/>
      <c r="R17" s="252">
        <f t="shared" si="0"/>
        <v>1.5</v>
      </c>
      <c r="S17" s="252">
        <f t="shared" si="1"/>
        <v>1</v>
      </c>
      <c r="T17" s="252">
        <v>1</v>
      </c>
      <c r="U17" s="252"/>
      <c r="W17" s="124">
        <v>3.5999999999999996</v>
      </c>
      <c r="X17" s="124">
        <v>1</v>
      </c>
    </row>
    <row r="18" spans="1:24" s="124" customFormat="1" ht="28.8">
      <c r="A18" s="241" t="str">
        <f>'רשימת מכשור 2015'!A21</f>
        <v>מד מפלס</v>
      </c>
      <c r="B18" s="241" t="str">
        <f>'רשימת מכשור 2015'!B21</f>
        <v>E+H</v>
      </c>
      <c r="C18" s="241" t="str">
        <f>'רשימת מכשור 2015'!C21</f>
        <v>LIQUICAP M FMI52-A1BTDJA2A1A</v>
      </c>
      <c r="D18" s="241" t="str">
        <f>'רשימת מכשור 2015'!D21</f>
        <v>CLW</v>
      </c>
      <c r="E18" s="241" t="str">
        <f>'רשימת מכשור 2015'!E21</f>
        <v>1-1-1-LC-1</v>
      </c>
      <c r="F18" s="241">
        <f>'רשימת מכשור 2015'!F21</f>
        <v>10000</v>
      </c>
      <c r="G18" s="252">
        <v>1</v>
      </c>
      <c r="H18" s="252">
        <f t="shared" si="3"/>
        <v>10000</v>
      </c>
      <c r="I18" s="252"/>
      <c r="J18" s="252">
        <v>1</v>
      </c>
      <c r="K18" s="252">
        <v>1</v>
      </c>
      <c r="L18" s="252">
        <v>1.5</v>
      </c>
      <c r="M18" s="252" t="str">
        <f t="shared" si="2"/>
        <v>לרכוש</v>
      </c>
      <c r="N18" s="252">
        <v>1000</v>
      </c>
      <c r="O18" s="252"/>
      <c r="P18" s="252">
        <v>1</v>
      </c>
      <c r="Q18" s="252"/>
      <c r="R18" s="252">
        <f t="shared" si="0"/>
        <v>1.5</v>
      </c>
      <c r="S18" s="252">
        <f t="shared" si="1"/>
        <v>1</v>
      </c>
      <c r="T18" s="252">
        <v>1</v>
      </c>
      <c r="U18" s="252"/>
      <c r="W18" s="108">
        <v>4</v>
      </c>
      <c r="X18" s="124">
        <v>7</v>
      </c>
    </row>
    <row r="19" spans="1:24" s="124" customFormat="1" ht="43.2">
      <c r="A19" s="241" t="str">
        <f>'רשימת מכשור 2015'!A23</f>
        <v>multi chanel</v>
      </c>
      <c r="B19" s="241" t="str">
        <f>'רשימת מכשור 2015'!B23</f>
        <v>torenton</v>
      </c>
      <c r="C19" s="241" t="str">
        <f>'רשימת מכשור 2015'!C23</f>
        <v>torenton</v>
      </c>
      <c r="D19" s="241" t="str">
        <f>'רשימת מכשור 2015'!D23</f>
        <v>WFI-PRODUCTION/STORAGE</v>
      </c>
      <c r="E19" s="241" t="str">
        <f>'רשימת מכשור 2015'!E23</f>
        <v>25-CIT-1</v>
      </c>
      <c r="F19" s="241">
        <f>'רשימת מכשור 2015'!F23</f>
        <v>10000</v>
      </c>
      <c r="G19" s="252">
        <v>1</v>
      </c>
      <c r="H19" s="252">
        <f t="shared" si="3"/>
        <v>10000</v>
      </c>
      <c r="I19" s="252" t="s">
        <v>82</v>
      </c>
      <c r="J19" s="252">
        <v>1</v>
      </c>
      <c r="K19" s="252">
        <v>1</v>
      </c>
      <c r="L19" s="252">
        <v>1.2</v>
      </c>
      <c r="M19" s="252" t="str">
        <f t="shared" si="2"/>
        <v>לא לרכוש</v>
      </c>
      <c r="N19" s="252">
        <v>1000</v>
      </c>
      <c r="O19" s="252"/>
      <c r="P19" s="252">
        <v>5</v>
      </c>
      <c r="Q19" s="252"/>
      <c r="R19" s="252">
        <f t="shared" si="0"/>
        <v>6</v>
      </c>
      <c r="S19" s="252">
        <f t="shared" si="1"/>
        <v>1</v>
      </c>
      <c r="T19" s="252">
        <v>1</v>
      </c>
      <c r="U19" s="252"/>
      <c r="W19" s="124">
        <v>4.5</v>
      </c>
      <c r="X19" s="124">
        <v>7</v>
      </c>
    </row>
    <row r="20" spans="1:24" s="124" customFormat="1">
      <c r="A20" s="241" t="str">
        <f>'רשימת מכשור 2015'!A25</f>
        <v>מד זרימה</v>
      </c>
      <c r="B20" s="241" t="str">
        <f>'רשימת מכשור 2015'!B25</f>
        <v>ABB ISRAEL</v>
      </c>
      <c r="C20" s="241" t="str">
        <f>'רשימת מכשור 2015'!C25</f>
        <v xml:space="preserve"> ABB - FEH311</v>
      </c>
      <c r="D20" s="241" t="str">
        <f>'רשימת מכשור 2015'!D25</f>
        <v>צנטרפוגה</v>
      </c>
      <c r="E20" s="241" t="str">
        <f>'רשימת מכשור 2015'!E25</f>
        <v>FIC 02-9-041</v>
      </c>
      <c r="F20" s="241">
        <f>'רשימת מכשור 2015'!F25</f>
        <v>9133</v>
      </c>
      <c r="G20" s="252">
        <v>1</v>
      </c>
      <c r="H20" s="252">
        <f t="shared" si="3"/>
        <v>9133</v>
      </c>
      <c r="I20" s="252"/>
      <c r="J20" s="252">
        <v>1</v>
      </c>
      <c r="K20" s="252">
        <v>1</v>
      </c>
      <c r="L20" s="252">
        <v>1.5</v>
      </c>
      <c r="M20" s="252" t="str">
        <f t="shared" si="2"/>
        <v>לרכוש</v>
      </c>
      <c r="N20" s="252">
        <v>1000</v>
      </c>
      <c r="O20" s="252"/>
      <c r="P20" s="252">
        <v>2</v>
      </c>
      <c r="Q20" s="252"/>
      <c r="R20" s="252">
        <f t="shared" si="0"/>
        <v>3</v>
      </c>
      <c r="S20" s="252">
        <f t="shared" si="1"/>
        <v>1</v>
      </c>
      <c r="T20" s="252">
        <v>1</v>
      </c>
      <c r="U20" s="252"/>
      <c r="W20" s="124">
        <v>5</v>
      </c>
      <c r="X20" s="124">
        <v>6</v>
      </c>
    </row>
    <row r="21" spans="1:24" s="124" customFormat="1" ht="28.8">
      <c r="A21" s="241" t="str">
        <f>'רשימת מכשור 2015'!A26</f>
        <v>משדר חמצן</v>
      </c>
      <c r="B21" s="241" t="str">
        <f>'רשימת מכשור 2015'!B26</f>
        <v>Drager</v>
      </c>
      <c r="C21" s="241" t="str">
        <f>'רשימת מכשור 2015'!C26</f>
        <v>polytron 7000</v>
      </c>
      <c r="D21" s="241" t="str">
        <f>'רשימת מכשור 2015'!D26</f>
        <v>GAS  phase cell bank</v>
      </c>
      <c r="E21" s="241" t="str">
        <f>'רשימת מכשור 2015'!E26</f>
        <v>1-2-2010-OM-2</v>
      </c>
      <c r="F21" s="241">
        <f>'רשימת מכשור 2015'!F26</f>
        <v>7500</v>
      </c>
      <c r="G21" s="252">
        <v>1</v>
      </c>
      <c r="H21" s="252">
        <f t="shared" si="3"/>
        <v>7500</v>
      </c>
      <c r="I21" s="252"/>
      <c r="J21" s="252">
        <v>1</v>
      </c>
      <c r="K21" s="252">
        <v>1</v>
      </c>
      <c r="L21" s="252">
        <v>1</v>
      </c>
      <c r="M21" s="252" t="str">
        <f t="shared" si="2"/>
        <v>לרכוש</v>
      </c>
      <c r="N21" s="252">
        <v>1000</v>
      </c>
      <c r="O21" s="252"/>
      <c r="P21" s="252">
        <v>1</v>
      </c>
      <c r="Q21" s="252"/>
      <c r="R21" s="252">
        <f t="shared" si="0"/>
        <v>1</v>
      </c>
      <c r="S21" s="252">
        <f t="shared" si="1"/>
        <v>1</v>
      </c>
      <c r="T21" s="252">
        <v>1</v>
      </c>
      <c r="U21" s="252"/>
      <c r="W21" s="108">
        <v>5.5</v>
      </c>
      <c r="X21" s="124">
        <v>1</v>
      </c>
    </row>
    <row r="22" spans="1:24" s="124" customFormat="1" ht="14.25" customHeight="1">
      <c r="A22" s="241" t="str">
        <f>'רשימת מכשור 2015'!A27</f>
        <v>מד כלור</v>
      </c>
      <c r="B22" s="241" t="str">
        <f>'רשימת מכשור 2015'!B27</f>
        <v>E+H</v>
      </c>
      <c r="C22" s="241" t="str">
        <f>'רשימת מכשור 2015'!C27</f>
        <v>Element : ccs140
transmitter : liquisys m
cell : flowfit cca250</v>
      </c>
      <c r="D22" s="241" t="str">
        <f>'רשימת מכשור 2015'!D27</f>
        <v>PRETREATMENT SYSTEM</v>
      </c>
      <c r="E22" s="241" t="str">
        <f>'רשימת מכשור 2015'!E27</f>
        <v>1-1-131-CLIC-1</v>
      </c>
      <c r="F22" s="241">
        <f>'רשימת מכשור 2015'!F27</f>
        <v>7000</v>
      </c>
      <c r="G22" s="252">
        <v>1</v>
      </c>
      <c r="H22" s="252">
        <f t="shared" si="3"/>
        <v>7000</v>
      </c>
      <c r="I22" s="252"/>
      <c r="J22" s="252">
        <v>1</v>
      </c>
      <c r="K22" s="252">
        <v>1</v>
      </c>
      <c r="L22" s="252">
        <v>1.5</v>
      </c>
      <c r="M22" s="252" t="str">
        <f t="shared" si="2"/>
        <v>לרכוש</v>
      </c>
      <c r="N22" s="252">
        <v>1000</v>
      </c>
      <c r="O22" s="252"/>
      <c r="P22" s="252">
        <v>2</v>
      </c>
      <c r="Q22" s="252"/>
      <c r="R22" s="252">
        <f t="shared" si="0"/>
        <v>3</v>
      </c>
      <c r="S22" s="252">
        <f t="shared" si="1"/>
        <v>1</v>
      </c>
      <c r="T22" s="252">
        <v>1</v>
      </c>
      <c r="U22" s="252"/>
      <c r="W22" s="124">
        <v>6</v>
      </c>
      <c r="X22" s="124">
        <v>3</v>
      </c>
    </row>
    <row r="23" spans="1:24" s="124" customFormat="1" ht="14.25" customHeight="1">
      <c r="A23" s="241" t="str">
        <f>'רשימת מכשור 2015'!A28</f>
        <v xml:space="preserve">אלקטרודת מוליכות </v>
      </c>
      <c r="B23" s="241" t="str">
        <f>'רשימת מכשור 2015'!B28</f>
        <v xml:space="preserve">E+H </v>
      </c>
      <c r="C23" s="241" t="str">
        <f>'רשימת מכשור 2015'!C28</f>
        <v>Element : cls21-c1e4a
Transmitter : liquisys m clm253-cd8005</v>
      </c>
      <c r="D23" s="241" t="str">
        <f>'רשימת מכשור 2015'!D28</f>
        <v>PRETREATMENT SYSTEM</v>
      </c>
      <c r="E23" s="241" t="str">
        <f>'רשימת מכשור 2015'!E28</f>
        <v>1-1-131-CIT 1</v>
      </c>
      <c r="F23" s="241">
        <f>'רשימת מכשור 2015'!F28</f>
        <v>7000</v>
      </c>
      <c r="G23" s="252">
        <v>1</v>
      </c>
      <c r="H23" s="252">
        <f t="shared" si="3"/>
        <v>7000</v>
      </c>
      <c r="I23" s="252"/>
      <c r="J23" s="252">
        <v>1</v>
      </c>
      <c r="K23" s="252">
        <v>1</v>
      </c>
      <c r="L23" s="252">
        <v>1.5</v>
      </c>
      <c r="M23" s="252" t="str">
        <f t="shared" si="2"/>
        <v>לרכוש</v>
      </c>
      <c r="N23" s="252">
        <v>1000</v>
      </c>
      <c r="O23" s="252"/>
      <c r="P23" s="252">
        <v>2</v>
      </c>
      <c r="Q23" s="252"/>
      <c r="R23" s="252">
        <f t="shared" si="0"/>
        <v>3</v>
      </c>
      <c r="S23" s="252">
        <f t="shared" si="1"/>
        <v>1</v>
      </c>
      <c r="T23" s="252">
        <v>1</v>
      </c>
      <c r="U23" s="254"/>
      <c r="W23" s="108">
        <v>6.5</v>
      </c>
      <c r="X23" s="124">
        <v>1</v>
      </c>
    </row>
    <row r="24" spans="1:24" s="124" customFormat="1" ht="14.25" customHeight="1">
      <c r="A24" s="241" t="str">
        <f>'רשימת מכשור 2015'!A29</f>
        <v xml:space="preserve">אלקטרודת מוליכות </v>
      </c>
      <c r="B24" s="241" t="str">
        <f>'רשימת מכשור 2015'!B29</f>
        <v>Mettler Toledo</v>
      </c>
      <c r="C24" s="241" t="str">
        <f>'רשימת מכשור 2015'!C29</f>
        <v>Inpro 7108 1.5"TC 5200800 
M400</v>
      </c>
      <c r="D24" s="241" t="str">
        <f>'רשימת מכשור 2015'!D29</f>
        <v>MEDIA</v>
      </c>
      <c r="E24" s="241" t="str">
        <f>'רשימת מכשור 2015'!E29</f>
        <v>1-1-56-CIC-1</v>
      </c>
      <c r="F24" s="241">
        <f>'רשימת מכשור 2015'!F29</f>
        <v>4000</v>
      </c>
      <c r="G24" s="252">
        <v>1</v>
      </c>
      <c r="H24" s="252">
        <f t="shared" si="3"/>
        <v>4000</v>
      </c>
      <c r="I24" s="252" t="s">
        <v>82</v>
      </c>
      <c r="J24" s="252">
        <v>1</v>
      </c>
      <c r="K24" s="252">
        <v>1</v>
      </c>
      <c r="L24" s="252">
        <v>1.5</v>
      </c>
      <c r="M24" s="252" t="str">
        <f t="shared" si="2"/>
        <v>לא לרכוש</v>
      </c>
      <c r="N24" s="252">
        <v>1000</v>
      </c>
      <c r="O24" s="252"/>
      <c r="P24" s="252">
        <v>1</v>
      </c>
      <c r="Q24" s="252"/>
      <c r="R24" s="252">
        <f t="shared" si="0"/>
        <v>1.5</v>
      </c>
      <c r="S24" s="252">
        <f t="shared" si="1"/>
        <v>1</v>
      </c>
      <c r="T24" s="252">
        <v>1</v>
      </c>
      <c r="U24" s="254"/>
      <c r="W24" s="108">
        <v>7</v>
      </c>
      <c r="X24" s="124">
        <v>1</v>
      </c>
    </row>
    <row r="25" spans="1:24" s="124" customFormat="1" ht="14.25" customHeight="1">
      <c r="A25" s="241" t="str">
        <f>'רשימת מכשור 2015'!A30</f>
        <v>מד רדוקס</v>
      </c>
      <c r="B25" s="241" t="str">
        <f>'רשימת מכשור 2015'!B30</f>
        <v xml:space="preserve">
 EUTECH INSTRUMENT</v>
      </c>
      <c r="C25" s="241" t="str">
        <f>'רשימת מכשור 2015'!C30</f>
        <v>Sensor: Pt4805-DPA-SC-S8
Transmiter: ALPHA pH800</v>
      </c>
      <c r="D25" s="241" t="str">
        <f>'רשימת מכשור 2015'!D30</f>
        <v>SW SYSTEM</v>
      </c>
      <c r="E25" s="241" t="str">
        <f>'רשימת מכשור 2015'!E30</f>
        <v>1-1-132-ORP-1</v>
      </c>
      <c r="F25" s="241">
        <f>'רשימת מכשור 2015'!F30</f>
        <v>7000</v>
      </c>
      <c r="G25" s="252">
        <v>1</v>
      </c>
      <c r="H25" s="252">
        <f t="shared" si="3"/>
        <v>7000</v>
      </c>
      <c r="I25" s="252"/>
      <c r="J25" s="252">
        <v>1</v>
      </c>
      <c r="K25" s="252">
        <v>1</v>
      </c>
      <c r="L25" s="252">
        <v>1.5</v>
      </c>
      <c r="M25" s="252" t="str">
        <f t="shared" si="2"/>
        <v>לרכוש</v>
      </c>
      <c r="N25" s="252">
        <v>1000</v>
      </c>
      <c r="O25" s="252"/>
      <c r="P25" s="252">
        <v>2</v>
      </c>
      <c r="Q25" s="252"/>
      <c r="R25" s="252">
        <f t="shared" si="0"/>
        <v>3</v>
      </c>
      <c r="S25" s="252">
        <f t="shared" si="1"/>
        <v>1</v>
      </c>
      <c r="T25" s="252">
        <v>1</v>
      </c>
      <c r="U25" s="252"/>
      <c r="W25" s="124">
        <v>7.5</v>
      </c>
      <c r="X25" s="124">
        <v>2</v>
      </c>
    </row>
    <row r="26" spans="1:24" s="124" customFormat="1" ht="33.75" customHeight="1">
      <c r="A26" s="241" t="str">
        <f>'רשימת מכשור 2015'!A32</f>
        <v>מד רעידות</v>
      </c>
      <c r="B26" s="241" t="str">
        <f>'רשימת מכשור 2015'!B32</f>
        <v xml:space="preserve">GEAיצור עצמי </v>
      </c>
      <c r="C26" s="241" t="str">
        <f>'רשימת מכשור 2015'!C32</f>
        <v xml:space="preserve">HW - sensor messtechnik pch  </v>
      </c>
      <c r="D26" s="241" t="str">
        <f>'רשימת מכשור 2015'!D32</f>
        <v>צנטרפוגה</v>
      </c>
      <c r="E26" s="241" t="str">
        <f>'רשימת מכשור 2015'!E32</f>
        <v>NAH/HH01-9-018</v>
      </c>
      <c r="F26" s="241">
        <f>'רשימת מכשור 2015'!F32</f>
        <v>6615</v>
      </c>
      <c r="G26" s="252">
        <v>1</v>
      </c>
      <c r="H26" s="252">
        <f t="shared" si="3"/>
        <v>6615</v>
      </c>
      <c r="I26" s="252"/>
      <c r="J26" s="252">
        <v>1</v>
      </c>
      <c r="K26" s="252">
        <v>1</v>
      </c>
      <c r="L26" s="252">
        <v>1.5</v>
      </c>
      <c r="M26" s="252" t="str">
        <f t="shared" si="2"/>
        <v>לרכוש</v>
      </c>
      <c r="N26" s="252">
        <v>1000</v>
      </c>
      <c r="O26" s="252"/>
      <c r="P26" s="252">
        <v>1</v>
      </c>
      <c r="Q26" s="252"/>
      <c r="R26" s="252">
        <f t="shared" si="0"/>
        <v>1.5</v>
      </c>
      <c r="S26" s="252">
        <f t="shared" si="1"/>
        <v>1</v>
      </c>
      <c r="T26" s="252">
        <v>1</v>
      </c>
      <c r="U26" s="252"/>
      <c r="W26" s="108">
        <v>8.4</v>
      </c>
      <c r="X26" s="124">
        <v>1</v>
      </c>
    </row>
    <row r="27" spans="1:24" s="124" customFormat="1" ht="14.25" customHeight="1">
      <c r="A27" s="241" t="str">
        <f>'רשימת מכשור 2015'!A33</f>
        <v>משדר לחץ</v>
      </c>
      <c r="B27" s="241" t="str">
        <f>'רשימת מכשור 2015'!B33</f>
        <v>E+H</v>
      </c>
      <c r="C27" s="241" t="str">
        <f>'רשימת מכשור 2015'!C33</f>
        <v>PMP46-RE13SBJPGD</v>
      </c>
      <c r="D27" s="241" t="str">
        <f>'רשימת מכשור 2015'!D33</f>
        <v>PW STORAGE
2500</v>
      </c>
      <c r="E27" s="241" t="str">
        <f>'רשימת מכשור 2015'!E33</f>
        <v>1-1-606-PIT-007</v>
      </c>
      <c r="F27" s="241">
        <f>'רשימת מכשור 2015'!F33</f>
        <v>6000</v>
      </c>
      <c r="G27" s="252">
        <v>1</v>
      </c>
      <c r="H27" s="252">
        <f t="shared" si="3"/>
        <v>6000</v>
      </c>
      <c r="I27" s="252" t="s">
        <v>82</v>
      </c>
      <c r="J27" s="252">
        <v>1</v>
      </c>
      <c r="K27" s="252">
        <v>1</v>
      </c>
      <c r="L27" s="252">
        <v>1</v>
      </c>
      <c r="M27" s="252" t="str">
        <f t="shared" si="2"/>
        <v>לא לרכוש</v>
      </c>
      <c r="N27" s="252">
        <v>1000</v>
      </c>
      <c r="O27" s="252"/>
      <c r="P27" s="252">
        <v>1</v>
      </c>
      <c r="Q27" s="252"/>
      <c r="R27" s="252">
        <f t="shared" si="0"/>
        <v>1</v>
      </c>
      <c r="S27" s="252">
        <f t="shared" si="1"/>
        <v>1</v>
      </c>
      <c r="T27" s="252">
        <v>1</v>
      </c>
      <c r="U27" s="254"/>
      <c r="W27" s="108">
        <v>9</v>
      </c>
      <c r="X27" s="124">
        <v>3</v>
      </c>
    </row>
    <row r="28" spans="1:24" s="124" customFormat="1" ht="14.25" customHeight="1">
      <c r="A28" s="241" t="str">
        <f>'רשימת מכשור 2015'!A34</f>
        <v>משדר לחץ</v>
      </c>
      <c r="B28" s="241" t="str">
        <f>'רשימת מכשור 2015'!B34</f>
        <v>Carabar M</v>
      </c>
      <c r="C28" s="241" t="str">
        <f>'רשימת מכשור 2015'!C34</f>
        <v>D800AB0112A</v>
      </c>
      <c r="D28" s="241" t="str">
        <f>'רשימת מכשור 2015'!D34</f>
        <v>WFI-PRODUCTION/STORAGE</v>
      </c>
      <c r="E28" s="241" t="str">
        <f>'רשימת מכשור 2015'!E34</f>
        <v>25-PIC-1</v>
      </c>
      <c r="F28" s="241">
        <f>'רשימת מכשור 2015'!F34</f>
        <v>6000</v>
      </c>
      <c r="G28" s="252">
        <v>1</v>
      </c>
      <c r="H28" s="252">
        <f t="shared" si="3"/>
        <v>6000</v>
      </c>
      <c r="I28" s="252" t="s">
        <v>82</v>
      </c>
      <c r="J28" s="252">
        <v>1</v>
      </c>
      <c r="K28" s="252">
        <v>1</v>
      </c>
      <c r="L28" s="252">
        <v>1.2</v>
      </c>
      <c r="M28" s="252" t="str">
        <f t="shared" si="2"/>
        <v>לא לרכוש</v>
      </c>
      <c r="N28" s="252">
        <v>1000</v>
      </c>
      <c r="O28" s="252"/>
      <c r="P28" s="252">
        <v>1</v>
      </c>
      <c r="Q28" s="252"/>
      <c r="R28" s="252">
        <f t="shared" si="0"/>
        <v>1.2</v>
      </c>
      <c r="S28" s="252">
        <f t="shared" si="1"/>
        <v>1</v>
      </c>
      <c r="T28" s="252">
        <v>1</v>
      </c>
      <c r="U28" s="252"/>
      <c r="W28" s="108">
        <v>9.1</v>
      </c>
      <c r="X28" s="124">
        <v>1</v>
      </c>
    </row>
    <row r="29" spans="1:24" s="124" customFormat="1" ht="14.25" customHeight="1">
      <c r="A29" s="241" t="str">
        <f>'רשימת מכשור 2015'!A35</f>
        <v>משדר לחץ</v>
      </c>
      <c r="B29" s="241" t="str">
        <f>'רשימת מכשור 2015'!B35</f>
        <v>E+H</v>
      </c>
      <c r="C29" s="241" t="str">
        <f>'רשימת מכשור 2015'!C35</f>
        <v>CERABAR M PMC45</v>
      </c>
      <c r="D29" s="241" t="str">
        <f>'רשימת מכשור 2015'!D35</f>
        <v>RO PRODUCTION</v>
      </c>
      <c r="E29" s="241" t="str">
        <f>'רשימת מכשור 2015'!E35</f>
        <v>1-1-133-PIC-2</v>
      </c>
      <c r="F29" s="241">
        <f>'רשימת מכשור 2015'!F35</f>
        <v>6000</v>
      </c>
      <c r="G29" s="252">
        <v>1</v>
      </c>
      <c r="H29" s="252">
        <f t="shared" si="3"/>
        <v>6000</v>
      </c>
      <c r="I29" s="252" t="s">
        <v>82</v>
      </c>
      <c r="J29" s="252">
        <v>1</v>
      </c>
      <c r="K29" s="252">
        <v>1</v>
      </c>
      <c r="L29" s="252">
        <v>1.5</v>
      </c>
      <c r="M29" s="252" t="str">
        <f t="shared" si="2"/>
        <v>לא לרכוש</v>
      </c>
      <c r="N29" s="252">
        <v>1000</v>
      </c>
      <c r="O29" s="252"/>
      <c r="P29" s="252">
        <v>1</v>
      </c>
      <c r="Q29" s="252"/>
      <c r="R29" s="252">
        <f t="shared" si="0"/>
        <v>1.5</v>
      </c>
      <c r="S29" s="252">
        <f t="shared" si="1"/>
        <v>1</v>
      </c>
      <c r="T29" s="252">
        <v>1</v>
      </c>
      <c r="U29" s="252"/>
      <c r="W29" s="124">
        <v>10.5</v>
      </c>
      <c r="X29" s="124">
        <v>1</v>
      </c>
    </row>
    <row r="30" spans="1:24" s="124" customFormat="1" ht="28.5" customHeight="1">
      <c r="A30" s="241" t="str">
        <f>'רשימת מכשור 2015'!A36</f>
        <v>משדר לחץ</v>
      </c>
      <c r="B30" s="241" t="str">
        <f>'רשימת מכשור 2015'!B36</f>
        <v>E+H</v>
      </c>
      <c r="C30" s="241" t="str">
        <f>'רשימת מכשור 2015'!C36</f>
        <v>CB012C01024</v>
      </c>
      <c r="D30" s="241" t="str">
        <f>'רשימת מכשור 2015'!D36</f>
        <v>RO PRODUCTION</v>
      </c>
      <c r="E30" s="241" t="str">
        <f>'רשימת מכשור 2015'!E36</f>
        <v>1-1-133-PIC-6</v>
      </c>
      <c r="F30" s="241">
        <f>'רשימת מכשור 2015'!F36</f>
        <v>6000</v>
      </c>
      <c r="G30" s="252">
        <v>1</v>
      </c>
      <c r="H30" s="252">
        <f t="shared" si="3"/>
        <v>6000</v>
      </c>
      <c r="I30" s="252"/>
      <c r="J30" s="252">
        <v>1</v>
      </c>
      <c r="K30" s="252">
        <v>1</v>
      </c>
      <c r="L30" s="252">
        <v>1.5</v>
      </c>
      <c r="M30" s="252" t="str">
        <f t="shared" si="2"/>
        <v>לרכוש</v>
      </c>
      <c r="N30" s="252">
        <v>1000</v>
      </c>
      <c r="O30" s="252"/>
      <c r="P30" s="252">
        <v>2</v>
      </c>
      <c r="Q30" s="252"/>
      <c r="R30" s="252">
        <f t="shared" si="0"/>
        <v>3</v>
      </c>
      <c r="S30" s="252">
        <f t="shared" si="1"/>
        <v>1</v>
      </c>
      <c r="T30" s="252">
        <v>1</v>
      </c>
      <c r="U30" s="252"/>
      <c r="W30" s="108">
        <v>11</v>
      </c>
      <c r="X30" s="124">
        <v>2</v>
      </c>
    </row>
    <row r="31" spans="1:24" s="124" customFormat="1" ht="14.25" customHeight="1">
      <c r="A31" s="241" t="str">
        <f>'רשימת מכשור 2015'!A38</f>
        <v>משדר לחץ</v>
      </c>
      <c r="B31" s="241" t="str">
        <f>'רשימת מכשור 2015'!B38</f>
        <v>E+H</v>
      </c>
      <c r="C31" s="241" t="str">
        <f>'רשימת מכשור 2015'!C38</f>
        <v>CERABAR M PMP46-RE17P1JPDGD</v>
      </c>
      <c r="D31" s="241" t="str">
        <f>'רשימת מכשור 2015'!D38</f>
        <v>MEDIA</v>
      </c>
      <c r="E31" s="241" t="str">
        <f>'רשימת מכשור 2015'!E38</f>
        <v>1-1-56-PC-1</v>
      </c>
      <c r="F31" s="241">
        <f>'רשימת מכשור 2015'!F38</f>
        <v>6000</v>
      </c>
      <c r="G31" s="252">
        <v>1</v>
      </c>
      <c r="H31" s="252">
        <f t="shared" si="3"/>
        <v>6000</v>
      </c>
      <c r="I31" s="252" t="s">
        <v>82</v>
      </c>
      <c r="J31" s="252">
        <v>1</v>
      </c>
      <c r="K31" s="252">
        <v>1</v>
      </c>
      <c r="L31" s="252">
        <v>1.5</v>
      </c>
      <c r="M31" s="252" t="str">
        <f t="shared" si="2"/>
        <v>לא לרכוש</v>
      </c>
      <c r="N31" s="252">
        <v>1000</v>
      </c>
      <c r="O31" s="252"/>
      <c r="P31" s="252">
        <v>2</v>
      </c>
      <c r="Q31" s="252"/>
      <c r="R31" s="252">
        <f t="shared" si="0"/>
        <v>3</v>
      </c>
      <c r="S31" s="252">
        <f t="shared" si="1"/>
        <v>1</v>
      </c>
      <c r="T31" s="252">
        <v>1</v>
      </c>
      <c r="U31" s="252"/>
      <c r="W31" s="124">
        <v>13.5</v>
      </c>
      <c r="X31" s="124">
        <v>1</v>
      </c>
    </row>
    <row r="32" spans="1:24" s="124" customFormat="1" ht="32.25" customHeight="1">
      <c r="A32" s="241" t="str">
        <f>'רשימת מכשור 2015'!A40</f>
        <v>משדר לחץ</v>
      </c>
      <c r="B32" s="241" t="str">
        <f>'רשימת מכשור 2015'!B40</f>
        <v>E+H</v>
      </c>
      <c r="C32" s="241" t="str">
        <f>'רשימת מכשור 2015'!C40</f>
        <v>CERABAR M PMP46-RE13SVJPDGD</v>
      </c>
      <c r="D32" s="241" t="str">
        <f>'רשימת מכשור 2015'!D40</f>
        <v>CRUDE</v>
      </c>
      <c r="E32" s="241" t="str">
        <f>'רשימת מכשור 2015'!E40</f>
        <v>1-1-28-PC-2</v>
      </c>
      <c r="F32" s="241">
        <f>'רשימת מכשור 2015'!F40</f>
        <v>6000</v>
      </c>
      <c r="G32" s="252">
        <v>1</v>
      </c>
      <c r="H32" s="252">
        <f t="shared" si="3"/>
        <v>6000</v>
      </c>
      <c r="I32" s="252" t="s">
        <v>82</v>
      </c>
      <c r="J32" s="252">
        <v>1</v>
      </c>
      <c r="K32" s="252">
        <v>1</v>
      </c>
      <c r="L32" s="252">
        <v>1.5</v>
      </c>
      <c r="M32" s="252" t="str">
        <f t="shared" si="2"/>
        <v>לא לרכוש</v>
      </c>
      <c r="N32" s="252">
        <v>1000</v>
      </c>
      <c r="O32" s="252"/>
      <c r="P32" s="252">
        <v>5</v>
      </c>
      <c r="Q32" s="252"/>
      <c r="R32" s="252">
        <f t="shared" si="0"/>
        <v>7.5</v>
      </c>
      <c r="S32" s="252">
        <f t="shared" si="1"/>
        <v>1</v>
      </c>
      <c r="T32" s="252">
        <v>1</v>
      </c>
      <c r="U32" s="252"/>
      <c r="W32" s="108">
        <v>15</v>
      </c>
      <c r="X32" s="124">
        <v>4</v>
      </c>
    </row>
    <row r="33" spans="1:24" s="124" customFormat="1" ht="42.75" customHeight="1">
      <c r="A33" s="241" t="str">
        <f>'רשימת מכשור 2015'!A45</f>
        <v>מד מפלס</v>
      </c>
      <c r="B33" s="241" t="str">
        <f>'רשימת מכשור 2015'!B45</f>
        <v>E+H</v>
      </c>
      <c r="C33" s="241" t="str">
        <f>'רשימת מכשור 2015'!C45</f>
        <v>LIQUCAP M FMI52-A1ATJJA1A1A</v>
      </c>
      <c r="D33" s="241" t="str">
        <f>'רשימת מכשור 2015'!D45</f>
        <v>PW STORAGE
2500</v>
      </c>
      <c r="E33" s="241" t="str">
        <f>'רשימת מכשור 2015'!E45</f>
        <v>1-1-606-LT-002</v>
      </c>
      <c r="F33" s="241">
        <f>'רשימת מכשור 2015'!F45</f>
        <v>5111</v>
      </c>
      <c r="G33" s="252">
        <v>1</v>
      </c>
      <c r="H33" s="252">
        <f t="shared" si="3"/>
        <v>5111</v>
      </c>
      <c r="I33" s="252"/>
      <c r="J33" s="252">
        <v>1</v>
      </c>
      <c r="K33" s="252">
        <v>1</v>
      </c>
      <c r="L33" s="252">
        <v>1.5</v>
      </c>
      <c r="M33" s="252" t="str">
        <f t="shared" si="2"/>
        <v>לרכוש</v>
      </c>
      <c r="N33" s="252">
        <v>1000</v>
      </c>
      <c r="O33" s="252"/>
      <c r="P33" s="252">
        <v>1</v>
      </c>
      <c r="Q33" s="252"/>
      <c r="R33" s="252">
        <f t="shared" si="0"/>
        <v>1.5</v>
      </c>
      <c r="S33" s="252">
        <f t="shared" si="1"/>
        <v>1</v>
      </c>
      <c r="T33" s="252">
        <v>1</v>
      </c>
      <c r="U33" s="252"/>
      <c r="W33" s="108">
        <v>60</v>
      </c>
      <c r="X33" s="124">
        <v>2</v>
      </c>
    </row>
    <row r="34" spans="1:24" s="124" customFormat="1" ht="28.5" customHeight="1">
      <c r="A34" s="241" t="str">
        <f>'רשימת מכשור 2015'!A46</f>
        <v>סעפת 20 ברז (מפעיל)ים</v>
      </c>
      <c r="B34" s="241" t="str">
        <f>'רשימת מכשור 2015'!B46</f>
        <v>FESTO ISRAEL</v>
      </c>
      <c r="C34" s="241" t="str">
        <f>'רשימת מכשור 2015'!C46</f>
        <v xml:space="preserve">FESTO </v>
      </c>
      <c r="D34" s="241" t="str">
        <f>'רשימת מכשור 2015'!D46</f>
        <v>צנטרפוגה</v>
      </c>
      <c r="E34" s="241" t="str">
        <f>'רשימת מכשור 2015'!E46</f>
        <v xml:space="preserve">N/A </v>
      </c>
      <c r="F34" s="241">
        <f>'רשימת מכשור 2015'!F46</f>
        <v>5000</v>
      </c>
      <c r="G34" s="252">
        <v>1</v>
      </c>
      <c r="H34" s="252">
        <f t="shared" si="3"/>
        <v>5000</v>
      </c>
      <c r="I34" s="252"/>
      <c r="J34" s="252">
        <v>1</v>
      </c>
      <c r="K34" s="252">
        <v>1</v>
      </c>
      <c r="L34" s="252">
        <v>0.5</v>
      </c>
      <c r="M34" s="252" t="str">
        <f t="shared" si="2"/>
        <v>לרכוש</v>
      </c>
      <c r="N34" s="252">
        <v>1000</v>
      </c>
      <c r="O34" s="252"/>
      <c r="P34" s="252">
        <v>1</v>
      </c>
      <c r="Q34" s="252"/>
      <c r="R34" s="252">
        <f t="shared" si="0"/>
        <v>0.5</v>
      </c>
      <c r="S34" s="252">
        <f t="shared" si="1"/>
        <v>1</v>
      </c>
      <c r="T34" s="252">
        <v>1</v>
      </c>
      <c r="U34" s="252"/>
      <c r="W34" s="108">
        <v>70</v>
      </c>
      <c r="X34" s="124">
        <v>1</v>
      </c>
    </row>
    <row r="35" spans="1:24" s="124" customFormat="1" ht="42.75" customHeight="1">
      <c r="A35" s="241" t="str">
        <f>'רשימת מכשור 2015'!A47</f>
        <v>משדר לחץ</v>
      </c>
      <c r="B35" s="241" t="str">
        <f>'רשימת מכשור 2015'!B47</f>
        <v>Baumer</v>
      </c>
      <c r="C35" s="241" t="str">
        <f>'רשימת מכשור 2015'!C47</f>
        <v>PBMH 25B72RA14481202000</v>
      </c>
      <c r="D35" s="241" t="str">
        <f>'רשימת מכשור 2015'!D47</f>
        <v>DISTILLERY</v>
      </c>
      <c r="E35" s="241" t="str">
        <f>'רשימת מכשור 2015'!E47</f>
        <v>1-1-40-PT-01</v>
      </c>
      <c r="F35" s="241">
        <f>'רשימת מכשור 2015'!F47</f>
        <v>5000</v>
      </c>
      <c r="G35" s="252">
        <v>1</v>
      </c>
      <c r="H35" s="252">
        <f t="shared" si="3"/>
        <v>5000</v>
      </c>
      <c r="I35" s="252" t="s">
        <v>82</v>
      </c>
      <c r="J35" s="252">
        <v>1</v>
      </c>
      <c r="K35" s="252">
        <v>1</v>
      </c>
      <c r="L35" s="252">
        <v>1.2</v>
      </c>
      <c r="M35" s="252" t="str">
        <f t="shared" si="2"/>
        <v>לא לרכוש</v>
      </c>
      <c r="N35" s="252">
        <v>1000</v>
      </c>
      <c r="O35" s="252"/>
      <c r="P35" s="252">
        <v>3</v>
      </c>
      <c r="Q35" s="252"/>
      <c r="R35" s="252">
        <f t="shared" si="0"/>
        <v>3.5999999999999996</v>
      </c>
      <c r="S35" s="252">
        <f t="shared" si="1"/>
        <v>1</v>
      </c>
      <c r="T35" s="252">
        <v>1</v>
      </c>
      <c r="U35" s="252"/>
      <c r="W35" s="108"/>
      <c r="X35" s="108"/>
    </row>
    <row r="36" spans="1:24" s="124" customFormat="1" ht="57.6">
      <c r="A36" s="240" t="str">
        <f>'רשימת מכשור 2015'!A50</f>
        <v>LOAD CELL</v>
      </c>
      <c r="B36" s="241" t="str">
        <f>'רשימת מכשור 2015'!B50</f>
        <v>TEDEA</v>
      </c>
      <c r="C36" s="241">
        <f>'רשימת מכשור 2015'!C50</f>
        <v>3410</v>
      </c>
      <c r="D36" s="241" t="str">
        <f>'רשימת מכשור 2015'!D50</f>
        <v>MEDIA</v>
      </c>
      <c r="E36" s="241" t="str">
        <f>'רשימת מכשור 2015'!E50</f>
        <v>1-1-8-WC-1</v>
      </c>
      <c r="F36" s="241">
        <f>'רשימת מכשור 2015'!F50</f>
        <v>1500</v>
      </c>
      <c r="G36" s="252">
        <v>1</v>
      </c>
      <c r="H36" s="252">
        <f t="shared" si="3"/>
        <v>1500</v>
      </c>
      <c r="I36" s="252" t="s">
        <v>82</v>
      </c>
      <c r="J36" s="252">
        <v>1</v>
      </c>
      <c r="K36" s="252">
        <v>1</v>
      </c>
      <c r="L36" s="252">
        <v>0.5</v>
      </c>
      <c r="M36" s="252" t="str">
        <f t="shared" si="2"/>
        <v>לא לרכוש</v>
      </c>
      <c r="N36" s="252">
        <v>1000</v>
      </c>
      <c r="O36" s="252"/>
      <c r="P36" s="252">
        <v>27</v>
      </c>
      <c r="Q36" s="252"/>
      <c r="R36" s="252">
        <f t="shared" si="0"/>
        <v>13.5</v>
      </c>
      <c r="S36" s="252">
        <f t="shared" si="1"/>
        <v>2</v>
      </c>
      <c r="T36" s="255">
        <v>2</v>
      </c>
      <c r="U36" s="255" t="s">
        <v>1186</v>
      </c>
      <c r="W36" s="108"/>
      <c r="X36" s="108"/>
    </row>
    <row r="37" spans="1:24" s="124" customFormat="1" ht="57.6">
      <c r="A37" s="240" t="str">
        <f>'רשימת מכשור 2015'!A51</f>
        <v>LOAD CELL</v>
      </c>
      <c r="B37" s="241" t="str">
        <f>'רשימת מכשור 2015'!B51</f>
        <v>REVERE</v>
      </c>
      <c r="C37" s="241" t="str">
        <f>'רשימת מכשור 2015'!C51</f>
        <v xml:space="preserve">RLC </v>
      </c>
      <c r="D37" s="241" t="str">
        <f>'רשימת מכשור 2015'!D51</f>
        <v>CRUDE</v>
      </c>
      <c r="E37" s="241" t="str">
        <f>'רשימת מכשור 2015'!E51</f>
        <v>1-1-28-WC-1</v>
      </c>
      <c r="F37" s="241">
        <f>'רשימת מכשור 2015'!F51</f>
        <v>1500</v>
      </c>
      <c r="G37" s="252">
        <v>1</v>
      </c>
      <c r="H37" s="252">
        <f t="shared" si="3"/>
        <v>1500</v>
      </c>
      <c r="I37" s="252"/>
      <c r="J37" s="252">
        <v>1</v>
      </c>
      <c r="K37" s="252">
        <v>1</v>
      </c>
      <c r="L37" s="252">
        <v>0.5</v>
      </c>
      <c r="M37" s="252" t="str">
        <f t="shared" si="2"/>
        <v>לרכוש</v>
      </c>
      <c r="N37" s="252">
        <v>1000</v>
      </c>
      <c r="O37" s="252"/>
      <c r="P37" s="252">
        <v>21</v>
      </c>
      <c r="Q37" s="252"/>
      <c r="R37" s="252">
        <f t="shared" ref="R37:R68" si="4">P37*L37*J37</f>
        <v>10.5</v>
      </c>
      <c r="S37" s="252">
        <f t="shared" ref="S37:S68" si="5">IF(R37&gt;$AA$8,IF(R37&lt;$AA$9,$AB$9,$AB$10), $AB$8)</f>
        <v>2</v>
      </c>
      <c r="T37" s="255">
        <v>2</v>
      </c>
      <c r="U37" s="255" t="s">
        <v>1186</v>
      </c>
      <c r="W37" s="108"/>
      <c r="X37" s="108"/>
    </row>
    <row r="38" spans="1:24" s="124" customFormat="1" ht="28.5" customHeight="1">
      <c r="A38" s="241" t="str">
        <f>'רשימת מכשור 2015'!A57</f>
        <v>מד מהירות</v>
      </c>
      <c r="B38" s="241" t="str">
        <f>'רשימת מכשור 2015'!B57</f>
        <v>p+f</v>
      </c>
      <c r="C38" s="241" t="str">
        <f>'רשימת מכשור 2015'!C57</f>
        <v>KFD2-UFC-EX1.D</v>
      </c>
      <c r="D38" s="241" t="str">
        <f>'רשימת מכשור 2015'!D57</f>
        <v>HARVEST</v>
      </c>
      <c r="E38" s="241" t="str">
        <f>'רשימת מכשור 2015'!E57</f>
        <v>1-1-27-SIC-1</v>
      </c>
      <c r="F38" s="241">
        <f>'רשימת מכשור 2015'!F57</f>
        <v>4500</v>
      </c>
      <c r="G38" s="252">
        <v>1</v>
      </c>
      <c r="H38" s="252">
        <f t="shared" si="3"/>
        <v>4500</v>
      </c>
      <c r="I38" s="252"/>
      <c r="J38" s="252">
        <v>1</v>
      </c>
      <c r="K38" s="252">
        <v>1</v>
      </c>
      <c r="L38" s="252">
        <v>1.5</v>
      </c>
      <c r="M38" s="252" t="str">
        <f t="shared" si="2"/>
        <v>לרכוש</v>
      </c>
      <c r="N38" s="252">
        <v>1000</v>
      </c>
      <c r="O38" s="252"/>
      <c r="P38" s="252">
        <v>1</v>
      </c>
      <c r="Q38" s="252"/>
      <c r="R38" s="252">
        <f t="shared" si="4"/>
        <v>1.5</v>
      </c>
      <c r="S38" s="252">
        <f t="shared" si="5"/>
        <v>1</v>
      </c>
      <c r="T38" s="252">
        <v>1</v>
      </c>
      <c r="U38" s="252"/>
      <c r="W38" s="108"/>
      <c r="X38" s="108"/>
    </row>
    <row r="39" spans="1:24" s="124" customFormat="1" ht="28.5" customHeight="1">
      <c r="A39" s="241" t="str">
        <f>'רשימת מכשור 2015'!A66</f>
        <v>LOAD CELL</v>
      </c>
      <c r="B39" s="241" t="str">
        <f>'רשימת מכשור 2015'!B66</f>
        <v>TEDEA</v>
      </c>
      <c r="C39" s="241">
        <f>'רשימת מכשור 2015'!C66</f>
        <v>3510</v>
      </c>
      <c r="D39" s="241" t="str">
        <f>'רשימת מכשור 2015'!D66</f>
        <v>COLUMN 4/5</v>
      </c>
      <c r="E39" s="241" t="str">
        <f>'רשימת מכשור 2015'!E66</f>
        <v>1-1-4-WC-1</v>
      </c>
      <c r="F39" s="241">
        <f>'רשימת מכשור 2015'!F66</f>
        <v>1500</v>
      </c>
      <c r="G39" s="252">
        <v>1</v>
      </c>
      <c r="H39" s="252">
        <f t="shared" si="3"/>
        <v>1500</v>
      </c>
      <c r="I39" s="252"/>
      <c r="J39" s="252">
        <v>1</v>
      </c>
      <c r="K39" s="252">
        <v>1</v>
      </c>
      <c r="L39" s="252">
        <v>0.5</v>
      </c>
      <c r="M39" s="252" t="str">
        <f t="shared" si="2"/>
        <v>לרכוש</v>
      </c>
      <c r="N39" s="252">
        <v>1000</v>
      </c>
      <c r="O39" s="252"/>
      <c r="P39" s="252">
        <v>3</v>
      </c>
      <c r="Q39" s="252"/>
      <c r="R39" s="252">
        <f t="shared" si="4"/>
        <v>1.5</v>
      </c>
      <c r="S39" s="252">
        <f t="shared" si="5"/>
        <v>1</v>
      </c>
      <c r="T39" s="252">
        <v>1</v>
      </c>
      <c r="U39" s="252"/>
      <c r="W39" s="108"/>
      <c r="X39" s="108"/>
    </row>
    <row r="40" spans="1:24" s="124" customFormat="1" ht="28.5" customHeight="1">
      <c r="A40" s="241" t="str">
        <f>'רשימת מכשור 2015'!A67</f>
        <v>LOAD CELL</v>
      </c>
      <c r="B40" s="241" t="str">
        <f>'רשימת מכשור 2015'!B67</f>
        <v>ZEMIC</v>
      </c>
      <c r="C40" s="241" t="str">
        <f>'רשימת מכשור 2015'!C67</f>
        <v>BM11-C3-50KG-3B-SC</v>
      </c>
      <c r="D40" s="241" t="str">
        <f>'רשימת מכשור 2015'!D67</f>
        <v>COLUMN 4/5</v>
      </c>
      <c r="E40" s="241" t="str">
        <f>'רשימת מכשור 2015'!E67</f>
        <v>1-1-4-WC-2</v>
      </c>
      <c r="F40" s="241">
        <f>'רשימת מכשור 2015'!F67</f>
        <v>1500</v>
      </c>
      <c r="G40" s="252">
        <v>1</v>
      </c>
      <c r="H40" s="252">
        <f t="shared" si="3"/>
        <v>1500</v>
      </c>
      <c r="I40" s="252"/>
      <c r="J40" s="252">
        <v>1</v>
      </c>
      <c r="K40" s="252">
        <v>1</v>
      </c>
      <c r="L40" s="252">
        <v>0.5</v>
      </c>
      <c r="M40" s="252" t="str">
        <f t="shared" si="2"/>
        <v>לרכוש</v>
      </c>
      <c r="N40" s="252">
        <v>1000</v>
      </c>
      <c r="O40" s="252"/>
      <c r="P40" s="252">
        <v>3</v>
      </c>
      <c r="Q40" s="252"/>
      <c r="R40" s="252">
        <f t="shared" si="4"/>
        <v>1.5</v>
      </c>
      <c r="S40" s="252">
        <f t="shared" si="5"/>
        <v>1</v>
      </c>
      <c r="T40" s="252">
        <v>1</v>
      </c>
      <c r="U40" s="252"/>
      <c r="W40" s="108"/>
      <c r="X40" s="108"/>
    </row>
    <row r="41" spans="1:24" s="124" customFormat="1" ht="28.5" customHeight="1">
      <c r="A41" s="241" t="str">
        <f>'רשימת מכשור 2015'!A68</f>
        <v>מפסק גובה</v>
      </c>
      <c r="B41" s="241" t="str">
        <f>'רשימת מכשור 2015'!B68</f>
        <v>E+H ISRAEL</v>
      </c>
      <c r="C41" s="241" t="str">
        <f>'רשימת מכשור 2015'!C68</f>
        <v>E+H - FTL50H</v>
      </c>
      <c r="D41" s="241" t="str">
        <f>'רשימת מכשור 2015'!D68</f>
        <v>צנטרפוגה</v>
      </c>
      <c r="E41" s="241" t="str">
        <f>'רשימת מכשור 2015'!E68</f>
        <v>LSH 01-9-016</v>
      </c>
      <c r="F41" s="241">
        <f>'רשימת מכשור 2015'!F68</f>
        <v>4226</v>
      </c>
      <c r="G41" s="252">
        <v>1</v>
      </c>
      <c r="H41" s="252">
        <f t="shared" si="3"/>
        <v>4226</v>
      </c>
      <c r="I41" s="252"/>
      <c r="J41" s="252">
        <v>1</v>
      </c>
      <c r="K41" s="252">
        <v>1</v>
      </c>
      <c r="L41" s="252">
        <v>1.5</v>
      </c>
      <c r="M41" s="252" t="str">
        <f t="shared" ref="M41:M72" si="6">IF(AND(K41*L41*30*N41&gt;H41/J41,I41=""),"לרכוש","לא לרכוש")</f>
        <v>לרכוש</v>
      </c>
      <c r="N41" s="252">
        <v>1000</v>
      </c>
      <c r="O41" s="252"/>
      <c r="P41" s="252">
        <v>2</v>
      </c>
      <c r="Q41" s="252"/>
      <c r="R41" s="252">
        <f t="shared" si="4"/>
        <v>3</v>
      </c>
      <c r="S41" s="252">
        <f t="shared" si="5"/>
        <v>1</v>
      </c>
      <c r="T41" s="252">
        <v>1</v>
      </c>
      <c r="U41" s="252"/>
      <c r="W41" s="108"/>
      <c r="X41" s="108"/>
    </row>
    <row r="42" spans="1:24" s="124" customFormat="1" ht="28.5" customHeight="1">
      <c r="A42" s="241" t="str">
        <f>'רשימת מכשור 2015'!A69</f>
        <v>אלקטרודת מוליכות</v>
      </c>
      <c r="B42" s="241" t="str">
        <f>'רשימת מכשור 2015'!B69</f>
        <v>Mettler Toledo</v>
      </c>
      <c r="C42" s="241" t="str">
        <f>'רשימת מכשור 2015'!C69</f>
        <v>Inpro 7108 1.5"TC 5200800 
M400</v>
      </c>
      <c r="D42" s="241" t="str">
        <f>'רשימת מכשור 2015'!D69</f>
        <v>CRUDE</v>
      </c>
      <c r="E42" s="241" t="str">
        <f>'רשימת מכשור 2015'!E69</f>
        <v>1-1-28-CIC-2</v>
      </c>
      <c r="F42" s="241">
        <f>'רשימת מכשור 2015'!F69</f>
        <v>4000</v>
      </c>
      <c r="G42" s="252">
        <v>1</v>
      </c>
      <c r="H42" s="252">
        <f t="shared" si="3"/>
        <v>4000</v>
      </c>
      <c r="I42" s="252"/>
      <c r="J42" s="252">
        <v>1</v>
      </c>
      <c r="K42" s="252">
        <v>1</v>
      </c>
      <c r="L42" s="252">
        <v>1</v>
      </c>
      <c r="M42" s="252" t="str">
        <f t="shared" si="6"/>
        <v>לרכוש</v>
      </c>
      <c r="N42" s="252">
        <v>1000</v>
      </c>
      <c r="O42" s="252"/>
      <c r="P42" s="252">
        <v>1</v>
      </c>
      <c r="Q42" s="252"/>
      <c r="R42" s="252">
        <f t="shared" si="4"/>
        <v>1</v>
      </c>
      <c r="S42" s="252">
        <f t="shared" si="5"/>
        <v>1</v>
      </c>
      <c r="T42" s="252">
        <v>1</v>
      </c>
      <c r="U42" s="252"/>
      <c r="W42" s="108"/>
      <c r="X42" s="108"/>
    </row>
    <row r="43" spans="1:24" s="124" customFormat="1" ht="28.8">
      <c r="A43" s="240" t="str">
        <f>'רשימת מכשור 2015'!A70</f>
        <v>משדר מוליכות</v>
      </c>
      <c r="B43" s="241" t="str">
        <f>'רשימת מכשור 2015'!B70</f>
        <v>Mettler Toledo</v>
      </c>
      <c r="C43" s="241" t="str">
        <f>'רשימת מכשור 2015'!C70</f>
        <v>M400</v>
      </c>
      <c r="D43" s="241" t="str">
        <f>'רשימת מכשור 2015'!D70</f>
        <v>NaOH</v>
      </c>
      <c r="E43" s="241" t="str">
        <f>'רשימת מכשור 2015'!E70</f>
        <v>1-1-5-CIC-1</v>
      </c>
      <c r="F43" s="241">
        <f>'רשימת מכשור 2015'!F70</f>
        <v>4000</v>
      </c>
      <c r="G43" s="252">
        <v>1</v>
      </c>
      <c r="H43" s="252">
        <f t="shared" si="3"/>
        <v>4000</v>
      </c>
      <c r="I43" s="252" t="s">
        <v>82</v>
      </c>
      <c r="J43" s="252">
        <v>1</v>
      </c>
      <c r="K43" s="252">
        <v>1</v>
      </c>
      <c r="L43" s="252">
        <v>1</v>
      </c>
      <c r="M43" s="252" t="str">
        <f t="shared" si="6"/>
        <v>לא לרכוש</v>
      </c>
      <c r="N43" s="252">
        <v>1000</v>
      </c>
      <c r="O43" s="252"/>
      <c r="P43" s="252">
        <v>9</v>
      </c>
      <c r="Q43" s="252"/>
      <c r="R43" s="252">
        <f t="shared" si="4"/>
        <v>9</v>
      </c>
      <c r="S43" s="252">
        <f t="shared" si="5"/>
        <v>2</v>
      </c>
      <c r="T43" s="252">
        <v>1</v>
      </c>
      <c r="U43" s="255" t="s">
        <v>1190</v>
      </c>
      <c r="W43" s="108"/>
      <c r="X43" s="108"/>
    </row>
    <row r="44" spans="1:24" s="124" customFormat="1" ht="28.5" customHeight="1">
      <c r="A44" s="241" t="str">
        <f>'רשימת מכשור 2015'!A72</f>
        <v>משדר PH</v>
      </c>
      <c r="B44" s="241" t="str">
        <f>'רשימת מכשור 2015'!B72</f>
        <v>Mettler Toledo</v>
      </c>
      <c r="C44" s="241" t="str">
        <f>'רשימת מכשור 2015'!C72</f>
        <v>PH-2100e</v>
      </c>
      <c r="D44" s="241" t="str">
        <f>'רשימת מכשור 2015'!D72</f>
        <v>MEDIA PILOT</v>
      </c>
      <c r="E44" s="241" t="str">
        <f>'רשימת מכשור 2015'!E72</f>
        <v>1-2-2-PHI-1</v>
      </c>
      <c r="F44" s="241">
        <f>'רשימת מכשור 2015'!F72</f>
        <v>4000</v>
      </c>
      <c r="G44" s="252">
        <v>1</v>
      </c>
      <c r="H44" s="252">
        <f t="shared" si="3"/>
        <v>4000</v>
      </c>
      <c r="I44" s="252" t="s">
        <v>82</v>
      </c>
      <c r="J44" s="252">
        <v>2</v>
      </c>
      <c r="K44" s="252">
        <v>1</v>
      </c>
      <c r="L44" s="252">
        <v>1</v>
      </c>
      <c r="M44" s="252" t="str">
        <f t="shared" si="6"/>
        <v>לא לרכוש</v>
      </c>
      <c r="N44" s="252">
        <v>1000</v>
      </c>
      <c r="O44" s="252"/>
      <c r="P44" s="252">
        <v>1</v>
      </c>
      <c r="Q44" s="252"/>
      <c r="R44" s="252">
        <f t="shared" si="4"/>
        <v>2</v>
      </c>
      <c r="S44" s="252">
        <f t="shared" si="5"/>
        <v>1</v>
      </c>
      <c r="T44" s="252">
        <v>1</v>
      </c>
      <c r="U44" s="255"/>
      <c r="W44" s="108"/>
      <c r="X44" s="108"/>
    </row>
    <row r="45" spans="1:24" s="124" customFormat="1" ht="28.5" customHeight="1">
      <c r="A45" s="240" t="str">
        <f>'רשימת מכשור 2015'!A74</f>
        <v xml:space="preserve">אלקטרודת מוליכות </v>
      </c>
      <c r="B45" s="241" t="str">
        <f>'רשימת מכשור 2015'!B74</f>
        <v>METTLER TOLEDO</v>
      </c>
      <c r="C45" s="241" t="str">
        <f>'רשימת מכשור 2015'!C74</f>
        <v>inpro 7100/12/425/4435 pn 52003793</v>
      </c>
      <c r="D45" s="241" t="str">
        <f>'רשימת מכשור 2015'!D74</f>
        <v>NaOH</v>
      </c>
      <c r="E45" s="241" t="str">
        <f>'רשימת מכשור 2015'!E74</f>
        <v>1-1-5-CIC-1</v>
      </c>
      <c r="F45" s="241">
        <f>'רשימת מכשור 2015'!F74</f>
        <v>3596.5</v>
      </c>
      <c r="G45" s="252">
        <v>1</v>
      </c>
      <c r="H45" s="252">
        <f t="shared" si="3"/>
        <v>3596.5</v>
      </c>
      <c r="I45" s="252" t="s">
        <v>82</v>
      </c>
      <c r="J45" s="252">
        <v>1</v>
      </c>
      <c r="K45" s="252">
        <v>1</v>
      </c>
      <c r="L45" s="252">
        <v>1</v>
      </c>
      <c r="M45" s="252" t="str">
        <f t="shared" si="6"/>
        <v>לא לרכוש</v>
      </c>
      <c r="N45" s="252">
        <v>1000</v>
      </c>
      <c r="O45" s="252"/>
      <c r="P45" s="252">
        <v>11</v>
      </c>
      <c r="Q45" s="252"/>
      <c r="R45" s="252">
        <f t="shared" si="4"/>
        <v>11</v>
      </c>
      <c r="S45" s="252">
        <f t="shared" si="5"/>
        <v>2</v>
      </c>
      <c r="T45" s="252">
        <v>2</v>
      </c>
      <c r="U45" s="255" t="s">
        <v>1184</v>
      </c>
      <c r="W45" s="108"/>
      <c r="X45" s="108"/>
    </row>
    <row r="46" spans="1:24" s="124" customFormat="1" ht="42" customHeight="1">
      <c r="A46" s="241" t="str">
        <f>'רשימת מכשור 2015'!A84</f>
        <v>מפסק גובה</v>
      </c>
      <c r="B46" s="241" t="str">
        <f>'רשימת מכשור 2015'!B84</f>
        <v>E+H</v>
      </c>
      <c r="C46" s="241" t="str">
        <f>'רשימת מכשור 2015'!C84</f>
        <v>LIQUIPHANT M FL50</v>
      </c>
      <c r="D46" s="241" t="str">
        <f>'רשימת מכשור 2015'!D84</f>
        <v>HARVEST</v>
      </c>
      <c r="E46" s="241" t="str">
        <f>'רשימת מכשור 2015'!E84</f>
        <v>1-1-27-LSL-1</v>
      </c>
      <c r="F46" s="241">
        <f>'רשימת מכשור 2015'!F84</f>
        <v>4000</v>
      </c>
      <c r="G46" s="252">
        <v>1</v>
      </c>
      <c r="H46" s="252">
        <f t="shared" si="3"/>
        <v>4000</v>
      </c>
      <c r="I46" s="252"/>
      <c r="J46" s="252">
        <v>1</v>
      </c>
      <c r="K46" s="252">
        <v>1</v>
      </c>
      <c r="L46" s="252">
        <v>1.5</v>
      </c>
      <c r="M46" s="252" t="str">
        <f t="shared" si="6"/>
        <v>לרכוש</v>
      </c>
      <c r="N46" s="252">
        <v>1000</v>
      </c>
      <c r="O46" s="252"/>
      <c r="P46" s="252">
        <v>1</v>
      </c>
      <c r="Q46" s="252"/>
      <c r="R46" s="252">
        <f t="shared" si="4"/>
        <v>1.5</v>
      </c>
      <c r="S46" s="252">
        <f t="shared" si="5"/>
        <v>1</v>
      </c>
      <c r="T46" s="252">
        <v>1</v>
      </c>
      <c r="U46" s="255"/>
      <c r="W46" s="108"/>
      <c r="X46" s="108"/>
    </row>
    <row r="47" spans="1:24" s="124" customFormat="1" ht="71.400000000000006" customHeight="1">
      <c r="A47" s="241" t="str">
        <f>'רשימת מכשור 2015'!A85</f>
        <v>משדר PH</v>
      </c>
      <c r="B47" s="241" t="str">
        <f>'רשימת מכשור 2015'!B85</f>
        <v>Mettler Toledo</v>
      </c>
      <c r="C47" s="241">
        <f>'רשימת מכשור 2015'!C85</f>
        <v>2100</v>
      </c>
      <c r="D47" s="241" t="str">
        <f>'רשימת מכשור 2015'!D85</f>
        <v>COLUMN 1</v>
      </c>
      <c r="E47" s="241" t="str">
        <f>'רשימת מכשור 2015'!E85</f>
        <v>1-1-144-TV-PHT/I-1</v>
      </c>
      <c r="F47" s="241">
        <f>'רשימת מכשור 2015'!F85</f>
        <v>4000</v>
      </c>
      <c r="G47" s="252">
        <v>1</v>
      </c>
      <c r="H47" s="252">
        <f t="shared" si="3"/>
        <v>4000</v>
      </c>
      <c r="I47" s="252" t="s">
        <v>82</v>
      </c>
      <c r="J47" s="252">
        <v>1</v>
      </c>
      <c r="K47" s="252">
        <v>1</v>
      </c>
      <c r="L47" s="252">
        <v>1</v>
      </c>
      <c r="M47" s="252" t="str">
        <f t="shared" si="6"/>
        <v>לא לרכוש</v>
      </c>
      <c r="N47" s="252">
        <v>1000</v>
      </c>
      <c r="O47" s="252"/>
      <c r="P47" s="252">
        <v>4</v>
      </c>
      <c r="Q47" s="252"/>
      <c r="R47" s="252">
        <f t="shared" si="4"/>
        <v>4</v>
      </c>
      <c r="S47" s="252">
        <f t="shared" si="5"/>
        <v>1</v>
      </c>
      <c r="T47" s="252">
        <v>1</v>
      </c>
      <c r="U47" s="255"/>
      <c r="W47" s="108"/>
      <c r="X47" s="108"/>
    </row>
    <row r="48" spans="1:24" s="124" customFormat="1" ht="28.5" customHeight="1">
      <c r="A48" s="241" t="str">
        <f>'רשימת מכשור 2015'!A94</f>
        <v xml:space="preserve">אלקטרודת מוליכות </v>
      </c>
      <c r="B48" s="241" t="str">
        <f>'רשימת מכשור 2015'!B94</f>
        <v>METTLER TOLEDO</v>
      </c>
      <c r="C48" s="241" t="str">
        <f>'רשימת מכשור 2015'!C94</f>
        <v xml:space="preserve"> 233E223
Transmitter: 770 Max -775-LA2</v>
      </c>
      <c r="D48" s="241" t="str">
        <f>'רשימת מכשור 2015'!D94</f>
        <v>PW PRODUCTION
2500</v>
      </c>
      <c r="E48" s="241" t="str">
        <f>'רשימת מכשור 2015'!E94</f>
        <v>1-1-604
-CIT/TIT-005</v>
      </c>
      <c r="F48" s="241">
        <f>'רשימת מכשור 2015'!F94</f>
        <v>3500</v>
      </c>
      <c r="G48" s="252">
        <v>1</v>
      </c>
      <c r="H48" s="252">
        <f t="shared" si="3"/>
        <v>3500</v>
      </c>
      <c r="I48" s="252" t="s">
        <v>82</v>
      </c>
      <c r="J48" s="252">
        <v>1</v>
      </c>
      <c r="K48" s="252">
        <v>1</v>
      </c>
      <c r="L48" s="252">
        <v>1</v>
      </c>
      <c r="M48" s="252" t="str">
        <f t="shared" si="6"/>
        <v>לא לרכוש</v>
      </c>
      <c r="N48" s="252">
        <v>1000</v>
      </c>
      <c r="O48" s="252"/>
      <c r="P48" s="252">
        <v>2</v>
      </c>
      <c r="Q48" s="252"/>
      <c r="R48" s="252">
        <f t="shared" si="4"/>
        <v>2</v>
      </c>
      <c r="S48" s="252">
        <f t="shared" si="5"/>
        <v>1</v>
      </c>
      <c r="T48" s="252">
        <v>1</v>
      </c>
      <c r="U48" s="255"/>
      <c r="W48" s="108"/>
      <c r="X48" s="108"/>
    </row>
    <row r="49" spans="1:24" s="124" customFormat="1" ht="57.6">
      <c r="A49" s="240" t="str">
        <f>'רשימת מכשור 2015'!A96</f>
        <v xml:space="preserve">אלקטרודת מוליכות </v>
      </c>
      <c r="B49" s="241" t="str">
        <f>'רשימת מכשור 2015'!B78</f>
        <v>METTLER TOLEDO</v>
      </c>
      <c r="C49" s="241" t="str">
        <f>'רשימת מכשור 2015'!C96</f>
        <v>SENSOR: 233E223
Transmitter: 770 Max</v>
      </c>
      <c r="D49" s="241" t="str">
        <f>'רשימת מכשור 2015'!D96</f>
        <v>RO PRODUCTION</v>
      </c>
      <c r="E49" s="241" t="str">
        <f>'רשימת מכשור 2015'!E96</f>
        <v>1-1-133-CIC-1</v>
      </c>
      <c r="F49" s="241">
        <f>'רשימת מכשור 2015'!F96</f>
        <v>2500</v>
      </c>
      <c r="G49" s="252">
        <v>1</v>
      </c>
      <c r="H49" s="252">
        <f t="shared" si="3"/>
        <v>2500</v>
      </c>
      <c r="I49" s="252" t="s">
        <v>82</v>
      </c>
      <c r="J49" s="252">
        <v>1</v>
      </c>
      <c r="K49" s="252">
        <v>1</v>
      </c>
      <c r="L49" s="252">
        <v>1.2</v>
      </c>
      <c r="M49" s="252" t="str">
        <f t="shared" si="6"/>
        <v>לא לרכוש</v>
      </c>
      <c r="N49" s="252">
        <v>1000</v>
      </c>
      <c r="O49" s="252"/>
      <c r="P49" s="252">
        <v>7</v>
      </c>
      <c r="Q49" s="252"/>
      <c r="R49" s="252">
        <f t="shared" si="4"/>
        <v>8.4</v>
      </c>
      <c r="S49" s="252">
        <f t="shared" si="5"/>
        <v>2</v>
      </c>
      <c r="T49" s="252">
        <v>2</v>
      </c>
      <c r="U49" s="255" t="s">
        <v>1183</v>
      </c>
      <c r="W49" s="108"/>
      <c r="X49" s="108"/>
    </row>
    <row r="50" spans="1:24" s="124" customFormat="1" ht="35.4" customHeight="1">
      <c r="A50" s="241" t="str">
        <f>'רשימת מכשור 2015'!A97</f>
        <v xml:space="preserve">אלקטרודת מוליכות </v>
      </c>
      <c r="B50" s="241" t="str">
        <f>'רשימת מכשור 2015'!B97</f>
        <v>Mettler Toledo</v>
      </c>
      <c r="C50" s="241" t="str">
        <f>'רשימת מכשור 2015'!C97</f>
        <v>SENSOR: 233E223
Transmitter: 770 Max</v>
      </c>
      <c r="D50" s="241" t="str">
        <f>'רשימת מכשור 2015'!D97</f>
        <v>RO PRODUCTION</v>
      </c>
      <c r="E50" s="241" t="str">
        <f>'רשימת מכשור 2015'!E97</f>
        <v>1-1-133-CIC-2</v>
      </c>
      <c r="F50" s="241">
        <f>'רשימת מכשור 2015'!F97</f>
        <v>2500</v>
      </c>
      <c r="G50" s="252">
        <v>1</v>
      </c>
      <c r="H50" s="252">
        <f t="shared" si="3"/>
        <v>2500</v>
      </c>
      <c r="I50" s="252" t="s">
        <v>82</v>
      </c>
      <c r="J50" s="252">
        <v>1</v>
      </c>
      <c r="K50" s="252">
        <v>1</v>
      </c>
      <c r="L50" s="252">
        <v>1</v>
      </c>
      <c r="M50" s="252" t="str">
        <f t="shared" si="6"/>
        <v>לא לרכוש</v>
      </c>
      <c r="N50" s="252">
        <v>1000</v>
      </c>
      <c r="O50" s="252"/>
      <c r="P50" s="252">
        <v>6</v>
      </c>
      <c r="Q50" s="252"/>
      <c r="R50" s="252">
        <f t="shared" si="4"/>
        <v>6</v>
      </c>
      <c r="S50" s="252">
        <f t="shared" si="5"/>
        <v>1</v>
      </c>
      <c r="T50" s="252">
        <v>1</v>
      </c>
      <c r="U50" s="255"/>
      <c r="W50" s="108"/>
      <c r="X50" s="108"/>
    </row>
    <row r="51" spans="1:24" s="124" customFormat="1" ht="28.5" customHeight="1">
      <c r="A51" s="241" t="str">
        <f>'רשימת מכשור 2015'!A98</f>
        <v>מד מפלס</v>
      </c>
      <c r="B51" s="241" t="str">
        <f>'רשימת מכשור 2015'!B98</f>
        <v>milan</v>
      </c>
      <c r="C51" s="241" t="str">
        <f>'רשימת מכשור 2015'!C98</f>
        <v>מצוף</v>
      </c>
      <c r="D51" s="241" t="str">
        <f>'רשימת מכשור 2015'!D98</f>
        <v>צנטרפוגה</v>
      </c>
      <c r="E51" s="241" t="str">
        <f>'רשימת מכשור 2015'!E98</f>
        <v>27-LIC-1</v>
      </c>
      <c r="F51" s="241">
        <f>'רשימת מכשור 2015'!F98</f>
        <v>3000</v>
      </c>
      <c r="G51" s="252">
        <v>1</v>
      </c>
      <c r="H51" s="252">
        <f t="shared" si="3"/>
        <v>3000</v>
      </c>
      <c r="I51" s="252"/>
      <c r="J51" s="252">
        <v>1</v>
      </c>
      <c r="K51" s="252">
        <v>1</v>
      </c>
      <c r="L51" s="252">
        <v>0.5</v>
      </c>
      <c r="M51" s="252" t="str">
        <f t="shared" si="6"/>
        <v>לרכוש</v>
      </c>
      <c r="N51" s="252">
        <v>1000</v>
      </c>
      <c r="O51" s="252"/>
      <c r="P51" s="252">
        <v>1</v>
      </c>
      <c r="Q51" s="252"/>
      <c r="R51" s="252">
        <f t="shared" si="4"/>
        <v>0.5</v>
      </c>
      <c r="S51" s="252">
        <f t="shared" si="5"/>
        <v>1</v>
      </c>
      <c r="T51" s="252">
        <v>1</v>
      </c>
      <c r="U51" s="255"/>
      <c r="W51" s="108"/>
      <c r="X51" s="108"/>
    </row>
    <row r="52" spans="1:24" s="124" customFormat="1" ht="28.5" customHeight="1">
      <c r="A52" s="241" t="str">
        <f>'רשימת מכשור 2015'!A100</f>
        <v>מפסק זרימה</v>
      </c>
      <c r="B52" s="241" t="str">
        <f>'רשימת מכשור 2015'!B100</f>
        <v>negele</v>
      </c>
      <c r="C52" s="241" t="str">
        <f>'רשימת מכשור 2015'!C100</f>
        <v>FKS-141</v>
      </c>
      <c r="D52" s="241" t="str">
        <f>'רשימת מכשור 2015'!D100</f>
        <v>PW פיילוט</v>
      </c>
      <c r="E52" s="241" t="str">
        <f>'רשימת מכשור 2015'!E100</f>
        <v>1-FS-1</v>
      </c>
      <c r="F52" s="241">
        <f>'רשימת מכשור 2015'!F100</f>
        <v>3000</v>
      </c>
      <c r="G52" s="252">
        <v>1</v>
      </c>
      <c r="H52" s="252">
        <f t="shared" si="3"/>
        <v>3000</v>
      </c>
      <c r="I52" s="252"/>
      <c r="J52" s="252">
        <v>1</v>
      </c>
      <c r="K52" s="252">
        <v>1</v>
      </c>
      <c r="L52" s="252">
        <v>1</v>
      </c>
      <c r="M52" s="252" t="str">
        <f t="shared" si="6"/>
        <v>לרכוש</v>
      </c>
      <c r="N52" s="252">
        <v>1000</v>
      </c>
      <c r="O52" s="252"/>
      <c r="P52" s="252">
        <v>2</v>
      </c>
      <c r="Q52" s="252"/>
      <c r="R52" s="252">
        <f t="shared" si="4"/>
        <v>2</v>
      </c>
      <c r="S52" s="252">
        <f t="shared" si="5"/>
        <v>1</v>
      </c>
      <c r="T52" s="252">
        <v>1</v>
      </c>
      <c r="U52" s="255"/>
      <c r="W52" s="108"/>
      <c r="X52" s="108"/>
    </row>
    <row r="53" spans="1:24" s="124" customFormat="1" ht="30.15" customHeight="1">
      <c r="A53" s="241" t="str">
        <f>'רשימת מכשור 2015'!A101</f>
        <v>מד רדוקס</v>
      </c>
      <c r="B53" s="241" t="str">
        <f>'רשימת מכשור 2015'!B101</f>
        <v>Sensor: Metler Toledo
Transmitter: EUTECH INSTRUMENT</v>
      </c>
      <c r="C53" s="241" t="str">
        <f>'רשימת מכשור 2015'!C101</f>
        <v>Sensor: Pt4805-DPA-SC-S8
Transmiter: ALPHA pH500</v>
      </c>
      <c r="D53" s="241" t="str">
        <f>'רשימת מכשור 2015'!D101</f>
        <v>PW PRETREAMENT
2500</v>
      </c>
      <c r="E53" s="241" t="str">
        <f>'רשימת מכשור 2015'!E101</f>
        <v>1-1-605-ORP-001</v>
      </c>
      <c r="F53" s="241">
        <f>'רשימת מכשור 2015'!F101</f>
        <v>7000</v>
      </c>
      <c r="G53" s="252">
        <v>1</v>
      </c>
      <c r="H53" s="252">
        <v>6000</v>
      </c>
      <c r="I53" s="252"/>
      <c r="J53" s="252">
        <v>1</v>
      </c>
      <c r="K53" s="252">
        <v>1</v>
      </c>
      <c r="L53" s="252">
        <v>1.2</v>
      </c>
      <c r="M53" s="252" t="str">
        <f t="shared" si="6"/>
        <v>לרכוש</v>
      </c>
      <c r="N53" s="252">
        <v>1000</v>
      </c>
      <c r="O53" s="252"/>
      <c r="P53" s="252">
        <v>2</v>
      </c>
      <c r="Q53" s="252"/>
      <c r="R53" s="252">
        <f t="shared" si="4"/>
        <v>2.4</v>
      </c>
      <c r="S53" s="252">
        <f t="shared" si="5"/>
        <v>1</v>
      </c>
      <c r="T53" s="252">
        <v>1</v>
      </c>
      <c r="U53" s="255"/>
      <c r="W53" s="108"/>
      <c r="X53" s="108"/>
    </row>
    <row r="54" spans="1:24" s="124" customFormat="1" ht="28.5" customHeight="1">
      <c r="A54" s="241" t="str">
        <f>'רשימת מכשור 2015'!A102</f>
        <v>מד זרימה</v>
      </c>
      <c r="B54" s="241" t="str">
        <f>'רשימת מכשור 2015'!B102</f>
        <v>E+H</v>
      </c>
      <c r="C54" s="241" t="str">
        <f>'רשימת מכשור 2015'!C102</f>
        <v>Flowphant T DTT35-A1C111DB2AAB</v>
      </c>
      <c r="D54" s="241" t="str">
        <f>'רשימת מכשור 2015'!D102</f>
        <v>RO PRODUCTION</v>
      </c>
      <c r="E54" s="241" t="str">
        <f>'רשימת מכשור 2015'!E102</f>
        <v>1-1-133-FIC-1</v>
      </c>
      <c r="F54" s="241">
        <f>'רשימת מכשור 2015'!F102</f>
        <v>3000</v>
      </c>
      <c r="G54" s="252">
        <v>1</v>
      </c>
      <c r="H54" s="252">
        <f t="shared" ref="H54:H97" si="7">G54*F54</f>
        <v>3000</v>
      </c>
      <c r="I54" s="252"/>
      <c r="J54" s="252">
        <v>1</v>
      </c>
      <c r="K54" s="252">
        <v>1</v>
      </c>
      <c r="L54" s="252">
        <v>1.5</v>
      </c>
      <c r="M54" s="252" t="str">
        <f t="shared" si="6"/>
        <v>לרכוש</v>
      </c>
      <c r="N54" s="252">
        <v>1000</v>
      </c>
      <c r="O54" s="252"/>
      <c r="P54" s="252">
        <v>2</v>
      </c>
      <c r="Q54" s="252"/>
      <c r="R54" s="252">
        <f t="shared" si="4"/>
        <v>3</v>
      </c>
      <c r="S54" s="252">
        <f t="shared" si="5"/>
        <v>1</v>
      </c>
      <c r="T54" s="252">
        <v>1</v>
      </c>
      <c r="U54" s="255"/>
      <c r="W54" s="108"/>
      <c r="X54" s="108"/>
    </row>
    <row r="55" spans="1:24" s="124" customFormat="1" ht="28.5" customHeight="1">
      <c r="A55" s="241" t="str">
        <f>'רשימת מכשור 2015'!A104</f>
        <v>ברז (מפעיל) בקרה</v>
      </c>
      <c r="B55" s="241" t="str">
        <f>'רשימת מכשור 2015'!B104</f>
        <v>SIEMENS</v>
      </c>
      <c r="C55" s="241" t="str">
        <f>'רשימת מכשור 2015'!C104</f>
        <v>Acvatix SKD 60</v>
      </c>
      <c r="D55" s="241" t="str">
        <f>'רשימת מכשור 2015'!D104</f>
        <v>AHU-WH</v>
      </c>
      <c r="E55" s="241" t="str">
        <f>'רשימת מכשור 2015'!E104</f>
        <v>1-2-51021-TCV-1</v>
      </c>
      <c r="F55" s="241">
        <f>'רשימת מכשור 2015'!F104</f>
        <v>1600</v>
      </c>
      <c r="G55" s="252">
        <v>1</v>
      </c>
      <c r="H55" s="252">
        <f t="shared" si="7"/>
        <v>1600</v>
      </c>
      <c r="I55" s="252" t="s">
        <v>82</v>
      </c>
      <c r="J55" s="252">
        <v>1</v>
      </c>
      <c r="K55" s="252">
        <v>1</v>
      </c>
      <c r="L55" s="252">
        <v>0.5</v>
      </c>
      <c r="M55" s="252" t="str">
        <f t="shared" si="6"/>
        <v>לא לרכוש</v>
      </c>
      <c r="N55" s="252">
        <v>1000</v>
      </c>
      <c r="O55" s="252"/>
      <c r="P55" s="252">
        <v>3</v>
      </c>
      <c r="Q55" s="252"/>
      <c r="R55" s="252">
        <f t="shared" si="4"/>
        <v>1.5</v>
      </c>
      <c r="S55" s="252">
        <f t="shared" si="5"/>
        <v>1</v>
      </c>
      <c r="T55" s="252">
        <v>1</v>
      </c>
      <c r="U55" s="255"/>
      <c r="W55" s="108"/>
      <c r="X55" s="108"/>
    </row>
    <row r="56" spans="1:24" s="124" customFormat="1" ht="28.5" customHeight="1">
      <c r="A56" s="241" t="str">
        <f>'רשימת מכשור 2015'!A105</f>
        <v>ברז (מפעיל) בקרה</v>
      </c>
      <c r="B56" s="241" t="str">
        <f>'רשימת מכשור 2015'!B105</f>
        <v>siemens</v>
      </c>
      <c r="C56" s="241" t="str">
        <f>'רשימת מכשור 2015'!C105</f>
        <v>0155 02A</v>
      </c>
      <c r="D56" s="241" t="str">
        <f>'רשימת מכשור 2015'!D105</f>
        <v>AHU-N02</v>
      </c>
      <c r="E56" s="241" t="str">
        <f>'רשימת מכשור 2015'!E105</f>
        <v>1-1-51005-MVD-N02-01</v>
      </c>
      <c r="F56" s="241">
        <f>'רשימת מכשור 2015'!F105</f>
        <v>3000</v>
      </c>
      <c r="G56" s="252">
        <v>1</v>
      </c>
      <c r="H56" s="252">
        <f t="shared" si="7"/>
        <v>3000</v>
      </c>
      <c r="I56" s="252"/>
      <c r="J56" s="252">
        <v>1</v>
      </c>
      <c r="K56" s="252">
        <v>1</v>
      </c>
      <c r="L56" s="252">
        <v>0.5</v>
      </c>
      <c r="M56" s="252" t="str">
        <f t="shared" si="6"/>
        <v>לרכוש</v>
      </c>
      <c r="N56" s="252">
        <v>1000</v>
      </c>
      <c r="O56" s="252"/>
      <c r="P56" s="252">
        <v>1</v>
      </c>
      <c r="Q56" s="252"/>
      <c r="R56" s="252">
        <f t="shared" si="4"/>
        <v>0.5</v>
      </c>
      <c r="S56" s="252">
        <f t="shared" si="5"/>
        <v>1</v>
      </c>
      <c r="T56" s="252">
        <v>1</v>
      </c>
      <c r="U56" s="255"/>
      <c r="W56" s="108"/>
      <c r="X56" s="108"/>
    </row>
    <row r="57" spans="1:24" s="124" customFormat="1" ht="28.5" customHeight="1">
      <c r="A57" s="241" t="str">
        <f>'רשימת מכשור 2015'!A106</f>
        <v>ברז (מפעיל) בקרה</v>
      </c>
      <c r="B57" s="241" t="str">
        <f>'רשימת מכשור 2015'!B106</f>
        <v>SIEMENS</v>
      </c>
      <c r="C57" s="241" t="str">
        <f>'רשימת מכשור 2015'!C106</f>
        <v>ACVITEX SQX62</v>
      </c>
      <c r="D57" s="241" t="str">
        <f>'רשימת מכשור 2015'!D106</f>
        <v>AHU-N01</v>
      </c>
      <c r="E57" s="241" t="str">
        <f>'רשימת מכשור 2015'!E106</f>
        <v>1-1-51005-CV-N01-04</v>
      </c>
      <c r="F57" s="241">
        <f>'רשימת מכשור 2015'!F106</f>
        <v>3000</v>
      </c>
      <c r="G57" s="252">
        <v>1</v>
      </c>
      <c r="H57" s="252">
        <f t="shared" si="7"/>
        <v>3000</v>
      </c>
      <c r="I57" s="252"/>
      <c r="J57" s="252">
        <v>1</v>
      </c>
      <c r="K57" s="252">
        <v>1</v>
      </c>
      <c r="L57" s="252">
        <v>0.5</v>
      </c>
      <c r="M57" s="252" t="str">
        <f t="shared" si="6"/>
        <v>לרכוש</v>
      </c>
      <c r="N57" s="252">
        <v>1000</v>
      </c>
      <c r="O57" s="252"/>
      <c r="P57" s="252">
        <v>2</v>
      </c>
      <c r="Q57" s="252"/>
      <c r="R57" s="252">
        <f t="shared" si="4"/>
        <v>1</v>
      </c>
      <c r="S57" s="252">
        <f t="shared" si="5"/>
        <v>1</v>
      </c>
      <c r="T57" s="252">
        <v>1</v>
      </c>
      <c r="U57" s="255"/>
      <c r="W57" s="108"/>
      <c r="X57" s="108"/>
    </row>
    <row r="58" spans="1:24" s="124" customFormat="1" ht="28.5" customHeight="1">
      <c r="A58" s="241" t="str">
        <f>'רשימת מכשור 2015'!A109</f>
        <v xml:space="preserve">משדר לחץ   </v>
      </c>
      <c r="B58" s="241" t="str">
        <f>'רשימת מכשור 2015'!B109</f>
        <v>ELCON</v>
      </c>
      <c r="C58" s="241" t="str">
        <f>'רשימת מכשור 2015'!C109</f>
        <v>ELCON</v>
      </c>
      <c r="D58" s="241" t="str">
        <f>'רשימת מכשור 2015'!D109</f>
        <v>COLUMN 1</v>
      </c>
      <c r="E58" s="241" t="str">
        <f>'רשימת מכשור 2015'!E109</f>
        <v>1-1-144-PT-1</v>
      </c>
      <c r="F58" s="241">
        <f>'רשימת מכשור 2015'!F109</f>
        <v>3000</v>
      </c>
      <c r="G58" s="252">
        <v>1</v>
      </c>
      <c r="H58" s="252">
        <f t="shared" si="7"/>
        <v>3000</v>
      </c>
      <c r="I58" s="252"/>
      <c r="J58" s="252">
        <v>1</v>
      </c>
      <c r="K58" s="252">
        <v>1</v>
      </c>
      <c r="L58" s="252">
        <v>1</v>
      </c>
      <c r="M58" s="252" t="str">
        <f t="shared" si="6"/>
        <v>לרכוש</v>
      </c>
      <c r="N58" s="252">
        <v>1000</v>
      </c>
      <c r="O58" s="252"/>
      <c r="P58" s="252">
        <v>3</v>
      </c>
      <c r="Q58" s="252"/>
      <c r="R58" s="252">
        <f t="shared" si="4"/>
        <v>3</v>
      </c>
      <c r="S58" s="252">
        <f t="shared" si="5"/>
        <v>1</v>
      </c>
      <c r="T58" s="252">
        <v>1</v>
      </c>
      <c r="U58" s="255"/>
      <c r="W58" s="108"/>
      <c r="X58" s="108"/>
    </row>
    <row r="59" spans="1:24" s="124" customFormat="1" ht="42.75" customHeight="1">
      <c r="A59" s="241" t="str">
        <f>'רשימת מכשור 2015'!A112</f>
        <v>משדר תדר למהירות</v>
      </c>
      <c r="B59" s="241" t="str">
        <f>'רשימת מכשור 2015'!B112</f>
        <v>KAMA</v>
      </c>
      <c r="C59" s="241" t="str">
        <f>'רשימת מכשור 2015'!C112</f>
        <v>PF KFD2-UFC-1.D</v>
      </c>
      <c r="D59" s="241" t="str">
        <f>'רשימת מכשור 2015'!D112</f>
        <v>צנטרפוגה</v>
      </c>
      <c r="E59" s="241" t="str">
        <f>'רשימת מכשור 2015'!E112</f>
        <v xml:space="preserve">N/A </v>
      </c>
      <c r="F59" s="241">
        <f>'רשימת מכשור 2015'!F112</f>
        <v>2500</v>
      </c>
      <c r="G59" s="252">
        <v>1</v>
      </c>
      <c r="H59" s="252">
        <f t="shared" si="7"/>
        <v>2500</v>
      </c>
      <c r="I59" s="252"/>
      <c r="J59" s="252">
        <v>1</v>
      </c>
      <c r="K59" s="252">
        <v>1</v>
      </c>
      <c r="L59" s="252">
        <v>1</v>
      </c>
      <c r="M59" s="252" t="str">
        <f t="shared" si="6"/>
        <v>לרכוש</v>
      </c>
      <c r="N59" s="252">
        <v>1000</v>
      </c>
      <c r="O59" s="252"/>
      <c r="P59" s="252">
        <v>1</v>
      </c>
      <c r="Q59" s="252"/>
      <c r="R59" s="252">
        <f t="shared" si="4"/>
        <v>1</v>
      </c>
      <c r="S59" s="252">
        <f t="shared" si="5"/>
        <v>1</v>
      </c>
      <c r="T59" s="252">
        <v>1</v>
      </c>
      <c r="U59" s="255"/>
      <c r="W59" s="108"/>
      <c r="X59" s="108"/>
    </row>
    <row r="60" spans="1:24" s="124" customFormat="1" ht="28.5" customHeight="1">
      <c r="A60" s="241" t="str">
        <f>'רשימת מכשור 2015'!A114</f>
        <v>משדר מוליכות</v>
      </c>
      <c r="B60" s="241" t="str">
        <f>'רשימת מכשור 2015'!B114</f>
        <v>EUTECH
 INSTRUMENT</v>
      </c>
      <c r="C60" s="241" t="str">
        <f>'רשימת מכשור 2015'!C114</f>
        <v>Alpha con500</v>
      </c>
      <c r="D60" s="241" t="str">
        <f>'רשימת מכשור 2015'!D114</f>
        <v>PW PRODUCTION
2500</v>
      </c>
      <c r="E60" s="241" t="str">
        <f>'רשימת מכשור 2015'!E114</f>
        <v>1-1-604-CIT-001</v>
      </c>
      <c r="F60" s="241">
        <f>'רשימת מכשור 2015'!F114</f>
        <v>2500</v>
      </c>
      <c r="G60" s="252">
        <v>1</v>
      </c>
      <c r="H60" s="252">
        <f t="shared" si="7"/>
        <v>2500</v>
      </c>
      <c r="I60" s="252"/>
      <c r="J60" s="252">
        <v>1</v>
      </c>
      <c r="K60" s="252">
        <v>1</v>
      </c>
      <c r="L60" s="252">
        <v>1</v>
      </c>
      <c r="M60" s="252" t="str">
        <f t="shared" si="6"/>
        <v>לרכוש</v>
      </c>
      <c r="N60" s="252">
        <v>1000</v>
      </c>
      <c r="O60" s="252"/>
      <c r="P60" s="252">
        <v>3</v>
      </c>
      <c r="Q60" s="252"/>
      <c r="R60" s="252">
        <f t="shared" si="4"/>
        <v>3</v>
      </c>
      <c r="S60" s="252">
        <f t="shared" si="5"/>
        <v>1</v>
      </c>
      <c r="T60" s="252">
        <v>1</v>
      </c>
      <c r="U60" s="255"/>
      <c r="W60" s="108"/>
      <c r="X60" s="108"/>
    </row>
    <row r="61" spans="1:24" s="124" customFormat="1" ht="28.5" customHeight="1">
      <c r="A61" s="241" t="str">
        <f>'רשימת מכשור 2015'!A115</f>
        <v>משדר מוליכות</v>
      </c>
      <c r="B61" s="241" t="str">
        <f>'רשימת מכשור 2015'!B115</f>
        <v>EUTECH
 INSTRUMENT</v>
      </c>
      <c r="C61" s="241" t="str">
        <f>'רשימת מכשור 2015'!C115</f>
        <v xml:space="preserve"> ECCS10-0-1S
Transmitter: Alpha Con 500</v>
      </c>
      <c r="D61" s="241" t="str">
        <f>'רשימת מכשור 2015'!D115</f>
        <v>PW PRODUCTION
2500</v>
      </c>
      <c r="E61" s="241" t="str">
        <f>'רשימת מכשור 2015'!E115</f>
        <v>1-1-604-CIT-002</v>
      </c>
      <c r="F61" s="241">
        <f>'רשימת מכשור 2015'!F115</f>
        <v>2500</v>
      </c>
      <c r="G61" s="252">
        <v>1</v>
      </c>
      <c r="H61" s="252">
        <f t="shared" si="7"/>
        <v>2500</v>
      </c>
      <c r="I61" s="252" t="s">
        <v>82</v>
      </c>
      <c r="J61" s="252">
        <v>1</v>
      </c>
      <c r="K61" s="252">
        <v>1</v>
      </c>
      <c r="L61" s="252">
        <v>1</v>
      </c>
      <c r="M61" s="252" t="str">
        <f t="shared" si="6"/>
        <v>לא לרכוש</v>
      </c>
      <c r="N61" s="252">
        <v>1000</v>
      </c>
      <c r="O61" s="252"/>
      <c r="P61" s="252">
        <v>1</v>
      </c>
      <c r="Q61" s="252"/>
      <c r="R61" s="252">
        <f t="shared" si="4"/>
        <v>1</v>
      </c>
      <c r="S61" s="252">
        <f t="shared" si="5"/>
        <v>1</v>
      </c>
      <c r="T61" s="252">
        <v>1</v>
      </c>
      <c r="U61" s="255"/>
      <c r="W61" s="108"/>
      <c r="X61" s="108"/>
    </row>
    <row r="62" spans="1:24" s="124" customFormat="1" ht="28.5" customHeight="1">
      <c r="A62" s="241" t="str">
        <f>'רשימת מכשור 2015'!A117</f>
        <v>מפסק זרימה</v>
      </c>
      <c r="B62" s="241" t="str">
        <f>'רשימת מכשור 2015'!B117</f>
        <v>NEW FLOW</v>
      </c>
      <c r="C62" s="241" t="str">
        <f>'רשימת מכשור 2015'!C117</f>
        <v>MF-200 1/2"
 NPT F32A5005</v>
      </c>
      <c r="D62" s="241" t="str">
        <f>'רשימת מכשור 2015'!D117</f>
        <v>PW PRODUCTION
2500</v>
      </c>
      <c r="E62" s="241" t="str">
        <f>'רשימת מכשור 2015'!E117</f>
        <v>1-1-604-FS-001</v>
      </c>
      <c r="F62" s="241">
        <f>'רשימת מכשור 2015'!F117</f>
        <v>2500</v>
      </c>
      <c r="G62" s="252">
        <v>1</v>
      </c>
      <c r="H62" s="252">
        <f t="shared" si="7"/>
        <v>2500</v>
      </c>
      <c r="I62" s="252"/>
      <c r="J62" s="252">
        <v>1</v>
      </c>
      <c r="K62" s="252">
        <v>1</v>
      </c>
      <c r="L62" s="252">
        <v>1</v>
      </c>
      <c r="M62" s="252" t="str">
        <f t="shared" si="6"/>
        <v>לרכוש</v>
      </c>
      <c r="N62" s="252">
        <v>1000</v>
      </c>
      <c r="O62" s="252"/>
      <c r="P62" s="252">
        <v>1</v>
      </c>
      <c r="Q62" s="252"/>
      <c r="R62" s="252">
        <f t="shared" si="4"/>
        <v>1</v>
      </c>
      <c r="S62" s="252">
        <f t="shared" si="5"/>
        <v>1</v>
      </c>
      <c r="T62" s="252">
        <v>1</v>
      </c>
      <c r="U62" s="255"/>
      <c r="W62" s="108"/>
      <c r="X62" s="108"/>
    </row>
    <row r="63" spans="1:24" s="124" customFormat="1" ht="28.5" customHeight="1">
      <c r="A63" s="241" t="str">
        <f>'רשימת מכשור 2015'!A118</f>
        <v>מד מפלס</v>
      </c>
      <c r="B63" s="241" t="str">
        <f>'רשימת מכשור 2015'!B118</f>
        <v>מדיד</v>
      </c>
      <c r="C63" s="241" t="str">
        <f>'רשימת מכשור 2015'!C118</f>
        <v>FL052L</v>
      </c>
      <c r="D63" s="241" t="str">
        <f>'רשימת מכשור 2015'!D118</f>
        <v>PW PRETREAMENT
2500</v>
      </c>
      <c r="E63" s="241" t="str">
        <f>'רשימת מכשור 2015'!E118</f>
        <v>1-1-605-LT-001</v>
      </c>
      <c r="F63" s="241">
        <f>'רשימת מכשור 2015'!F118</f>
        <v>2500</v>
      </c>
      <c r="G63" s="252">
        <v>1</v>
      </c>
      <c r="H63" s="252">
        <f t="shared" si="7"/>
        <v>2500</v>
      </c>
      <c r="I63" s="252"/>
      <c r="J63" s="252">
        <v>1</v>
      </c>
      <c r="K63" s="252">
        <v>1</v>
      </c>
      <c r="L63" s="252">
        <v>0.5</v>
      </c>
      <c r="M63" s="252" t="str">
        <f t="shared" si="6"/>
        <v>לרכוש</v>
      </c>
      <c r="N63" s="252">
        <v>1000</v>
      </c>
      <c r="O63" s="252"/>
      <c r="P63" s="252">
        <v>1</v>
      </c>
      <c r="Q63" s="252"/>
      <c r="R63" s="252">
        <f t="shared" si="4"/>
        <v>0.5</v>
      </c>
      <c r="S63" s="252">
        <f t="shared" si="5"/>
        <v>1</v>
      </c>
      <c r="T63" s="252">
        <v>1</v>
      </c>
      <c r="U63" s="255"/>
      <c r="W63" s="108"/>
      <c r="X63" s="108"/>
    </row>
    <row r="64" spans="1:24" s="124" customFormat="1" ht="14.25" customHeight="1">
      <c r="A64" s="241" t="str">
        <f>'רשימת מכשור 2015'!A120</f>
        <v>מפסק לחץ הפרשי</v>
      </c>
      <c r="B64" s="241" t="str">
        <f>'רשימת מכשור 2015'!B120</f>
        <v>SIEMENSE</v>
      </c>
      <c r="C64" s="241" t="str">
        <f>'רשימת מכשור 2015'!C120</f>
        <v>QBM81-5</v>
      </c>
      <c r="D64" s="241" t="str">
        <f>'רשימת מכשור 2015'!D120</f>
        <v>51001-AHU-01</v>
      </c>
      <c r="E64" s="241" t="str">
        <f>'רשימת מכשור 2015'!E120</f>
        <v>1-1-51001-PDS-01/2</v>
      </c>
      <c r="F64" s="241">
        <f>'רשימת מכשור 2015'!F120</f>
        <v>2500</v>
      </c>
      <c r="G64" s="252">
        <v>1</v>
      </c>
      <c r="H64" s="252">
        <f t="shared" si="7"/>
        <v>2500</v>
      </c>
      <c r="I64" s="252" t="s">
        <v>82</v>
      </c>
      <c r="J64" s="252">
        <v>1</v>
      </c>
      <c r="K64" s="252">
        <v>1</v>
      </c>
      <c r="L64" s="252">
        <v>1.5</v>
      </c>
      <c r="M64" s="252" t="str">
        <f t="shared" si="6"/>
        <v>לא לרכוש</v>
      </c>
      <c r="N64" s="252">
        <v>1000</v>
      </c>
      <c r="O64" s="252"/>
      <c r="P64" s="252">
        <v>1</v>
      </c>
      <c r="Q64" s="252"/>
      <c r="R64" s="252">
        <f t="shared" si="4"/>
        <v>1.5</v>
      </c>
      <c r="S64" s="252">
        <f t="shared" si="5"/>
        <v>1</v>
      </c>
      <c r="T64" s="252">
        <v>1</v>
      </c>
      <c r="U64" s="255"/>
      <c r="W64" s="108"/>
      <c r="X64" s="108"/>
    </row>
    <row r="65" spans="1:24" s="124" customFormat="1" ht="14.25" customHeight="1">
      <c r="A65" s="240" t="str">
        <f>'רשימת מכשור 2015'!A121</f>
        <v xml:space="preserve">אלקטרודת מוליכות </v>
      </c>
      <c r="B65" s="241" t="str">
        <f>'רשימת מכשור 2015'!B121</f>
        <v>Mettler Toledo</v>
      </c>
      <c r="C65" s="241" t="str">
        <f>'רשימת מכשור 2015'!C121</f>
        <v>SENSOR: 233E223
Transmitter: 770 Max</v>
      </c>
      <c r="D65" s="241" t="str">
        <f>'רשימת מכשור 2015'!D121</f>
        <v>RO PRODUCTION</v>
      </c>
      <c r="E65" s="241" t="str">
        <f>'רשימת מכשור 2015'!E121</f>
        <v>1-1-133-CIC-5</v>
      </c>
      <c r="F65" s="241">
        <f>'רשימת מכשור 2015'!F121</f>
        <v>2500</v>
      </c>
      <c r="G65" s="252">
        <v>1</v>
      </c>
      <c r="H65" s="252">
        <f t="shared" si="7"/>
        <v>2500</v>
      </c>
      <c r="I65" s="252" t="s">
        <v>82</v>
      </c>
      <c r="J65" s="252">
        <v>1</v>
      </c>
      <c r="K65" s="252">
        <v>1</v>
      </c>
      <c r="L65" s="252">
        <v>1.5</v>
      </c>
      <c r="M65" s="252" t="str">
        <f t="shared" si="6"/>
        <v>לא לרכוש</v>
      </c>
      <c r="N65" s="252">
        <v>1000</v>
      </c>
      <c r="O65" s="252"/>
      <c r="P65" s="252">
        <v>6</v>
      </c>
      <c r="Q65" s="252"/>
      <c r="R65" s="252">
        <f t="shared" si="4"/>
        <v>9</v>
      </c>
      <c r="S65" s="252">
        <f t="shared" si="5"/>
        <v>2</v>
      </c>
      <c r="T65" s="252">
        <v>2</v>
      </c>
      <c r="U65" s="255" t="s">
        <v>1184</v>
      </c>
      <c r="W65" s="108"/>
      <c r="X65" s="108"/>
    </row>
    <row r="66" spans="1:24" s="124" customFormat="1" ht="14.25" customHeight="1">
      <c r="A66" s="241" t="str">
        <f>'רשימת מכשור 2015'!A122</f>
        <v xml:space="preserve"> מד טמפרטורה</v>
      </c>
      <c r="B66" s="241" t="str">
        <f>'רשימת מכשור 2015'!B122</f>
        <v>Mettler Toledo</v>
      </c>
      <c r="C66" s="241" t="str">
        <f>'רשימת מכשור 2015'!C122</f>
        <v>SENSOR: PT1000
Transmitter: 770 Max</v>
      </c>
      <c r="D66" s="241" t="str">
        <f>'רשימת מכשור 2015'!D122</f>
        <v>RO PRODUCTION</v>
      </c>
      <c r="E66" s="241" t="str">
        <f>'רשימת מכשור 2015'!E122</f>
        <v>1-1-133-TIC-1</v>
      </c>
      <c r="F66" s="241">
        <f>'רשימת מכשור 2015'!F122</f>
        <v>2500</v>
      </c>
      <c r="G66" s="252">
        <v>1</v>
      </c>
      <c r="H66" s="252">
        <f t="shared" si="7"/>
        <v>2500</v>
      </c>
      <c r="I66" s="252"/>
      <c r="J66" s="252">
        <v>1</v>
      </c>
      <c r="K66" s="252">
        <v>1</v>
      </c>
      <c r="L66" s="252">
        <v>1.5</v>
      </c>
      <c r="M66" s="252" t="str">
        <f t="shared" si="6"/>
        <v>לרכוש</v>
      </c>
      <c r="N66" s="252">
        <v>1000</v>
      </c>
      <c r="O66" s="252"/>
      <c r="P66" s="252">
        <v>3</v>
      </c>
      <c r="Q66" s="252"/>
      <c r="R66" s="252">
        <f t="shared" si="4"/>
        <v>4.5</v>
      </c>
      <c r="S66" s="252">
        <f t="shared" si="5"/>
        <v>1</v>
      </c>
      <c r="T66" s="252">
        <v>1</v>
      </c>
      <c r="U66" s="255"/>
      <c r="W66" s="108"/>
      <c r="X66" s="108"/>
    </row>
    <row r="67" spans="1:24" s="124" customFormat="1" ht="14.25" customHeight="1">
      <c r="A67" s="241" t="str">
        <f>'רשימת מכשור 2015'!A127</f>
        <v>מפסק לחץ נמוך</v>
      </c>
      <c r="B67" s="241" t="str">
        <f>'רשימת מכשור 2015'!B127</f>
        <v>E+H</v>
      </c>
      <c r="C67" s="241" t="str">
        <f>'רשימת מכשור 2015'!C127</f>
        <v>Ceraphant T PTP35-A2A13P1DB4</v>
      </c>
      <c r="D67" s="241" t="str">
        <f>'רשימת מכשור 2015'!D127</f>
        <v>RO PRODUCTION</v>
      </c>
      <c r="E67" s="241" t="str">
        <f>'רשימת מכשור 2015'!E127</f>
        <v>1-1-133-PSL-1</v>
      </c>
      <c r="F67" s="241">
        <f>'רשימת מכשור 2015'!F127</f>
        <v>2500</v>
      </c>
      <c r="G67" s="252">
        <v>1</v>
      </c>
      <c r="H67" s="252">
        <f t="shared" si="7"/>
        <v>2500</v>
      </c>
      <c r="I67" s="252"/>
      <c r="J67" s="252">
        <v>1</v>
      </c>
      <c r="K67" s="252">
        <v>1</v>
      </c>
      <c r="L67" s="252">
        <v>1.5</v>
      </c>
      <c r="M67" s="252" t="str">
        <f t="shared" si="6"/>
        <v>לרכוש</v>
      </c>
      <c r="N67" s="252">
        <v>1000</v>
      </c>
      <c r="O67" s="252"/>
      <c r="P67" s="252">
        <v>1</v>
      </c>
      <c r="Q67" s="252"/>
      <c r="R67" s="252">
        <f t="shared" si="4"/>
        <v>1.5</v>
      </c>
      <c r="S67" s="252">
        <f t="shared" si="5"/>
        <v>1</v>
      </c>
      <c r="T67" s="252">
        <v>1</v>
      </c>
      <c r="U67" s="255"/>
      <c r="W67" s="108"/>
      <c r="X67" s="108"/>
    </row>
    <row r="68" spans="1:24" s="124" customFormat="1" ht="14.25" customHeight="1">
      <c r="A68" s="241" t="str">
        <f>'רשימת מכשור 2015'!A131</f>
        <v>אלקטרודת מוליכות</v>
      </c>
      <c r="B68" s="241" t="str">
        <f>'רשימת מכשור 2015'!B131</f>
        <v>Mettler Toledo</v>
      </c>
      <c r="C68" s="241" t="str">
        <f>'רשימת מכשור 2015'!C131</f>
        <v>Inpro 7108 1.5"TC 5200800 
M400</v>
      </c>
      <c r="D68" s="241" t="str">
        <f>'רשימת מכשור 2015'!D131</f>
        <v>CRUDE</v>
      </c>
      <c r="E68" s="241" t="str">
        <f>'רשימת מכשור 2015'!E131</f>
        <v>1-1-30-CIC-1</v>
      </c>
      <c r="F68" s="241">
        <f>'רשימת מכשור 2015'!F131</f>
        <v>2000</v>
      </c>
      <c r="G68" s="252">
        <v>1</v>
      </c>
      <c r="H68" s="252">
        <f t="shared" si="7"/>
        <v>2000</v>
      </c>
      <c r="I68" s="252" t="s">
        <v>82</v>
      </c>
      <c r="J68" s="252">
        <v>1</v>
      </c>
      <c r="K68" s="252">
        <v>1</v>
      </c>
      <c r="L68" s="252">
        <v>1.5</v>
      </c>
      <c r="M68" s="252" t="str">
        <f t="shared" si="6"/>
        <v>לא לרכוש</v>
      </c>
      <c r="N68" s="252">
        <v>1000</v>
      </c>
      <c r="O68" s="252"/>
      <c r="P68" s="252">
        <v>1</v>
      </c>
      <c r="Q68" s="252"/>
      <c r="R68" s="252">
        <f t="shared" si="4"/>
        <v>1.5</v>
      </c>
      <c r="S68" s="252">
        <f t="shared" si="5"/>
        <v>1</v>
      </c>
      <c r="T68" s="252">
        <v>1</v>
      </c>
      <c r="U68" s="255"/>
      <c r="W68" s="108"/>
      <c r="X68" s="108"/>
    </row>
    <row r="69" spans="1:24" s="124" customFormat="1" ht="28.5" customHeight="1">
      <c r="A69" s="241" t="str">
        <f>'רשימת מכשור 2015'!A132</f>
        <v>מד מפלס</v>
      </c>
      <c r="B69" s="241" t="str">
        <f>'רשימת מכשור 2015'!B132</f>
        <v>milan</v>
      </c>
      <c r="C69" s="241" t="str">
        <f>'רשימת מכשור 2015'!C132</f>
        <v>מצוף רציף</v>
      </c>
      <c r="D69" s="241" t="str">
        <f>'רשימת מכשור 2015'!D132</f>
        <v>HARVEST</v>
      </c>
      <c r="E69" s="241" t="str">
        <f>'רשימת מכשור 2015'!E132</f>
        <v>1-1-27-LIC-1</v>
      </c>
      <c r="F69" s="241">
        <f>'רשימת מכשור 2015'!F132</f>
        <v>2500</v>
      </c>
      <c r="G69" s="252">
        <v>1</v>
      </c>
      <c r="H69" s="252">
        <f t="shared" si="7"/>
        <v>2500</v>
      </c>
      <c r="I69" s="252"/>
      <c r="J69" s="252">
        <v>1</v>
      </c>
      <c r="K69" s="252">
        <v>1</v>
      </c>
      <c r="L69" s="252">
        <v>1</v>
      </c>
      <c r="M69" s="252" t="str">
        <f t="shared" si="6"/>
        <v>לרכוש</v>
      </c>
      <c r="N69" s="252">
        <v>1000</v>
      </c>
      <c r="O69" s="252"/>
      <c r="P69" s="252">
        <v>1</v>
      </c>
      <c r="Q69" s="252"/>
      <c r="R69" s="252">
        <f t="shared" ref="R69:R100" si="8">P69*L69*J69</f>
        <v>1</v>
      </c>
      <c r="S69" s="252">
        <f t="shared" ref="S69:S100" si="9">IF(R69&gt;$AA$8,IF(R69&lt;$AA$9,$AB$9,$AB$10), $AB$8)</f>
        <v>1</v>
      </c>
      <c r="T69" s="252">
        <v>1</v>
      </c>
      <c r="U69" s="255"/>
      <c r="W69" s="108"/>
      <c r="X69" s="108"/>
    </row>
    <row r="70" spans="1:24" s="124" customFormat="1" ht="14.25" customHeight="1">
      <c r="A70" s="241" t="str">
        <f>'רשימת מכשור 2015'!A133</f>
        <v>משדר טמפרטורה</v>
      </c>
      <c r="B70" s="241" t="str">
        <f>'רשימת מכשור 2015'!B133</f>
        <v>LABOM</v>
      </c>
      <c r="C70" s="241" t="str">
        <f>'רשימת מכשור 2015'!C133</f>
        <v>LABOM GA2610</v>
      </c>
      <c r="D70" s="241" t="str">
        <f>'רשימת מכשור 2015'!D133</f>
        <v>צנטרפוגה</v>
      </c>
      <c r="E70" s="241" t="str">
        <f>'רשימת מכשור 2015'!E133</f>
        <v>TI 02-9-504</v>
      </c>
      <c r="F70" s="241">
        <f>'רשימת מכשור 2015'!F133</f>
        <v>2300</v>
      </c>
      <c r="G70" s="252">
        <v>1</v>
      </c>
      <c r="H70" s="252">
        <f t="shared" si="7"/>
        <v>2300</v>
      </c>
      <c r="I70" s="252" t="s">
        <v>82</v>
      </c>
      <c r="J70" s="252">
        <v>1</v>
      </c>
      <c r="K70" s="252">
        <v>0</v>
      </c>
      <c r="L70" s="252">
        <v>1.5</v>
      </c>
      <c r="M70" s="252" t="str">
        <f t="shared" si="6"/>
        <v>לא לרכוש</v>
      </c>
      <c r="N70" s="252">
        <v>1000</v>
      </c>
      <c r="O70" s="252"/>
      <c r="P70" s="252">
        <v>1</v>
      </c>
      <c r="Q70" s="252"/>
      <c r="R70" s="252">
        <f t="shared" si="8"/>
        <v>1.5</v>
      </c>
      <c r="S70" s="252">
        <f t="shared" si="9"/>
        <v>1</v>
      </c>
      <c r="T70" s="252">
        <v>1</v>
      </c>
      <c r="U70" s="255"/>
      <c r="W70" s="108"/>
      <c r="X70" s="108"/>
    </row>
    <row r="71" spans="1:24" s="124" customFormat="1" ht="14.25" customHeight="1">
      <c r="A71" s="241" t="str">
        <f>'רשימת מכשור 2015'!A134</f>
        <v>מד מפלס</v>
      </c>
      <c r="B71" s="241" t="str">
        <f>'רשימת מכשור 2015'!B134</f>
        <v>MADID/noga</v>
      </c>
      <c r="C71" s="241" t="str">
        <f>'רשימת מכשור 2015'!C134</f>
        <v>FL52L</v>
      </c>
      <c r="D71" s="241" t="str">
        <f>'רשימת מכשור 2015'!D134</f>
        <v>PW פיילוט</v>
      </c>
      <c r="E71" s="241" t="str">
        <f>'רשימת מכשור 2015'!E134</f>
        <v>1-LIC-1</v>
      </c>
      <c r="F71" s="241">
        <f>'רשימת מכשור 2015'!F134</f>
        <v>2000</v>
      </c>
      <c r="G71" s="252">
        <v>1</v>
      </c>
      <c r="H71" s="252">
        <f t="shared" si="7"/>
        <v>2000</v>
      </c>
      <c r="I71" s="252"/>
      <c r="J71" s="252">
        <v>1</v>
      </c>
      <c r="K71" s="252">
        <v>1</v>
      </c>
      <c r="L71" s="252">
        <v>0.5</v>
      </c>
      <c r="M71" s="252" t="str">
        <f t="shared" si="6"/>
        <v>לרכוש</v>
      </c>
      <c r="N71" s="252">
        <v>1000</v>
      </c>
      <c r="O71" s="252"/>
      <c r="P71" s="252">
        <v>1</v>
      </c>
      <c r="Q71" s="252"/>
      <c r="R71" s="252">
        <f t="shared" si="8"/>
        <v>0.5</v>
      </c>
      <c r="S71" s="252">
        <f t="shared" si="9"/>
        <v>1</v>
      </c>
      <c r="T71" s="252">
        <v>1</v>
      </c>
      <c r="U71" s="255"/>
      <c r="W71" s="108"/>
      <c r="X71" s="108"/>
    </row>
    <row r="72" spans="1:24" s="124" customFormat="1" ht="14.25" customHeight="1">
      <c r="A72" s="241" t="str">
        <f>'רשימת מכשור 2015'!A135</f>
        <v>מפסק זרימה</v>
      </c>
      <c r="B72" s="241" t="str">
        <f>'רשימת מכשור 2015'!B135</f>
        <v>Negele</v>
      </c>
      <c r="C72" s="241" t="str">
        <f>'רשימת מכשור 2015'!C135</f>
        <v>FKS 141</v>
      </c>
      <c r="D72" s="241" t="str">
        <f>'רשימת מכשור 2015'!D135</f>
        <v>PW STORAGE
2500</v>
      </c>
      <c r="E72" s="241" t="str">
        <f>'רשימת מכשור 2015'!E135</f>
        <v>1-1-606-FS-001</v>
      </c>
      <c r="F72" s="241">
        <f>'רשימת מכשור 2015'!F135</f>
        <v>3000</v>
      </c>
      <c r="G72" s="252">
        <v>1</v>
      </c>
      <c r="H72" s="252">
        <f t="shared" si="7"/>
        <v>3000</v>
      </c>
      <c r="I72" s="252"/>
      <c r="J72" s="252">
        <v>1</v>
      </c>
      <c r="K72" s="252">
        <v>1</v>
      </c>
      <c r="L72" s="252">
        <v>1</v>
      </c>
      <c r="M72" s="252" t="str">
        <f t="shared" si="6"/>
        <v>לרכוש</v>
      </c>
      <c r="N72" s="252">
        <v>1000</v>
      </c>
      <c r="O72" s="252"/>
      <c r="P72" s="252">
        <v>2</v>
      </c>
      <c r="Q72" s="252"/>
      <c r="R72" s="252">
        <f t="shared" si="8"/>
        <v>2</v>
      </c>
      <c r="S72" s="252">
        <f t="shared" si="9"/>
        <v>1</v>
      </c>
      <c r="T72" s="252">
        <v>1</v>
      </c>
      <c r="U72" s="255"/>
      <c r="W72" s="108"/>
      <c r="X72" s="108"/>
    </row>
    <row r="73" spans="1:24" s="124" customFormat="1">
      <c r="A73" s="241" t="str">
        <f>'רשימת מכשור 2015'!A136</f>
        <v>מפסק גובה</v>
      </c>
      <c r="B73" s="241" t="str">
        <f>'רשימת מכשור 2015'!B136</f>
        <v>COR</v>
      </c>
      <c r="C73" s="241" t="str">
        <f>'רשימת מכשור 2015'!C136</f>
        <v>COR</v>
      </c>
      <c r="D73" s="241" t="str">
        <f>'רשימת מכשור 2015'!D136</f>
        <v>DISTILLERY</v>
      </c>
      <c r="E73" s="241" t="str">
        <f>'רשימת מכשור 2015'!E136</f>
        <v>1-1-40-LC-09</v>
      </c>
      <c r="F73" s="241">
        <f>'רשימת מכשור 2015'!F136</f>
        <v>2000</v>
      </c>
      <c r="G73" s="252">
        <v>1</v>
      </c>
      <c r="H73" s="252">
        <f t="shared" si="7"/>
        <v>2000</v>
      </c>
      <c r="I73" s="252"/>
      <c r="J73" s="252">
        <v>1</v>
      </c>
      <c r="K73" s="252">
        <v>1</v>
      </c>
      <c r="L73" s="252">
        <v>0.5</v>
      </c>
      <c r="M73" s="252" t="str">
        <f t="shared" ref="M73:M103" si="10">IF(AND(K73*L73*30*N73&gt;H73/J73,I73=""),"לרכוש","לא לרכוש")</f>
        <v>לרכוש</v>
      </c>
      <c r="N73" s="252">
        <v>1000</v>
      </c>
      <c r="O73" s="252"/>
      <c r="P73" s="252">
        <v>1</v>
      </c>
      <c r="Q73" s="252"/>
      <c r="R73" s="252">
        <f t="shared" si="8"/>
        <v>0.5</v>
      </c>
      <c r="S73" s="252">
        <f t="shared" si="9"/>
        <v>1</v>
      </c>
      <c r="T73" s="252">
        <v>1</v>
      </c>
      <c r="U73" s="255"/>
      <c r="W73" s="108"/>
      <c r="X73" s="108"/>
    </row>
    <row r="74" spans="1:24" s="124" customFormat="1" ht="14.25" customHeight="1">
      <c r="A74" s="241" t="str">
        <f>'רשימת מכשור 2015'!A138</f>
        <v>מד מפלס</v>
      </c>
      <c r="B74" s="241" t="str">
        <f>'רשימת מכשור 2015'!B138</f>
        <v>ELCON/BD sensors</v>
      </c>
      <c r="C74" s="241">
        <f>'רשימת מכשור 2015'!C138</f>
        <v>18.605</v>
      </c>
      <c r="D74" s="241" t="str">
        <f>'רשימת מכשור 2015'!D138</f>
        <v>PRETREATMENT SYSTEM</v>
      </c>
      <c r="E74" s="241" t="str">
        <f>'רשימת מכשור 2015'!E138</f>
        <v>1-1-131-LIC-1</v>
      </c>
      <c r="F74" s="241">
        <f>'רשימת מכשור 2015'!F138</f>
        <v>2000</v>
      </c>
      <c r="G74" s="252">
        <v>1</v>
      </c>
      <c r="H74" s="252">
        <f t="shared" si="7"/>
        <v>2000</v>
      </c>
      <c r="I74" s="252"/>
      <c r="J74" s="252">
        <v>1</v>
      </c>
      <c r="K74" s="252">
        <v>1</v>
      </c>
      <c r="L74" s="252">
        <v>1</v>
      </c>
      <c r="M74" s="252" t="str">
        <f t="shared" si="10"/>
        <v>לרכוש</v>
      </c>
      <c r="N74" s="252">
        <v>1000</v>
      </c>
      <c r="O74" s="252"/>
      <c r="P74" s="252">
        <v>1</v>
      </c>
      <c r="Q74" s="252"/>
      <c r="R74" s="252">
        <f t="shared" si="8"/>
        <v>1</v>
      </c>
      <c r="S74" s="252">
        <f t="shared" si="9"/>
        <v>1</v>
      </c>
      <c r="T74" s="252">
        <v>1</v>
      </c>
      <c r="U74" s="255"/>
      <c r="W74" s="108"/>
      <c r="X74" s="108"/>
    </row>
    <row r="75" spans="1:24" s="124" customFormat="1" ht="14.25" customHeight="1">
      <c r="A75" s="241" t="str">
        <f>'רשימת מכשור 2015'!A139</f>
        <v>מפסק טמפרטורה</v>
      </c>
      <c r="B75" s="241" t="str">
        <f>'רשימת מכשור 2015'!B139</f>
        <v>E+H</v>
      </c>
      <c r="C75" s="241" t="str">
        <f>'רשימת מכשור 2015'!C139</f>
        <v>Thrmophant T TTR35-A2A111DB1AAB</v>
      </c>
      <c r="D75" s="241" t="str">
        <f>'רשימת מכשור 2015'!D139</f>
        <v>RO PRODUCTION</v>
      </c>
      <c r="E75" s="241" t="str">
        <f>'רשימת מכשור 2015'!E139</f>
        <v>1-1-133-TS-4</v>
      </c>
      <c r="F75" s="241">
        <f>'רשימת מכשור 2015'!F139</f>
        <v>2000</v>
      </c>
      <c r="G75" s="252">
        <v>1</v>
      </c>
      <c r="H75" s="252">
        <f t="shared" si="7"/>
        <v>2000</v>
      </c>
      <c r="I75" s="252" t="s">
        <v>82</v>
      </c>
      <c r="J75" s="252">
        <v>1</v>
      </c>
      <c r="K75" s="252">
        <v>0</v>
      </c>
      <c r="L75" s="252">
        <v>1.5</v>
      </c>
      <c r="M75" s="252" t="str">
        <f t="shared" si="10"/>
        <v>לא לרכוש</v>
      </c>
      <c r="N75" s="252">
        <v>1000</v>
      </c>
      <c r="O75" s="252"/>
      <c r="P75" s="252">
        <v>2</v>
      </c>
      <c r="Q75" s="252"/>
      <c r="R75" s="252">
        <f t="shared" si="8"/>
        <v>3</v>
      </c>
      <c r="S75" s="252">
        <f t="shared" si="9"/>
        <v>1</v>
      </c>
      <c r="T75" s="252">
        <v>1</v>
      </c>
      <c r="U75" s="255"/>
      <c r="W75" s="108"/>
      <c r="X75" s="108"/>
    </row>
    <row r="76" spans="1:24" s="124" customFormat="1" ht="14.25" customHeight="1">
      <c r="A76" s="241" t="str">
        <f>'רשימת מכשור 2015'!A141</f>
        <v>מפסק זרימה</v>
      </c>
      <c r="B76" s="241" t="str">
        <f>'רשימת מכשור 2015'!B141</f>
        <v>New Flow</v>
      </c>
      <c r="C76" s="241" t="str">
        <f>'רשימת מכשור 2015'!C141</f>
        <v>MF200 0.75"</v>
      </c>
      <c r="D76" s="241" t="str">
        <f>'רשימת מכשור 2015'!D141</f>
        <v>CDI</v>
      </c>
      <c r="E76" s="241" t="str">
        <f>'רשימת מכשור 2015'!E141</f>
        <v>1-1-134-FSL-1</v>
      </c>
      <c r="F76" s="241">
        <f>'רשימת מכשור 2015'!F141</f>
        <v>2000</v>
      </c>
      <c r="G76" s="252">
        <v>1</v>
      </c>
      <c r="H76" s="252">
        <f t="shared" si="7"/>
        <v>2000</v>
      </c>
      <c r="I76" s="252"/>
      <c r="J76" s="252">
        <v>1</v>
      </c>
      <c r="K76" s="252">
        <v>1</v>
      </c>
      <c r="L76" s="252">
        <v>0.5</v>
      </c>
      <c r="M76" s="252" t="str">
        <f t="shared" si="10"/>
        <v>לרכוש</v>
      </c>
      <c r="N76" s="252">
        <v>1000</v>
      </c>
      <c r="O76" s="252"/>
      <c r="P76" s="252">
        <v>2</v>
      </c>
      <c r="Q76" s="252"/>
      <c r="R76" s="252">
        <f t="shared" si="8"/>
        <v>1</v>
      </c>
      <c r="S76" s="252">
        <f t="shared" si="9"/>
        <v>1</v>
      </c>
      <c r="T76" s="252">
        <v>1</v>
      </c>
      <c r="U76" s="255"/>
      <c r="W76" s="108"/>
      <c r="X76" s="108"/>
    </row>
    <row r="77" spans="1:24" s="124" customFormat="1" ht="14.25" customHeight="1">
      <c r="A77" s="241" t="str">
        <f>'רשימת מכשור 2015'!A145</f>
        <v>אלקטרודת PH</v>
      </c>
      <c r="B77" s="241" t="str">
        <f>'רשימת מכשור 2015'!B145</f>
        <v>Mettler Toledo</v>
      </c>
      <c r="C77" s="241" t="str">
        <f>'רשימת מכשור 2015'!C145</f>
        <v>Inpro 3253/120/PT100
pH2100</v>
      </c>
      <c r="D77" s="241" t="str">
        <f>'רשימת מכשור 2015'!D145</f>
        <v>MEDIA</v>
      </c>
      <c r="E77" s="241" t="str">
        <f>'רשימת מכשור 2015'!E145</f>
        <v>1-1-8-PH-1</v>
      </c>
      <c r="F77" s="241">
        <f>'רשימת מכשור 2015'!F145</f>
        <v>2000</v>
      </c>
      <c r="G77" s="252">
        <v>1</v>
      </c>
      <c r="H77" s="252">
        <f t="shared" si="7"/>
        <v>2000</v>
      </c>
      <c r="I77" s="252" t="s">
        <v>82</v>
      </c>
      <c r="J77" s="252">
        <v>3</v>
      </c>
      <c r="K77" s="252">
        <v>1</v>
      </c>
      <c r="L77" s="252">
        <v>1</v>
      </c>
      <c r="M77" s="252" t="str">
        <f t="shared" si="10"/>
        <v>לא לרכוש</v>
      </c>
      <c r="N77" s="252">
        <v>1000</v>
      </c>
      <c r="O77" s="252"/>
      <c r="P77" s="252">
        <v>2</v>
      </c>
      <c r="Q77" s="252"/>
      <c r="R77" s="252">
        <f t="shared" si="8"/>
        <v>6</v>
      </c>
      <c r="S77" s="252">
        <f t="shared" si="9"/>
        <v>1</v>
      </c>
      <c r="T77" s="252">
        <v>1</v>
      </c>
      <c r="U77" s="255"/>
      <c r="W77" s="108"/>
      <c r="X77" s="108"/>
    </row>
    <row r="78" spans="1:24" s="124" customFormat="1" ht="51.75" customHeight="1">
      <c r="A78" s="240" t="str">
        <f>'רשימת מכשור 2015'!A146</f>
        <v>אלקטרודת מוליכות</v>
      </c>
      <c r="B78" s="241" t="str">
        <f>'רשימת מכשור 2015'!B146</f>
        <v>Mettler Toledo</v>
      </c>
      <c r="C78" s="241" t="str">
        <f>'רשימת מכשור 2015'!C146</f>
        <v>Inpro 3253I/SV/120
M400</v>
      </c>
      <c r="D78" s="241" t="str">
        <f>'רשימת מכשור 2015'!D146</f>
        <v>HARVEST</v>
      </c>
      <c r="E78" s="241" t="str">
        <f>'רשימת מכשור 2015'!E146</f>
        <v>1-1-27-CIC-1</v>
      </c>
      <c r="F78" s="241">
        <f>'רשימת מכשור 2015'!F146</f>
        <v>2000</v>
      </c>
      <c r="G78" s="252">
        <v>1</v>
      </c>
      <c r="H78" s="252">
        <f t="shared" si="7"/>
        <v>2000</v>
      </c>
      <c r="I78" s="252" t="s">
        <v>82</v>
      </c>
      <c r="J78" s="252">
        <v>1</v>
      </c>
      <c r="K78" s="252">
        <v>1</v>
      </c>
      <c r="L78" s="252">
        <v>1</v>
      </c>
      <c r="M78" s="252" t="str">
        <f t="shared" si="10"/>
        <v>לא לרכוש</v>
      </c>
      <c r="N78" s="252">
        <v>1000</v>
      </c>
      <c r="O78" s="252"/>
      <c r="P78" s="252">
        <v>11</v>
      </c>
      <c r="Q78" s="252"/>
      <c r="R78" s="252">
        <f t="shared" si="8"/>
        <v>11</v>
      </c>
      <c r="S78" s="252">
        <f t="shared" si="9"/>
        <v>2</v>
      </c>
      <c r="T78" s="252">
        <v>2</v>
      </c>
      <c r="U78" s="255" t="s">
        <v>1184</v>
      </c>
      <c r="W78" s="108"/>
      <c r="X78" s="108"/>
    </row>
    <row r="79" spans="1:24" s="124" customFormat="1" ht="14.25" customHeight="1">
      <c r="A79" s="240" t="str">
        <f>'רשימת מכשור 2015'!A148</f>
        <v>אלקטרודת PH</v>
      </c>
      <c r="B79" s="241" t="str">
        <f>'רשימת מכשור 2015'!B148</f>
        <v>Mettler Toledo</v>
      </c>
      <c r="C79" s="241" t="str">
        <f>'רשימת מכשור 2015'!C148</f>
        <v>Inpro 3253I/SV/120
M400</v>
      </c>
      <c r="D79" s="241" t="str">
        <f>'רשימת מכשור 2015'!D148</f>
        <v>CRUDE</v>
      </c>
      <c r="E79" s="241" t="str">
        <f>'רשימת מכשור 2015'!E148</f>
        <v>1-1-28-PH-2</v>
      </c>
      <c r="F79" s="241">
        <f>'רשימת מכשור 2015'!F148</f>
        <v>2000</v>
      </c>
      <c r="G79" s="252">
        <v>1</v>
      </c>
      <c r="H79" s="252">
        <f t="shared" si="7"/>
        <v>2000</v>
      </c>
      <c r="I79" s="252" t="s">
        <v>82</v>
      </c>
      <c r="J79" s="252">
        <v>3</v>
      </c>
      <c r="K79" s="252">
        <v>1</v>
      </c>
      <c r="L79" s="252">
        <v>1</v>
      </c>
      <c r="M79" s="252" t="str">
        <f t="shared" si="10"/>
        <v>לא לרכוש</v>
      </c>
      <c r="N79" s="252">
        <v>1000</v>
      </c>
      <c r="O79" s="252"/>
      <c r="P79" s="252">
        <v>5</v>
      </c>
      <c r="Q79" s="252"/>
      <c r="R79" s="252">
        <f t="shared" si="8"/>
        <v>15</v>
      </c>
      <c r="S79" s="252">
        <f t="shared" si="9"/>
        <v>2</v>
      </c>
      <c r="T79" s="252">
        <v>2</v>
      </c>
      <c r="U79" s="255" t="s">
        <v>1184</v>
      </c>
      <c r="W79" s="108"/>
      <c r="X79" s="108"/>
    </row>
    <row r="80" spans="1:24" s="124" customFormat="1" ht="14.25" customHeight="1">
      <c r="A80" s="240" t="str">
        <f>'רשימת מכשור 2015'!A153</f>
        <v>אלקטרודת PH</v>
      </c>
      <c r="B80" s="241" t="str">
        <f>'רשימת מכשור 2015'!B153</f>
        <v>Mettler Toledo</v>
      </c>
      <c r="C80" s="241" t="str">
        <f>'רשימת מכשור 2015'!C153</f>
        <v>Inpro 3253/120/PT100
pH2100e</v>
      </c>
      <c r="D80" s="241" t="str">
        <f>'רשימת מכשור 2015'!D153</f>
        <v>COLUMN 1</v>
      </c>
      <c r="E80" s="241" t="str">
        <f>'רשימת מכשור 2015'!E153</f>
        <v>1-1-144-TV-PHT/I-1</v>
      </c>
      <c r="F80" s="241">
        <f>'רשימת מכשור 2015'!F153</f>
        <v>2000</v>
      </c>
      <c r="G80" s="252">
        <v>1</v>
      </c>
      <c r="H80" s="252">
        <f t="shared" si="7"/>
        <v>2000</v>
      </c>
      <c r="I80" s="252" t="s">
        <v>82</v>
      </c>
      <c r="J80" s="252">
        <v>3</v>
      </c>
      <c r="K80" s="252">
        <v>1</v>
      </c>
      <c r="L80" s="252">
        <v>1</v>
      </c>
      <c r="M80" s="252" t="str">
        <f t="shared" si="10"/>
        <v>לא לרכוש</v>
      </c>
      <c r="N80" s="252">
        <v>1000</v>
      </c>
      <c r="O80" s="252"/>
      <c r="P80" s="252">
        <v>5</v>
      </c>
      <c r="Q80" s="252"/>
      <c r="R80" s="252">
        <f t="shared" si="8"/>
        <v>15</v>
      </c>
      <c r="S80" s="252">
        <f t="shared" si="9"/>
        <v>2</v>
      </c>
      <c r="T80" s="252">
        <v>2</v>
      </c>
      <c r="U80" s="255" t="s">
        <v>1184</v>
      </c>
      <c r="W80" s="108"/>
      <c r="X80" s="108"/>
    </row>
    <row r="81" spans="1:24" s="124" customFormat="1" ht="14.25" customHeight="1">
      <c r="A81" s="241" t="str">
        <f>'רשימת מכשור 2015'!A161</f>
        <v>משדר מוליכות</v>
      </c>
      <c r="B81" s="241" t="str">
        <f>'רשימת מכשור 2015'!B161</f>
        <v>Mettler Toledo</v>
      </c>
      <c r="C81" s="241">
        <f>'רשימת מכשור 2015'!C161</f>
        <v>7100</v>
      </c>
      <c r="D81" s="241" t="str">
        <f>'רשימת מכשור 2015'!D161</f>
        <v>COLUMN 1</v>
      </c>
      <c r="E81" s="241" t="str">
        <f>'רשימת מכשור 2015'!E161</f>
        <v>1-1-144-TV-CONDT/I-1</v>
      </c>
      <c r="F81" s="241">
        <f>'רשימת מכשור 2015'!F161</f>
        <v>2000</v>
      </c>
      <c r="G81" s="252">
        <v>1</v>
      </c>
      <c r="H81" s="252">
        <f t="shared" si="7"/>
        <v>2000</v>
      </c>
      <c r="I81" s="252" t="s">
        <v>82</v>
      </c>
      <c r="J81" s="252">
        <v>1</v>
      </c>
      <c r="K81" s="252">
        <v>1</v>
      </c>
      <c r="L81" s="252">
        <v>1</v>
      </c>
      <c r="M81" s="252" t="str">
        <f t="shared" si="10"/>
        <v>לא לרכוש</v>
      </c>
      <c r="N81" s="252">
        <v>1000</v>
      </c>
      <c r="O81" s="252"/>
      <c r="P81" s="252">
        <v>4</v>
      </c>
      <c r="Q81" s="252"/>
      <c r="R81" s="252">
        <f t="shared" si="8"/>
        <v>4</v>
      </c>
      <c r="S81" s="252">
        <f t="shared" si="9"/>
        <v>1</v>
      </c>
      <c r="T81" s="252">
        <v>1</v>
      </c>
      <c r="U81" s="255"/>
      <c r="W81" s="108"/>
      <c r="X81" s="108"/>
    </row>
    <row r="82" spans="1:24" s="124" customFormat="1" ht="14.25" customHeight="1">
      <c r="A82" s="240" t="str">
        <f>'רשימת מכשור 2015'!A173</f>
        <v>אלקטרודת PH</v>
      </c>
      <c r="B82" s="241" t="str">
        <f>'רשימת מכשור 2015'!B173</f>
        <v>Mettler Toledo</v>
      </c>
      <c r="C82" s="241" t="str">
        <f>'רשימת מכשור 2015'!C173</f>
        <v>inpro 3253i</v>
      </c>
      <c r="D82" s="241" t="str">
        <f>'רשימת מכשור 2015'!D173</f>
        <v>HARVST</v>
      </c>
      <c r="E82" s="241" t="str">
        <f>'רשימת מכשור 2015'!E173</f>
        <v>1-1-27-PH-1</v>
      </c>
      <c r="F82" s="241">
        <f>'רשימת מכשור 2015'!F173</f>
        <v>1505</v>
      </c>
      <c r="G82" s="252">
        <v>1</v>
      </c>
      <c r="H82" s="252">
        <f t="shared" si="7"/>
        <v>1505</v>
      </c>
      <c r="I82" s="252" t="s">
        <v>82</v>
      </c>
      <c r="J82" s="252">
        <v>3</v>
      </c>
      <c r="K82" s="252">
        <v>1</v>
      </c>
      <c r="L82" s="252">
        <v>1</v>
      </c>
      <c r="M82" s="252" t="str">
        <f t="shared" si="10"/>
        <v>לא לרכוש</v>
      </c>
      <c r="N82" s="252">
        <v>1000</v>
      </c>
      <c r="O82" s="252"/>
      <c r="P82" s="252">
        <v>5</v>
      </c>
      <c r="Q82" s="252"/>
      <c r="R82" s="252">
        <f t="shared" si="8"/>
        <v>15</v>
      </c>
      <c r="S82" s="252">
        <f t="shared" si="9"/>
        <v>2</v>
      </c>
      <c r="T82" s="252">
        <v>2</v>
      </c>
      <c r="U82" s="255" t="s">
        <v>1184</v>
      </c>
      <c r="W82" s="108"/>
      <c r="X82" s="108"/>
    </row>
    <row r="83" spans="1:24" s="124" customFormat="1" ht="30.75" customHeight="1">
      <c r="A83" s="241" t="str">
        <f>'רשימת מכשור 2015'!A175</f>
        <v xml:space="preserve">ברז (מפעיל) בקרה </v>
      </c>
      <c r="B83" s="241" t="str">
        <f>'רשימת מכשור 2015'!B175</f>
        <v>siemens</v>
      </c>
      <c r="C83" s="241" t="str">
        <f>'רשימת מכשור 2015'!C175</f>
        <v>GMA 161.9E</v>
      </c>
      <c r="D83" s="241" t="str">
        <f>'רשימת מכשור 2015'!D175</f>
        <v>PW פיילוט</v>
      </c>
      <c r="E83" s="241" t="str">
        <f>'רשימת מכשור 2015'!E175</f>
        <v>1-TCV-1</v>
      </c>
      <c r="F83" s="241">
        <f>'רשימת מכשור 2015'!F175</f>
        <v>800</v>
      </c>
      <c r="G83" s="252">
        <v>1</v>
      </c>
      <c r="H83" s="252">
        <f t="shared" si="7"/>
        <v>800</v>
      </c>
      <c r="I83" s="252" t="s">
        <v>82</v>
      </c>
      <c r="J83" s="252">
        <v>1</v>
      </c>
      <c r="K83" s="252">
        <v>0</v>
      </c>
      <c r="L83" s="252">
        <v>0.5</v>
      </c>
      <c r="M83" s="252" t="str">
        <f t="shared" si="10"/>
        <v>לא לרכוש</v>
      </c>
      <c r="N83" s="252">
        <v>1000</v>
      </c>
      <c r="O83" s="252"/>
      <c r="P83" s="252">
        <v>1</v>
      </c>
      <c r="Q83" s="252"/>
      <c r="R83" s="252">
        <f t="shared" si="8"/>
        <v>0.5</v>
      </c>
      <c r="S83" s="252">
        <f t="shared" si="9"/>
        <v>1</v>
      </c>
      <c r="T83" s="252">
        <v>1</v>
      </c>
      <c r="U83" s="255"/>
      <c r="W83" s="108"/>
      <c r="X83" s="108"/>
    </row>
    <row r="84" spans="1:24" s="124" customFormat="1" ht="14.25" customHeight="1">
      <c r="A84" s="241" t="str">
        <f>'רשימת מכשור 2015'!A176</f>
        <v>משדר טמפרטורה</v>
      </c>
      <c r="B84" s="241" t="str">
        <f>'רשימת מכשור 2015'!B176</f>
        <v xml:space="preserve">Sensor: Elcon
Transmitter: E+H </v>
      </c>
      <c r="C84" s="241" t="str">
        <f>'רשימת מכשור 2015'!C176</f>
        <v>Sensor: PT-100 TH-39
Transmitter:TMT 121</v>
      </c>
      <c r="D84" s="241" t="str">
        <f>'רשימת מכשור 2015'!D176</f>
        <v>PW STORAGE
2500</v>
      </c>
      <c r="E84" s="241" t="str">
        <f>'רשימת מכשור 2015'!E176</f>
        <v>1-1-606-TE/TT-001</v>
      </c>
      <c r="F84" s="241">
        <f>'רשימת מכשור 2015'!F176</f>
        <v>1500</v>
      </c>
      <c r="G84" s="252">
        <v>1</v>
      </c>
      <c r="H84" s="252">
        <f t="shared" si="7"/>
        <v>1500</v>
      </c>
      <c r="I84" s="252" t="s">
        <v>82</v>
      </c>
      <c r="J84" s="252">
        <v>1</v>
      </c>
      <c r="K84" s="252">
        <v>0</v>
      </c>
      <c r="L84" s="252">
        <v>1</v>
      </c>
      <c r="M84" s="252" t="str">
        <f t="shared" si="10"/>
        <v>לא לרכוש</v>
      </c>
      <c r="N84" s="252">
        <v>1000</v>
      </c>
      <c r="O84" s="252"/>
      <c r="P84" s="252">
        <v>3</v>
      </c>
      <c r="Q84" s="252"/>
      <c r="R84" s="252">
        <f t="shared" si="8"/>
        <v>3</v>
      </c>
      <c r="S84" s="252">
        <f t="shared" si="9"/>
        <v>1</v>
      </c>
      <c r="T84" s="252">
        <v>1</v>
      </c>
      <c r="U84" s="255"/>
      <c r="W84" s="108"/>
      <c r="X84" s="108"/>
    </row>
    <row r="85" spans="1:24" s="124" customFormat="1" ht="28.5" customHeight="1">
      <c r="A85" s="241" t="str">
        <f>'רשימת מכשור 2015'!A179</f>
        <v>מפסק זרימה</v>
      </c>
      <c r="B85" s="241" t="str">
        <f>'רשימת מכשור 2015'!B179</f>
        <v>EGE</v>
      </c>
      <c r="C85" s="241" t="str">
        <f>'רשימת מכשור 2015'!C179</f>
        <v>ST-421-KH-A4</v>
      </c>
      <c r="D85" s="241" t="str">
        <f>'רשימת מכשור 2015'!D179</f>
        <v>CLW</v>
      </c>
      <c r="E85" s="241" t="str">
        <f>'רשימת מכשור 2015'!E179</f>
        <v>1-1-1-FS-1</v>
      </c>
      <c r="F85" s="241">
        <f>'רשימת מכשור 2015'!F179</f>
        <v>1500</v>
      </c>
      <c r="G85" s="252">
        <v>1</v>
      </c>
      <c r="H85" s="252">
        <f t="shared" si="7"/>
        <v>1500</v>
      </c>
      <c r="I85" s="252" t="s">
        <v>82</v>
      </c>
      <c r="J85" s="252">
        <v>1</v>
      </c>
      <c r="K85" s="252">
        <v>1</v>
      </c>
      <c r="L85" s="252">
        <v>1</v>
      </c>
      <c r="M85" s="252" t="str">
        <f t="shared" si="10"/>
        <v>לא לרכוש</v>
      </c>
      <c r="N85" s="252">
        <v>1000</v>
      </c>
      <c r="O85" s="252"/>
      <c r="P85" s="252">
        <v>4</v>
      </c>
      <c r="Q85" s="252"/>
      <c r="R85" s="252">
        <f t="shared" si="8"/>
        <v>4</v>
      </c>
      <c r="S85" s="252">
        <f t="shared" si="9"/>
        <v>1</v>
      </c>
      <c r="T85" s="252">
        <v>1</v>
      </c>
      <c r="U85" s="255"/>
      <c r="W85" s="108"/>
      <c r="X85" s="108"/>
    </row>
    <row r="86" spans="1:24" s="124" customFormat="1" ht="14.25" customHeight="1">
      <c r="A86" s="241" t="str">
        <f>'רשימת מכשור 2015'!A183</f>
        <v>משדר טמפרטורה</v>
      </c>
      <c r="B86" s="241" t="str">
        <f>'רשימת מכשור 2015'!B183</f>
        <v>E+H</v>
      </c>
      <c r="C86" s="241" t="str">
        <f>'רשימת מכשור 2015'!C183</f>
        <v>TMT 121</v>
      </c>
      <c r="D86" s="241" t="str">
        <f>'רשימת מכשור 2015'!D183</f>
        <v>WFI-PRODUCTION/STORAGE</v>
      </c>
      <c r="E86" s="241" t="str">
        <f>'רשימת מכשור 2015'!E183</f>
        <v>25-TT-1</v>
      </c>
      <c r="F86" s="241">
        <f>'רשימת מכשור 2015'!F183</f>
        <v>1500</v>
      </c>
      <c r="G86" s="252">
        <v>1</v>
      </c>
      <c r="H86" s="252">
        <f t="shared" si="7"/>
        <v>1500</v>
      </c>
      <c r="I86" s="252" t="s">
        <v>82</v>
      </c>
      <c r="J86" s="252">
        <v>1</v>
      </c>
      <c r="K86" s="252">
        <v>1</v>
      </c>
      <c r="L86" s="252">
        <v>1</v>
      </c>
      <c r="M86" s="252" t="str">
        <f t="shared" si="10"/>
        <v>לא לרכוש</v>
      </c>
      <c r="N86" s="252">
        <v>1000</v>
      </c>
      <c r="O86" s="252"/>
      <c r="P86" s="252">
        <v>5</v>
      </c>
      <c r="Q86" s="252"/>
      <c r="R86" s="252">
        <f t="shared" si="8"/>
        <v>5</v>
      </c>
      <c r="S86" s="252">
        <f t="shared" si="9"/>
        <v>1</v>
      </c>
      <c r="T86" s="252">
        <v>1</v>
      </c>
      <c r="U86" s="255"/>
      <c r="W86" s="108"/>
      <c r="X86" s="108"/>
    </row>
    <row r="87" spans="1:24" s="124" customFormat="1" ht="14.25" customHeight="1">
      <c r="A87" s="240" t="str">
        <f>'רשימת מכשור 2015'!A185</f>
        <v>ברז (מפעיל) בקרה</v>
      </c>
      <c r="B87" s="241" t="str">
        <f>'רשימת מכשור 2015'!B185</f>
        <v>Belimo</v>
      </c>
      <c r="C87" s="241" t="str">
        <f>'רשימת מכשור 2015'!C185</f>
        <v>NR C24A/SR</v>
      </c>
      <c r="D87" s="241" t="str">
        <f>'רשימת מכשור 2015'!D185</f>
        <v>WFI DISTRIBUTION</v>
      </c>
      <c r="E87" s="241" t="str">
        <f>'רשימת מכשור 2015'!E185</f>
        <v>1-1-26-TCV-2</v>
      </c>
      <c r="F87" s="241">
        <f>'רשימת מכשור 2015'!F185</f>
        <v>1500</v>
      </c>
      <c r="G87" s="252">
        <v>1</v>
      </c>
      <c r="H87" s="252">
        <f t="shared" si="7"/>
        <v>1500</v>
      </c>
      <c r="I87" s="252"/>
      <c r="J87" s="252">
        <v>1</v>
      </c>
      <c r="K87" s="252">
        <v>1</v>
      </c>
      <c r="L87" s="252">
        <v>1</v>
      </c>
      <c r="M87" s="252" t="str">
        <f t="shared" si="10"/>
        <v>לרכוש</v>
      </c>
      <c r="N87" s="252">
        <v>1000</v>
      </c>
      <c r="O87" s="252"/>
      <c r="P87" s="252">
        <v>15</v>
      </c>
      <c r="Q87" s="252"/>
      <c r="R87" s="252">
        <f t="shared" si="8"/>
        <v>15</v>
      </c>
      <c r="S87" s="252">
        <f t="shared" si="9"/>
        <v>2</v>
      </c>
      <c r="T87" s="252">
        <v>2</v>
      </c>
      <c r="U87" s="255" t="s">
        <v>1189</v>
      </c>
      <c r="W87" s="108"/>
      <c r="X87" s="108"/>
    </row>
    <row r="88" spans="1:24" s="124" customFormat="1" ht="14.25" customHeight="1">
      <c r="A88" s="240" t="str">
        <f>'רשימת מכשור 2015'!A187</f>
        <v>מד ומשדר טמפ'</v>
      </c>
      <c r="B88" s="241" t="str">
        <f>'רשימת מכשור 2015'!B187</f>
        <v>E+H-משדר
סנסור-מגטרון</v>
      </c>
      <c r="C88" s="241" t="str">
        <f>'רשימת מכשור 2015'!C187</f>
        <v>TMT122-משדר
PT100-סנסור</v>
      </c>
      <c r="D88" s="241" t="str">
        <f>'רשימת מכשור 2015'!D187</f>
        <v>SW SYSTEM</v>
      </c>
      <c r="E88" s="241" t="str">
        <f>'רשימת מכשור 2015'!E187</f>
        <v>1-1-2010-TI-513</v>
      </c>
      <c r="F88" s="241">
        <f>'רשימת מכשור 2015'!F187</f>
        <v>1500</v>
      </c>
      <c r="G88" s="252">
        <v>1</v>
      </c>
      <c r="H88" s="252">
        <f t="shared" si="7"/>
        <v>1500</v>
      </c>
      <c r="I88" s="252" t="s">
        <v>82</v>
      </c>
      <c r="J88" s="252">
        <v>1</v>
      </c>
      <c r="K88" s="252">
        <v>1</v>
      </c>
      <c r="L88" s="252">
        <v>1</v>
      </c>
      <c r="M88" s="252" t="str">
        <f t="shared" si="10"/>
        <v>לא לרכוש</v>
      </c>
      <c r="N88" s="252">
        <v>1000</v>
      </c>
      <c r="O88" s="252"/>
      <c r="P88" s="252">
        <v>7</v>
      </c>
      <c r="Q88" s="252"/>
      <c r="R88" s="252">
        <f t="shared" si="8"/>
        <v>7</v>
      </c>
      <c r="S88" s="252">
        <f t="shared" si="9"/>
        <v>1</v>
      </c>
      <c r="T88" s="252">
        <v>1</v>
      </c>
      <c r="U88" s="255"/>
      <c r="W88" s="108"/>
      <c r="X88" s="108"/>
    </row>
    <row r="89" spans="1:24" s="124" customFormat="1" ht="14.25" customHeight="1">
      <c r="A89" s="241" t="str">
        <f>'רשימת מכשור 2015'!A188</f>
        <v>LOAD CELL</v>
      </c>
      <c r="B89" s="241" t="str">
        <f>'רשימת מכשור 2015'!B188</f>
        <v>ZEMIC</v>
      </c>
      <c r="C89" s="241" t="str">
        <f>'רשימת מכשור 2015'!C188</f>
        <v>ZEMIC</v>
      </c>
      <c r="D89" s="241" t="str">
        <f>'רשימת מכשור 2015'!D188</f>
        <v>MEDIA PILOT</v>
      </c>
      <c r="E89" s="241" t="str">
        <f>'רשימת מכשור 2015'!E188</f>
        <v>1-2-2-WC-1</v>
      </c>
      <c r="F89" s="241">
        <f>'רשימת מכשור 2015'!F188</f>
        <v>500</v>
      </c>
      <c r="G89" s="252">
        <v>1</v>
      </c>
      <c r="H89" s="252">
        <f t="shared" si="7"/>
        <v>500</v>
      </c>
      <c r="I89" s="252"/>
      <c r="J89" s="252">
        <v>1</v>
      </c>
      <c r="K89" s="252">
        <v>1</v>
      </c>
      <c r="L89" s="252">
        <v>1</v>
      </c>
      <c r="M89" s="252" t="str">
        <f t="shared" si="10"/>
        <v>לרכוש</v>
      </c>
      <c r="N89" s="252">
        <v>1000</v>
      </c>
      <c r="O89" s="252"/>
      <c r="P89" s="252">
        <v>3</v>
      </c>
      <c r="Q89" s="252"/>
      <c r="R89" s="252">
        <f t="shared" si="8"/>
        <v>3</v>
      </c>
      <c r="S89" s="252">
        <f t="shared" si="9"/>
        <v>1</v>
      </c>
      <c r="T89" s="252">
        <v>1</v>
      </c>
      <c r="U89" s="255"/>
      <c r="W89" s="108"/>
      <c r="X89" s="108"/>
    </row>
    <row r="90" spans="1:24" s="124" customFormat="1" ht="14.25" customHeight="1">
      <c r="A90" s="241" t="str">
        <f>'רשימת מכשור 2015'!A189</f>
        <v>LOAD CELL</v>
      </c>
      <c r="B90" s="241" t="str">
        <f>'רשימת מכשור 2015'!B189</f>
        <v>ZEMIC</v>
      </c>
      <c r="C90" s="241" t="str">
        <f>'רשימת מכשור 2015'!C189</f>
        <v>BM8H-C3-2.09-6B-6-AI (X3)</v>
      </c>
      <c r="D90" s="241" t="str">
        <f>'רשימת מכשור 2015'!D189</f>
        <v>MEDIA PILOT</v>
      </c>
      <c r="E90" s="241" t="str">
        <f>'רשימת מכשור 2015'!E189</f>
        <v>1-2-2-W-1</v>
      </c>
      <c r="F90" s="241">
        <f>'רשימת מכשור 2015'!F189</f>
        <v>500</v>
      </c>
      <c r="G90" s="252">
        <v>1</v>
      </c>
      <c r="H90" s="252">
        <f t="shared" si="7"/>
        <v>500</v>
      </c>
      <c r="I90" s="252"/>
      <c r="J90" s="252">
        <v>1</v>
      </c>
      <c r="K90" s="252">
        <v>1</v>
      </c>
      <c r="L90" s="252">
        <v>1</v>
      </c>
      <c r="M90" s="252" t="str">
        <f t="shared" si="10"/>
        <v>לרכוש</v>
      </c>
      <c r="N90" s="252">
        <v>1000</v>
      </c>
      <c r="O90" s="252"/>
      <c r="P90" s="252">
        <v>3</v>
      </c>
      <c r="Q90" s="252"/>
      <c r="R90" s="252">
        <f t="shared" si="8"/>
        <v>3</v>
      </c>
      <c r="S90" s="252">
        <f t="shared" si="9"/>
        <v>1</v>
      </c>
      <c r="T90" s="252">
        <v>1</v>
      </c>
      <c r="U90" s="255"/>
      <c r="W90" s="108"/>
      <c r="X90" s="108"/>
    </row>
    <row r="91" spans="1:24" s="124" customFormat="1" ht="14.25" customHeight="1">
      <c r="A91" s="241" t="str">
        <f>'רשימת מכשור 2015'!A195</f>
        <v>ראש שקילה</v>
      </c>
      <c r="B91" s="241" t="str">
        <f>'רשימת מכשור 2015'!B195</f>
        <v>מאזני שקל</v>
      </c>
      <c r="C91" s="241" t="str">
        <f>'רשימת מכשור 2015'!C195</f>
        <v>מירב 4000</v>
      </c>
      <c r="D91" s="241" t="str">
        <f>'רשימת מכשור 2015'!D195</f>
        <v>WH-B2 DEVICE MONITORING</v>
      </c>
      <c r="E91" s="241" t="str">
        <f>'רשימת מכשור 2015'!E195</f>
        <v>1-2-2010-W-139</v>
      </c>
      <c r="F91" s="241">
        <f>'רשימת מכשור 2015'!F195</f>
        <v>1500</v>
      </c>
      <c r="G91" s="252">
        <v>1</v>
      </c>
      <c r="H91" s="252">
        <f t="shared" si="7"/>
        <v>1500</v>
      </c>
      <c r="I91" s="252" t="s">
        <v>82</v>
      </c>
      <c r="J91" s="252">
        <v>1</v>
      </c>
      <c r="K91" s="252">
        <v>0</v>
      </c>
      <c r="L91" s="252">
        <v>1</v>
      </c>
      <c r="M91" s="252" t="str">
        <f t="shared" si="10"/>
        <v>לא לרכוש</v>
      </c>
      <c r="N91" s="252">
        <v>1000</v>
      </c>
      <c r="O91" s="252"/>
      <c r="P91" s="252">
        <v>4</v>
      </c>
      <c r="Q91" s="252"/>
      <c r="R91" s="252">
        <f t="shared" si="8"/>
        <v>4</v>
      </c>
      <c r="S91" s="252">
        <f t="shared" si="9"/>
        <v>1</v>
      </c>
      <c r="T91" s="252">
        <v>1</v>
      </c>
      <c r="U91" s="255"/>
      <c r="W91" s="108"/>
      <c r="X91" s="108"/>
    </row>
    <row r="92" spans="1:24" s="124" customFormat="1" ht="14.25" customHeight="1">
      <c r="A92" s="241" t="str">
        <f>'רשימת מכשור 2015'!A196</f>
        <v>משדר נק' הטל</v>
      </c>
      <c r="B92" s="241" t="str">
        <f>'רשימת מכשור 2015'!B196</f>
        <v>COMET</v>
      </c>
      <c r="C92" s="241" t="str">
        <f>'רשימת מכשור 2015'!C196</f>
        <v>T0213</v>
      </c>
      <c r="D92" s="241" t="str">
        <f>'רשימת מכשור 2015'!D196</f>
        <v>AHU-N01</v>
      </c>
      <c r="E92" s="241" t="str">
        <f>'רשימת מכשור 2015'!E196</f>
        <v>1-1-51005-DPTE-N01-01</v>
      </c>
      <c r="F92" s="241">
        <f>'רשימת מכשור 2015'!F196</f>
        <v>1500</v>
      </c>
      <c r="G92" s="252">
        <v>1</v>
      </c>
      <c r="H92" s="252">
        <f t="shared" si="7"/>
        <v>1500</v>
      </c>
      <c r="I92" s="252"/>
      <c r="J92" s="252">
        <v>1</v>
      </c>
      <c r="K92" s="252">
        <v>1</v>
      </c>
      <c r="L92" s="252">
        <v>1</v>
      </c>
      <c r="M92" s="252" t="str">
        <f t="shared" si="10"/>
        <v>לרכוש</v>
      </c>
      <c r="N92" s="252">
        <v>1000</v>
      </c>
      <c r="O92" s="252"/>
      <c r="P92" s="252">
        <v>2</v>
      </c>
      <c r="Q92" s="252"/>
      <c r="R92" s="252">
        <f t="shared" si="8"/>
        <v>2</v>
      </c>
      <c r="S92" s="252">
        <f t="shared" si="9"/>
        <v>1</v>
      </c>
      <c r="T92" s="252">
        <v>1</v>
      </c>
      <c r="U92" s="255"/>
      <c r="W92" s="108"/>
      <c r="X92" s="108"/>
    </row>
    <row r="93" spans="1:24" s="124" customFormat="1" ht="14.25" customHeight="1">
      <c r="A93" s="241" t="str">
        <f>'רשימת מכשור 2015'!A198</f>
        <v>משדר נקודת טל</v>
      </c>
      <c r="B93" s="241" t="str">
        <f>'רשימת מכשור 2015'!B198</f>
        <v>Rotronic</v>
      </c>
      <c r="C93" s="241" t="str">
        <f>'רשימת מכשור 2015'!C198</f>
        <v>HygroFlex</v>
      </c>
      <c r="D93" s="241" t="str">
        <f>'רשימת מכשור 2015'!D198</f>
        <v>Air Compressor</v>
      </c>
      <c r="E93" s="241" t="str">
        <f>'רשימת מכשור 2015'!E198</f>
        <v>41001-DPT-2</v>
      </c>
      <c r="F93" s="241">
        <f>'רשימת מכשור 2015'!F198</f>
        <v>1500</v>
      </c>
      <c r="G93" s="252">
        <v>1</v>
      </c>
      <c r="H93" s="252">
        <f t="shared" si="7"/>
        <v>1500</v>
      </c>
      <c r="I93" s="252"/>
      <c r="J93" s="252">
        <v>1</v>
      </c>
      <c r="K93" s="252">
        <v>1</v>
      </c>
      <c r="L93" s="252">
        <v>0.7</v>
      </c>
      <c r="M93" s="252" t="str">
        <f t="shared" si="10"/>
        <v>לרכוש</v>
      </c>
      <c r="N93" s="252">
        <v>1000</v>
      </c>
      <c r="O93" s="252"/>
      <c r="P93" s="252">
        <v>2</v>
      </c>
      <c r="Q93" s="252"/>
      <c r="R93" s="252">
        <f t="shared" si="8"/>
        <v>1.4</v>
      </c>
      <c r="S93" s="252">
        <f t="shared" si="9"/>
        <v>1</v>
      </c>
      <c r="T93" s="252">
        <v>1</v>
      </c>
      <c r="U93" s="255"/>
      <c r="W93" s="108"/>
      <c r="X93" s="108"/>
    </row>
    <row r="94" spans="1:24" s="124" customFormat="1" ht="14.25" customHeight="1">
      <c r="A94" s="241" t="str">
        <f>'רשימת מכשור 2015'!A200</f>
        <v>מפסק גובה</v>
      </c>
      <c r="B94" s="241" t="str">
        <f>'רשימת מכשור 2015'!B200</f>
        <v>Custom Biogenic system</v>
      </c>
      <c r="C94" s="241" t="str">
        <f>'רשימת מכשור 2015'!C200</f>
        <v>LA-2B</v>
      </c>
      <c r="D94" s="241" t="str">
        <f>'רשימת מכשור 2015'!D200</f>
        <v xml:space="preserve">R&amp;D </v>
      </c>
      <c r="E94" s="241" t="str">
        <f>'רשימת מכשור 2015'!E200</f>
        <v>1-2-TA-33</v>
      </c>
      <c r="F94" s="241">
        <f>'רשימת מכשור 2015'!F200</f>
        <v>1500</v>
      </c>
      <c r="G94" s="252">
        <v>1</v>
      </c>
      <c r="H94" s="252">
        <f t="shared" si="7"/>
        <v>1500</v>
      </c>
      <c r="I94" s="252" t="s">
        <v>82</v>
      </c>
      <c r="J94" s="252">
        <v>1</v>
      </c>
      <c r="K94" s="252">
        <v>1</v>
      </c>
      <c r="L94" s="252">
        <v>0.5</v>
      </c>
      <c r="M94" s="252" t="str">
        <f t="shared" si="10"/>
        <v>לא לרכוש</v>
      </c>
      <c r="N94" s="252">
        <v>1000</v>
      </c>
      <c r="O94" s="252"/>
      <c r="P94" s="252">
        <v>10</v>
      </c>
      <c r="Q94" s="252"/>
      <c r="R94" s="252">
        <f t="shared" si="8"/>
        <v>5</v>
      </c>
      <c r="S94" s="252">
        <f t="shared" si="9"/>
        <v>1</v>
      </c>
      <c r="T94" s="252">
        <v>1</v>
      </c>
      <c r="U94" s="255"/>
      <c r="W94" s="108"/>
      <c r="X94" s="108"/>
    </row>
    <row r="95" spans="1:24" s="124" customFormat="1" ht="14.25" customHeight="1">
      <c r="A95" s="241" t="str">
        <f>'רשימת מכשור 2015'!A211</f>
        <v>משדר טמפרטורה</v>
      </c>
      <c r="B95" s="241" t="str">
        <f>'רשימת מכשור 2015'!B211</f>
        <v>WIKA</v>
      </c>
      <c r="C95" s="241" t="str">
        <f>'רשימת מכשור 2015'!C211</f>
        <v>T32.1S.01S-Z</v>
      </c>
      <c r="D95" s="241" t="str">
        <f>'רשימת מכשור 2015'!D211</f>
        <v>COLUMN 1</v>
      </c>
      <c r="E95" s="241" t="str">
        <f>'רשימת מכשור 2015'!E211</f>
        <v>1-1-144-TV-TT-2</v>
      </c>
      <c r="F95" s="241">
        <f>'רשימת מכשור 2015'!F211</f>
        <v>1500</v>
      </c>
      <c r="G95" s="252">
        <v>1</v>
      </c>
      <c r="H95" s="252">
        <f t="shared" si="7"/>
        <v>1500</v>
      </c>
      <c r="I95" s="252" t="s">
        <v>82</v>
      </c>
      <c r="J95" s="252">
        <v>1</v>
      </c>
      <c r="K95" s="252">
        <v>1</v>
      </c>
      <c r="L95" s="252">
        <v>0.5</v>
      </c>
      <c r="M95" s="252" t="str">
        <f t="shared" si="10"/>
        <v>לא לרכוש</v>
      </c>
      <c r="N95" s="252">
        <v>1000</v>
      </c>
      <c r="O95" s="252"/>
      <c r="P95" s="252">
        <v>1</v>
      </c>
      <c r="Q95" s="252"/>
      <c r="R95" s="252">
        <f t="shared" si="8"/>
        <v>0.5</v>
      </c>
      <c r="S95" s="252">
        <f t="shared" si="9"/>
        <v>1</v>
      </c>
      <c r="T95" s="252">
        <v>1</v>
      </c>
      <c r="U95" s="255"/>
      <c r="W95" s="108"/>
      <c r="X95" s="108"/>
    </row>
    <row r="96" spans="1:24" s="124" customFormat="1" ht="14.25" customHeight="1">
      <c r="A96" s="241" t="str">
        <f>'רשימת מכשור 2015'!A212</f>
        <v>משדר טמפרטורה</v>
      </c>
      <c r="B96" s="241" t="str">
        <f>'רשימת מכשור 2015'!B212</f>
        <v>Controtec.</v>
      </c>
      <c r="C96" s="241" t="str">
        <f>'רשימת מכשור 2015'!C212</f>
        <v>משדר+PT-100</v>
      </c>
      <c r="D96" s="241" t="str">
        <f>'רשימת מכשור 2015'!D212</f>
        <v>COLUMN 1</v>
      </c>
      <c r="E96" s="241" t="str">
        <f>'רשימת מכשור 2015'!E212</f>
        <v>1-1-144-TV-TT-3</v>
      </c>
      <c r="F96" s="241">
        <f>'רשימת מכשור 2015'!F212</f>
        <v>1500</v>
      </c>
      <c r="G96" s="252">
        <v>1</v>
      </c>
      <c r="H96" s="252">
        <f t="shared" si="7"/>
        <v>1500</v>
      </c>
      <c r="I96" s="252"/>
      <c r="J96" s="252">
        <v>1</v>
      </c>
      <c r="K96" s="252">
        <v>1</v>
      </c>
      <c r="L96" s="252">
        <v>0.5</v>
      </c>
      <c r="M96" s="252" t="str">
        <f t="shared" si="10"/>
        <v>לרכוש</v>
      </c>
      <c r="N96" s="252">
        <v>1000</v>
      </c>
      <c r="O96" s="252"/>
      <c r="P96" s="252">
        <v>4</v>
      </c>
      <c r="Q96" s="252"/>
      <c r="R96" s="252">
        <f t="shared" si="8"/>
        <v>2</v>
      </c>
      <c r="S96" s="252">
        <f t="shared" si="9"/>
        <v>1</v>
      </c>
      <c r="T96" s="252">
        <v>1</v>
      </c>
      <c r="U96" s="255"/>
      <c r="W96" s="108"/>
      <c r="X96" s="108"/>
    </row>
    <row r="97" spans="1:24" s="124" customFormat="1" ht="14.25" customHeight="1">
      <c r="A97" s="241" t="str">
        <f>'רשימת מכשור 2015'!A216</f>
        <v>אלקטרודת PH</v>
      </c>
      <c r="B97" s="241" t="str">
        <f>'רשימת מכשור 2015'!B216</f>
        <v>Mettler Toledo</v>
      </c>
      <c r="C97" s="241" t="str">
        <f>'רשימת מכשור 2015'!C216</f>
        <v>inpro 3250</v>
      </c>
      <c r="D97" s="241" t="str">
        <f>'רשימת מכשור 2015'!D216</f>
        <v>MEDIA</v>
      </c>
      <c r="E97" s="241" t="str">
        <f>'רשימת מכשור 2015'!E216</f>
        <v>1-1-8-PH-1</v>
      </c>
      <c r="F97" s="241">
        <f>'רשימת מכשור 2015'!F216</f>
        <v>1467</v>
      </c>
      <c r="G97" s="252">
        <v>1</v>
      </c>
      <c r="H97" s="252">
        <f t="shared" si="7"/>
        <v>1467</v>
      </c>
      <c r="I97" s="252" t="s">
        <v>82</v>
      </c>
      <c r="J97" s="252">
        <v>3</v>
      </c>
      <c r="K97" s="252">
        <v>1</v>
      </c>
      <c r="L97" s="252">
        <v>1</v>
      </c>
      <c r="M97" s="252" t="str">
        <f t="shared" si="10"/>
        <v>לא לרכוש</v>
      </c>
      <c r="N97" s="252">
        <v>1000</v>
      </c>
      <c r="O97" s="252"/>
      <c r="P97" s="252">
        <v>1</v>
      </c>
      <c r="Q97" s="252"/>
      <c r="R97" s="252">
        <f t="shared" si="8"/>
        <v>3</v>
      </c>
      <c r="S97" s="252">
        <f t="shared" si="9"/>
        <v>1</v>
      </c>
      <c r="T97" s="252">
        <v>1</v>
      </c>
      <c r="U97" s="255"/>
      <c r="W97" s="108"/>
      <c r="X97" s="108"/>
    </row>
    <row r="98" spans="1:24" s="124" customFormat="1" ht="14.25" customHeight="1">
      <c r="A98" s="241" t="str">
        <f>'רשימת מכשור 2015'!A217</f>
        <v>מד טמפרטורה</v>
      </c>
      <c r="B98" s="241" t="str">
        <f>'רשימת מכשור 2015'!B217</f>
        <v xml:space="preserve">E+H </v>
      </c>
      <c r="C98" s="241" t="str">
        <f>'רשימת מכשור 2015'!C217</f>
        <v>Sensor: PT-100
Transmitter:TMT 121</v>
      </c>
      <c r="D98" s="241" t="str">
        <f>'רשימת מכשור 2015'!D217</f>
        <v>PW PRETREAMENT
2500</v>
      </c>
      <c r="E98" s="241" t="str">
        <f>'רשימת מכשור 2015'!E217</f>
        <v>1-1-605-TT-002</v>
      </c>
      <c r="F98" s="241">
        <f>'רשימת מכשור 2015'!F217</f>
        <v>1200</v>
      </c>
      <c r="G98" s="252">
        <v>1</v>
      </c>
      <c r="H98" s="252">
        <v>1200</v>
      </c>
      <c r="I98" s="252" t="s">
        <v>82</v>
      </c>
      <c r="J98" s="252">
        <v>1</v>
      </c>
      <c r="K98" s="252">
        <v>1</v>
      </c>
      <c r="L98" s="252">
        <v>1</v>
      </c>
      <c r="M98" s="252" t="str">
        <f t="shared" si="10"/>
        <v>לא לרכוש</v>
      </c>
      <c r="N98" s="252">
        <v>1000</v>
      </c>
      <c r="O98" s="252"/>
      <c r="P98" s="252">
        <v>2</v>
      </c>
      <c r="Q98" s="252"/>
      <c r="R98" s="252">
        <f t="shared" si="8"/>
        <v>2</v>
      </c>
      <c r="S98" s="252">
        <f t="shared" si="9"/>
        <v>1</v>
      </c>
      <c r="T98" s="252">
        <v>1</v>
      </c>
      <c r="U98" s="255"/>
      <c r="W98" s="108"/>
      <c r="X98" s="108"/>
    </row>
    <row r="99" spans="1:24" s="124" customFormat="1">
      <c r="A99" s="240" t="str">
        <f>'רשימת מכשור 2015'!A219</f>
        <v>משדר לחץ</v>
      </c>
      <c r="B99" s="241" t="str">
        <f>'רשימת מכשור 2015'!B219</f>
        <v>ELCON</v>
      </c>
      <c r="C99" s="241" t="str">
        <f>'רשימת מכשור 2015'!C219</f>
        <v>30.800G</v>
      </c>
      <c r="D99" s="241" t="str">
        <f>'רשימת מכשור 2015'!D219</f>
        <v>CLW</v>
      </c>
      <c r="E99" s="241" t="str">
        <f>'רשימת מכשור 2015'!E219</f>
        <v>1-1-1-PC-1</v>
      </c>
      <c r="F99" s="241">
        <f>'רשימת מכשור 2015'!F219</f>
        <v>1200</v>
      </c>
      <c r="G99" s="252">
        <v>1</v>
      </c>
      <c r="H99" s="252">
        <f t="shared" ref="H99:H129" si="11">G99*F99</f>
        <v>1200</v>
      </c>
      <c r="I99" s="252"/>
      <c r="J99" s="252">
        <v>1</v>
      </c>
      <c r="K99" s="252">
        <v>1</v>
      </c>
      <c r="L99" s="252">
        <v>1</v>
      </c>
      <c r="M99" s="252" t="str">
        <f t="shared" si="10"/>
        <v>לרכוש</v>
      </c>
      <c r="N99" s="252">
        <v>1000</v>
      </c>
      <c r="O99" s="252"/>
      <c r="P99" s="252">
        <v>2</v>
      </c>
      <c r="Q99" s="252"/>
      <c r="R99" s="252">
        <f t="shared" si="8"/>
        <v>2</v>
      </c>
      <c r="S99" s="252">
        <f t="shared" si="9"/>
        <v>1</v>
      </c>
      <c r="T99" s="252">
        <v>1</v>
      </c>
      <c r="U99" s="255"/>
      <c r="W99" s="108"/>
      <c r="X99" s="108"/>
    </row>
    <row r="100" spans="1:24" s="124" customFormat="1" ht="57.6">
      <c r="A100" s="240" t="str">
        <f>'רשימת מכשור 2015'!A221</f>
        <v>משדר לחץ הפרשי</v>
      </c>
      <c r="B100" s="241" t="str">
        <f>'רשימת מכשור 2015'!B221</f>
        <v>Micatrone</v>
      </c>
      <c r="C100" s="241" t="str">
        <f>'רשימת מכשור 2015'!C221</f>
        <v>MF-P</v>
      </c>
      <c r="D100" s="241" t="str">
        <f>'רשימת מכשור 2015'!D221</f>
        <v>51001-AHU-01</v>
      </c>
      <c r="E100" s="241" t="str">
        <f>'רשימת מכשור 2015'!E221</f>
        <v>1-1-51001-PDT-201</v>
      </c>
      <c r="F100" s="241">
        <f>'רשימת מכשור 2015'!F221</f>
        <v>1200</v>
      </c>
      <c r="G100" s="252">
        <v>1</v>
      </c>
      <c r="H100" s="252">
        <f t="shared" si="11"/>
        <v>1200</v>
      </c>
      <c r="I100" s="252" t="s">
        <v>82</v>
      </c>
      <c r="J100" s="252">
        <v>1</v>
      </c>
      <c r="K100" s="252">
        <v>1</v>
      </c>
      <c r="L100" s="252">
        <v>1</v>
      </c>
      <c r="M100" s="252" t="str">
        <f t="shared" si="10"/>
        <v>לא לרכוש</v>
      </c>
      <c r="N100" s="252">
        <v>1000</v>
      </c>
      <c r="O100" s="252"/>
      <c r="P100" s="252">
        <v>60</v>
      </c>
      <c r="Q100" s="252"/>
      <c r="R100" s="252">
        <f t="shared" si="8"/>
        <v>60</v>
      </c>
      <c r="S100" s="252">
        <f t="shared" si="9"/>
        <v>3</v>
      </c>
      <c r="T100" s="252">
        <v>2</v>
      </c>
      <c r="U100" s="255" t="s">
        <v>1187</v>
      </c>
      <c r="W100" s="108"/>
      <c r="X100" s="108"/>
    </row>
    <row r="101" spans="1:24" s="124" customFormat="1" ht="14.25" customHeight="1">
      <c r="A101" s="241" t="str">
        <f>'רשימת מכשור 2015'!A240</f>
        <v>משדר טמפרטורה</v>
      </c>
      <c r="B101" s="241" t="str">
        <f>'רשימת מכשור 2015'!B240</f>
        <v>ROTRONIC</v>
      </c>
      <c r="C101" s="241" t="str">
        <f>'רשימת מכשור 2015'!C240</f>
        <v>Higroflex HF320-DB1XXXX</v>
      </c>
      <c r="D101" s="241" t="str">
        <f>'רשימת מכשור 2015'!D240</f>
        <v>AHU-1 PILOT</v>
      </c>
      <c r="E101" s="241" t="str">
        <f>'רשימת מכשור 2015'!E240</f>
        <v>1-2-3-TIC-140</v>
      </c>
      <c r="F101" s="241">
        <f>'רשימת מכשור 2015'!F240</f>
        <v>1200</v>
      </c>
      <c r="G101" s="252">
        <v>1</v>
      </c>
      <c r="H101" s="252">
        <f t="shared" si="11"/>
        <v>1200</v>
      </c>
      <c r="I101" s="252" t="s">
        <v>82</v>
      </c>
      <c r="J101" s="252">
        <v>1</v>
      </c>
      <c r="K101" s="252">
        <v>1</v>
      </c>
      <c r="L101" s="252">
        <v>0.5</v>
      </c>
      <c r="M101" s="252" t="str">
        <f t="shared" si="10"/>
        <v>לא לרכוש</v>
      </c>
      <c r="N101" s="252">
        <v>1000</v>
      </c>
      <c r="O101" s="252"/>
      <c r="P101" s="252">
        <v>6</v>
      </c>
      <c r="Q101" s="252"/>
      <c r="R101" s="252">
        <f t="shared" ref="R101:R131" si="12">P101*L101*J101</f>
        <v>3</v>
      </c>
      <c r="S101" s="252">
        <f t="shared" ref="S101:S131" si="13">IF(R101&gt;$AA$8,IF(R101&lt;$AA$9,$AB$9,$AB$10), $AB$8)</f>
        <v>1</v>
      </c>
      <c r="T101" s="252">
        <v>1</v>
      </c>
      <c r="U101" s="255"/>
      <c r="W101" s="108"/>
      <c r="X101" s="108"/>
    </row>
    <row r="102" spans="1:24" s="124" customFormat="1" ht="14.25" customHeight="1">
      <c r="A102" s="241" t="str">
        <f>'רשימת מכשור 2015'!A251</f>
        <v>מד לחות משולב טמפ'</v>
      </c>
      <c r="B102" s="241" t="str">
        <f>'רשימת מכשור 2015'!B251</f>
        <v>Comet</v>
      </c>
      <c r="C102" s="241" t="str">
        <f>'רשימת מכשור 2015'!C251</f>
        <v>T3113 4-20ma</v>
      </c>
      <c r="D102" s="241" t="str">
        <f>'רשימת מכשור 2015'!D251</f>
        <v>AHU-WH</v>
      </c>
      <c r="E102" s="241" t="str">
        <f>'רשימת מכשור 2015'!E251</f>
        <v>1-2-51021-HIC-1</v>
      </c>
      <c r="F102" s="241">
        <f>'רשימת מכשור 2015'!F251</f>
        <v>1200</v>
      </c>
      <c r="G102" s="252">
        <v>1</v>
      </c>
      <c r="H102" s="252">
        <f t="shared" si="11"/>
        <v>1200</v>
      </c>
      <c r="I102" s="252"/>
      <c r="J102" s="252">
        <v>1</v>
      </c>
      <c r="K102" s="252">
        <v>1</v>
      </c>
      <c r="L102" s="252">
        <v>1</v>
      </c>
      <c r="M102" s="252" t="str">
        <f t="shared" si="10"/>
        <v>לרכוש</v>
      </c>
      <c r="N102" s="252">
        <v>1000</v>
      </c>
      <c r="O102" s="252"/>
      <c r="P102" s="252">
        <v>1</v>
      </c>
      <c r="Q102" s="252"/>
      <c r="R102" s="252">
        <f t="shared" si="12"/>
        <v>1</v>
      </c>
      <c r="S102" s="252">
        <f t="shared" si="13"/>
        <v>1</v>
      </c>
      <c r="T102" s="252">
        <v>1</v>
      </c>
      <c r="U102" s="255"/>
      <c r="W102" s="108"/>
      <c r="X102" s="108"/>
    </row>
    <row r="103" spans="1:24" s="124" customFormat="1" ht="14.25" customHeight="1">
      <c r="A103" s="241" t="str">
        <f>'רשימת מכשור 2015'!A252</f>
        <v>משדר לחות</v>
      </c>
      <c r="B103" s="241" t="str">
        <f>'רשימת מכשור 2015'!B252</f>
        <v>Autonics</v>
      </c>
      <c r="C103" s="241" t="str">
        <f>'רשימת מכשור 2015'!C252</f>
        <v>RH+T</v>
      </c>
      <c r="D103" s="241" t="str">
        <f>'רשימת מכשור 2015'!D252</f>
        <v>AHU-WH</v>
      </c>
      <c r="E103" s="241" t="str">
        <f>'רשימת מכשור 2015'!E252</f>
        <v>1-2-2010-HIC-2</v>
      </c>
      <c r="F103" s="241">
        <f>'רשימת מכשור 2015'!F252</f>
        <v>1200</v>
      </c>
      <c r="G103" s="252">
        <v>1</v>
      </c>
      <c r="H103" s="252">
        <f t="shared" si="11"/>
        <v>1200</v>
      </c>
      <c r="I103" s="252"/>
      <c r="J103" s="252">
        <v>1</v>
      </c>
      <c r="K103" s="252">
        <v>1</v>
      </c>
      <c r="L103" s="252">
        <v>1</v>
      </c>
      <c r="M103" s="252" t="str">
        <f t="shared" si="10"/>
        <v>לרכוש</v>
      </c>
      <c r="N103" s="252">
        <v>1000</v>
      </c>
      <c r="O103" s="252"/>
      <c r="P103" s="252">
        <v>2</v>
      </c>
      <c r="Q103" s="252"/>
      <c r="R103" s="252">
        <f t="shared" si="12"/>
        <v>2</v>
      </c>
      <c r="S103" s="252">
        <f t="shared" si="13"/>
        <v>1</v>
      </c>
      <c r="T103" s="252">
        <v>1</v>
      </c>
      <c r="U103" s="255"/>
      <c r="W103" s="108"/>
      <c r="X103" s="108"/>
    </row>
    <row r="104" spans="1:24" s="124" customFormat="1" ht="14.25" customHeight="1">
      <c r="A104" s="241" t="str">
        <f>'רשימת מכשור 2015'!A257</f>
        <v>משדר טמפרטורה</v>
      </c>
      <c r="B104" s="241" t="str">
        <f>'רשימת מכשור 2015'!B257</f>
        <v>ROTRONIC</v>
      </c>
      <c r="C104" s="241" t="str">
        <f>'רשימת מכשור 2015'!C257</f>
        <v>HF4</v>
      </c>
      <c r="D104" s="241" t="str">
        <f>'רשימת מכשור 2015'!D257</f>
        <v>AHU-38</v>
      </c>
      <c r="E104" s="241" t="str">
        <f>'רשימת מכשור 2015'!E257</f>
        <v>1-1-38-TC-1</v>
      </c>
      <c r="F104" s="241">
        <f>'רשימת מכשור 2015'!F257</f>
        <v>1200</v>
      </c>
      <c r="G104" s="252">
        <v>2222</v>
      </c>
      <c r="H104" s="252">
        <f t="shared" si="11"/>
        <v>2666400</v>
      </c>
      <c r="I104" s="252" t="s">
        <v>82</v>
      </c>
      <c r="J104" s="252">
        <v>1</v>
      </c>
      <c r="K104" s="252">
        <v>1</v>
      </c>
      <c r="L104" s="252">
        <v>0.5</v>
      </c>
      <c r="M104" s="252" t="e">
        <f>IF(AND(K104*L104*30*N104&gt;H104/#REF!,I104=""),"לרכוש","לא לרכוש")</f>
        <v>#REF!</v>
      </c>
      <c r="N104" s="252">
        <v>1000</v>
      </c>
      <c r="O104" s="252"/>
      <c r="P104" s="252">
        <v>2</v>
      </c>
      <c r="Q104" s="252"/>
      <c r="R104" s="252">
        <f t="shared" si="12"/>
        <v>1</v>
      </c>
      <c r="S104" s="252">
        <f t="shared" si="13"/>
        <v>1</v>
      </c>
      <c r="T104" s="252">
        <v>1</v>
      </c>
      <c r="U104" s="255"/>
      <c r="W104" s="108"/>
      <c r="X104" s="108"/>
    </row>
    <row r="105" spans="1:24" s="124" customFormat="1" ht="14.25" customHeight="1">
      <c r="A105" s="241" t="str">
        <f>'רשימת מכשור 2015'!A260</f>
        <v>משדר טמפרטורה</v>
      </c>
      <c r="B105" s="241" t="str">
        <f>'רשימת מכשור 2015'!B260</f>
        <v>ROTRONIC</v>
      </c>
      <c r="C105" s="241" t="str">
        <f>'רשימת מכשור 2015'!C260</f>
        <v>HF332SB1XDX</v>
      </c>
      <c r="D105" s="241" t="str">
        <f>'רשימת מכשור 2015'!D260</f>
        <v>AHU-39</v>
      </c>
      <c r="E105" s="241" t="str">
        <f>'רשימת מכשור 2015'!E260</f>
        <v>1-1-39-TIC-2</v>
      </c>
      <c r="F105" s="241">
        <f>'רשימת מכשור 2015'!F260</f>
        <v>1200</v>
      </c>
      <c r="G105" s="252">
        <v>66</v>
      </c>
      <c r="H105" s="252">
        <f t="shared" si="11"/>
        <v>79200</v>
      </c>
      <c r="I105" s="252" t="s">
        <v>82</v>
      </c>
      <c r="J105" s="252">
        <v>1</v>
      </c>
      <c r="K105" s="252">
        <v>1</v>
      </c>
      <c r="L105" s="252">
        <v>0.5</v>
      </c>
      <c r="M105" s="252" t="str">
        <f t="shared" ref="M105:M135" si="14">IF(AND(K105*L105*30*N105&gt;H105/J105,I105=""),"לרכוש","לא לרכוש")</f>
        <v>לא לרכוש</v>
      </c>
      <c r="N105" s="252">
        <v>1000</v>
      </c>
      <c r="O105" s="252"/>
      <c r="P105" s="252">
        <v>6</v>
      </c>
      <c r="Q105" s="252"/>
      <c r="R105" s="252">
        <f t="shared" si="12"/>
        <v>3</v>
      </c>
      <c r="S105" s="252">
        <f t="shared" si="13"/>
        <v>1</v>
      </c>
      <c r="T105" s="252">
        <v>1</v>
      </c>
      <c r="U105" s="255"/>
      <c r="W105" s="108"/>
      <c r="X105" s="108"/>
    </row>
    <row r="106" spans="1:24" s="124" customFormat="1" ht="14.25" customHeight="1">
      <c r="A106" s="241" t="str">
        <f>'רשימת מכשור 2015'!A271</f>
        <v>משדר טמפרטורה</v>
      </c>
      <c r="B106" s="241" t="str">
        <f>'רשימת מכשור 2015'!B271</f>
        <v>ROTRONIC</v>
      </c>
      <c r="C106" s="241" t="str">
        <f>'רשימת מכשור 2015'!C271</f>
        <v>HF3</v>
      </c>
      <c r="D106" s="241" t="str">
        <f>'רשימת מכשור 2015'!D271</f>
        <v>AHU-40</v>
      </c>
      <c r="E106" s="241" t="str">
        <f>'רשימת מכשור 2015'!E271</f>
        <v>1-1-40-TIC-1</v>
      </c>
      <c r="F106" s="241">
        <f>'רשימת מכשור 2015'!F271</f>
        <v>1200</v>
      </c>
      <c r="G106" s="252">
        <v>1</v>
      </c>
      <c r="H106" s="252">
        <f t="shared" si="11"/>
        <v>1200</v>
      </c>
      <c r="I106" s="252" t="s">
        <v>82</v>
      </c>
      <c r="J106" s="252">
        <v>1</v>
      </c>
      <c r="K106" s="252">
        <v>1</v>
      </c>
      <c r="L106" s="252">
        <v>0.5</v>
      </c>
      <c r="M106" s="252" t="str">
        <f t="shared" si="14"/>
        <v>לא לרכוש</v>
      </c>
      <c r="N106" s="252">
        <v>1000</v>
      </c>
      <c r="O106" s="252"/>
      <c r="P106" s="252">
        <v>10</v>
      </c>
      <c r="Q106" s="252"/>
      <c r="R106" s="252">
        <f t="shared" si="12"/>
        <v>5</v>
      </c>
      <c r="S106" s="252">
        <f t="shared" si="13"/>
        <v>1</v>
      </c>
      <c r="T106" s="252">
        <v>1</v>
      </c>
      <c r="U106" s="255"/>
      <c r="W106" s="108"/>
      <c r="X106" s="108"/>
    </row>
    <row r="107" spans="1:24" s="124" customFormat="1" ht="14.25" customHeight="1">
      <c r="A107" s="241" t="str">
        <f>'רשימת מכשור 2015'!A342</f>
        <v>מד ספיקה</v>
      </c>
      <c r="B107" s="241" t="str">
        <f>'רשימת מכשור 2015'!B342</f>
        <v>ARAD DALIA</v>
      </c>
      <c r="C107" s="241" t="str">
        <f>'רשימת מכשור 2015'!C342</f>
        <v>M20 REED-SWITCH</v>
      </c>
      <c r="D107" s="241" t="str">
        <f>'רשימת מכשור 2015'!D342</f>
        <v>PW PRETREAMENT
2500</v>
      </c>
      <c r="E107" s="241" t="str">
        <f>'רשימת מכשור 2015'!E342</f>
        <v>1-1-605-QIT-001</v>
      </c>
      <c r="F107" s="241">
        <f>'רשימת מכשור 2015'!F342</f>
        <v>1000</v>
      </c>
      <c r="G107" s="252">
        <v>1</v>
      </c>
      <c r="H107" s="252">
        <f t="shared" si="11"/>
        <v>1000</v>
      </c>
      <c r="I107" s="252" t="s">
        <v>82</v>
      </c>
      <c r="J107" s="252">
        <v>1</v>
      </c>
      <c r="K107" s="252">
        <v>0</v>
      </c>
      <c r="L107" s="252">
        <v>0.2</v>
      </c>
      <c r="M107" s="252" t="str">
        <f t="shared" si="14"/>
        <v>לא לרכוש</v>
      </c>
      <c r="N107" s="252">
        <v>1000</v>
      </c>
      <c r="O107" s="252"/>
      <c r="P107" s="252">
        <v>1</v>
      </c>
      <c r="Q107" s="252"/>
      <c r="R107" s="252">
        <f t="shared" si="12"/>
        <v>0.2</v>
      </c>
      <c r="S107" s="252">
        <f t="shared" si="13"/>
        <v>1</v>
      </c>
      <c r="T107" s="252">
        <v>1</v>
      </c>
      <c r="U107" s="255"/>
      <c r="W107" s="108"/>
      <c r="X107" s="108"/>
    </row>
    <row r="108" spans="1:24" s="124" customFormat="1" ht="14.25" customHeight="1">
      <c r="A108" s="241" t="str">
        <f>'רשימת מכשור 2015'!A343</f>
        <v>משדר טמפרטורה</v>
      </c>
      <c r="B108" s="241" t="str">
        <f>'רשימת מכשור 2015'!B343</f>
        <v>COR</v>
      </c>
      <c r="C108" s="241" t="str">
        <f>'רשימת מכשור 2015'!C343</f>
        <v>PT-100</v>
      </c>
      <c r="D108" s="241" t="str">
        <f>'רשימת מכשור 2015'!D343</f>
        <v>DISTILLERY</v>
      </c>
      <c r="E108" s="241" t="str">
        <f>'רשימת מכשור 2015'!E343</f>
        <v>1-1-40-TT-02</v>
      </c>
      <c r="F108" s="241">
        <f>'רשימת מכשור 2015'!F343</f>
        <v>1000</v>
      </c>
      <c r="G108" s="252">
        <v>1</v>
      </c>
      <c r="H108" s="252">
        <f t="shared" si="11"/>
        <v>1000</v>
      </c>
      <c r="I108" s="252"/>
      <c r="J108" s="252">
        <v>1</v>
      </c>
      <c r="K108" s="252">
        <v>1</v>
      </c>
      <c r="L108" s="252">
        <v>0.5</v>
      </c>
      <c r="M108" s="252" t="str">
        <f t="shared" si="14"/>
        <v>לרכוש</v>
      </c>
      <c r="N108" s="252">
        <v>1000</v>
      </c>
      <c r="O108" s="252"/>
      <c r="P108" s="252">
        <v>1</v>
      </c>
      <c r="Q108" s="252"/>
      <c r="R108" s="252">
        <f t="shared" si="12"/>
        <v>0.5</v>
      </c>
      <c r="S108" s="252">
        <f t="shared" si="13"/>
        <v>1</v>
      </c>
      <c r="T108" s="252">
        <v>1</v>
      </c>
      <c r="U108" s="255"/>
      <c r="W108" s="108"/>
      <c r="X108" s="108"/>
    </row>
    <row r="109" spans="1:24" s="124" customFormat="1" ht="14.25" customHeight="1">
      <c r="A109" s="241" t="str">
        <f>'רשימת מכשור 2015'!A344</f>
        <v>משדר לחות</v>
      </c>
      <c r="B109" s="241" t="str">
        <f>'רשימת מכשור 2015'!B344</f>
        <v>ACI</v>
      </c>
      <c r="C109" s="241" t="str">
        <f>'רשימת מכשור 2015'!C344</f>
        <v>DU/RH5-D</v>
      </c>
      <c r="D109" s="241" t="str">
        <f>'רשימת מכשור 2015'!D344</f>
        <v>51001-AHU-01</v>
      </c>
      <c r="E109" s="241" t="str">
        <f>'רשימת מכשור 2015'!E344</f>
        <v>1-1-51001-MTR-01</v>
      </c>
      <c r="F109" s="241">
        <f>'רשימת מכשור 2015'!F344</f>
        <v>1000</v>
      </c>
      <c r="G109" s="252">
        <v>1</v>
      </c>
      <c r="H109" s="252">
        <f t="shared" si="11"/>
        <v>1000</v>
      </c>
      <c r="I109" s="252"/>
      <c r="J109" s="252">
        <v>1</v>
      </c>
      <c r="K109" s="252">
        <v>1</v>
      </c>
      <c r="L109" s="252">
        <v>1</v>
      </c>
      <c r="M109" s="252" t="str">
        <f t="shared" si="14"/>
        <v>לרכוש</v>
      </c>
      <c r="N109" s="252">
        <v>1000</v>
      </c>
      <c r="O109" s="252"/>
      <c r="P109" s="252">
        <v>3</v>
      </c>
      <c r="Q109" s="252"/>
      <c r="R109" s="252">
        <f t="shared" si="12"/>
        <v>3</v>
      </c>
      <c r="S109" s="252">
        <f t="shared" si="13"/>
        <v>1</v>
      </c>
      <c r="T109" s="252">
        <v>1</v>
      </c>
      <c r="U109" s="255"/>
      <c r="W109" s="108"/>
      <c r="X109" s="108"/>
    </row>
    <row r="110" spans="1:24" s="124" customFormat="1" ht="14.25" customHeight="1">
      <c r="A110" s="241" t="str">
        <f>'רשימת מכשור 2015'!A347</f>
        <v>משדר זרימה</v>
      </c>
      <c r="B110" s="241" t="str">
        <f>'רשימת מכשור 2015'!B347</f>
        <v>arad dalia</v>
      </c>
      <c r="C110" s="241" t="str">
        <f>'רשימת מכשור 2015'!C347</f>
        <v>m40</v>
      </c>
      <c r="D110" s="241" t="str">
        <f>'רשימת מכשור 2015'!D347</f>
        <v>PRETREATMENT SYSTEM</v>
      </c>
      <c r="E110" s="241" t="str">
        <f>'רשימת מכשור 2015'!E347</f>
        <v>1-1-131-QIC-1</v>
      </c>
      <c r="F110" s="241">
        <f>'רשימת מכשור 2015'!F347</f>
        <v>1000</v>
      </c>
      <c r="G110" s="252">
        <v>1</v>
      </c>
      <c r="H110" s="252">
        <f t="shared" si="11"/>
        <v>1000</v>
      </c>
      <c r="I110" s="252" t="s">
        <v>82</v>
      </c>
      <c r="J110" s="252">
        <v>1</v>
      </c>
      <c r="K110" s="252">
        <v>1</v>
      </c>
      <c r="L110" s="252">
        <v>0.5</v>
      </c>
      <c r="M110" s="252" t="str">
        <f t="shared" si="14"/>
        <v>לא לרכוש</v>
      </c>
      <c r="N110" s="252">
        <v>1000</v>
      </c>
      <c r="O110" s="252"/>
      <c r="P110" s="252">
        <v>4</v>
      </c>
      <c r="Q110" s="252"/>
      <c r="R110" s="252">
        <f t="shared" si="12"/>
        <v>2</v>
      </c>
      <c r="S110" s="252">
        <f t="shared" si="13"/>
        <v>1</v>
      </c>
      <c r="T110" s="252">
        <v>1</v>
      </c>
      <c r="U110" s="255"/>
      <c r="W110" s="108"/>
      <c r="X110" s="108"/>
    </row>
    <row r="111" spans="1:24" s="124" customFormat="1" ht="14.25" customHeight="1">
      <c r="A111" s="241" t="str">
        <f>'רשימת מכשור 2015'!A351</f>
        <v>משדר זרימה</v>
      </c>
      <c r="B111" s="241" t="str">
        <f>'רשימת מכשור 2015'!B351</f>
        <v>arad dalia</v>
      </c>
      <c r="C111" s="241" t="str">
        <f>'רשימת מכשור 2015'!C351</f>
        <v>m25</v>
      </c>
      <c r="D111" s="241" t="str">
        <f>'רשימת מכשור 2015'!D351</f>
        <v>PRETREATMENT SYSTEM</v>
      </c>
      <c r="E111" s="241" t="str">
        <f>'רשימת מכשור 2015'!E351</f>
        <v>1-1-131-QIC-3</v>
      </c>
      <c r="F111" s="241">
        <f>'רשימת מכשור 2015'!F351</f>
        <v>1000</v>
      </c>
      <c r="G111" s="252">
        <v>1</v>
      </c>
      <c r="H111" s="252">
        <f t="shared" si="11"/>
        <v>1000</v>
      </c>
      <c r="I111" s="252" t="s">
        <v>82</v>
      </c>
      <c r="J111" s="252">
        <v>1</v>
      </c>
      <c r="K111" s="252">
        <v>1</v>
      </c>
      <c r="L111" s="252">
        <v>0.5</v>
      </c>
      <c r="M111" s="252" t="str">
        <f t="shared" si="14"/>
        <v>לא לרכוש</v>
      </c>
      <c r="N111" s="252">
        <v>1000</v>
      </c>
      <c r="O111" s="252"/>
      <c r="P111" s="252">
        <v>2</v>
      </c>
      <c r="Q111" s="252"/>
      <c r="R111" s="252">
        <f t="shared" si="12"/>
        <v>1</v>
      </c>
      <c r="S111" s="252">
        <f t="shared" si="13"/>
        <v>1</v>
      </c>
      <c r="T111" s="252">
        <v>1</v>
      </c>
      <c r="U111" s="255"/>
      <c r="W111" s="108"/>
      <c r="X111" s="108"/>
    </row>
    <row r="112" spans="1:24" s="124" customFormat="1" ht="14.25" customHeight="1">
      <c r="A112" s="241" t="str">
        <f>'רשימת מכשור 2015'!A356</f>
        <v>משדר לחץ</v>
      </c>
      <c r="B112" s="241" t="str">
        <f>'רשימת מכשור 2015'!B356</f>
        <v>DANFUSS</v>
      </c>
      <c r="C112" s="241" t="str">
        <f>'רשימת מכשור 2015'!C356</f>
        <v>DANFUSS</v>
      </c>
      <c r="D112" s="241" t="str">
        <f>'רשימת מכשור 2015'!D356</f>
        <v>FILTER PRESS PILOT</v>
      </c>
      <c r="E112" s="241" t="str">
        <f>'רשימת מכשור 2015'!E356</f>
        <v>1-2-35-PIC-1</v>
      </c>
      <c r="F112" s="241">
        <f>'רשימת מכשור 2015'!F356</f>
        <v>1000</v>
      </c>
      <c r="G112" s="252">
        <v>1</v>
      </c>
      <c r="H112" s="252">
        <f t="shared" si="11"/>
        <v>1000</v>
      </c>
      <c r="I112" s="252"/>
      <c r="J112" s="252">
        <v>1</v>
      </c>
      <c r="K112" s="252">
        <v>1</v>
      </c>
      <c r="L112" s="252">
        <v>1</v>
      </c>
      <c r="M112" s="252" t="str">
        <f t="shared" si="14"/>
        <v>לרכוש</v>
      </c>
      <c r="N112" s="252">
        <v>1000</v>
      </c>
      <c r="O112" s="252"/>
      <c r="P112" s="252">
        <v>1</v>
      </c>
      <c r="Q112" s="252"/>
      <c r="R112" s="252">
        <f t="shared" si="12"/>
        <v>1</v>
      </c>
      <c r="S112" s="252">
        <f t="shared" si="13"/>
        <v>1</v>
      </c>
      <c r="T112" s="252">
        <v>1</v>
      </c>
      <c r="U112" s="255"/>
      <c r="W112" s="108"/>
      <c r="X112" s="108"/>
    </row>
    <row r="113" spans="1:24" s="124" customFormat="1" ht="14.25" customHeight="1">
      <c r="A113" s="240" t="str">
        <f>'רשימת מכשור 2015'!A357</f>
        <v>מד טמפרטורה</v>
      </c>
      <c r="B113" s="241" t="str">
        <f>'רשימת מכשור 2015'!B357</f>
        <v>ROTRONIC</v>
      </c>
      <c r="C113" s="241" t="str">
        <f>'רשימת מכשור 2015'!C357</f>
        <v>HF332-ST1XDXXX</v>
      </c>
      <c r="D113" s="241" t="str">
        <f>'רשימת מכשור 2015'!D357</f>
        <v>QC LAB</v>
      </c>
      <c r="E113" s="241" t="str">
        <f>'רשימת מכשור 2015'!E357</f>
        <v>1-2-2010-TI-471</v>
      </c>
      <c r="F113" s="241">
        <f>'רשימת מכשור 2015'!F357</f>
        <v>1000</v>
      </c>
      <c r="G113" s="252">
        <v>1</v>
      </c>
      <c r="H113" s="252">
        <f t="shared" si="11"/>
        <v>1000</v>
      </c>
      <c r="I113" s="252" t="s">
        <v>82</v>
      </c>
      <c r="J113" s="252">
        <v>1</v>
      </c>
      <c r="K113" s="252">
        <v>1</v>
      </c>
      <c r="L113" s="252">
        <v>0.7</v>
      </c>
      <c r="M113" s="252" t="str">
        <f t="shared" si="14"/>
        <v>לא לרכוש</v>
      </c>
      <c r="N113" s="252">
        <v>1000</v>
      </c>
      <c r="O113" s="252"/>
      <c r="P113" s="252">
        <v>13</v>
      </c>
      <c r="Q113" s="252"/>
      <c r="R113" s="252">
        <f t="shared" si="12"/>
        <v>9.1</v>
      </c>
      <c r="S113" s="252">
        <f t="shared" si="13"/>
        <v>2</v>
      </c>
      <c r="T113" s="252">
        <v>2</v>
      </c>
      <c r="U113" s="255" t="s">
        <v>1188</v>
      </c>
      <c r="W113" s="108"/>
      <c r="X113" s="108"/>
    </row>
    <row r="114" spans="1:24" s="124" customFormat="1" ht="14.25" customHeight="1">
      <c r="A114" s="241" t="str">
        <f>'רשימת מכשור 2015'!A372</f>
        <v>משדר לחץ הפרשי</v>
      </c>
      <c r="B114" s="241" t="str">
        <f>'רשימת מכשור 2015'!B372</f>
        <v>ACI</v>
      </c>
      <c r="C114" s="241" t="str">
        <f>'רשימת מכשור 2015'!C372</f>
        <v>LPseries</v>
      </c>
      <c r="D114" s="241" t="str">
        <f>'רשימת מכשור 2015'!D372</f>
        <v>AHU-WH</v>
      </c>
      <c r="E114" s="241" t="str">
        <f>'רשימת מכשור 2015'!E372</f>
        <v>1-2-51021-PIC-1</v>
      </c>
      <c r="F114" s="241">
        <f>'רשימת מכשור 2015'!F372</f>
        <v>1000</v>
      </c>
      <c r="G114" s="252">
        <v>1</v>
      </c>
      <c r="H114" s="252">
        <f t="shared" si="11"/>
        <v>1000</v>
      </c>
      <c r="I114" s="252" t="s">
        <v>82</v>
      </c>
      <c r="J114" s="252">
        <v>1</v>
      </c>
      <c r="K114" s="252">
        <v>1</v>
      </c>
      <c r="L114" s="252">
        <v>1</v>
      </c>
      <c r="M114" s="252" t="str">
        <f t="shared" si="14"/>
        <v>לא לרכוש</v>
      </c>
      <c r="N114" s="252">
        <v>1000</v>
      </c>
      <c r="O114" s="252"/>
      <c r="P114" s="252">
        <v>5</v>
      </c>
      <c r="Q114" s="252"/>
      <c r="R114" s="252">
        <f t="shared" si="12"/>
        <v>5</v>
      </c>
      <c r="S114" s="252">
        <f t="shared" si="13"/>
        <v>1</v>
      </c>
      <c r="T114" s="252">
        <v>1</v>
      </c>
      <c r="U114" s="255"/>
      <c r="W114" s="108"/>
      <c r="X114" s="108"/>
    </row>
    <row r="115" spans="1:24" s="124" customFormat="1" ht="14.25" customHeight="1">
      <c r="A115" s="241" t="str">
        <f>'רשימת מכשור 2015'!A373</f>
        <v>ברז (מפעיל) בקרה</v>
      </c>
      <c r="B115" s="241" t="str">
        <f>'רשימת מכשור 2015'!B373</f>
        <v>Belimo</v>
      </c>
      <c r="C115" s="241" t="str">
        <f>'רשימת מכשור 2015'!C373</f>
        <v>NF24A</v>
      </c>
      <c r="D115" s="241" t="str">
        <f>'רשימת מכשור 2015'!D373</f>
        <v>AHU-WH</v>
      </c>
      <c r="E115" s="241" t="str">
        <f>'רשימת מכשור 2015'!E373</f>
        <v>1-2-51021-DA-1</v>
      </c>
      <c r="F115" s="241">
        <f>'רשימת מכשור 2015'!F373</f>
        <v>1000</v>
      </c>
      <c r="G115" s="252">
        <v>1</v>
      </c>
      <c r="H115" s="252">
        <f t="shared" si="11"/>
        <v>1000</v>
      </c>
      <c r="I115" s="252"/>
      <c r="J115" s="252">
        <v>1</v>
      </c>
      <c r="K115" s="252">
        <v>1</v>
      </c>
      <c r="L115" s="252">
        <v>0.5</v>
      </c>
      <c r="M115" s="252" t="str">
        <f t="shared" si="14"/>
        <v>לרכוש</v>
      </c>
      <c r="N115" s="252">
        <v>1000</v>
      </c>
      <c r="O115" s="252"/>
      <c r="P115" s="252">
        <v>1</v>
      </c>
      <c r="Q115" s="252"/>
      <c r="R115" s="252">
        <f t="shared" si="12"/>
        <v>0.5</v>
      </c>
      <c r="S115" s="252">
        <f t="shared" si="13"/>
        <v>1</v>
      </c>
      <c r="T115" s="252">
        <v>1</v>
      </c>
      <c r="U115" s="255"/>
      <c r="W115" s="108"/>
      <c r="X115" s="108"/>
    </row>
    <row r="116" spans="1:24" s="124" customFormat="1" ht="14.25" customHeight="1">
      <c r="A116" s="241" t="str">
        <f>'רשימת מכשור 2015'!A374</f>
        <v>ברז (מפעיל) בקרה</v>
      </c>
      <c r="B116" s="241" t="str">
        <f>'רשימת מכשור 2015'!B374</f>
        <v>Belimo</v>
      </c>
      <c r="C116" s="241" t="str">
        <f>'רשימת מכשור 2015'!C374</f>
        <v>CF24S</v>
      </c>
      <c r="D116" s="241" t="str">
        <f>'רשימת מכשור 2015'!D374</f>
        <v>AHU-WH</v>
      </c>
      <c r="E116" s="241" t="str">
        <f>'רשימת מכשור 2015'!E374</f>
        <v>1-2-51021-DA-2</v>
      </c>
      <c r="F116" s="241">
        <f>'רשימת מכשור 2015'!F374</f>
        <v>1000</v>
      </c>
      <c r="G116" s="252">
        <v>1</v>
      </c>
      <c r="H116" s="252">
        <f t="shared" si="11"/>
        <v>1000</v>
      </c>
      <c r="I116" s="252"/>
      <c r="J116" s="252">
        <v>1</v>
      </c>
      <c r="K116" s="252">
        <v>1</v>
      </c>
      <c r="L116" s="252">
        <v>0.5</v>
      </c>
      <c r="M116" s="252" t="str">
        <f t="shared" si="14"/>
        <v>לרכוש</v>
      </c>
      <c r="N116" s="252">
        <v>1000</v>
      </c>
      <c r="O116" s="252"/>
      <c r="P116" s="252">
        <v>1</v>
      </c>
      <c r="Q116" s="252"/>
      <c r="R116" s="252">
        <f t="shared" si="12"/>
        <v>0.5</v>
      </c>
      <c r="S116" s="252">
        <f t="shared" si="13"/>
        <v>1</v>
      </c>
      <c r="T116" s="252">
        <v>1</v>
      </c>
      <c r="U116" s="255"/>
      <c r="W116" s="108"/>
      <c r="X116" s="108"/>
    </row>
    <row r="117" spans="1:24" s="124" customFormat="1" ht="14.25" customHeight="1">
      <c r="A117" s="241" t="str">
        <f>'רשימת מכשור 2015'!A375</f>
        <v>משדר טמפרטורה</v>
      </c>
      <c r="B117" s="241" t="str">
        <f>'רשימת מכשור 2015'!B375</f>
        <v>WIKA</v>
      </c>
      <c r="C117" s="241" t="str">
        <f>'רשימת מכשור 2015'!C375</f>
        <v>T32.3S</v>
      </c>
      <c r="D117" s="241" t="str">
        <f>'רשימת מכשור 2015'!D375</f>
        <v>WH-B2 DEVICE MONITORING</v>
      </c>
      <c r="E117" s="241" t="str">
        <f>'רשימת מכשור 2015'!E375</f>
        <v>1-2-2010-TI-534</v>
      </c>
      <c r="F117" s="241">
        <f>'רשימת מכשור 2015'!F375</f>
        <v>1000</v>
      </c>
      <c r="G117" s="252">
        <v>1</v>
      </c>
      <c r="H117" s="252">
        <f t="shared" si="11"/>
        <v>1000</v>
      </c>
      <c r="I117" s="252" t="s">
        <v>82</v>
      </c>
      <c r="J117" s="252">
        <v>1</v>
      </c>
      <c r="K117" s="252">
        <v>1</v>
      </c>
      <c r="L117" s="252">
        <v>1</v>
      </c>
      <c r="M117" s="252" t="str">
        <f t="shared" si="14"/>
        <v>לא לרכוש</v>
      </c>
      <c r="N117" s="252">
        <v>1000</v>
      </c>
      <c r="O117" s="252"/>
      <c r="P117" s="252">
        <v>1</v>
      </c>
      <c r="Q117" s="252"/>
      <c r="R117" s="252">
        <f t="shared" si="12"/>
        <v>1</v>
      </c>
      <c r="S117" s="252">
        <f t="shared" si="13"/>
        <v>1</v>
      </c>
      <c r="T117" s="252">
        <v>1</v>
      </c>
      <c r="U117" s="255"/>
      <c r="W117" s="108"/>
      <c r="X117" s="108"/>
    </row>
    <row r="118" spans="1:24" s="124" customFormat="1" ht="14.25" customHeight="1">
      <c r="A118" s="241" t="str">
        <f>'רשימת מכשור 2015'!A378</f>
        <v>ברז (מפעיל) בקרה</v>
      </c>
      <c r="B118" s="241" t="str">
        <f>'רשימת מכשור 2015'!B378</f>
        <v>Belimo</v>
      </c>
      <c r="C118" s="241" t="str">
        <f>'רשימת מכשור 2015'!C378</f>
        <v>NVG-24-MFT</v>
      </c>
      <c r="D118" s="241" t="str">
        <f>'רשימת מכשור 2015'!D378</f>
        <v>WH-B4 AHU-1</v>
      </c>
      <c r="E118" s="241" t="str">
        <f>'רשימת מכשור 2015'!E378</f>
        <v>1-4-1-TCV-1</v>
      </c>
      <c r="F118" s="241">
        <f>'רשימת מכשור 2015'!F378</f>
        <v>1000</v>
      </c>
      <c r="G118" s="252">
        <v>1</v>
      </c>
      <c r="H118" s="252">
        <f t="shared" si="11"/>
        <v>1000</v>
      </c>
      <c r="I118" s="252"/>
      <c r="J118" s="252">
        <v>1</v>
      </c>
      <c r="K118" s="252">
        <v>1</v>
      </c>
      <c r="L118" s="252">
        <v>0.5</v>
      </c>
      <c r="M118" s="252" t="str">
        <f t="shared" si="14"/>
        <v>לרכוש</v>
      </c>
      <c r="N118" s="252">
        <v>1000</v>
      </c>
      <c r="O118" s="252"/>
      <c r="P118" s="252">
        <v>4</v>
      </c>
      <c r="Q118" s="252"/>
      <c r="R118" s="252">
        <f t="shared" si="12"/>
        <v>2</v>
      </c>
      <c r="S118" s="252">
        <f t="shared" si="13"/>
        <v>1</v>
      </c>
      <c r="T118" s="252">
        <v>1</v>
      </c>
      <c r="U118" s="255"/>
      <c r="W118" s="108"/>
      <c r="X118" s="108"/>
    </row>
    <row r="119" spans="1:24" s="124" customFormat="1" ht="14.25" customHeight="1">
      <c r="A119" s="241" t="str">
        <f>'רשימת מכשור 2015'!A385</f>
        <v>משדר טמפרטורה</v>
      </c>
      <c r="B119" s="241" t="str">
        <f>'רשימת מכשור 2015'!B385</f>
        <v>Controtec.</v>
      </c>
      <c r="C119" s="241" t="str">
        <f>'רשימת מכשור 2015'!C385</f>
        <v>PT100</v>
      </c>
      <c r="D119" s="241" t="str">
        <f>'רשימת מכשור 2015'!D385</f>
        <v>MEDIA</v>
      </c>
      <c r="E119" s="241" t="str">
        <f>'רשימת מכשור 2015'!E385</f>
        <v>1-1-8-TC-1</v>
      </c>
      <c r="F119" s="241">
        <f>'רשימת מכשור 2015'!F385</f>
        <v>1000</v>
      </c>
      <c r="G119" s="252">
        <v>1</v>
      </c>
      <c r="H119" s="252">
        <f t="shared" si="11"/>
        <v>1000</v>
      </c>
      <c r="I119" s="252"/>
      <c r="J119" s="252">
        <v>1</v>
      </c>
      <c r="K119" s="252">
        <v>1</v>
      </c>
      <c r="L119" s="252">
        <v>0.5</v>
      </c>
      <c r="M119" s="252" t="str">
        <f t="shared" si="14"/>
        <v>לרכוש</v>
      </c>
      <c r="N119" s="252">
        <v>1000</v>
      </c>
      <c r="O119" s="252"/>
      <c r="P119" s="252">
        <v>1</v>
      </c>
      <c r="Q119" s="252"/>
      <c r="R119" s="252">
        <f t="shared" si="12"/>
        <v>0.5</v>
      </c>
      <c r="S119" s="252">
        <f t="shared" si="13"/>
        <v>1</v>
      </c>
      <c r="T119" s="252">
        <v>1</v>
      </c>
      <c r="U119" s="255"/>
      <c r="W119" s="108"/>
      <c r="X119" s="108"/>
    </row>
    <row r="120" spans="1:24" s="124" customFormat="1" ht="14.25" customHeight="1">
      <c r="A120" s="241" t="str">
        <f>'רשימת מכשור 2015'!A402</f>
        <v>מפסק לחץ</v>
      </c>
      <c r="B120" s="241" t="str">
        <f>'רשימת מכשור 2015'!B402</f>
        <v>DANFUSS</v>
      </c>
      <c r="C120" s="241" t="str">
        <f>'רשימת מכשור 2015'!C402</f>
        <v>RT-5 PB 220</v>
      </c>
      <c r="D120" s="241" t="str">
        <f>'רשימת מכשור 2015'!D402</f>
        <v>PW PRODUCTION
2500</v>
      </c>
      <c r="E120" s="241" t="str">
        <f>'רשימת מכשור 2015'!E402</f>
        <v>1-1-604-PSH-001</v>
      </c>
      <c r="F120" s="241">
        <f>'רשימת מכשור 2015'!F402</f>
        <v>800</v>
      </c>
      <c r="G120" s="252">
        <v>1</v>
      </c>
      <c r="H120" s="252">
        <f t="shared" si="11"/>
        <v>800</v>
      </c>
      <c r="I120" s="252"/>
      <c r="J120" s="252">
        <v>1</v>
      </c>
      <c r="K120" s="252">
        <v>1</v>
      </c>
      <c r="L120" s="252">
        <v>1</v>
      </c>
      <c r="M120" s="252" t="str">
        <f t="shared" si="14"/>
        <v>לרכוש</v>
      </c>
      <c r="N120" s="252">
        <v>1000</v>
      </c>
      <c r="O120" s="252"/>
      <c r="P120" s="252">
        <v>1</v>
      </c>
      <c r="Q120" s="252"/>
      <c r="R120" s="252">
        <f t="shared" si="12"/>
        <v>1</v>
      </c>
      <c r="S120" s="252">
        <f t="shared" si="13"/>
        <v>1</v>
      </c>
      <c r="T120" s="252">
        <v>1</v>
      </c>
      <c r="U120" s="255"/>
      <c r="W120" s="108"/>
      <c r="X120" s="108"/>
    </row>
    <row r="121" spans="1:24" s="124" customFormat="1" ht="14.25" customHeight="1">
      <c r="A121" s="241" t="str">
        <f>'רשימת מכשור 2015'!A403</f>
        <v xml:space="preserve">מפסק לחץ </v>
      </c>
      <c r="B121" s="241" t="str">
        <f>'רשימת מכשור 2015'!B403</f>
        <v>DANFUSS</v>
      </c>
      <c r="C121" s="241" t="str">
        <f>'רשימת מכשור 2015'!C403</f>
        <v>RT-200 PB 220</v>
      </c>
      <c r="D121" s="241" t="str">
        <f>'רשימת מכשור 2015'!D403</f>
        <v>PW PRODUCTION
2500</v>
      </c>
      <c r="E121" s="241" t="str">
        <f>'רשימת מכשור 2015'!E403</f>
        <v>1-1-604-PSL-001</v>
      </c>
      <c r="F121" s="241">
        <f>'רשימת מכשור 2015'!F403</f>
        <v>800</v>
      </c>
      <c r="G121" s="252">
        <v>1</v>
      </c>
      <c r="H121" s="252">
        <f t="shared" si="11"/>
        <v>800</v>
      </c>
      <c r="I121" s="252"/>
      <c r="J121" s="252">
        <v>1</v>
      </c>
      <c r="K121" s="252">
        <v>1</v>
      </c>
      <c r="L121" s="252">
        <v>0.5</v>
      </c>
      <c r="M121" s="252" t="str">
        <f t="shared" si="14"/>
        <v>לרכוש</v>
      </c>
      <c r="N121" s="252">
        <v>1000</v>
      </c>
      <c r="O121" s="252"/>
      <c r="P121" s="252">
        <v>3</v>
      </c>
      <c r="Q121" s="252"/>
      <c r="R121" s="252">
        <f t="shared" si="12"/>
        <v>1.5</v>
      </c>
      <c r="S121" s="252">
        <f t="shared" si="13"/>
        <v>1</v>
      </c>
      <c r="T121" s="252">
        <v>1</v>
      </c>
      <c r="U121" s="255"/>
      <c r="W121" s="108"/>
      <c r="X121" s="108"/>
    </row>
    <row r="122" spans="1:24" s="124" customFormat="1" ht="14.25" customHeight="1">
      <c r="A122" s="241" t="str">
        <f>'רשימת מכשור 2015'!A406</f>
        <v>מד לחץ הפרשי</v>
      </c>
      <c r="B122" s="241" t="str">
        <f>'רשימת מכשור 2015'!B406</f>
        <v>ACI</v>
      </c>
      <c r="C122" s="241" t="str">
        <f>'רשימת מכשור 2015'!C406</f>
        <v>LP Series</v>
      </c>
      <c r="D122" s="241" t="str">
        <f>'רשימת מכשור 2015'!D406</f>
        <v>51001-AHU-01</v>
      </c>
      <c r="E122" s="241" t="str">
        <f>'רשימת מכשור 2015'!E406</f>
        <v>1-1-51001-PDT-01/1</v>
      </c>
      <c r="F122" s="241">
        <f>'רשימת מכשור 2015'!F406</f>
        <v>1000</v>
      </c>
      <c r="G122" s="252">
        <v>1</v>
      </c>
      <c r="H122" s="252">
        <f t="shared" si="11"/>
        <v>1000</v>
      </c>
      <c r="I122" s="252" t="s">
        <v>82</v>
      </c>
      <c r="J122" s="252">
        <v>1</v>
      </c>
      <c r="K122" s="252">
        <v>1</v>
      </c>
      <c r="L122" s="252">
        <v>1</v>
      </c>
      <c r="M122" s="252" t="str">
        <f t="shared" si="14"/>
        <v>לא לרכוש</v>
      </c>
      <c r="N122" s="252">
        <v>1000</v>
      </c>
      <c r="O122" s="252"/>
      <c r="P122" s="252">
        <v>5</v>
      </c>
      <c r="Q122" s="252"/>
      <c r="R122" s="252">
        <f t="shared" si="12"/>
        <v>5</v>
      </c>
      <c r="S122" s="252">
        <f t="shared" si="13"/>
        <v>1</v>
      </c>
      <c r="T122" s="252">
        <v>1</v>
      </c>
      <c r="U122" s="255"/>
      <c r="W122" s="108"/>
      <c r="X122" s="108"/>
    </row>
    <row r="123" spans="1:24" s="124" customFormat="1" ht="14.25" customHeight="1">
      <c r="A123" s="241" t="str">
        <f>'רשימת מכשור 2015'!A407</f>
        <v>משדר לחץ הפרשי</v>
      </c>
      <c r="B123" s="241" t="str">
        <f>'רשימת מכשור 2015'!B407</f>
        <v>ACI</v>
      </c>
      <c r="C123" s="241" t="str">
        <f>'רשימת מכשור 2015'!C407</f>
        <v>A-LP-3-10-E</v>
      </c>
      <c r="D123" s="241" t="str">
        <f>'רשימת מכשור 2015'!D407</f>
        <v>51001-AHU-02</v>
      </c>
      <c r="E123" s="241" t="str">
        <f>'רשימת מכשור 2015'!E407</f>
        <v>1-1-51001-PDT-02/1</v>
      </c>
      <c r="F123" s="241">
        <f>'רשימת מכשור 2015'!F407</f>
        <v>800</v>
      </c>
      <c r="G123" s="252">
        <v>1</v>
      </c>
      <c r="H123" s="252">
        <f t="shared" si="11"/>
        <v>800</v>
      </c>
      <c r="I123" s="252"/>
      <c r="J123" s="252">
        <v>1</v>
      </c>
      <c r="K123" s="252">
        <v>1</v>
      </c>
      <c r="L123" s="252">
        <v>1</v>
      </c>
      <c r="M123" s="252" t="str">
        <f t="shared" si="14"/>
        <v>לרכוש</v>
      </c>
      <c r="N123" s="252">
        <v>1000</v>
      </c>
      <c r="O123" s="252"/>
      <c r="P123" s="252">
        <v>1</v>
      </c>
      <c r="Q123" s="252"/>
      <c r="R123" s="252">
        <f t="shared" si="12"/>
        <v>1</v>
      </c>
      <c r="S123" s="252">
        <f t="shared" si="13"/>
        <v>1</v>
      </c>
      <c r="T123" s="252">
        <v>1</v>
      </c>
      <c r="U123" s="255"/>
      <c r="W123" s="108"/>
      <c r="X123" s="108"/>
    </row>
    <row r="124" spans="1:24" s="124" customFormat="1" ht="14.25" customHeight="1">
      <c r="A124" s="241" t="str">
        <f>'רשימת מכשור 2015'!A410</f>
        <v>משדר טמפרטורה</v>
      </c>
      <c r="B124" s="241" t="str">
        <f>'רשימת מכשור 2015'!B410</f>
        <v>ACI</v>
      </c>
      <c r="C124" s="241" t="str">
        <f>'רשימת מכשור 2015'!C410</f>
        <v>TT100 8"</v>
      </c>
      <c r="D124" s="241" t="str">
        <f>'רשימת מכשור 2015'!D410</f>
        <v>51001-AHU-03</v>
      </c>
      <c r="E124" s="241" t="str">
        <f>'רשימת מכשור 2015'!E410</f>
        <v>1-1-51001-TTR-03</v>
      </c>
      <c r="F124" s="241">
        <f>'רשימת מכשור 2015'!F410</f>
        <v>800</v>
      </c>
      <c r="G124" s="252">
        <v>1</v>
      </c>
      <c r="H124" s="252">
        <f t="shared" si="11"/>
        <v>800</v>
      </c>
      <c r="I124" s="252"/>
      <c r="J124" s="252">
        <v>1</v>
      </c>
      <c r="K124" s="252">
        <v>1</v>
      </c>
      <c r="L124" s="252">
        <v>0.5</v>
      </c>
      <c r="M124" s="252" t="str">
        <f t="shared" si="14"/>
        <v>לרכוש</v>
      </c>
      <c r="N124" s="252">
        <v>1000</v>
      </c>
      <c r="O124" s="252"/>
      <c r="P124" s="252">
        <v>1</v>
      </c>
      <c r="Q124" s="252"/>
      <c r="R124" s="252">
        <f t="shared" si="12"/>
        <v>0.5</v>
      </c>
      <c r="S124" s="252">
        <f t="shared" si="13"/>
        <v>1</v>
      </c>
      <c r="T124" s="252">
        <v>1</v>
      </c>
      <c r="U124" s="255"/>
      <c r="W124" s="108"/>
      <c r="X124" s="108"/>
    </row>
    <row r="125" spans="1:24" s="124" customFormat="1" ht="14.25" customHeight="1">
      <c r="A125" s="241" t="str">
        <f>'רשימת מכשור 2015'!A411</f>
        <v>משדר טמפרטורה</v>
      </c>
      <c r="B125" s="241" t="str">
        <f>'רשימת מכשור 2015'!B411</f>
        <v>WIKA</v>
      </c>
      <c r="C125" s="241" t="str">
        <f>'רשימת מכשור 2015'!C411</f>
        <v>PT-100 
T19.10.1P0-3</v>
      </c>
      <c r="D125" s="241" t="str">
        <f>'רשימת מכשור 2015'!D411</f>
        <v>MEDIA PILOT</v>
      </c>
      <c r="E125" s="241" t="str">
        <f>'רשימת מכשור 2015'!E411</f>
        <v>1-2-2-TI-1</v>
      </c>
      <c r="F125" s="241">
        <f>'רשימת מכשור 2015'!F411</f>
        <v>800</v>
      </c>
      <c r="G125" s="252">
        <v>1</v>
      </c>
      <c r="H125" s="252">
        <f t="shared" si="11"/>
        <v>800</v>
      </c>
      <c r="I125" s="252" t="s">
        <v>82</v>
      </c>
      <c r="J125" s="252">
        <v>1</v>
      </c>
      <c r="K125" s="252">
        <v>1</v>
      </c>
      <c r="L125" s="252">
        <v>0.2</v>
      </c>
      <c r="M125" s="252" t="str">
        <f t="shared" si="14"/>
        <v>לא לרכוש</v>
      </c>
      <c r="N125" s="252">
        <v>1000</v>
      </c>
      <c r="O125" s="252"/>
      <c r="P125" s="252">
        <v>1</v>
      </c>
      <c r="Q125" s="252"/>
      <c r="R125" s="252">
        <f t="shared" si="12"/>
        <v>0.2</v>
      </c>
      <c r="S125" s="252">
        <f t="shared" si="13"/>
        <v>1</v>
      </c>
      <c r="T125" s="252">
        <v>1</v>
      </c>
      <c r="U125" s="255"/>
      <c r="W125" s="108"/>
      <c r="X125" s="108"/>
    </row>
    <row r="126" spans="1:24" s="124" customFormat="1" ht="14.25" customHeight="1">
      <c r="A126" s="241" t="str">
        <f>'רשימת מכשור 2015'!A421</f>
        <v>ברז (מפעיל) בקרה</v>
      </c>
      <c r="B126" s="241" t="str">
        <f>'רשימת מכשור 2015'!B421</f>
        <v>BELIMO</v>
      </c>
      <c r="C126" s="241" t="str">
        <f>'רשימת מכשור 2015'!C421</f>
        <v>LF24</v>
      </c>
      <c r="D126" s="241" t="str">
        <f>'רשימת מכשור 2015'!D421</f>
        <v>AHU-N02</v>
      </c>
      <c r="E126" s="241" t="str">
        <f>'רשימת מכשור 2015'!E421</f>
        <v>1-1-51005-MVD-N02-02</v>
      </c>
      <c r="F126" s="241">
        <f>'רשימת מכשור 2015'!F421</f>
        <v>800</v>
      </c>
      <c r="G126" s="252">
        <v>1</v>
      </c>
      <c r="H126" s="252">
        <f t="shared" si="11"/>
        <v>800</v>
      </c>
      <c r="I126" s="252"/>
      <c r="J126" s="252">
        <v>1</v>
      </c>
      <c r="K126" s="252">
        <v>1</v>
      </c>
      <c r="L126" s="252">
        <v>0.5</v>
      </c>
      <c r="M126" s="252" t="str">
        <f t="shared" si="14"/>
        <v>לרכוש</v>
      </c>
      <c r="N126" s="252">
        <v>1000</v>
      </c>
      <c r="O126" s="252"/>
      <c r="P126" s="252">
        <v>2</v>
      </c>
      <c r="Q126" s="252"/>
      <c r="R126" s="252">
        <f t="shared" si="12"/>
        <v>1</v>
      </c>
      <c r="S126" s="252">
        <f t="shared" si="13"/>
        <v>1</v>
      </c>
      <c r="T126" s="252">
        <v>1</v>
      </c>
      <c r="U126" s="255"/>
      <c r="W126" s="108"/>
      <c r="X126" s="108"/>
    </row>
    <row r="127" spans="1:24" s="124" customFormat="1" ht="14.25" customHeight="1">
      <c r="A127" s="241" t="str">
        <f>'רשימת מכשור 2015'!A422</f>
        <v>משדר טמפרטורה</v>
      </c>
      <c r="B127" s="241" t="str">
        <f>'רשימת מכשור 2015'!B422</f>
        <v>ACI</v>
      </c>
      <c r="C127" s="241" t="str">
        <f>'רשימת מכשור 2015'!C422</f>
        <v>A/RH2</v>
      </c>
      <c r="D127" s="241" t="str">
        <f>'רשימת מכשור 2015'!D422</f>
        <v>AHU-N02</v>
      </c>
      <c r="E127" s="241" t="str">
        <f>'רשימת מכשור 2015'!E422</f>
        <v>1-1-51005-TT-N02-149</v>
      </c>
      <c r="F127" s="241">
        <f>'רשימת מכשור 2015'!F422</f>
        <v>800</v>
      </c>
      <c r="G127" s="252">
        <v>1</v>
      </c>
      <c r="H127" s="252">
        <f t="shared" si="11"/>
        <v>800</v>
      </c>
      <c r="I127" s="252" t="s">
        <v>82</v>
      </c>
      <c r="J127" s="252">
        <v>1</v>
      </c>
      <c r="K127" s="252">
        <v>1</v>
      </c>
      <c r="L127" s="252">
        <v>1</v>
      </c>
      <c r="M127" s="252" t="str">
        <f t="shared" si="14"/>
        <v>לא לרכוש</v>
      </c>
      <c r="N127" s="252">
        <v>1000</v>
      </c>
      <c r="O127" s="252"/>
      <c r="P127" s="252">
        <v>7</v>
      </c>
      <c r="Q127" s="252"/>
      <c r="R127" s="252">
        <f t="shared" si="12"/>
        <v>7</v>
      </c>
      <c r="S127" s="252">
        <f t="shared" si="13"/>
        <v>1</v>
      </c>
      <c r="T127" s="252">
        <v>1</v>
      </c>
      <c r="U127" s="255"/>
      <c r="W127" s="108"/>
      <c r="X127" s="108"/>
    </row>
    <row r="128" spans="1:24" s="124" customFormat="1" ht="14.25" customHeight="1">
      <c r="A128" s="241" t="str">
        <f>'רשימת מכשור 2015'!A430</f>
        <v>משדר טמפרטורה</v>
      </c>
      <c r="B128" s="241" t="str">
        <f>'רשימת מכשור 2015'!B430</f>
        <v>FRIGOR</v>
      </c>
      <c r="C128" s="241" t="str">
        <f>'רשימת מכשור 2015'!C430</f>
        <v>CATIC - TT321</v>
      </c>
      <c r="D128" s="241" t="str">
        <f>'רשימת מכשור 2015'!D430</f>
        <v>AHU-N02</v>
      </c>
      <c r="E128" s="241" t="str">
        <f>'רשימת מכשור 2015'!E430</f>
        <v>1-1-51005-TE-N02-01</v>
      </c>
      <c r="F128" s="241">
        <f>'רשימת מכשור 2015'!F430</f>
        <v>800</v>
      </c>
      <c r="G128" s="252">
        <v>1</v>
      </c>
      <c r="H128" s="252">
        <f t="shared" si="11"/>
        <v>800</v>
      </c>
      <c r="I128" s="252" t="s">
        <v>82</v>
      </c>
      <c r="J128" s="252">
        <v>1</v>
      </c>
      <c r="K128" s="252">
        <v>1</v>
      </c>
      <c r="L128" s="252">
        <v>1</v>
      </c>
      <c r="M128" s="252" t="str">
        <f t="shared" si="14"/>
        <v>לא לרכוש</v>
      </c>
      <c r="N128" s="252">
        <v>1000</v>
      </c>
      <c r="O128" s="252"/>
      <c r="P128" s="252">
        <v>1</v>
      </c>
      <c r="Q128" s="252"/>
      <c r="R128" s="252">
        <f t="shared" si="12"/>
        <v>1</v>
      </c>
      <c r="S128" s="252">
        <f t="shared" si="13"/>
        <v>1</v>
      </c>
      <c r="T128" s="252">
        <v>1</v>
      </c>
      <c r="U128" s="255"/>
      <c r="W128" s="108"/>
      <c r="X128" s="108"/>
    </row>
    <row r="129" spans="1:24" s="124" customFormat="1" ht="14.25" customHeight="1">
      <c r="A129" s="241" t="str">
        <f>'רשימת מכשור 2015'!A434</f>
        <v>משדר טמפרטורה</v>
      </c>
      <c r="B129" s="241" t="str">
        <f>'רשימת מכשור 2015'!B434</f>
        <v>ACI</v>
      </c>
      <c r="C129" s="241" t="str">
        <f>'רשימת מכשור 2015'!C434</f>
        <v>TT-100-8"</v>
      </c>
      <c r="D129" s="241" t="str">
        <f>'רשימת מכשור 2015'!D434</f>
        <v>AHU-N01</v>
      </c>
      <c r="E129" s="241" t="str">
        <f>'רשימת מכשור 2015'!E434</f>
        <v>1-1-51005-TE-N01-01</v>
      </c>
      <c r="F129" s="241">
        <f>'רשימת מכשור 2015'!F434</f>
        <v>800</v>
      </c>
      <c r="G129" s="252">
        <v>1</v>
      </c>
      <c r="H129" s="252">
        <f t="shared" si="11"/>
        <v>800</v>
      </c>
      <c r="I129" s="252"/>
      <c r="J129" s="252">
        <v>1</v>
      </c>
      <c r="K129" s="252">
        <v>1</v>
      </c>
      <c r="L129" s="252">
        <v>0.5</v>
      </c>
      <c r="M129" s="252" t="str">
        <f t="shared" si="14"/>
        <v>לרכוש</v>
      </c>
      <c r="N129" s="252">
        <v>1000</v>
      </c>
      <c r="O129" s="252"/>
      <c r="P129" s="252">
        <v>1</v>
      </c>
      <c r="Q129" s="252"/>
      <c r="R129" s="252">
        <f t="shared" si="12"/>
        <v>0.5</v>
      </c>
      <c r="S129" s="252">
        <f t="shared" si="13"/>
        <v>1</v>
      </c>
      <c r="T129" s="252">
        <v>1</v>
      </c>
      <c r="U129" s="255"/>
      <c r="W129" s="108"/>
      <c r="X129" s="108"/>
    </row>
    <row r="130" spans="1:24" s="124" customFormat="1" ht="14.25" customHeight="1">
      <c r="A130" s="241" t="str">
        <f>'רשימת מכשור 2015'!A435</f>
        <v>ברז (מפעיל) בקרה</v>
      </c>
      <c r="B130" s="241" t="str">
        <f>'רשימת מכשור 2015'!B435</f>
        <v>SIEMENS</v>
      </c>
      <c r="C130" s="241" t="str">
        <f>'רשימת מכשור 2015'!C435</f>
        <v>GMA 161.1E</v>
      </c>
      <c r="D130" s="241" t="str">
        <f>'רשימת מכשור 2015'!D435</f>
        <v>AHU-N01</v>
      </c>
      <c r="E130" s="241" t="str">
        <f>'רשימת מכשור 2015'!E435</f>
        <v>1-1-51005-MVD-N01-01</v>
      </c>
      <c r="F130" s="241">
        <f>'רשימת מכשור 2015'!F435</f>
        <v>800</v>
      </c>
      <c r="G130" s="252">
        <v>1</v>
      </c>
      <c r="H130" s="252">
        <f t="shared" ref="H130:H161" si="15">G130*F130</f>
        <v>800</v>
      </c>
      <c r="I130" s="252"/>
      <c r="J130" s="252">
        <v>1</v>
      </c>
      <c r="K130" s="252">
        <v>1</v>
      </c>
      <c r="L130" s="252">
        <v>0.5</v>
      </c>
      <c r="M130" s="252" t="str">
        <f t="shared" si="14"/>
        <v>לרכוש</v>
      </c>
      <c r="N130" s="252">
        <v>1000</v>
      </c>
      <c r="O130" s="252"/>
      <c r="P130" s="252">
        <v>11</v>
      </c>
      <c r="Q130" s="252"/>
      <c r="R130" s="252">
        <f t="shared" si="12"/>
        <v>5.5</v>
      </c>
      <c r="S130" s="252">
        <f t="shared" si="13"/>
        <v>1</v>
      </c>
      <c r="T130" s="252">
        <v>1</v>
      </c>
      <c r="U130" s="255"/>
      <c r="W130" s="108"/>
      <c r="X130" s="108"/>
    </row>
    <row r="131" spans="1:24" s="124" customFormat="1" ht="14.25" customHeight="1">
      <c r="A131" s="241" t="str">
        <f>'רשימת מכשור 2015'!A448</f>
        <v>משדר טמפרטורה</v>
      </c>
      <c r="B131" s="241" t="str">
        <f>'רשימת מכשור 2015'!B448</f>
        <v>Mescon</v>
      </c>
      <c r="C131" s="241" t="str">
        <f>'רשימת מכשור 2015'!C448</f>
        <v>PT100 TH</v>
      </c>
      <c r="D131" s="241" t="str">
        <f>'רשימת מכשור 2015'!D448</f>
        <v>Air Compressor</v>
      </c>
      <c r="E131" s="241" t="str">
        <f>'רשימת מכשור 2015'!E448</f>
        <v>1-1-41001-TT-01</v>
      </c>
      <c r="F131" s="241">
        <f>'רשימת מכשור 2015'!F448</f>
        <v>800</v>
      </c>
      <c r="G131" s="252">
        <v>1</v>
      </c>
      <c r="H131" s="252">
        <f t="shared" si="15"/>
        <v>800</v>
      </c>
      <c r="I131" s="252" t="s">
        <v>82</v>
      </c>
      <c r="J131" s="252">
        <v>1</v>
      </c>
      <c r="K131" s="252"/>
      <c r="L131" s="252">
        <v>0.5</v>
      </c>
      <c r="M131" s="252" t="str">
        <f t="shared" si="14"/>
        <v>לא לרכוש</v>
      </c>
      <c r="N131" s="252">
        <v>1000</v>
      </c>
      <c r="O131" s="252"/>
      <c r="P131" s="252">
        <v>1</v>
      </c>
      <c r="Q131" s="252"/>
      <c r="R131" s="252">
        <f t="shared" si="12"/>
        <v>0.5</v>
      </c>
      <c r="S131" s="252">
        <f t="shared" si="13"/>
        <v>1</v>
      </c>
      <c r="T131" s="252">
        <v>1</v>
      </c>
      <c r="U131" s="255"/>
      <c r="W131" s="108"/>
      <c r="X131" s="108"/>
    </row>
    <row r="132" spans="1:24" s="124" customFormat="1" ht="14.25" customHeight="1">
      <c r="A132" s="241" t="str">
        <f>'רשימת מכשור 2015'!A449</f>
        <v>אינקודר</v>
      </c>
      <c r="B132" s="241" t="str">
        <f>'רשימת מכשור 2015'!B449</f>
        <v>Autonics</v>
      </c>
      <c r="C132" s="241" t="str">
        <f>'רשימת מכשור 2015'!C449</f>
        <v>E50S8-500-3-T-24</v>
      </c>
      <c r="D132" s="241" t="str">
        <f>'רשימת מכשור 2015'!D449</f>
        <v xml:space="preserve">R&amp;D </v>
      </c>
      <c r="E132" s="241" t="str">
        <f>'רשימת מכשור 2015'!E449</f>
        <v>1-2-2010-SIC-3</v>
      </c>
      <c r="F132" s="241">
        <f>'רשימת מכשור 2015'!F449</f>
        <v>800</v>
      </c>
      <c r="G132" s="252">
        <v>1</v>
      </c>
      <c r="H132" s="252">
        <f t="shared" si="15"/>
        <v>800</v>
      </c>
      <c r="I132" s="252" t="s">
        <v>82</v>
      </c>
      <c r="J132" s="252">
        <v>1</v>
      </c>
      <c r="K132" s="252">
        <v>1</v>
      </c>
      <c r="L132" s="252">
        <v>0.5</v>
      </c>
      <c r="M132" s="252" t="str">
        <f t="shared" si="14"/>
        <v>לא לרכוש</v>
      </c>
      <c r="N132" s="252">
        <v>1000</v>
      </c>
      <c r="O132" s="252"/>
      <c r="P132" s="252">
        <v>6</v>
      </c>
      <c r="Q132" s="252"/>
      <c r="R132" s="252">
        <f t="shared" ref="R132:R163" si="16">P132*L132*J132</f>
        <v>3</v>
      </c>
      <c r="S132" s="252">
        <f t="shared" ref="S132:S163" si="17">IF(R132&gt;$AA$8,IF(R132&lt;$AA$9,$AB$9,$AB$10), $AB$8)</f>
        <v>1</v>
      </c>
      <c r="T132" s="252">
        <v>1</v>
      </c>
      <c r="U132" s="255"/>
      <c r="W132" s="108"/>
      <c r="X132" s="108"/>
    </row>
    <row r="133" spans="1:24" s="124" customFormat="1" ht="14.25" customHeight="1">
      <c r="A133" s="241" t="str">
        <f>'רשימת מכשור 2015'!A458</f>
        <v>מפסק לחץ</v>
      </c>
      <c r="B133" s="241" t="str">
        <f>'רשימת מכשור 2015'!B458</f>
        <v>FESTO ISRAEL</v>
      </c>
      <c r="C133" s="241" t="str">
        <f>'רשימת מכשור 2015'!C458</f>
        <v>FESTO - MODEL:c172</v>
      </c>
      <c r="D133" s="241" t="str">
        <f>'רשימת מכשור 2015'!D458</f>
        <v>צנטרפוגה</v>
      </c>
      <c r="E133" s="241" t="str">
        <f>'רשימת מכשור 2015'!E458</f>
        <v>PAL 02-9-034</v>
      </c>
      <c r="F133" s="241">
        <f>'רשימת מכשור 2015'!F458</f>
        <v>600</v>
      </c>
      <c r="G133" s="252">
        <v>1</v>
      </c>
      <c r="H133" s="252">
        <f t="shared" si="15"/>
        <v>600</v>
      </c>
      <c r="I133" s="252"/>
      <c r="J133" s="252">
        <v>1</v>
      </c>
      <c r="K133" s="254">
        <v>1</v>
      </c>
      <c r="L133" s="252">
        <v>1.5</v>
      </c>
      <c r="M133" s="252" t="str">
        <f t="shared" si="14"/>
        <v>לרכוש</v>
      </c>
      <c r="N133" s="252">
        <v>1000</v>
      </c>
      <c r="O133" s="252"/>
      <c r="P133" s="252">
        <v>1</v>
      </c>
      <c r="Q133" s="252"/>
      <c r="R133" s="252">
        <f t="shared" si="16"/>
        <v>1.5</v>
      </c>
      <c r="S133" s="252">
        <f t="shared" si="17"/>
        <v>1</v>
      </c>
      <c r="T133" s="252">
        <v>1</v>
      </c>
      <c r="U133" s="255"/>
      <c r="W133" s="108"/>
      <c r="X133" s="108"/>
    </row>
    <row r="134" spans="1:24" s="124" customFormat="1" ht="14.25" customHeight="1">
      <c r="A134" s="241" t="str">
        <f>'רשימת מכשור 2015'!A459</f>
        <v>סולונואיד (מאפשר לחץ אוויר בלוח)</v>
      </c>
      <c r="B134" s="241" t="str">
        <f>'רשימת מכשור 2015'!B459</f>
        <v>FESTO ISRAEL</v>
      </c>
      <c r="C134" s="241" t="str">
        <f>'רשימת מכשור 2015'!C459</f>
        <v>FESTO MODEL:MFH-5-1/4-5</v>
      </c>
      <c r="D134" s="241" t="str">
        <f>'רשימת מכשור 2015'!D459</f>
        <v>צנטרפוגה</v>
      </c>
      <c r="E134" s="241" t="str">
        <f>'רשימת מכשור 2015'!E459</f>
        <v xml:space="preserve">N/A </v>
      </c>
      <c r="F134" s="241">
        <f>'רשימת מכשור 2015'!F459</f>
        <v>600</v>
      </c>
      <c r="G134" s="252">
        <v>1</v>
      </c>
      <c r="H134" s="252">
        <f t="shared" si="15"/>
        <v>600</v>
      </c>
      <c r="I134" s="252"/>
      <c r="J134" s="252">
        <v>1</v>
      </c>
      <c r="K134" s="252">
        <v>1</v>
      </c>
      <c r="L134" s="252">
        <v>1.5</v>
      </c>
      <c r="M134" s="252" t="str">
        <f t="shared" si="14"/>
        <v>לרכוש</v>
      </c>
      <c r="N134" s="252">
        <v>1000</v>
      </c>
      <c r="O134" s="252"/>
      <c r="P134" s="252">
        <v>1</v>
      </c>
      <c r="Q134" s="252"/>
      <c r="R134" s="252">
        <f t="shared" si="16"/>
        <v>1.5</v>
      </c>
      <c r="S134" s="252">
        <f t="shared" si="17"/>
        <v>1</v>
      </c>
      <c r="T134" s="252">
        <v>1</v>
      </c>
      <c r="U134" s="255"/>
      <c r="W134" s="108"/>
      <c r="X134" s="108"/>
    </row>
    <row r="135" spans="1:24" s="124" customFormat="1" ht="14.25" customHeight="1">
      <c r="A135" s="241" t="str">
        <f>'רשימת מכשור 2015'!A460</f>
        <v>משדר טמפרטורה</v>
      </c>
      <c r="B135" s="241" t="str">
        <f>'רשימת מכשור 2015'!B460</f>
        <v>SIEMENS</v>
      </c>
      <c r="C135" s="241" t="str">
        <f>'רשימת מכשור 2015'!C460</f>
        <v>QAE 2120-010</v>
      </c>
      <c r="D135" s="241" t="str">
        <f>'רשימת מכשור 2015'!D460</f>
        <v>Air Compressor</v>
      </c>
      <c r="E135" s="241" t="str">
        <f>'רשימת מכשור 2015'!E460</f>
        <v>1-1-41001-TT-3</v>
      </c>
      <c r="F135" s="241">
        <f>'רשימת מכשור 2015'!F460</f>
        <v>600</v>
      </c>
      <c r="G135" s="252">
        <v>1</v>
      </c>
      <c r="H135" s="252">
        <f t="shared" si="15"/>
        <v>600</v>
      </c>
      <c r="I135" s="252"/>
      <c r="J135" s="252">
        <v>1</v>
      </c>
      <c r="K135" s="252">
        <v>1</v>
      </c>
      <c r="L135" s="252">
        <v>1</v>
      </c>
      <c r="M135" s="252" t="str">
        <f t="shared" si="14"/>
        <v>לרכוש</v>
      </c>
      <c r="N135" s="252">
        <v>1000</v>
      </c>
      <c r="O135" s="252"/>
      <c r="P135" s="252">
        <v>1</v>
      </c>
      <c r="Q135" s="252"/>
      <c r="R135" s="252">
        <f t="shared" si="16"/>
        <v>1</v>
      </c>
      <c r="S135" s="252">
        <f t="shared" si="17"/>
        <v>1</v>
      </c>
      <c r="T135" s="252">
        <v>1</v>
      </c>
      <c r="U135" s="255"/>
      <c r="W135" s="108"/>
      <c r="X135" s="108"/>
    </row>
    <row r="136" spans="1:24" s="124" customFormat="1" ht="14.25" customHeight="1">
      <c r="A136" s="241" t="str">
        <f>'רשימת מכשור 2015'!A462</f>
        <v>מד טמפרטורה</v>
      </c>
      <c r="B136" s="241" t="str">
        <f>'רשימת מכשור 2015'!B462</f>
        <v>ELCON</v>
      </c>
      <c r="C136" s="241" t="str">
        <f>'רשימת מכשור 2015'!C462</f>
        <v>PT-100 TH-39</v>
      </c>
      <c r="D136" s="241" t="str">
        <f>'רשימת מכשור 2015'!D462</f>
        <v>PW PRETREAMENT
2500</v>
      </c>
      <c r="E136" s="241" t="str">
        <f>'רשימת מכשור 2015'!E462</f>
        <v>1-1-605-TT-001</v>
      </c>
      <c r="F136" s="241">
        <f>'רשימת מכשור 2015'!F462</f>
        <v>500</v>
      </c>
      <c r="G136" s="252">
        <v>1</v>
      </c>
      <c r="H136" s="252">
        <f t="shared" si="15"/>
        <v>500</v>
      </c>
      <c r="I136" s="252"/>
      <c r="J136" s="252">
        <v>1</v>
      </c>
      <c r="K136" s="254">
        <v>1</v>
      </c>
      <c r="L136" s="252">
        <v>0.5</v>
      </c>
      <c r="M136" s="252" t="str">
        <f t="shared" ref="M136:M167" si="18">IF(AND(K136*L136*30*N136&gt;H136/J136,I136=""),"לרכוש","לא לרכוש")</f>
        <v>לרכוש</v>
      </c>
      <c r="N136" s="252">
        <v>1000</v>
      </c>
      <c r="O136" s="252"/>
      <c r="P136" s="252">
        <v>2</v>
      </c>
      <c r="Q136" s="252"/>
      <c r="R136" s="252">
        <f t="shared" si="16"/>
        <v>1</v>
      </c>
      <c r="S136" s="252">
        <f t="shared" si="17"/>
        <v>1</v>
      </c>
      <c r="T136" s="252">
        <v>1</v>
      </c>
      <c r="U136" s="255"/>
      <c r="W136" s="108"/>
      <c r="X136" s="108"/>
    </row>
    <row r="137" spans="1:24" s="124" customFormat="1" ht="14.25" customHeight="1">
      <c r="A137" s="241" t="str">
        <f>'רשימת מכשור 2015'!A463</f>
        <v>משדר טמפרטורה</v>
      </c>
      <c r="B137" s="241" t="str">
        <f>'רשימת מכשור 2015'!B463</f>
        <v>Desin Instruments</v>
      </c>
      <c r="C137" s="241" t="str">
        <f>'רשימת מכשור 2015'!C463</f>
        <v>PT-100 CM-40</v>
      </c>
      <c r="D137" s="241" t="str">
        <f>'רשימת מכשור 2015'!D463</f>
        <v>NaOH</v>
      </c>
      <c r="E137" s="241" t="str">
        <f>'רשימת מכשור 2015'!E463</f>
        <v>1-1-5-TC-1</v>
      </c>
      <c r="F137" s="241">
        <f>'רשימת מכשור 2015'!F463</f>
        <v>500</v>
      </c>
      <c r="G137" s="252">
        <v>1</v>
      </c>
      <c r="H137" s="252">
        <f t="shared" si="15"/>
        <v>500</v>
      </c>
      <c r="I137" s="252"/>
      <c r="J137" s="252">
        <v>1</v>
      </c>
      <c r="K137" s="252">
        <v>1</v>
      </c>
      <c r="L137" s="252">
        <v>0.5</v>
      </c>
      <c r="M137" s="252" t="str">
        <f t="shared" si="18"/>
        <v>לרכוש</v>
      </c>
      <c r="N137" s="252">
        <v>1000</v>
      </c>
      <c r="O137" s="252"/>
      <c r="P137" s="252">
        <v>1</v>
      </c>
      <c r="Q137" s="252"/>
      <c r="R137" s="252">
        <f t="shared" si="16"/>
        <v>0.5</v>
      </c>
      <c r="S137" s="252">
        <f t="shared" si="17"/>
        <v>1</v>
      </c>
      <c r="T137" s="252">
        <v>1</v>
      </c>
      <c r="U137" s="255"/>
      <c r="W137" s="108"/>
      <c r="X137" s="108"/>
    </row>
    <row r="138" spans="1:24" s="124" customFormat="1" ht="14.25" customHeight="1">
      <c r="A138" s="241" t="str">
        <f>'רשימת מכשור 2015'!A466</f>
        <v xml:space="preserve">מפסק גובה </v>
      </c>
      <c r="B138" s="241" t="str">
        <f>'רשימת מכשור 2015'!B466</f>
        <v>ELCON</v>
      </c>
      <c r="C138" s="241" t="str">
        <f>'רשימת מכשור 2015'!C466</f>
        <v>SIGMA 902/  ERFP</v>
      </c>
      <c r="D138" s="241" t="str">
        <f>'רשימת מכשור 2015'!D466</f>
        <v>ACID</v>
      </c>
      <c r="E138" s="241" t="str">
        <f>'רשימת מכשור 2015'!E466</f>
        <v>1-1-141-LSH-1</v>
      </c>
      <c r="F138" s="241">
        <f>'רשימת מכשור 2015'!F466</f>
        <v>500</v>
      </c>
      <c r="G138" s="252">
        <v>1</v>
      </c>
      <c r="H138" s="252">
        <f t="shared" si="15"/>
        <v>500</v>
      </c>
      <c r="I138" s="252"/>
      <c r="J138" s="252">
        <v>1</v>
      </c>
      <c r="K138" s="252">
        <v>1</v>
      </c>
      <c r="L138" s="252">
        <v>1</v>
      </c>
      <c r="M138" s="252" t="str">
        <f t="shared" si="18"/>
        <v>לרכוש</v>
      </c>
      <c r="N138" s="252">
        <v>1000</v>
      </c>
      <c r="O138" s="252"/>
      <c r="P138" s="252">
        <v>1</v>
      </c>
      <c r="Q138" s="252"/>
      <c r="R138" s="252">
        <f t="shared" si="16"/>
        <v>1</v>
      </c>
      <c r="S138" s="252">
        <f t="shared" si="17"/>
        <v>1</v>
      </c>
      <c r="T138" s="252">
        <v>1</v>
      </c>
      <c r="U138" s="255"/>
      <c r="W138" s="108"/>
      <c r="X138" s="108"/>
    </row>
    <row r="139" spans="1:24" s="124" customFormat="1" ht="14.25" customHeight="1">
      <c r="A139" s="241" t="str">
        <f>'רשימת מכשור 2015'!A473</f>
        <v>משדר טמפרטורה</v>
      </c>
      <c r="B139" s="241" t="str">
        <f>'רשימת מכשור 2015'!B473</f>
        <v>ACI</v>
      </c>
      <c r="C139" s="241" t="str">
        <f>'רשימת מכשור 2015'!C473</f>
        <v>TT100-OUTSIDE</v>
      </c>
      <c r="D139" s="241" t="str">
        <f>'רשימת מכשור 2015'!D473</f>
        <v>51001-AHU-02</v>
      </c>
      <c r="E139" s="241" t="str">
        <f>'רשימת מכשור 2015'!E473</f>
        <v>1-1-51001-TT-02/1</v>
      </c>
      <c r="F139" s="241">
        <f>'רשימת מכשור 2015'!F473</f>
        <v>500</v>
      </c>
      <c r="G139" s="252">
        <v>1</v>
      </c>
      <c r="H139" s="252">
        <f t="shared" si="15"/>
        <v>500</v>
      </c>
      <c r="I139" s="252"/>
      <c r="J139" s="252">
        <v>1</v>
      </c>
      <c r="K139" s="252">
        <v>1</v>
      </c>
      <c r="L139" s="252">
        <v>0.5</v>
      </c>
      <c r="M139" s="252" t="str">
        <f t="shared" si="18"/>
        <v>לרכוש</v>
      </c>
      <c r="N139" s="252">
        <v>1000</v>
      </c>
      <c r="O139" s="252"/>
      <c r="P139" s="252">
        <v>1</v>
      </c>
      <c r="Q139" s="252"/>
      <c r="R139" s="252">
        <f t="shared" si="16"/>
        <v>0.5</v>
      </c>
      <c r="S139" s="252">
        <f t="shared" si="17"/>
        <v>1</v>
      </c>
      <c r="T139" s="252">
        <v>1</v>
      </c>
      <c r="U139" s="255"/>
      <c r="W139" s="108"/>
      <c r="X139" s="108"/>
    </row>
    <row r="140" spans="1:24" s="124" customFormat="1" ht="14.25" customHeight="1">
      <c r="A140" s="241" t="str">
        <f>'רשימת מכשור 2015'!A474</f>
        <v>משדר טמפרטורה</v>
      </c>
      <c r="B140" s="241" t="str">
        <f>'רשימת מכשור 2015'!B474</f>
        <v>ACI</v>
      </c>
      <c r="C140" s="241" t="str">
        <f>'רשימת מכשור 2015'!C474</f>
        <v>TT100-4"</v>
      </c>
      <c r="D140" s="241" t="str">
        <f>'רשימת מכשור 2015'!D474</f>
        <v>51001-AHU-02</v>
      </c>
      <c r="E140" s="241" t="str">
        <f>'רשימת מכשור 2015'!E474</f>
        <v>1-1-51001-TT-02/3</v>
      </c>
      <c r="F140" s="241">
        <f>'רשימת מכשור 2015'!F474</f>
        <v>500</v>
      </c>
      <c r="G140" s="252">
        <v>1</v>
      </c>
      <c r="H140" s="252">
        <f t="shared" si="15"/>
        <v>500</v>
      </c>
      <c r="I140" s="252"/>
      <c r="J140" s="252">
        <v>1</v>
      </c>
      <c r="K140" s="252">
        <v>1</v>
      </c>
      <c r="L140" s="252">
        <v>0.5</v>
      </c>
      <c r="M140" s="252" t="str">
        <f t="shared" si="18"/>
        <v>לרכוש</v>
      </c>
      <c r="N140" s="252">
        <v>1000</v>
      </c>
      <c r="O140" s="252"/>
      <c r="P140" s="252">
        <v>1</v>
      </c>
      <c r="Q140" s="252"/>
      <c r="R140" s="252">
        <f t="shared" si="16"/>
        <v>0.5</v>
      </c>
      <c r="S140" s="252">
        <f t="shared" si="17"/>
        <v>1</v>
      </c>
      <c r="T140" s="252">
        <v>1</v>
      </c>
      <c r="U140" s="255"/>
      <c r="W140" s="108"/>
      <c r="X140" s="108"/>
    </row>
    <row r="141" spans="1:24" s="124" customFormat="1" ht="14.25" customHeight="1">
      <c r="A141" s="241" t="str">
        <f>'רשימת מכשור 2015'!A476</f>
        <v>מפסק לחץ</v>
      </c>
      <c r="B141" s="241" t="str">
        <f>'רשימת מכשור 2015'!B476</f>
        <v>crouzet</v>
      </c>
      <c r="C141" s="241" t="str">
        <f>'רשימת מכשור 2015'!C476</f>
        <v>81 513 552</v>
      </c>
      <c r="D141" s="241" t="str">
        <f>'רשימת מכשור 2015'!D476</f>
        <v>PRETREATMENT SYSTEM</v>
      </c>
      <c r="E141" s="241" t="str">
        <f>'רשימת מכשור 2015'!E476</f>
        <v>1-1-131-PS-1</v>
      </c>
      <c r="F141" s="241">
        <f>'רשימת מכשור 2015'!F476</f>
        <v>500</v>
      </c>
      <c r="G141" s="252">
        <v>1</v>
      </c>
      <c r="H141" s="252">
        <f t="shared" si="15"/>
        <v>500</v>
      </c>
      <c r="I141" s="252" t="s">
        <v>82</v>
      </c>
      <c r="J141" s="252">
        <v>1</v>
      </c>
      <c r="K141" s="252">
        <v>1</v>
      </c>
      <c r="L141" s="252">
        <v>0.5</v>
      </c>
      <c r="M141" s="252" t="str">
        <f t="shared" si="18"/>
        <v>לא לרכוש</v>
      </c>
      <c r="N141" s="252">
        <v>1000</v>
      </c>
      <c r="O141" s="252"/>
      <c r="P141" s="252">
        <v>4</v>
      </c>
      <c r="Q141" s="252"/>
      <c r="R141" s="252">
        <f t="shared" si="16"/>
        <v>2</v>
      </c>
      <c r="S141" s="252">
        <f t="shared" si="17"/>
        <v>1</v>
      </c>
      <c r="T141" s="252">
        <v>1</v>
      </c>
      <c r="U141" s="255"/>
      <c r="W141" s="108"/>
      <c r="X141" s="108"/>
    </row>
    <row r="142" spans="1:24" s="124" customFormat="1" ht="14.25" customHeight="1">
      <c r="A142" s="241" t="str">
        <f>'רשימת מכשור 2015'!A477</f>
        <v>מפסק גבול</v>
      </c>
      <c r="B142" s="241" t="str">
        <f>'רשימת מכשור 2015'!B477</f>
        <v>Telemechanic</v>
      </c>
      <c r="C142" s="241" t="str">
        <f>'רשימת מכשור 2015'!C477</f>
        <v>XCK-M IEC/EN 60947-5-1</v>
      </c>
      <c r="D142" s="241" t="str">
        <f>'רשימת מכשור 2015'!D477</f>
        <v>FILTER PRESS PILOT</v>
      </c>
      <c r="E142" s="241" t="str">
        <f>'רשימת מכשור 2015'!E477</f>
        <v>1-2-35-LMS-1</v>
      </c>
      <c r="F142" s="241">
        <f>'רשימת מכשור 2015'!F477</f>
        <v>500</v>
      </c>
      <c r="G142" s="252">
        <v>1</v>
      </c>
      <c r="H142" s="252">
        <f t="shared" si="15"/>
        <v>500</v>
      </c>
      <c r="I142" s="252"/>
      <c r="J142" s="252">
        <v>1</v>
      </c>
      <c r="K142" s="252">
        <v>1</v>
      </c>
      <c r="L142" s="252">
        <v>1</v>
      </c>
      <c r="M142" s="252" t="str">
        <f t="shared" si="18"/>
        <v>לרכוש</v>
      </c>
      <c r="N142" s="252">
        <v>1000</v>
      </c>
      <c r="O142" s="252"/>
      <c r="P142" s="252">
        <v>1</v>
      </c>
      <c r="Q142" s="252"/>
      <c r="R142" s="252">
        <f t="shared" si="16"/>
        <v>1</v>
      </c>
      <c r="S142" s="252">
        <f t="shared" si="17"/>
        <v>1</v>
      </c>
      <c r="T142" s="252">
        <v>1</v>
      </c>
      <c r="U142" s="255"/>
      <c r="W142" s="108"/>
      <c r="X142" s="108"/>
    </row>
    <row r="143" spans="1:24" s="124" customFormat="1" ht="14.25" customHeight="1">
      <c r="A143" s="241" t="str">
        <f>'רשימת מכשור 2015'!A478</f>
        <v>מפסק לחץ</v>
      </c>
      <c r="B143" s="241" t="str">
        <f>'רשימת מכשור 2015'!B478</f>
        <v>FOX</v>
      </c>
      <c r="C143" s="241" t="str">
        <f>'רשימת מכשור 2015'!C478</f>
        <v>FOX</v>
      </c>
      <c r="D143" s="241" t="str">
        <f>'רשימת מכשור 2015'!D478</f>
        <v>FILTER PRESS PILOT</v>
      </c>
      <c r="E143" s="241" t="str">
        <f>'רשימת מכשור 2015'!E478</f>
        <v>1-2-35-PS-1</v>
      </c>
      <c r="F143" s="241">
        <f>'רשימת מכשור 2015'!F478</f>
        <v>500</v>
      </c>
      <c r="G143" s="252">
        <v>1</v>
      </c>
      <c r="H143" s="252">
        <f t="shared" si="15"/>
        <v>500</v>
      </c>
      <c r="I143" s="252"/>
      <c r="J143" s="252">
        <v>1</v>
      </c>
      <c r="K143" s="252">
        <v>1</v>
      </c>
      <c r="L143" s="252">
        <v>1</v>
      </c>
      <c r="M143" s="252" t="str">
        <f t="shared" si="18"/>
        <v>לרכוש</v>
      </c>
      <c r="N143" s="252">
        <v>1000</v>
      </c>
      <c r="O143" s="252"/>
      <c r="P143" s="252">
        <v>1</v>
      </c>
      <c r="Q143" s="252"/>
      <c r="R143" s="252">
        <f t="shared" si="16"/>
        <v>1</v>
      </c>
      <c r="S143" s="252">
        <f t="shared" si="17"/>
        <v>1</v>
      </c>
      <c r="T143" s="252">
        <v>1</v>
      </c>
      <c r="U143" s="255"/>
      <c r="W143" s="108"/>
      <c r="X143" s="108"/>
    </row>
    <row r="144" spans="1:24" s="124" customFormat="1" ht="14.25" customHeight="1">
      <c r="A144" s="241" t="str">
        <f>'רשימת מכשור 2015'!A479</f>
        <v>אינקודר</v>
      </c>
      <c r="B144" s="241" t="str">
        <f>'רשימת מכשור 2015'!B479</f>
        <v>Autonics</v>
      </c>
      <c r="C144" s="241" t="str">
        <f>'רשימת מכשור 2015'!C479</f>
        <v>E50S8-500-2-T-24</v>
      </c>
      <c r="D144" s="241" t="str">
        <f>'רשימת מכשור 2015'!D479</f>
        <v>QC LAB</v>
      </c>
      <c r="E144" s="241" t="str">
        <f>'רשימת מכשור 2015'!E479</f>
        <v>1-2-2010-SH-5</v>
      </c>
      <c r="F144" s="241">
        <f>'רשימת מכשור 2015'!F479</f>
        <v>500</v>
      </c>
      <c r="G144" s="252">
        <v>1</v>
      </c>
      <c r="H144" s="252">
        <f t="shared" si="15"/>
        <v>500</v>
      </c>
      <c r="I144" s="252" t="s">
        <v>82</v>
      </c>
      <c r="J144" s="252">
        <v>1</v>
      </c>
      <c r="K144" s="252">
        <v>1</v>
      </c>
      <c r="L144" s="252">
        <v>0.3</v>
      </c>
      <c r="M144" s="252" t="str">
        <f t="shared" si="18"/>
        <v>לא לרכוש</v>
      </c>
      <c r="N144" s="252">
        <v>1000</v>
      </c>
      <c r="O144" s="252"/>
      <c r="P144" s="252">
        <v>6</v>
      </c>
      <c r="Q144" s="252"/>
      <c r="R144" s="252">
        <f t="shared" si="16"/>
        <v>1.7999999999999998</v>
      </c>
      <c r="S144" s="252">
        <f t="shared" si="17"/>
        <v>1</v>
      </c>
      <c r="T144" s="252">
        <v>1</v>
      </c>
      <c r="U144" s="255"/>
      <c r="W144" s="108"/>
      <c r="X144" s="108"/>
    </row>
    <row r="145" spans="1:24" s="124" customFormat="1" ht="14.25" customHeight="1">
      <c r="A145" s="241" t="str">
        <f>'רשימת מכשור 2015'!A480</f>
        <v>מד טמפרטורה</v>
      </c>
      <c r="B145" s="241" t="str">
        <f>'רשימת מכשור 2015'!B480</f>
        <v>ACI</v>
      </c>
      <c r="C145" s="241" t="str">
        <f>'רשימת מכשור 2015'!C480</f>
        <v>ACI/LCD 4-20mA</v>
      </c>
      <c r="D145" s="241" t="str">
        <f>'רשימת מכשור 2015'!D480</f>
        <v>AHU-WH</v>
      </c>
      <c r="E145" s="241" t="str">
        <f>'רשימת מכשור 2015'!E480</f>
        <v>1-2-2010-TI-2</v>
      </c>
      <c r="F145" s="241">
        <f>'רשימת מכשור 2015'!F480</f>
        <v>500</v>
      </c>
      <c r="G145" s="252">
        <v>1</v>
      </c>
      <c r="H145" s="252">
        <f t="shared" si="15"/>
        <v>500</v>
      </c>
      <c r="I145" s="252"/>
      <c r="J145" s="252">
        <v>1</v>
      </c>
      <c r="K145" s="252">
        <v>1</v>
      </c>
      <c r="L145" s="252">
        <v>0.5</v>
      </c>
      <c r="M145" s="252" t="str">
        <f t="shared" si="18"/>
        <v>לרכוש</v>
      </c>
      <c r="N145" s="252">
        <v>1000</v>
      </c>
      <c r="O145" s="252"/>
      <c r="P145" s="252">
        <v>1</v>
      </c>
      <c r="Q145" s="252"/>
      <c r="R145" s="252">
        <f t="shared" si="16"/>
        <v>0.5</v>
      </c>
      <c r="S145" s="252">
        <f t="shared" si="17"/>
        <v>1</v>
      </c>
      <c r="T145" s="252">
        <v>1</v>
      </c>
      <c r="U145" s="255"/>
      <c r="W145" s="108"/>
      <c r="X145" s="108"/>
    </row>
    <row r="146" spans="1:24" s="124" customFormat="1" ht="14.25" customHeight="1">
      <c r="A146" s="241" t="str">
        <f>'רשימת מכשור 2015'!A496</f>
        <v>מפסק זרימה</v>
      </c>
      <c r="B146" s="241" t="str">
        <f>'רשימת מכשור 2015'!B496</f>
        <v>johnson control</v>
      </c>
      <c r="C146" s="241" t="str">
        <f>'רשימת מכשור 2015'!C496</f>
        <v>עלה</v>
      </c>
      <c r="D146" s="241" t="str">
        <f>'רשימת מכשור 2015'!D496</f>
        <v>CHILLER</v>
      </c>
      <c r="E146" s="241" t="str">
        <f>'רשימת מכשור 2015'!E496</f>
        <v>1-1-99-FS-2</v>
      </c>
      <c r="F146" s="241">
        <f>'רשימת מכשור 2015'!F496</f>
        <v>400</v>
      </c>
      <c r="G146" s="252">
        <v>1</v>
      </c>
      <c r="H146" s="252">
        <f t="shared" si="15"/>
        <v>400</v>
      </c>
      <c r="I146" s="252" t="s">
        <v>82</v>
      </c>
      <c r="J146" s="252">
        <v>1</v>
      </c>
      <c r="K146" s="252"/>
      <c r="L146" s="252">
        <v>0.5</v>
      </c>
      <c r="M146" s="252" t="str">
        <f t="shared" si="18"/>
        <v>לא לרכוש</v>
      </c>
      <c r="N146" s="252">
        <v>1000</v>
      </c>
      <c r="O146" s="252"/>
      <c r="P146" s="252">
        <v>1</v>
      </c>
      <c r="Q146" s="252"/>
      <c r="R146" s="252">
        <f t="shared" si="16"/>
        <v>0.5</v>
      </c>
      <c r="S146" s="252">
        <f t="shared" si="17"/>
        <v>1</v>
      </c>
      <c r="T146" s="252">
        <v>1</v>
      </c>
      <c r="U146" s="255"/>
      <c r="W146" s="108"/>
      <c r="X146" s="108"/>
    </row>
    <row r="147" spans="1:24" s="124" customFormat="1">
      <c r="A147" s="240" t="str">
        <f>'רשימת מכשור 2015'!A497</f>
        <v>כבל PH</v>
      </c>
      <c r="B147" s="241" t="str">
        <f>'רשימת מכשור 2015'!B497</f>
        <v>METTLER TOLEDO</v>
      </c>
      <c r="C147" s="241" t="str">
        <f>'רשימת מכשור 2015'!C497</f>
        <v>ak9/10m  100 001 002 ig</v>
      </c>
      <c r="D147" s="241" t="str">
        <f>'רשימת מכשור 2015'!D497</f>
        <v>HARVST</v>
      </c>
      <c r="E147" s="241" t="str">
        <f>'רשימת מכשור 2015'!E497</f>
        <v>1-1-27-PH-1</v>
      </c>
      <c r="F147" s="241">
        <f>'רשימת מכשור 2015'!F497</f>
        <v>371</v>
      </c>
      <c r="G147" s="252">
        <v>1</v>
      </c>
      <c r="H147" s="252">
        <f t="shared" si="15"/>
        <v>371</v>
      </c>
      <c r="I147" s="252"/>
      <c r="J147" s="252">
        <v>3</v>
      </c>
      <c r="K147" s="252">
        <v>1</v>
      </c>
      <c r="L147" s="252">
        <v>1</v>
      </c>
      <c r="M147" s="252" t="str">
        <f t="shared" si="18"/>
        <v>לרכוש</v>
      </c>
      <c r="N147" s="252">
        <v>1000</v>
      </c>
      <c r="O147" s="252"/>
      <c r="P147" s="252">
        <v>3</v>
      </c>
      <c r="Q147" s="252"/>
      <c r="R147" s="252">
        <f t="shared" si="16"/>
        <v>9</v>
      </c>
      <c r="S147" s="252">
        <f t="shared" si="17"/>
        <v>2</v>
      </c>
      <c r="T147" s="252">
        <v>2</v>
      </c>
      <c r="U147" s="255" t="s">
        <v>1185</v>
      </c>
      <c r="W147" s="108"/>
      <c r="X147" s="108"/>
    </row>
    <row r="148" spans="1:24" s="124" customFormat="1" ht="14.25" customHeight="1">
      <c r="A148" s="241" t="str">
        <f>'רשימת מכשור 2015'!A500</f>
        <v>כבל מוליכות</v>
      </c>
      <c r="B148" s="241" t="str">
        <f>'רשימת מכשור 2015'!B500</f>
        <v>METTLER TOLEDO</v>
      </c>
      <c r="C148" s="241" t="str">
        <f>'רשימת מכשור 2015'!C500</f>
        <v>58 080 204</v>
      </c>
      <c r="D148" s="241" t="str">
        <f>'רשימת מכשור 2015'!D500</f>
        <v>MEDIA</v>
      </c>
      <c r="E148" s="241" t="str">
        <f>'רשימת מכשור 2015'!E500</f>
        <v>1-1-8-CIC-1</v>
      </c>
      <c r="F148" s="241">
        <f>'רשימת מכשור 2015'!F500</f>
        <v>360</v>
      </c>
      <c r="G148" s="252">
        <v>1</v>
      </c>
      <c r="H148" s="252">
        <f t="shared" si="15"/>
        <v>360</v>
      </c>
      <c r="I148" s="252" t="s">
        <v>82</v>
      </c>
      <c r="J148" s="252">
        <v>1</v>
      </c>
      <c r="K148" s="252">
        <v>1</v>
      </c>
      <c r="L148" s="252">
        <v>1</v>
      </c>
      <c r="M148" s="252" t="str">
        <f t="shared" si="18"/>
        <v>לא לרכוש</v>
      </c>
      <c r="N148" s="252">
        <v>1000</v>
      </c>
      <c r="O148" s="252"/>
      <c r="P148" s="252">
        <v>4</v>
      </c>
      <c r="Q148" s="252"/>
      <c r="R148" s="252">
        <f t="shared" si="16"/>
        <v>4</v>
      </c>
      <c r="S148" s="252">
        <f t="shared" si="17"/>
        <v>1</v>
      </c>
      <c r="T148" s="252">
        <v>1</v>
      </c>
      <c r="U148" s="252"/>
      <c r="W148" s="108"/>
      <c r="X148" s="108"/>
    </row>
    <row r="149" spans="1:24" s="124" customFormat="1" ht="14.25" customHeight="1">
      <c r="A149" s="241" t="str">
        <f>'רשימת מכשור 2015'!A502</f>
        <v>כבל מוליכות</v>
      </c>
      <c r="B149" s="241" t="str">
        <f>'רשימת מכשור 2015'!B502</f>
        <v>METTLER TOLEDO</v>
      </c>
      <c r="C149" s="241" t="str">
        <f>'רשימת מכשור 2015'!C502</f>
        <v>58 080 205</v>
      </c>
      <c r="D149" s="241" t="str">
        <f>'רשימת מכשור 2015'!D502</f>
        <v>NaOH</v>
      </c>
      <c r="E149" s="241" t="str">
        <f>'רשימת מכשור 2015'!E502</f>
        <v>1-1-5-CIC-1</v>
      </c>
      <c r="F149" s="241">
        <f>'רשימת מכשור 2015'!F502</f>
        <v>360</v>
      </c>
      <c r="G149" s="252">
        <v>1</v>
      </c>
      <c r="H149" s="252">
        <f t="shared" si="15"/>
        <v>360</v>
      </c>
      <c r="I149" s="252" t="s">
        <v>82</v>
      </c>
      <c r="J149" s="252">
        <v>1</v>
      </c>
      <c r="K149" s="252">
        <v>1</v>
      </c>
      <c r="L149" s="252">
        <v>1</v>
      </c>
      <c r="M149" s="252" t="str">
        <f t="shared" si="18"/>
        <v>לא לרכוש</v>
      </c>
      <c r="N149" s="252">
        <v>1000</v>
      </c>
      <c r="O149" s="252"/>
      <c r="P149" s="252">
        <v>4</v>
      </c>
      <c r="Q149" s="252"/>
      <c r="R149" s="252">
        <f t="shared" si="16"/>
        <v>4</v>
      </c>
      <c r="S149" s="252">
        <f t="shared" si="17"/>
        <v>1</v>
      </c>
      <c r="T149" s="252">
        <v>1</v>
      </c>
      <c r="U149" s="252"/>
      <c r="W149" s="108"/>
      <c r="X149" s="108"/>
    </row>
    <row r="150" spans="1:24" s="124" customFormat="1" ht="14.25" customHeight="1">
      <c r="A150" s="241" t="str">
        <f>'רשימת מכשור 2015'!A507</f>
        <v>מד טמפרטורה</v>
      </c>
      <c r="B150" s="241" t="str">
        <f>'רשימת מכשור 2015'!B507</f>
        <v>milan</v>
      </c>
      <c r="C150" s="241" t="str">
        <f>'רשימת מכשור 2015'!C507</f>
        <v>pt -100</v>
      </c>
      <c r="D150" s="241" t="str">
        <f>'רשימת מכשור 2015'!D507</f>
        <v>PW פיילוט</v>
      </c>
      <c r="E150" s="241" t="str">
        <f>'רשימת מכשור 2015'!E507</f>
        <v>1-TIC-4</v>
      </c>
      <c r="F150" s="241">
        <f>'רשימת מכשור 2015'!F507</f>
        <v>300</v>
      </c>
      <c r="G150" s="252">
        <v>1</v>
      </c>
      <c r="H150" s="252">
        <f t="shared" si="15"/>
        <v>300</v>
      </c>
      <c r="I150" s="252"/>
      <c r="J150" s="252">
        <v>1</v>
      </c>
      <c r="K150" s="252">
        <v>1</v>
      </c>
      <c r="L150" s="252">
        <v>0.5</v>
      </c>
      <c r="M150" s="252" t="str">
        <f t="shared" si="18"/>
        <v>לרכוש</v>
      </c>
      <c r="N150" s="252">
        <v>1000</v>
      </c>
      <c r="O150" s="252"/>
      <c r="P150" s="252">
        <v>1</v>
      </c>
      <c r="Q150" s="252"/>
      <c r="R150" s="252">
        <f t="shared" si="16"/>
        <v>0.5</v>
      </c>
      <c r="S150" s="252">
        <f t="shared" si="17"/>
        <v>1</v>
      </c>
      <c r="T150" s="252">
        <v>1</v>
      </c>
      <c r="U150" s="252"/>
      <c r="W150" s="108"/>
      <c r="X150" s="108"/>
    </row>
    <row r="151" spans="1:24" s="124" customFormat="1" ht="14.25" customHeight="1">
      <c r="A151" s="241" t="str">
        <f>'רשימת מכשור 2015'!A509</f>
        <v>מפסק לחץ הפרשי</v>
      </c>
      <c r="B151" s="241" t="str">
        <f>'רשימת מכשור 2015'!B509</f>
        <v>Beck</v>
      </c>
      <c r="C151" s="241">
        <f>'רשימת מכשור 2015'!C509</f>
        <v>930.83</v>
      </c>
      <c r="D151" s="241" t="str">
        <f>'רשימת מכשור 2015'!D509</f>
        <v>51001-AHU-01</v>
      </c>
      <c r="E151" s="241" t="str">
        <f>'רשימת מכשור 2015'!E509</f>
        <v>1-1-51001-PDS-01/1</v>
      </c>
      <c r="F151" s="241">
        <f>'רשימת מכשור 2015'!F509</f>
        <v>300</v>
      </c>
      <c r="G151" s="252">
        <v>1</v>
      </c>
      <c r="H151" s="252">
        <f t="shared" si="15"/>
        <v>300</v>
      </c>
      <c r="I151" s="252" t="s">
        <v>82</v>
      </c>
      <c r="J151" s="252">
        <v>1</v>
      </c>
      <c r="K151" s="252">
        <v>1</v>
      </c>
      <c r="L151" s="252">
        <v>0.5</v>
      </c>
      <c r="M151" s="252" t="str">
        <f t="shared" si="18"/>
        <v>לא לרכוש</v>
      </c>
      <c r="N151" s="252">
        <v>1000</v>
      </c>
      <c r="O151" s="252"/>
      <c r="P151" s="252">
        <v>4</v>
      </c>
      <c r="Q151" s="252"/>
      <c r="R151" s="252">
        <f t="shared" si="16"/>
        <v>2</v>
      </c>
      <c r="S151" s="252">
        <f t="shared" si="17"/>
        <v>1</v>
      </c>
      <c r="T151" s="252">
        <v>1</v>
      </c>
      <c r="U151" s="252"/>
      <c r="W151" s="108"/>
      <c r="X151" s="108"/>
    </row>
    <row r="152" spans="1:24" s="124" customFormat="1" ht="14.25" customHeight="1">
      <c r="A152" s="241" t="str">
        <f>'רשימת מכשור 2015'!A533</f>
        <v>ראש שקילה</v>
      </c>
      <c r="B152" s="241" t="str">
        <f>'רשימת מכשור 2015'!B533</f>
        <v>Mindman</v>
      </c>
      <c r="C152" s="241" t="str">
        <f>'רשימת מכשור 2015'!C533</f>
        <v>MP-10P-03-F3</v>
      </c>
      <c r="D152" s="241" t="str">
        <f>'רשימת מכשור 2015'!D533</f>
        <v>QC LAB</v>
      </c>
      <c r="E152" s="241" t="str">
        <f>'רשימת מכשור 2015'!E533</f>
        <v>1-2-2010-CO2-PI-1034</v>
      </c>
      <c r="F152" s="241">
        <f>'רשימת מכשור 2015'!F533</f>
        <v>300</v>
      </c>
      <c r="G152" s="252">
        <v>1</v>
      </c>
      <c r="H152" s="252">
        <f t="shared" si="15"/>
        <v>300</v>
      </c>
      <c r="I152" s="252" t="s">
        <v>82</v>
      </c>
      <c r="J152" s="252">
        <v>1</v>
      </c>
      <c r="K152" s="252">
        <v>1</v>
      </c>
      <c r="L152" s="252">
        <v>0.3</v>
      </c>
      <c r="M152" s="252" t="str">
        <f t="shared" si="18"/>
        <v>לא לרכוש</v>
      </c>
      <c r="N152" s="252">
        <v>1000</v>
      </c>
      <c r="O152" s="252"/>
      <c r="P152" s="252">
        <v>2</v>
      </c>
      <c r="Q152" s="252"/>
      <c r="R152" s="252">
        <f t="shared" si="16"/>
        <v>0.6</v>
      </c>
      <c r="S152" s="252">
        <f t="shared" si="17"/>
        <v>1</v>
      </c>
      <c r="T152" s="252">
        <v>1</v>
      </c>
      <c r="U152" s="252"/>
      <c r="W152" s="108"/>
      <c r="X152" s="108"/>
    </row>
    <row r="153" spans="1:24" s="124" customFormat="1" ht="14.25" customHeight="1">
      <c r="A153" s="241" t="str">
        <f>'רשימת מכשור 2015'!A556</f>
        <v>מד טמפרטורה</v>
      </c>
      <c r="B153" s="241" t="str">
        <f>'רשימת מכשור 2015'!B556</f>
        <v>ACI</v>
      </c>
      <c r="C153" s="241" t="str">
        <f>'רשימת מכשור 2015'!C556</f>
        <v>TT-100-D-12"-PB</v>
      </c>
      <c r="D153" s="241" t="str">
        <f>'רשימת מכשור 2015'!D556</f>
        <v>AHU-WH</v>
      </c>
      <c r="E153" s="241" t="str">
        <f>'רשימת מכשור 2015'!E556</f>
        <v>1-2-51021-TI-1</v>
      </c>
      <c r="F153" s="241">
        <f>'רשימת מכשור 2015'!F556</f>
        <v>300</v>
      </c>
      <c r="G153" s="252">
        <v>1</v>
      </c>
      <c r="H153" s="252">
        <f t="shared" si="15"/>
        <v>300</v>
      </c>
      <c r="I153" s="252"/>
      <c r="J153" s="252">
        <v>1</v>
      </c>
      <c r="K153" s="252">
        <v>1</v>
      </c>
      <c r="L153" s="252">
        <v>0.7</v>
      </c>
      <c r="M153" s="252" t="str">
        <f t="shared" si="18"/>
        <v>לרכוש</v>
      </c>
      <c r="N153" s="252">
        <v>1000</v>
      </c>
      <c r="O153" s="252"/>
      <c r="P153" s="252">
        <v>2</v>
      </c>
      <c r="Q153" s="252"/>
      <c r="R153" s="252">
        <f t="shared" si="16"/>
        <v>1.4</v>
      </c>
      <c r="S153" s="252">
        <f t="shared" si="17"/>
        <v>1</v>
      </c>
      <c r="T153" s="252">
        <v>1</v>
      </c>
      <c r="U153" s="252"/>
      <c r="W153" s="108"/>
      <c r="X153" s="108"/>
    </row>
    <row r="154" spans="1:24" s="124" customFormat="1" ht="14.25" customHeight="1">
      <c r="A154" s="241" t="str">
        <f>'רשימת מכשור 2015'!A585</f>
        <v xml:space="preserve">מפסק לחץ </v>
      </c>
      <c r="B154" s="241" t="str">
        <f>'רשימת מכשור 2015'!B585</f>
        <v>SMC</v>
      </c>
      <c r="C154" s="241" t="str">
        <f>'רשימת מכשור 2015'!C585</f>
        <v>ISE 30</v>
      </c>
      <c r="D154" s="241" t="str">
        <f>'רשימת מכשור 2015'!D585</f>
        <v>Air Compressor</v>
      </c>
      <c r="E154" s="241" t="str">
        <f>'רשימת מכשור 2015'!E585</f>
        <v>1-1-41001-PSHL-01</v>
      </c>
      <c r="F154" s="241">
        <f>'רשימת מכשור 2015'!F585</f>
        <v>300</v>
      </c>
      <c r="G154" s="252">
        <v>1</v>
      </c>
      <c r="H154" s="252">
        <f t="shared" si="15"/>
        <v>300</v>
      </c>
      <c r="I154" s="252"/>
      <c r="J154" s="252">
        <v>1</v>
      </c>
      <c r="K154" s="252">
        <v>1</v>
      </c>
      <c r="L154" s="252">
        <v>0.5</v>
      </c>
      <c r="M154" s="252" t="str">
        <f t="shared" si="18"/>
        <v>לרכוש</v>
      </c>
      <c r="N154" s="252">
        <v>1000</v>
      </c>
      <c r="O154" s="252"/>
      <c r="P154" s="252">
        <v>1</v>
      </c>
      <c r="Q154" s="252"/>
      <c r="R154" s="252">
        <f t="shared" si="16"/>
        <v>0.5</v>
      </c>
      <c r="S154" s="252">
        <f t="shared" si="17"/>
        <v>1</v>
      </c>
      <c r="T154" s="252">
        <v>1</v>
      </c>
      <c r="U154" s="252"/>
      <c r="W154" s="108"/>
      <c r="X154" s="108"/>
    </row>
    <row r="155" spans="1:24" s="124" customFormat="1" ht="14.25" customHeight="1">
      <c r="A155" s="241" t="str">
        <f>'רשימת מכשור 2015'!A627</f>
        <v>מד טמפרטורה</v>
      </c>
      <c r="B155" s="241" t="str">
        <f>'רשימת מכשור 2015'!B627</f>
        <v>קונטרוטק</v>
      </c>
      <c r="C155" s="241" t="str">
        <f>'רשימת מכשור 2015'!C627</f>
        <v>PT-101</v>
      </c>
      <c r="D155" s="241" t="str">
        <f>'רשימת מכשור 2015'!D627</f>
        <v xml:space="preserve">R&amp;D </v>
      </c>
      <c r="E155" s="241" t="str">
        <f>'רשימת מכשור 2015'!E627</f>
        <v>TI-556 ( RE-56 )</v>
      </c>
      <c r="F155" s="241">
        <f>'רשימת מכשור 2015'!F627</f>
        <v>300</v>
      </c>
      <c r="G155" s="252">
        <v>1</v>
      </c>
      <c r="H155" s="252">
        <f t="shared" si="15"/>
        <v>300</v>
      </c>
      <c r="I155" s="252" t="s">
        <v>82</v>
      </c>
      <c r="J155" s="252">
        <v>1</v>
      </c>
      <c r="K155" s="252">
        <v>1</v>
      </c>
      <c r="L155" s="252">
        <v>0.5</v>
      </c>
      <c r="M155" s="252" t="str">
        <f t="shared" si="18"/>
        <v>לא לרכוש</v>
      </c>
      <c r="N155" s="252">
        <v>1000</v>
      </c>
      <c r="O155" s="252"/>
      <c r="P155" s="252">
        <v>13</v>
      </c>
      <c r="Q155" s="252"/>
      <c r="R155" s="252">
        <f t="shared" si="16"/>
        <v>6.5</v>
      </c>
      <c r="S155" s="252">
        <f t="shared" si="17"/>
        <v>1</v>
      </c>
      <c r="T155" s="252">
        <v>1</v>
      </c>
      <c r="U155" s="252"/>
      <c r="W155" s="108"/>
      <c r="X155" s="108"/>
    </row>
    <row r="156" spans="1:24" s="124" customFormat="1" ht="51.75" customHeight="1">
      <c r="A156" s="241" t="str">
        <f>'רשימת מכשור 2015'!A648</f>
        <v>צג לחץ</v>
      </c>
      <c r="B156" s="241" t="str">
        <f>'רשימת מכשור 2015'!B648</f>
        <v>MEGATRON</v>
      </c>
      <c r="C156" s="241" t="str">
        <f>'רשימת מכשור 2015'!C648</f>
        <v>MDI-CDC-LCD</v>
      </c>
      <c r="D156" s="241" t="str">
        <f>'רשימת מכשור 2015'!D648</f>
        <v>51001-AHU-01</v>
      </c>
      <c r="E156" s="241" t="str">
        <f>'רשימת מכשור 2015'!E648</f>
        <v>1-1-51001-PDI-201</v>
      </c>
      <c r="F156" s="241">
        <f>'רשימת מכשור 2015'!F648</f>
        <v>250</v>
      </c>
      <c r="G156" s="252">
        <v>1</v>
      </c>
      <c r="H156" s="252">
        <f t="shared" si="15"/>
        <v>250</v>
      </c>
      <c r="I156" s="252" t="s">
        <v>82</v>
      </c>
      <c r="J156" s="252">
        <v>1</v>
      </c>
      <c r="K156" s="252">
        <v>1</v>
      </c>
      <c r="L156" s="252">
        <v>0.5</v>
      </c>
      <c r="M156" s="252" t="str">
        <f t="shared" si="18"/>
        <v>לא לרכוש</v>
      </c>
      <c r="N156" s="252">
        <v>1000</v>
      </c>
      <c r="O156" s="252"/>
      <c r="P156" s="252">
        <v>9</v>
      </c>
      <c r="Q156" s="252"/>
      <c r="R156" s="252">
        <f t="shared" si="16"/>
        <v>4.5</v>
      </c>
      <c r="S156" s="252">
        <f t="shared" si="17"/>
        <v>1</v>
      </c>
      <c r="T156" s="252">
        <v>1</v>
      </c>
      <c r="U156" s="252"/>
      <c r="W156" s="108"/>
      <c r="X156" s="108"/>
    </row>
    <row r="157" spans="1:24" s="124" customFormat="1" ht="14.25" customHeight="1">
      <c r="A157" s="241" t="str">
        <f>'רשימת מכשור 2015'!A657</f>
        <v xml:space="preserve">מפסק גובה </v>
      </c>
      <c r="B157" s="241" t="str">
        <f>'רשימת מכשור 2015'!B657</f>
        <v>Carlo Gavazzi</v>
      </c>
      <c r="C157" s="241" t="str">
        <f>'רשימת מכשור 2015'!C657</f>
        <v>אפור NF PNP NO/NC קיבולי 30 מ"מ
EC3025PPAPL</v>
      </c>
      <c r="D157" s="241" t="str">
        <f>'רשימת מכשור 2015'!D657</f>
        <v>PRETREATMENT SYSTEM</v>
      </c>
      <c r="E157" s="241" t="str">
        <f>'רשימת מכשור 2015'!E657</f>
        <v>1-1-131-LSL-1</v>
      </c>
      <c r="F157" s="241">
        <f>'רשימת מכשור 2015'!F657</f>
        <v>250</v>
      </c>
      <c r="G157" s="252">
        <v>1</v>
      </c>
      <c r="H157" s="252">
        <f t="shared" si="15"/>
        <v>250</v>
      </c>
      <c r="I157" s="252" t="s">
        <v>82</v>
      </c>
      <c r="J157" s="252">
        <v>1</v>
      </c>
      <c r="K157" s="252">
        <v>0</v>
      </c>
      <c r="L157" s="252">
        <v>0.5</v>
      </c>
      <c r="M157" s="252" t="str">
        <f t="shared" si="18"/>
        <v>לא לרכוש</v>
      </c>
      <c r="N157" s="252">
        <v>1000</v>
      </c>
      <c r="O157" s="252"/>
      <c r="P157" s="252">
        <v>2</v>
      </c>
      <c r="Q157" s="252"/>
      <c r="R157" s="252">
        <f t="shared" si="16"/>
        <v>1</v>
      </c>
      <c r="S157" s="252">
        <f t="shared" si="17"/>
        <v>1</v>
      </c>
      <c r="T157" s="252">
        <v>1</v>
      </c>
      <c r="U157" s="252"/>
      <c r="W157" s="108"/>
      <c r="X157" s="108"/>
    </row>
    <row r="158" spans="1:24" s="124" customFormat="1" ht="14.25" customHeight="1">
      <c r="A158" s="241" t="str">
        <f>'רשימת מכשור 2015'!A672</f>
        <v>מפסק לחץ הפרשי</v>
      </c>
      <c r="B158" s="241" t="str">
        <f>'רשימת מכשור 2015'!B672</f>
        <v>Dwyer</v>
      </c>
      <c r="C158" s="241" t="str">
        <f>'רשימת מכשור 2015'!C672</f>
        <v>ADPS-03</v>
      </c>
      <c r="D158" s="241" t="str">
        <f>'רשימת מכשור 2015'!D672</f>
        <v>AHU-38</v>
      </c>
      <c r="E158" s="241" t="str">
        <f>'רשימת מכשור 2015'!E672</f>
        <v>1-1-38-DPS-1</v>
      </c>
      <c r="F158" s="241">
        <f>'רשימת מכשור 2015'!F672</f>
        <v>250</v>
      </c>
      <c r="G158" s="252">
        <v>1</v>
      </c>
      <c r="H158" s="252">
        <f t="shared" si="15"/>
        <v>250</v>
      </c>
      <c r="I158" s="252" t="s">
        <v>82</v>
      </c>
      <c r="J158" s="252">
        <v>1</v>
      </c>
      <c r="K158" s="252">
        <v>0</v>
      </c>
      <c r="L158" s="252">
        <v>0.5</v>
      </c>
      <c r="M158" s="252" t="str">
        <f t="shared" si="18"/>
        <v>לא לרכוש</v>
      </c>
      <c r="N158" s="252">
        <v>1000</v>
      </c>
      <c r="O158" s="252"/>
      <c r="P158" s="252">
        <v>4</v>
      </c>
      <c r="Q158" s="252"/>
      <c r="R158" s="252">
        <f t="shared" si="16"/>
        <v>2</v>
      </c>
      <c r="S158" s="252">
        <f t="shared" si="17"/>
        <v>1</v>
      </c>
      <c r="T158" s="252">
        <v>1</v>
      </c>
      <c r="U158" s="252"/>
      <c r="W158" s="108"/>
      <c r="X158" s="108"/>
    </row>
    <row r="159" spans="1:24" s="124" customFormat="1" ht="27" customHeight="1">
      <c r="A159" s="241" t="str">
        <f>'רשימת מכשור 2015'!A675</f>
        <v>מפסק לחץ הפרשי</v>
      </c>
      <c r="B159" s="241" t="str">
        <f>'רשימת מכשור 2015'!B675</f>
        <v>Dwyer</v>
      </c>
      <c r="C159" s="241" t="str">
        <f>'רשימת מכשור 2015'!C675</f>
        <v>ADPS-01</v>
      </c>
      <c r="D159" s="241" t="str">
        <f>'רשימת מכשור 2015'!D675</f>
        <v>AHU-38</v>
      </c>
      <c r="E159" s="241" t="str">
        <f>'רשימת מכשור 2015'!E675</f>
        <v>1-1-38-FS-1</v>
      </c>
      <c r="F159" s="241">
        <f>'רשימת מכשור 2015'!F675</f>
        <v>250</v>
      </c>
      <c r="G159" s="252">
        <v>1</v>
      </c>
      <c r="H159" s="252">
        <f t="shared" si="15"/>
        <v>250</v>
      </c>
      <c r="I159" s="252"/>
      <c r="J159" s="252">
        <v>1</v>
      </c>
      <c r="K159" s="252">
        <v>1</v>
      </c>
      <c r="L159" s="252">
        <v>0.5</v>
      </c>
      <c r="M159" s="252" t="str">
        <f t="shared" si="18"/>
        <v>לרכוש</v>
      </c>
      <c r="N159" s="252">
        <v>1000</v>
      </c>
      <c r="O159" s="252"/>
      <c r="P159" s="252">
        <v>4</v>
      </c>
      <c r="Q159" s="252"/>
      <c r="R159" s="252">
        <f t="shared" si="16"/>
        <v>2</v>
      </c>
      <c r="S159" s="252">
        <f t="shared" si="17"/>
        <v>1</v>
      </c>
      <c r="T159" s="252">
        <v>1</v>
      </c>
      <c r="U159" s="252"/>
      <c r="W159" s="108"/>
      <c r="X159" s="108"/>
    </row>
    <row r="160" spans="1:24" s="124" customFormat="1" ht="14.25" customHeight="1">
      <c r="A160" s="241" t="str">
        <f>'רשימת מכשור 2015'!A676</f>
        <v>מפסק זרימה</v>
      </c>
      <c r="B160" s="241" t="str">
        <f>'רשימת מכשור 2015'!B676</f>
        <v>Beck.</v>
      </c>
      <c r="C160" s="241" t="str">
        <f>'רשימת מכשור 2015'!C676</f>
        <v>930.80</v>
      </c>
      <c r="D160" s="241" t="str">
        <f>'רשימת מכשור 2015'!D676</f>
        <v>AHU-39</v>
      </c>
      <c r="E160" s="241" t="str">
        <f>'רשימת מכשור 2015'!E676</f>
        <v>1-1-39-FS-1</v>
      </c>
      <c r="F160" s="241">
        <f>'רשימת מכשור 2015'!F676</f>
        <v>250</v>
      </c>
      <c r="G160" s="252">
        <v>1</v>
      </c>
      <c r="H160" s="252">
        <f t="shared" si="15"/>
        <v>250</v>
      </c>
      <c r="I160" s="252" t="s">
        <v>82</v>
      </c>
      <c r="J160" s="252">
        <v>1</v>
      </c>
      <c r="K160" s="252">
        <v>0</v>
      </c>
      <c r="L160" s="252">
        <v>0.5</v>
      </c>
      <c r="M160" s="252" t="str">
        <f t="shared" si="18"/>
        <v>לא לרכוש</v>
      </c>
      <c r="N160" s="252">
        <v>1000</v>
      </c>
      <c r="O160" s="252"/>
      <c r="P160" s="252">
        <v>8</v>
      </c>
      <c r="Q160" s="252"/>
      <c r="R160" s="252">
        <f t="shared" si="16"/>
        <v>4</v>
      </c>
      <c r="S160" s="252">
        <f t="shared" si="17"/>
        <v>1</v>
      </c>
      <c r="T160" s="252">
        <v>1</v>
      </c>
      <c r="U160" s="252"/>
      <c r="W160" s="108"/>
      <c r="X160" s="108"/>
    </row>
    <row r="161" spans="1:24" s="124" customFormat="1" ht="14.25" customHeight="1">
      <c r="A161" s="241" t="str">
        <f>'רשימת מכשור 2015'!A686</f>
        <v>גשש קירבה</v>
      </c>
      <c r="B161" s="241" t="str">
        <f>'רשימת מכשור 2015'!B686</f>
        <v>Autonics</v>
      </c>
      <c r="C161" s="241" t="str">
        <f>'רשימת מכשור 2015'!C686</f>
        <v>PR18-5DP</v>
      </c>
      <c r="D161" s="241" t="str">
        <f>'רשימת מכשור 2015'!D686</f>
        <v xml:space="preserve">R&amp;D </v>
      </c>
      <c r="E161" s="241" t="str">
        <f>'רשימת מכשור 2015'!E686</f>
        <v>1-2-2010-PXS-8</v>
      </c>
      <c r="F161" s="241">
        <f>'רשימת מכשור 2015'!F686</f>
        <v>250</v>
      </c>
      <c r="G161" s="252">
        <v>1</v>
      </c>
      <c r="H161" s="252">
        <f t="shared" si="15"/>
        <v>250</v>
      </c>
      <c r="I161" s="252" t="s">
        <v>82</v>
      </c>
      <c r="J161" s="252">
        <v>1</v>
      </c>
      <c r="K161" s="252">
        <v>0</v>
      </c>
      <c r="L161" s="252">
        <v>0.5</v>
      </c>
      <c r="M161" s="252" t="str">
        <f t="shared" si="18"/>
        <v>לא לרכוש</v>
      </c>
      <c r="N161" s="252">
        <v>1000</v>
      </c>
      <c r="O161" s="252"/>
      <c r="P161" s="252">
        <v>1</v>
      </c>
      <c r="Q161" s="252"/>
      <c r="R161" s="252">
        <f t="shared" si="16"/>
        <v>0.5</v>
      </c>
      <c r="S161" s="252">
        <f t="shared" si="17"/>
        <v>1</v>
      </c>
      <c r="T161" s="252">
        <v>1</v>
      </c>
      <c r="U161" s="252"/>
      <c r="W161" s="108"/>
      <c r="X161" s="108"/>
    </row>
    <row r="162" spans="1:24" s="124" customFormat="1" ht="14.25" customHeight="1">
      <c r="A162" s="241" t="str">
        <f>'רשימת מכשור 2015'!A687</f>
        <v>רגש קירבה גיבוי לאינדיקציה לסיבוב</v>
      </c>
      <c r="B162" s="241" t="str">
        <f>'רשימת מכשור 2015'!B687</f>
        <v>Autonics</v>
      </c>
      <c r="C162" s="241" t="str">
        <f>'רשימת מכשור 2015'!C687</f>
        <v xml:space="preserve">PR18-5DP
</v>
      </c>
      <c r="D162" s="241" t="str">
        <f>'רשימת מכשור 2015'!D687</f>
        <v xml:space="preserve">R&amp;D </v>
      </c>
      <c r="E162" s="241" t="str">
        <f>'רשימת מכשור 2015'!E687</f>
        <v>PXS-?
יקבל תג חדש במסגרת שינוי</v>
      </c>
      <c r="F162" s="241">
        <f>'רשימת מכשור 2015'!F687</f>
        <v>250</v>
      </c>
      <c r="G162" s="252">
        <v>1</v>
      </c>
      <c r="H162" s="252">
        <f t="shared" ref="H162:H165" si="19">G162*F162</f>
        <v>250</v>
      </c>
      <c r="I162" s="252" t="s">
        <v>82</v>
      </c>
      <c r="J162" s="252">
        <v>1</v>
      </c>
      <c r="K162" s="252">
        <v>0</v>
      </c>
      <c r="L162" s="252">
        <v>0.5</v>
      </c>
      <c r="M162" s="252" t="str">
        <f t="shared" si="18"/>
        <v>לא לרכוש</v>
      </c>
      <c r="N162" s="252">
        <v>1000</v>
      </c>
      <c r="O162" s="252"/>
      <c r="P162" s="252">
        <v>2</v>
      </c>
      <c r="Q162" s="252"/>
      <c r="R162" s="252">
        <f t="shared" si="16"/>
        <v>1</v>
      </c>
      <c r="S162" s="252">
        <f t="shared" si="17"/>
        <v>1</v>
      </c>
      <c r="T162" s="252">
        <v>1</v>
      </c>
      <c r="U162" s="252"/>
      <c r="W162" s="108"/>
      <c r="X162" s="108"/>
    </row>
    <row r="163" spans="1:24" s="124" customFormat="1" ht="14.25" customHeight="1">
      <c r="A163" s="241" t="str">
        <f>'רשימת מכשור 2015'!A701</f>
        <v>גשש קירבה</v>
      </c>
      <c r="B163" s="241" t="str">
        <f>'רשימת מכשור 2015'!B701</f>
        <v>SICK</v>
      </c>
      <c r="C163" s="241" t="str">
        <f>'רשימת מכשור 2015'!C701</f>
        <v>IME12-04BPSZC0S</v>
      </c>
      <c r="D163" s="241" t="str">
        <f>'רשימת מכשור 2015'!D701</f>
        <v>DS ייצור</v>
      </c>
      <c r="E163" s="241" t="str">
        <f>'רשימת מכשור 2015'!E701</f>
        <v>1-1-2010-PXS-1</v>
      </c>
      <c r="F163" s="241">
        <f>'רשימת מכשור 2015'!F701</f>
        <v>250</v>
      </c>
      <c r="G163" s="252">
        <v>1</v>
      </c>
      <c r="H163" s="252">
        <f t="shared" si="19"/>
        <v>250</v>
      </c>
      <c r="I163" s="252" t="s">
        <v>82</v>
      </c>
      <c r="J163" s="252">
        <v>1</v>
      </c>
      <c r="K163" s="252">
        <v>0</v>
      </c>
      <c r="L163" s="252">
        <v>0.2</v>
      </c>
      <c r="M163" s="252" t="str">
        <f t="shared" si="18"/>
        <v>לא לרכוש</v>
      </c>
      <c r="N163" s="252">
        <v>1000</v>
      </c>
      <c r="O163" s="252"/>
      <c r="P163" s="252">
        <v>12</v>
      </c>
      <c r="Q163" s="252"/>
      <c r="R163" s="252">
        <f t="shared" si="16"/>
        <v>2.4000000000000004</v>
      </c>
      <c r="S163" s="252">
        <f t="shared" si="17"/>
        <v>1</v>
      </c>
      <c r="T163" s="252">
        <v>1</v>
      </c>
      <c r="U163" s="252"/>
      <c r="W163" s="108"/>
      <c r="X163" s="108"/>
    </row>
    <row r="164" spans="1:24" s="124" customFormat="1" ht="14.25" customHeight="1">
      <c r="A164" s="241" t="str">
        <f>'רשימת מכשור 2015'!A702</f>
        <v>מפסק מפלס נמוך</v>
      </c>
      <c r="B164" s="241" t="str">
        <f>'רשימת מכשור 2015'!B702</f>
        <v>GES</v>
      </c>
      <c r="C164" s="241" t="str">
        <f>'רשימת מכשור 2015'!C702</f>
        <v>מצוף עמיד בכימיקלים</v>
      </c>
      <c r="D164" s="241" t="str">
        <f>'רשימת מכשור 2015'!D702</f>
        <v>PW PRETREAMENT
2500</v>
      </c>
      <c r="E164" s="241" t="str">
        <f>'רשימת מכשור 2015'!E702</f>
        <v>1-1-605-LSL-001</v>
      </c>
      <c r="F164" s="241">
        <f>'רשימת מכשור 2015'!F702</f>
        <v>200</v>
      </c>
      <c r="G164" s="252">
        <v>1</v>
      </c>
      <c r="H164" s="252">
        <f t="shared" si="19"/>
        <v>200</v>
      </c>
      <c r="I164" s="252" t="s">
        <v>82</v>
      </c>
      <c r="J164" s="252">
        <v>1</v>
      </c>
      <c r="K164" s="254">
        <v>0</v>
      </c>
      <c r="L164" s="252">
        <v>0.2</v>
      </c>
      <c r="M164" s="252" t="str">
        <f t="shared" si="18"/>
        <v>לא לרכוש</v>
      </c>
      <c r="N164" s="252">
        <v>1000</v>
      </c>
      <c r="O164" s="252"/>
      <c r="P164" s="252">
        <v>1</v>
      </c>
      <c r="Q164" s="252"/>
      <c r="R164" s="252">
        <f t="shared" ref="R164:R169" si="20">P164*L164*J164</f>
        <v>0.2</v>
      </c>
      <c r="S164" s="252">
        <f t="shared" ref="S164:S169" si="21">IF(R164&gt;$AA$8,IF(R164&lt;$AA$9,$AB$9,$AB$10), $AB$8)</f>
        <v>1</v>
      </c>
      <c r="T164" s="252">
        <v>1</v>
      </c>
      <c r="U164" s="252"/>
      <c r="W164" s="108"/>
      <c r="X164" s="108"/>
    </row>
    <row r="165" spans="1:24" s="124" customFormat="1" ht="14.25" customHeight="1">
      <c r="A165" s="241" t="str">
        <f>'רשימת מכשור 2015'!A703</f>
        <v>מפסק מפלס נמוך</v>
      </c>
      <c r="B165" s="241" t="str">
        <f>'רשימת מכשור 2015'!B703</f>
        <v>carlo gavazi</v>
      </c>
      <c r="C165" s="241" t="str">
        <f>'רשימת מכשור 2015'!C703</f>
        <v>מפסק גובה קיבולי</v>
      </c>
      <c r="D165" s="241" t="str">
        <f>'רשימת מכשור 2015'!D703</f>
        <v>PW PRETREAMENT
2500</v>
      </c>
      <c r="E165" s="241" t="str">
        <f>'רשימת מכשור 2015'!E703</f>
        <v>1-1-605-LSL-002</v>
      </c>
      <c r="F165" s="241">
        <f>'רשימת מכשור 2015'!F703</f>
        <v>200</v>
      </c>
      <c r="G165" s="252">
        <v>1</v>
      </c>
      <c r="H165" s="252">
        <f t="shared" si="19"/>
        <v>200</v>
      </c>
      <c r="I165" s="252" t="s">
        <v>82</v>
      </c>
      <c r="J165" s="252">
        <v>1</v>
      </c>
      <c r="K165" s="254">
        <v>0</v>
      </c>
      <c r="L165" s="252">
        <v>0.2</v>
      </c>
      <c r="M165" s="252" t="str">
        <f t="shared" si="18"/>
        <v>לא לרכוש</v>
      </c>
      <c r="N165" s="252">
        <v>1000</v>
      </c>
      <c r="O165" s="252"/>
      <c r="P165" s="252">
        <v>2</v>
      </c>
      <c r="Q165" s="252"/>
      <c r="R165" s="252">
        <f t="shared" si="20"/>
        <v>0.4</v>
      </c>
      <c r="S165" s="252">
        <f t="shared" si="21"/>
        <v>1</v>
      </c>
      <c r="T165" s="252">
        <v>1</v>
      </c>
      <c r="U165" s="252"/>
      <c r="W165" s="108"/>
      <c r="X165" s="108"/>
    </row>
    <row r="166" spans="1:24" s="124" customFormat="1" ht="14.25" customHeight="1">
      <c r="A166" s="241" t="str">
        <f>'רשימת מכשור 2015'!A711</f>
        <v>מד לחץ</v>
      </c>
      <c r="B166" s="241">
        <f>'רשימת מכשור 2015'!B711</f>
        <v>0</v>
      </c>
      <c r="C166" s="241">
        <f>'רשימת מכשור 2015'!C711</f>
        <v>0</v>
      </c>
      <c r="D166" s="241" t="str">
        <f>'רשימת מכשור 2015'!D711</f>
        <v>maindman</v>
      </c>
      <c r="E166" s="241" t="str">
        <f>'רשימת מכשור 2015'!E711</f>
        <v>1.5" חיבור אחורי 1/8 0-4באר</v>
      </c>
      <c r="F166" s="241">
        <f>'רשימת מכשור 2015'!F711</f>
        <v>0</v>
      </c>
      <c r="G166" s="252">
        <v>1</v>
      </c>
      <c r="H166" s="252">
        <v>250</v>
      </c>
      <c r="I166" s="252" t="s">
        <v>82</v>
      </c>
      <c r="J166" s="252">
        <v>1</v>
      </c>
      <c r="K166" s="252">
        <v>0</v>
      </c>
      <c r="L166" s="252">
        <v>0.2</v>
      </c>
      <c r="M166" s="252" t="str">
        <f t="shared" si="18"/>
        <v>לא לרכוש</v>
      </c>
      <c r="N166" s="252">
        <v>1000</v>
      </c>
      <c r="O166" s="252"/>
      <c r="P166" s="252">
        <v>4</v>
      </c>
      <c r="Q166" s="252"/>
      <c r="R166" s="252">
        <f t="shared" si="20"/>
        <v>0.8</v>
      </c>
      <c r="S166" s="252">
        <f t="shared" si="21"/>
        <v>1</v>
      </c>
      <c r="T166" s="252">
        <v>1</v>
      </c>
      <c r="U166" s="252"/>
      <c r="W166" s="108"/>
      <c r="X166" s="108"/>
    </row>
    <row r="167" spans="1:24" s="124" customFormat="1" ht="14.25" customHeight="1">
      <c r="A167" s="241" t="str">
        <f>'רשימת מכשור 2015'!A717</f>
        <v xml:space="preserve">סולונואיד </v>
      </c>
      <c r="B167" s="241" t="str">
        <f>'רשימת מכשור 2015'!B717</f>
        <v>smc</v>
      </c>
      <c r="C167" s="241" t="str">
        <f>'רשימת מכשור 2015'!C717</f>
        <v>3/2 sq1a31n</v>
      </c>
      <c r="D167" s="241" t="str">
        <f>'רשימת מכשור 2015'!D717</f>
        <v>N/A</v>
      </c>
      <c r="E167" s="241" t="str">
        <f>'רשימת מכשור 2015'!E717</f>
        <v>N/A</v>
      </c>
      <c r="F167" s="241">
        <f>'רשימת מכשור 2015'!F717</f>
        <v>150</v>
      </c>
      <c r="G167" s="252">
        <v>1</v>
      </c>
      <c r="H167" s="252">
        <v>250</v>
      </c>
      <c r="I167" s="252" t="s">
        <v>82</v>
      </c>
      <c r="J167" s="252">
        <v>1</v>
      </c>
      <c r="K167" s="252">
        <v>0</v>
      </c>
      <c r="L167" s="252">
        <v>0.2</v>
      </c>
      <c r="M167" s="252" t="str">
        <f t="shared" si="18"/>
        <v>לא לרכוש</v>
      </c>
      <c r="N167" s="252">
        <v>1000</v>
      </c>
      <c r="O167" s="252"/>
      <c r="P167" s="252">
        <v>4</v>
      </c>
      <c r="Q167" s="252"/>
      <c r="R167" s="252">
        <f t="shared" si="20"/>
        <v>0.8</v>
      </c>
      <c r="S167" s="252">
        <f t="shared" si="21"/>
        <v>1</v>
      </c>
      <c r="T167" s="252">
        <v>1</v>
      </c>
      <c r="U167" s="252"/>
      <c r="W167" s="108"/>
      <c r="X167" s="108"/>
    </row>
    <row r="168" spans="1:24" s="124" customFormat="1" ht="14.25" customHeight="1">
      <c r="A168" s="241" t="str">
        <f>'רשימת מכשור 2015'!A718</f>
        <v>ממסר 24Vdc</v>
      </c>
      <c r="B168" s="241" t="str">
        <f>'רשימת מכשור 2015'!B718</f>
        <v>WEIMULLER</v>
      </c>
      <c r="C168" s="241" t="str">
        <f>'רשימת מכשור 2015'!C718</f>
        <v>MRS24Vdc</v>
      </c>
      <c r="D168" s="241" t="str">
        <f>'רשימת מכשור 2015'!D718</f>
        <v>N/A</v>
      </c>
      <c r="E168" s="241" t="str">
        <f>'רשימת מכשור 2015'!E718</f>
        <v>N/A</v>
      </c>
      <c r="F168" s="241">
        <f>'רשימת מכשור 2015'!F718</f>
        <v>40</v>
      </c>
      <c r="G168" s="252">
        <v>1</v>
      </c>
      <c r="H168" s="252">
        <v>250</v>
      </c>
      <c r="I168" s="252" t="s">
        <v>82</v>
      </c>
      <c r="J168" s="252">
        <v>1</v>
      </c>
      <c r="K168" s="252">
        <v>0</v>
      </c>
      <c r="L168" s="252">
        <v>0.2</v>
      </c>
      <c r="M168" s="252" t="str">
        <f t="shared" ref="M168:M169" si="22">IF(AND(K168*L168*30*N168&gt;H168/J168,I168=""),"לרכוש","לא לרכוש")</f>
        <v>לא לרכוש</v>
      </c>
      <c r="N168" s="252">
        <v>1000</v>
      </c>
      <c r="O168" s="252"/>
      <c r="P168" s="252">
        <v>4</v>
      </c>
      <c r="Q168" s="252"/>
      <c r="R168" s="252">
        <f t="shared" si="20"/>
        <v>0.8</v>
      </c>
      <c r="S168" s="252">
        <f t="shared" si="21"/>
        <v>1</v>
      </c>
      <c r="T168" s="252">
        <v>1</v>
      </c>
      <c r="U168" s="252"/>
      <c r="W168" s="108"/>
      <c r="X168" s="108"/>
    </row>
    <row r="169" spans="1:24" s="124" customFormat="1">
      <c r="A169" s="241" t="str">
        <f>'רשימת מכשור 2015'!A719</f>
        <v xml:space="preserve">סעפת אוויר </v>
      </c>
      <c r="B169" s="241" t="str">
        <f>'רשימת מכשור 2015'!B719</f>
        <v>OMRON</v>
      </c>
      <c r="C169" s="241" t="str">
        <f>'רשימת מכשור 2015'!C719</f>
        <v>G2R-1-SNI</v>
      </c>
      <c r="D169" s="241" t="str">
        <f>'רשימת מכשור 2015'!D719</f>
        <v>N/A</v>
      </c>
      <c r="E169" s="241" t="str">
        <f>'רשימת מכשור 2015'!E719</f>
        <v>N/A</v>
      </c>
      <c r="F169" s="241">
        <f>'רשימת מכשור 2015'!F719</f>
        <v>150</v>
      </c>
      <c r="G169" s="252">
        <v>1</v>
      </c>
      <c r="H169" s="252">
        <v>250</v>
      </c>
      <c r="I169" s="252" t="s">
        <v>82</v>
      </c>
      <c r="J169" s="252">
        <v>1</v>
      </c>
      <c r="K169" s="252">
        <v>0</v>
      </c>
      <c r="L169" s="252">
        <v>0.2</v>
      </c>
      <c r="M169" s="252" t="str">
        <f t="shared" si="22"/>
        <v>לא לרכוש</v>
      </c>
      <c r="N169" s="252">
        <v>1000</v>
      </c>
      <c r="O169" s="252"/>
      <c r="P169" s="252">
        <v>4</v>
      </c>
      <c r="Q169" s="252"/>
      <c r="R169" s="252">
        <f t="shared" si="20"/>
        <v>0.8</v>
      </c>
      <c r="S169" s="252">
        <f t="shared" si="21"/>
        <v>1</v>
      </c>
      <c r="T169" s="252">
        <v>1</v>
      </c>
      <c r="U169" s="252"/>
      <c r="W169" s="108"/>
      <c r="X169" s="108"/>
    </row>
    <row r="170" spans="1:24" s="124" customFormat="1" ht="14.25" customHeight="1">
      <c r="A170" s="113"/>
      <c r="B170" s="242"/>
      <c r="C170" s="243"/>
      <c r="D170" s="244"/>
      <c r="E170" s="242"/>
      <c r="F170" s="242"/>
      <c r="G170" s="242"/>
      <c r="H170" s="242"/>
      <c r="I170" s="242"/>
      <c r="J170" s="242"/>
      <c r="K170" s="242"/>
      <c r="L170" s="242"/>
      <c r="M170" s="242"/>
      <c r="N170" s="245"/>
      <c r="O170" s="242"/>
      <c r="P170" s="242"/>
      <c r="Q170" s="242"/>
      <c r="R170" s="242"/>
      <c r="S170" s="242"/>
      <c r="T170" s="242"/>
      <c r="U170" s="242"/>
      <c r="W170" s="108"/>
      <c r="X170" s="108"/>
    </row>
    <row r="171" spans="1:24" s="124" customFormat="1" ht="14.25" customHeight="1">
      <c r="A171" s="107"/>
      <c r="B171" s="108"/>
      <c r="C171" s="108"/>
      <c r="D171" s="108"/>
      <c r="E171" s="108"/>
      <c r="F171" s="108"/>
      <c r="G171" s="108"/>
      <c r="H171" s="108"/>
      <c r="I171" s="108"/>
      <c r="J171" s="108"/>
      <c r="K171" s="108"/>
      <c r="L171" s="108"/>
      <c r="M171" s="108"/>
      <c r="N171" s="108"/>
      <c r="O171" s="108"/>
      <c r="P171" s="108"/>
      <c r="Q171" s="108"/>
      <c r="R171" s="108"/>
      <c r="S171" s="108"/>
      <c r="T171" s="108"/>
      <c r="U171" s="108"/>
      <c r="W171" s="108"/>
      <c r="X171" s="108"/>
    </row>
    <row r="172" spans="1:24" s="124" customFormat="1" ht="14.25" customHeight="1">
      <c r="A172" s="107"/>
      <c r="B172" s="108"/>
      <c r="C172" s="108"/>
      <c r="D172" s="108"/>
      <c r="E172" s="108"/>
      <c r="F172" s="108"/>
      <c r="G172" s="108"/>
      <c r="H172" s="108"/>
      <c r="I172" s="108"/>
      <c r="J172" s="108"/>
      <c r="K172" s="108"/>
      <c r="L172" s="108"/>
      <c r="M172" s="108"/>
      <c r="N172" s="108"/>
      <c r="O172" s="108"/>
      <c r="P172" s="108"/>
      <c r="Q172" s="108"/>
      <c r="R172" s="108"/>
      <c r="S172" s="108"/>
      <c r="T172" s="108"/>
      <c r="U172" s="108" t="s">
        <v>1191</v>
      </c>
      <c r="W172" s="108"/>
      <c r="X172" s="108"/>
    </row>
    <row r="173" spans="1:24" s="124" customFormat="1" ht="14.25" customHeight="1">
      <c r="A173" s="107"/>
      <c r="B173" s="108"/>
      <c r="C173" s="108"/>
      <c r="D173" s="108"/>
      <c r="E173" s="108"/>
      <c r="F173" s="108"/>
      <c r="G173" s="108"/>
      <c r="H173" s="108"/>
      <c r="I173" s="108"/>
      <c r="J173" s="108"/>
      <c r="K173" s="108"/>
      <c r="L173" s="108"/>
      <c r="M173" s="108"/>
      <c r="N173" s="108"/>
      <c r="O173" s="108"/>
      <c r="P173" s="108"/>
      <c r="Q173" s="108"/>
      <c r="R173" s="108"/>
      <c r="S173" s="108"/>
      <c r="T173" s="108"/>
      <c r="U173" s="108" t="s">
        <v>1192</v>
      </c>
      <c r="W173" s="108"/>
      <c r="X173" s="108"/>
    </row>
    <row r="174" spans="1:24" s="124" customFormat="1" ht="14.25" customHeight="1">
      <c r="A174" s="107"/>
      <c r="B174" s="108"/>
      <c r="C174" s="108"/>
      <c r="D174" s="108"/>
      <c r="E174" s="108"/>
      <c r="F174" s="108"/>
      <c r="G174" s="108"/>
      <c r="H174" s="108"/>
      <c r="I174" s="108"/>
      <c r="J174" s="108"/>
      <c r="K174" s="108"/>
      <c r="L174" s="108"/>
      <c r="M174" s="108"/>
      <c r="N174" s="108"/>
      <c r="O174" s="108"/>
      <c r="P174" s="108"/>
      <c r="Q174" s="108"/>
      <c r="R174" s="108"/>
      <c r="S174" s="108"/>
      <c r="T174" s="108"/>
      <c r="U174" s="108"/>
      <c r="W174" s="108"/>
      <c r="X174" s="108"/>
    </row>
    <row r="175" spans="1:24" s="124" customFormat="1" ht="14.25" customHeight="1">
      <c r="A175" s="107"/>
      <c r="B175" s="108"/>
      <c r="C175" s="108"/>
      <c r="D175" s="108"/>
      <c r="E175" s="108"/>
      <c r="F175" s="108"/>
      <c r="G175" s="108"/>
      <c r="H175" s="108"/>
      <c r="I175" s="108"/>
      <c r="J175" s="108"/>
      <c r="K175" s="108"/>
      <c r="L175" s="108"/>
      <c r="M175" s="108"/>
      <c r="N175" s="108"/>
      <c r="O175" s="108"/>
      <c r="P175" s="108"/>
      <c r="Q175" s="108"/>
      <c r="R175" s="108"/>
      <c r="S175" s="108"/>
      <c r="T175" s="108"/>
      <c r="U175" s="108"/>
      <c r="W175" s="108"/>
      <c r="X175" s="108"/>
    </row>
    <row r="176" spans="1:24" s="124" customFormat="1" ht="14.25" customHeight="1">
      <c r="A176" s="107"/>
      <c r="B176" s="108"/>
      <c r="C176" s="108"/>
      <c r="D176" s="108"/>
      <c r="E176" s="108"/>
      <c r="F176" s="108"/>
      <c r="G176" s="108"/>
      <c r="H176" s="108"/>
      <c r="I176" s="108"/>
      <c r="J176" s="108"/>
      <c r="K176" s="108"/>
      <c r="L176" s="108"/>
      <c r="M176" s="108"/>
      <c r="N176" s="108"/>
      <c r="O176" s="108"/>
      <c r="P176" s="108"/>
      <c r="Q176" s="108"/>
      <c r="R176" s="108"/>
      <c r="S176" s="108"/>
      <c r="T176" s="108"/>
      <c r="U176" s="108"/>
      <c r="W176" s="108"/>
      <c r="X176" s="108"/>
    </row>
    <row r="177" spans="1:24" s="124" customFormat="1" ht="14.25" customHeight="1">
      <c r="A177" s="107"/>
      <c r="B177" s="108"/>
      <c r="C177" s="108"/>
      <c r="D177" s="108"/>
      <c r="E177" s="108"/>
      <c r="F177" s="108"/>
      <c r="G177" s="108"/>
      <c r="H177" s="108"/>
      <c r="I177" s="108"/>
      <c r="J177" s="108"/>
      <c r="K177" s="108"/>
      <c r="L177" s="108"/>
      <c r="M177" s="108"/>
      <c r="N177" s="108"/>
      <c r="O177" s="108"/>
      <c r="P177" s="108"/>
      <c r="Q177" s="108"/>
      <c r="R177" s="108"/>
      <c r="S177" s="108"/>
      <c r="T177" s="108"/>
      <c r="U177" s="108"/>
      <c r="W177" s="108"/>
      <c r="X177" s="108"/>
    </row>
    <row r="178" spans="1:24" s="124" customFormat="1" ht="14.25" customHeight="1">
      <c r="A178" s="107"/>
      <c r="B178" s="108"/>
      <c r="C178" s="108"/>
      <c r="D178" s="108"/>
      <c r="E178" s="108"/>
      <c r="F178" s="108"/>
      <c r="G178" s="108"/>
      <c r="H178" s="108"/>
      <c r="I178" s="108"/>
      <c r="J178" s="108"/>
      <c r="K178" s="108"/>
      <c r="L178" s="108"/>
      <c r="M178" s="108"/>
      <c r="N178" s="108"/>
      <c r="O178" s="108"/>
      <c r="P178" s="108"/>
      <c r="Q178" s="108"/>
      <c r="R178" s="108"/>
      <c r="S178" s="108"/>
      <c r="T178" s="108"/>
      <c r="U178" s="108"/>
      <c r="W178" s="108"/>
      <c r="X178" s="108"/>
    </row>
    <row r="179" spans="1:24" s="124" customFormat="1" ht="14.25" customHeight="1">
      <c r="A179" s="107"/>
      <c r="B179" s="108"/>
      <c r="C179" s="108"/>
      <c r="D179" s="108"/>
      <c r="E179" s="108"/>
      <c r="F179" s="108"/>
      <c r="G179" s="108"/>
      <c r="H179" s="108"/>
      <c r="I179" s="108"/>
      <c r="J179" s="108"/>
      <c r="K179" s="108"/>
      <c r="L179" s="108"/>
      <c r="M179" s="108"/>
      <c r="N179" s="108"/>
      <c r="O179" s="108"/>
      <c r="P179" s="108"/>
      <c r="Q179" s="108"/>
      <c r="R179" s="108"/>
      <c r="S179" s="108"/>
      <c r="T179" s="108"/>
      <c r="U179" s="108"/>
      <c r="W179" s="108"/>
      <c r="X179" s="108"/>
    </row>
    <row r="180" spans="1:24" s="124" customFormat="1" ht="14.25" customHeight="1">
      <c r="A180" s="107"/>
      <c r="B180" s="108"/>
      <c r="C180" s="108"/>
      <c r="D180" s="108"/>
      <c r="E180" s="108"/>
      <c r="F180" s="108"/>
      <c r="G180" s="108"/>
      <c r="H180" s="108"/>
      <c r="I180" s="108"/>
      <c r="J180" s="108"/>
      <c r="K180" s="108"/>
      <c r="L180" s="108"/>
      <c r="M180" s="108"/>
      <c r="N180" s="108"/>
      <c r="O180" s="108"/>
      <c r="P180" s="108"/>
      <c r="Q180" s="108"/>
      <c r="R180" s="108"/>
      <c r="S180" s="108"/>
      <c r="T180" s="108"/>
      <c r="U180" s="108"/>
      <c r="W180" s="108"/>
      <c r="X180" s="108"/>
    </row>
    <row r="181" spans="1:24" s="124" customFormat="1" ht="14.25" customHeight="1">
      <c r="A181" s="107"/>
      <c r="B181" s="108"/>
      <c r="C181" s="108"/>
      <c r="D181" s="108"/>
      <c r="E181" s="108"/>
      <c r="F181" s="108"/>
      <c r="G181" s="108"/>
      <c r="H181" s="108"/>
      <c r="I181" s="108"/>
      <c r="J181" s="108"/>
      <c r="K181" s="108"/>
      <c r="L181" s="108"/>
      <c r="M181" s="108"/>
      <c r="N181" s="108"/>
      <c r="O181" s="108"/>
      <c r="P181" s="108"/>
      <c r="Q181" s="108"/>
      <c r="R181" s="108"/>
      <c r="S181" s="108"/>
      <c r="T181" s="108"/>
      <c r="U181" s="108"/>
      <c r="W181" s="108"/>
      <c r="X181" s="108"/>
    </row>
    <row r="182" spans="1:24" s="124" customFormat="1" ht="14.25" customHeight="1">
      <c r="A182" s="107"/>
      <c r="B182" s="108"/>
      <c r="C182" s="108"/>
      <c r="D182" s="108"/>
      <c r="E182" s="108"/>
      <c r="F182" s="108"/>
      <c r="G182" s="108"/>
      <c r="H182" s="108"/>
      <c r="I182" s="108"/>
      <c r="J182" s="108"/>
      <c r="K182" s="108"/>
      <c r="L182" s="108"/>
      <c r="M182" s="108"/>
      <c r="N182" s="108"/>
      <c r="O182" s="108"/>
      <c r="P182" s="108"/>
      <c r="Q182" s="108"/>
      <c r="R182" s="108"/>
      <c r="S182" s="108"/>
      <c r="T182" s="108"/>
      <c r="U182" s="108"/>
      <c r="W182" s="108"/>
      <c r="X182" s="108"/>
    </row>
    <row r="183" spans="1:24" s="124" customFormat="1" ht="14.25" customHeight="1">
      <c r="A183" s="107"/>
      <c r="B183" s="108"/>
      <c r="C183" s="108"/>
      <c r="D183" s="108"/>
      <c r="E183" s="108"/>
      <c r="F183" s="108"/>
      <c r="G183" s="108"/>
      <c r="H183" s="108"/>
      <c r="I183" s="108"/>
      <c r="J183" s="108"/>
      <c r="K183" s="108"/>
      <c r="L183" s="108"/>
      <c r="M183" s="108"/>
      <c r="N183" s="108"/>
      <c r="O183" s="108"/>
      <c r="P183" s="108"/>
      <c r="Q183" s="108"/>
      <c r="R183" s="108"/>
      <c r="S183" s="108"/>
      <c r="T183" s="108"/>
      <c r="U183" s="108"/>
      <c r="W183" s="108"/>
      <c r="X183" s="108"/>
    </row>
    <row r="184" spans="1:24" s="124" customFormat="1" ht="14.25" customHeight="1">
      <c r="A184" s="107"/>
      <c r="B184" s="108"/>
      <c r="C184" s="108"/>
      <c r="D184" s="108"/>
      <c r="E184" s="108"/>
      <c r="F184" s="108"/>
      <c r="G184" s="108"/>
      <c r="H184" s="108"/>
      <c r="I184" s="108"/>
      <c r="J184" s="108"/>
      <c r="K184" s="108"/>
      <c r="L184" s="108"/>
      <c r="M184" s="108"/>
      <c r="N184" s="108"/>
      <c r="O184" s="108"/>
      <c r="P184" s="108"/>
      <c r="Q184" s="108"/>
      <c r="R184" s="108"/>
      <c r="S184" s="108"/>
      <c r="T184" s="108"/>
      <c r="U184" s="108"/>
      <c r="W184" s="108"/>
      <c r="X184" s="108"/>
    </row>
    <row r="185" spans="1:24" s="124" customFormat="1" ht="14.25" customHeight="1">
      <c r="A185" s="107"/>
      <c r="B185" s="108"/>
      <c r="C185" s="108"/>
      <c r="D185" s="108"/>
      <c r="E185" s="108"/>
      <c r="F185" s="108"/>
      <c r="G185" s="108"/>
      <c r="H185" s="108"/>
      <c r="I185" s="108"/>
      <c r="J185" s="108"/>
      <c r="K185" s="108"/>
      <c r="L185" s="108"/>
      <c r="M185" s="108"/>
      <c r="N185" s="108"/>
      <c r="O185" s="108"/>
      <c r="P185" s="108"/>
      <c r="Q185" s="108"/>
      <c r="R185" s="108"/>
      <c r="S185" s="108"/>
      <c r="T185" s="108"/>
      <c r="U185" s="108"/>
      <c r="W185" s="108"/>
      <c r="X185" s="108"/>
    </row>
    <row r="186" spans="1:24" s="124" customFormat="1" ht="14.25" customHeight="1">
      <c r="A186" s="107"/>
      <c r="B186" s="108"/>
      <c r="C186" s="108"/>
      <c r="D186" s="108"/>
      <c r="E186" s="108"/>
      <c r="F186" s="108"/>
      <c r="G186" s="108"/>
      <c r="H186" s="108"/>
      <c r="I186" s="108"/>
      <c r="J186" s="108"/>
      <c r="K186" s="108"/>
      <c r="L186" s="108"/>
      <c r="M186" s="108"/>
      <c r="N186" s="108"/>
      <c r="O186" s="108"/>
      <c r="P186" s="108"/>
      <c r="Q186" s="108"/>
      <c r="R186" s="108"/>
      <c r="S186" s="108"/>
      <c r="T186" s="108"/>
      <c r="U186" s="108"/>
      <c r="W186" s="108"/>
      <c r="X186" s="108"/>
    </row>
    <row r="187" spans="1:24" s="124" customFormat="1" ht="14.25" customHeight="1">
      <c r="A187" s="107"/>
      <c r="B187" s="108"/>
      <c r="C187" s="108"/>
      <c r="D187" s="108"/>
      <c r="E187" s="108"/>
      <c r="F187" s="108"/>
      <c r="G187" s="108"/>
      <c r="H187" s="108"/>
      <c r="I187" s="108"/>
      <c r="J187" s="108"/>
      <c r="K187" s="108"/>
      <c r="L187" s="108"/>
      <c r="M187" s="108"/>
      <c r="N187" s="108"/>
      <c r="O187" s="108"/>
      <c r="P187" s="108"/>
      <c r="Q187" s="108"/>
      <c r="R187" s="108"/>
      <c r="S187" s="108"/>
      <c r="T187" s="108"/>
      <c r="U187" s="108"/>
      <c r="W187" s="108"/>
      <c r="X187" s="108"/>
    </row>
    <row r="188" spans="1:24" s="124" customFormat="1" ht="14.25" customHeight="1">
      <c r="A188" s="107"/>
      <c r="B188" s="108"/>
      <c r="C188" s="108"/>
      <c r="D188" s="108"/>
      <c r="E188" s="108"/>
      <c r="F188" s="108"/>
      <c r="G188" s="108"/>
      <c r="H188" s="108"/>
      <c r="I188" s="108"/>
      <c r="J188" s="108"/>
      <c r="K188" s="108"/>
      <c r="L188" s="108"/>
      <c r="M188" s="108"/>
      <c r="N188" s="108"/>
      <c r="O188" s="108"/>
      <c r="P188" s="108"/>
      <c r="Q188" s="108"/>
      <c r="R188" s="108"/>
      <c r="S188" s="108"/>
      <c r="T188" s="108"/>
      <c r="U188" s="108"/>
      <c r="W188" s="108"/>
      <c r="X188" s="108"/>
    </row>
    <row r="189" spans="1:24" s="124" customFormat="1" ht="14.25" customHeight="1">
      <c r="A189" s="107"/>
      <c r="B189" s="108"/>
      <c r="C189" s="108"/>
      <c r="D189" s="108"/>
      <c r="E189" s="108"/>
      <c r="F189" s="108"/>
      <c r="G189" s="108"/>
      <c r="H189" s="108"/>
      <c r="I189" s="108"/>
      <c r="J189" s="108"/>
      <c r="K189" s="108"/>
      <c r="L189" s="108"/>
      <c r="M189" s="108"/>
      <c r="N189" s="108"/>
      <c r="O189" s="108"/>
      <c r="P189" s="108"/>
      <c r="Q189" s="108"/>
      <c r="R189" s="108"/>
      <c r="S189" s="108"/>
      <c r="T189" s="108"/>
      <c r="U189" s="108"/>
      <c r="W189" s="108"/>
      <c r="X189" s="108"/>
    </row>
    <row r="190" spans="1:24" s="124" customFormat="1" ht="14.25" customHeight="1">
      <c r="A190" s="107"/>
      <c r="B190" s="108"/>
      <c r="C190" s="108"/>
      <c r="D190" s="108"/>
      <c r="E190" s="108"/>
      <c r="F190" s="108"/>
      <c r="G190" s="108"/>
      <c r="H190" s="108"/>
      <c r="I190" s="108"/>
      <c r="J190" s="108"/>
      <c r="K190" s="108"/>
      <c r="L190" s="108"/>
      <c r="M190" s="108"/>
      <c r="N190" s="108"/>
      <c r="O190" s="108"/>
      <c r="P190" s="108"/>
      <c r="Q190" s="108"/>
      <c r="R190" s="108"/>
      <c r="S190" s="108"/>
      <c r="T190" s="108"/>
      <c r="U190" s="108"/>
      <c r="W190" s="108"/>
      <c r="X190" s="108"/>
    </row>
    <row r="191" spans="1:24" s="124" customFormat="1" ht="14.25" customHeight="1">
      <c r="A191" s="107"/>
      <c r="B191" s="108"/>
      <c r="C191" s="108"/>
      <c r="D191" s="108"/>
      <c r="E191" s="108"/>
      <c r="F191" s="108"/>
      <c r="G191" s="108"/>
      <c r="H191" s="108"/>
      <c r="I191" s="108"/>
      <c r="J191" s="108"/>
      <c r="K191" s="108"/>
      <c r="L191" s="108"/>
      <c r="M191" s="108"/>
      <c r="N191" s="108"/>
      <c r="O191" s="108"/>
      <c r="P191" s="108"/>
      <c r="Q191" s="108"/>
      <c r="R191" s="108"/>
      <c r="S191" s="108"/>
      <c r="T191" s="108"/>
      <c r="U191" s="108"/>
      <c r="W191" s="108"/>
      <c r="X191" s="108"/>
    </row>
    <row r="192" spans="1:24" s="124" customFormat="1" ht="14.25" customHeight="1">
      <c r="A192" s="107"/>
      <c r="B192" s="108"/>
      <c r="C192" s="108"/>
      <c r="D192" s="108"/>
      <c r="E192" s="108"/>
      <c r="F192" s="108"/>
      <c r="G192" s="108"/>
      <c r="H192" s="108"/>
      <c r="I192" s="108"/>
      <c r="J192" s="108"/>
      <c r="K192" s="108"/>
      <c r="L192" s="108"/>
      <c r="M192" s="108"/>
      <c r="N192" s="108"/>
      <c r="O192" s="108"/>
      <c r="P192" s="108"/>
      <c r="Q192" s="108"/>
      <c r="R192" s="108"/>
      <c r="S192" s="108"/>
      <c r="T192" s="108"/>
      <c r="U192" s="108"/>
      <c r="W192" s="108"/>
      <c r="X192" s="108"/>
    </row>
    <row r="193" spans="1:24" s="124" customFormat="1" ht="14.25" customHeight="1">
      <c r="A193" s="107"/>
      <c r="B193" s="108"/>
      <c r="C193" s="108"/>
      <c r="D193" s="108"/>
      <c r="E193" s="108"/>
      <c r="F193" s="108"/>
      <c r="G193" s="108"/>
      <c r="H193" s="108"/>
      <c r="I193" s="108"/>
      <c r="J193" s="108"/>
      <c r="K193" s="108"/>
      <c r="L193" s="108"/>
      <c r="M193" s="108"/>
      <c r="N193" s="108"/>
      <c r="O193" s="108"/>
      <c r="P193" s="108"/>
      <c r="Q193" s="108"/>
      <c r="R193" s="108"/>
      <c r="S193" s="108"/>
      <c r="T193" s="108"/>
      <c r="U193" s="108"/>
      <c r="W193" s="108"/>
      <c r="X193" s="108"/>
    </row>
    <row r="194" spans="1:24" s="124" customFormat="1" ht="14.25" customHeight="1">
      <c r="A194" s="107"/>
      <c r="B194" s="108"/>
      <c r="C194" s="108"/>
      <c r="D194" s="108"/>
      <c r="E194" s="108"/>
      <c r="F194" s="108"/>
      <c r="G194" s="108"/>
      <c r="H194" s="108"/>
      <c r="I194" s="108"/>
      <c r="J194" s="108"/>
      <c r="K194" s="108"/>
      <c r="L194" s="108"/>
      <c r="M194" s="108"/>
      <c r="N194" s="108"/>
      <c r="O194" s="108"/>
      <c r="P194" s="108"/>
      <c r="Q194" s="108"/>
      <c r="R194" s="108"/>
      <c r="S194" s="108"/>
      <c r="T194" s="108"/>
      <c r="U194" s="108"/>
      <c r="W194" s="108"/>
      <c r="X194" s="108"/>
    </row>
    <row r="195" spans="1:24" s="124" customFormat="1" ht="14.25" customHeight="1">
      <c r="A195" s="107"/>
      <c r="B195" s="108"/>
      <c r="C195" s="108"/>
      <c r="D195" s="108"/>
      <c r="E195" s="108"/>
      <c r="F195" s="108"/>
      <c r="G195" s="108"/>
      <c r="H195" s="108"/>
      <c r="I195" s="108"/>
      <c r="J195" s="108"/>
      <c r="K195" s="108"/>
      <c r="L195" s="108"/>
      <c r="M195" s="108"/>
      <c r="N195" s="108"/>
      <c r="O195" s="108"/>
      <c r="P195" s="108"/>
      <c r="Q195" s="108"/>
      <c r="R195" s="108"/>
      <c r="S195" s="108"/>
      <c r="T195" s="108"/>
      <c r="U195" s="108"/>
      <c r="W195" s="108"/>
      <c r="X195" s="108"/>
    </row>
    <row r="196" spans="1:24" s="124" customFormat="1" ht="14.25" customHeight="1">
      <c r="A196" s="107"/>
      <c r="B196" s="108"/>
      <c r="C196" s="108"/>
      <c r="D196" s="108"/>
      <c r="E196" s="108"/>
      <c r="F196" s="108"/>
      <c r="G196" s="108"/>
      <c r="H196" s="108"/>
      <c r="I196" s="108"/>
      <c r="J196" s="108"/>
      <c r="K196" s="108"/>
      <c r="L196" s="108"/>
      <c r="M196" s="108"/>
      <c r="N196" s="108"/>
      <c r="O196" s="108"/>
      <c r="P196" s="108"/>
      <c r="Q196" s="108"/>
      <c r="R196" s="108"/>
      <c r="S196" s="108"/>
      <c r="T196" s="108"/>
      <c r="U196" s="108"/>
      <c r="W196" s="108"/>
      <c r="X196" s="108"/>
    </row>
    <row r="197" spans="1:24" s="124" customFormat="1" ht="14.25" customHeight="1">
      <c r="A197" s="107"/>
      <c r="B197" s="108"/>
      <c r="C197" s="108"/>
      <c r="D197" s="108"/>
      <c r="E197" s="108"/>
      <c r="F197" s="108"/>
      <c r="G197" s="108"/>
      <c r="H197" s="108"/>
      <c r="I197" s="108"/>
      <c r="J197" s="108"/>
      <c r="K197" s="108"/>
      <c r="L197" s="108"/>
      <c r="M197" s="108"/>
      <c r="N197" s="108"/>
      <c r="O197" s="108"/>
      <c r="P197" s="108"/>
      <c r="Q197" s="108"/>
      <c r="R197" s="108"/>
      <c r="S197" s="108"/>
      <c r="T197" s="108"/>
      <c r="U197" s="108"/>
      <c r="W197" s="108"/>
      <c r="X197" s="108"/>
    </row>
    <row r="198" spans="1:24" s="124" customFormat="1" ht="14.25" customHeight="1">
      <c r="A198" s="107"/>
      <c r="B198" s="108"/>
      <c r="C198" s="108"/>
      <c r="D198" s="108"/>
      <c r="E198" s="108"/>
      <c r="F198" s="108"/>
      <c r="G198" s="108"/>
      <c r="H198" s="108"/>
      <c r="I198" s="108"/>
      <c r="J198" s="108"/>
      <c r="K198" s="108"/>
      <c r="L198" s="108"/>
      <c r="M198" s="108"/>
      <c r="N198" s="108"/>
      <c r="O198" s="108"/>
      <c r="P198" s="108"/>
      <c r="Q198" s="108"/>
      <c r="R198" s="108"/>
      <c r="S198" s="108"/>
      <c r="T198" s="108"/>
      <c r="U198" s="108"/>
      <c r="W198" s="108"/>
      <c r="X198" s="108"/>
    </row>
    <row r="199" spans="1:24" s="124" customFormat="1" ht="14.25" customHeight="1">
      <c r="A199" s="107"/>
      <c r="B199" s="108"/>
      <c r="C199" s="108"/>
      <c r="D199" s="108"/>
      <c r="E199" s="108"/>
      <c r="F199" s="108"/>
      <c r="G199" s="108"/>
      <c r="H199" s="108"/>
      <c r="I199" s="108"/>
      <c r="J199" s="108"/>
      <c r="K199" s="108"/>
      <c r="L199" s="108"/>
      <c r="M199" s="108"/>
      <c r="N199" s="108"/>
      <c r="O199" s="108"/>
      <c r="P199" s="108"/>
      <c r="Q199" s="108"/>
      <c r="R199" s="108"/>
      <c r="S199" s="108"/>
      <c r="T199" s="108"/>
      <c r="U199" s="108"/>
      <c r="W199" s="108"/>
      <c r="X199" s="108"/>
    </row>
    <row r="200" spans="1:24" s="124" customFormat="1" ht="14.25" customHeight="1">
      <c r="A200" s="107"/>
      <c r="B200" s="108"/>
      <c r="C200" s="108"/>
      <c r="D200" s="108"/>
      <c r="E200" s="108"/>
      <c r="F200" s="108"/>
      <c r="G200" s="108"/>
      <c r="H200" s="108"/>
      <c r="I200" s="108"/>
      <c r="J200" s="108"/>
      <c r="K200" s="108"/>
      <c r="L200" s="108"/>
      <c r="M200" s="108"/>
      <c r="N200" s="108"/>
      <c r="O200" s="108"/>
      <c r="P200" s="108"/>
      <c r="Q200" s="108"/>
      <c r="R200" s="108"/>
      <c r="S200" s="108"/>
      <c r="T200" s="108"/>
      <c r="U200" s="108"/>
      <c r="W200" s="108"/>
      <c r="X200" s="108"/>
    </row>
    <row r="201" spans="1:24" s="124" customFormat="1" ht="14.25" customHeight="1">
      <c r="A201" s="107"/>
      <c r="B201" s="108"/>
      <c r="C201" s="108"/>
      <c r="D201" s="108"/>
      <c r="E201" s="108"/>
      <c r="F201" s="108"/>
      <c r="G201" s="108"/>
      <c r="H201" s="108"/>
      <c r="I201" s="108"/>
      <c r="J201" s="108"/>
      <c r="K201" s="108"/>
      <c r="L201" s="108"/>
      <c r="M201" s="108"/>
      <c r="N201" s="108"/>
      <c r="O201" s="108"/>
      <c r="P201" s="108"/>
      <c r="Q201" s="108"/>
      <c r="R201" s="108"/>
      <c r="S201" s="108"/>
      <c r="T201" s="108"/>
      <c r="U201" s="108"/>
      <c r="W201" s="108"/>
      <c r="X201" s="108"/>
    </row>
    <row r="202" spans="1:24" s="124" customFormat="1" ht="14.25" customHeight="1">
      <c r="A202" s="107"/>
      <c r="B202" s="108"/>
      <c r="C202" s="108"/>
      <c r="D202" s="108"/>
      <c r="E202" s="108"/>
      <c r="F202" s="108"/>
      <c r="G202" s="108"/>
      <c r="H202" s="108"/>
      <c r="I202" s="108"/>
      <c r="J202" s="108"/>
      <c r="K202" s="108"/>
      <c r="L202" s="108"/>
      <c r="M202" s="108"/>
      <c r="N202" s="108"/>
      <c r="O202" s="108"/>
      <c r="P202" s="108"/>
      <c r="Q202" s="108"/>
      <c r="R202" s="108"/>
      <c r="S202" s="108"/>
      <c r="T202" s="108"/>
      <c r="U202" s="108"/>
      <c r="W202" s="108"/>
      <c r="X202" s="108"/>
    </row>
    <row r="203" spans="1:24" s="124" customFormat="1" ht="14.25" customHeight="1">
      <c r="A203" s="107"/>
      <c r="B203" s="108"/>
      <c r="C203" s="108"/>
      <c r="D203" s="108"/>
      <c r="E203" s="108"/>
      <c r="F203" s="108"/>
      <c r="G203" s="108"/>
      <c r="H203" s="108"/>
      <c r="I203" s="108"/>
      <c r="J203" s="108"/>
      <c r="K203" s="108"/>
      <c r="L203" s="108"/>
      <c r="M203" s="108"/>
      <c r="N203" s="108"/>
      <c r="O203" s="108"/>
      <c r="P203" s="108"/>
      <c r="Q203" s="108"/>
      <c r="R203" s="108"/>
      <c r="S203" s="108"/>
      <c r="T203" s="108"/>
      <c r="U203" s="108"/>
      <c r="W203" s="108"/>
      <c r="X203" s="108"/>
    </row>
    <row r="204" spans="1:24" s="124" customFormat="1" ht="14.25" customHeight="1">
      <c r="A204" s="107"/>
      <c r="B204" s="108"/>
      <c r="C204" s="108"/>
      <c r="D204" s="108"/>
      <c r="E204" s="108"/>
      <c r="F204" s="108"/>
      <c r="G204" s="108"/>
      <c r="H204" s="108"/>
      <c r="I204" s="108"/>
      <c r="J204" s="108"/>
      <c r="K204" s="108"/>
      <c r="L204" s="108"/>
      <c r="M204" s="108"/>
      <c r="N204" s="108"/>
      <c r="O204" s="108"/>
      <c r="P204" s="108"/>
      <c r="Q204" s="108"/>
      <c r="R204" s="108"/>
      <c r="S204" s="108"/>
      <c r="T204" s="108"/>
      <c r="U204" s="108"/>
      <c r="W204" s="108"/>
      <c r="X204" s="108"/>
    </row>
    <row r="205" spans="1:24" s="124" customFormat="1" ht="14.25" customHeight="1">
      <c r="A205" s="107"/>
      <c r="B205" s="108"/>
      <c r="C205" s="108"/>
      <c r="D205" s="108"/>
      <c r="E205" s="108"/>
      <c r="F205" s="108"/>
      <c r="G205" s="108"/>
      <c r="H205" s="108"/>
      <c r="I205" s="108"/>
      <c r="J205" s="108"/>
      <c r="K205" s="108"/>
      <c r="L205" s="108"/>
      <c r="M205" s="108"/>
      <c r="N205" s="108"/>
      <c r="O205" s="108"/>
      <c r="P205" s="108"/>
      <c r="Q205" s="108"/>
      <c r="R205" s="108"/>
      <c r="S205" s="108"/>
      <c r="T205" s="108"/>
      <c r="U205" s="108"/>
      <c r="W205" s="108"/>
      <c r="X205" s="108"/>
    </row>
    <row r="206" spans="1:24" s="124" customFormat="1" ht="14.25" customHeight="1">
      <c r="A206" s="107"/>
      <c r="B206" s="108"/>
      <c r="C206" s="108"/>
      <c r="D206" s="108"/>
      <c r="E206" s="108"/>
      <c r="F206" s="108"/>
      <c r="G206" s="108"/>
      <c r="H206" s="108"/>
      <c r="I206" s="108"/>
      <c r="J206" s="108"/>
      <c r="K206" s="108"/>
      <c r="L206" s="108"/>
      <c r="M206" s="108"/>
      <c r="N206" s="108"/>
      <c r="O206" s="108"/>
      <c r="P206" s="108"/>
      <c r="Q206" s="108"/>
      <c r="R206" s="108"/>
      <c r="S206" s="108"/>
      <c r="T206" s="108"/>
      <c r="U206" s="108"/>
      <c r="W206" s="108"/>
      <c r="X206" s="108"/>
    </row>
    <row r="207" spans="1:24" s="124" customFormat="1" ht="14.25" customHeight="1">
      <c r="A207" s="107"/>
      <c r="B207" s="108"/>
      <c r="C207" s="108"/>
      <c r="D207" s="108"/>
      <c r="E207" s="108"/>
      <c r="F207" s="108"/>
      <c r="G207" s="108"/>
      <c r="H207" s="108"/>
      <c r="I207" s="108"/>
      <c r="J207" s="108"/>
      <c r="K207" s="108"/>
      <c r="L207" s="108"/>
      <c r="M207" s="108"/>
      <c r="N207" s="108"/>
      <c r="O207" s="108"/>
      <c r="P207" s="108"/>
      <c r="Q207" s="108"/>
      <c r="R207" s="108"/>
      <c r="S207" s="108"/>
      <c r="T207" s="108"/>
      <c r="U207" s="108"/>
      <c r="W207" s="108"/>
      <c r="X207" s="108"/>
    </row>
    <row r="208" spans="1:24" s="124" customFormat="1" ht="14.25" customHeight="1">
      <c r="A208" s="107"/>
      <c r="B208" s="108"/>
      <c r="C208" s="108"/>
      <c r="D208" s="108"/>
      <c r="E208" s="108"/>
      <c r="F208" s="108"/>
      <c r="G208" s="108"/>
      <c r="H208" s="108"/>
      <c r="I208" s="108"/>
      <c r="J208" s="108"/>
      <c r="K208" s="108"/>
      <c r="L208" s="108"/>
      <c r="M208" s="108"/>
      <c r="N208" s="108"/>
      <c r="O208" s="108"/>
      <c r="P208" s="108"/>
      <c r="Q208" s="108"/>
      <c r="R208" s="108"/>
      <c r="S208" s="108"/>
      <c r="T208" s="108"/>
      <c r="U208" s="108"/>
      <c r="W208" s="108"/>
      <c r="X208" s="108"/>
    </row>
    <row r="209" spans="1:24" s="124" customFormat="1" ht="14.25" customHeight="1">
      <c r="A209" s="107"/>
      <c r="B209" s="108"/>
      <c r="C209" s="108"/>
      <c r="D209" s="108"/>
      <c r="E209" s="108"/>
      <c r="F209" s="108"/>
      <c r="G209" s="108"/>
      <c r="H209" s="108"/>
      <c r="I209" s="108"/>
      <c r="J209" s="108"/>
      <c r="K209" s="108"/>
      <c r="L209" s="108"/>
      <c r="M209" s="108"/>
      <c r="N209" s="108"/>
      <c r="O209" s="108"/>
      <c r="P209" s="108"/>
      <c r="Q209" s="108"/>
      <c r="R209" s="108"/>
      <c r="S209" s="108"/>
      <c r="T209" s="108"/>
      <c r="U209" s="108"/>
      <c r="W209" s="108"/>
      <c r="X209" s="108"/>
    </row>
    <row r="210" spans="1:24" s="124" customFormat="1" ht="14.25" customHeight="1">
      <c r="A210" s="107"/>
      <c r="B210" s="108"/>
      <c r="C210" s="108"/>
      <c r="D210" s="108"/>
      <c r="E210" s="108"/>
      <c r="F210" s="108"/>
      <c r="G210" s="108"/>
      <c r="H210" s="108"/>
      <c r="I210" s="108"/>
      <c r="J210" s="108"/>
      <c r="K210" s="108"/>
      <c r="L210" s="108"/>
      <c r="M210" s="108"/>
      <c r="N210" s="108"/>
      <c r="O210" s="108"/>
      <c r="P210" s="108"/>
      <c r="Q210" s="108"/>
      <c r="R210" s="108"/>
      <c r="S210" s="108"/>
      <c r="T210" s="108"/>
      <c r="U210" s="108"/>
      <c r="W210" s="108"/>
      <c r="X210" s="108"/>
    </row>
    <row r="211" spans="1:24" s="124" customFormat="1" ht="14.25" customHeight="1">
      <c r="A211" s="107"/>
      <c r="B211" s="108"/>
      <c r="C211" s="108"/>
      <c r="D211" s="108"/>
      <c r="E211" s="108"/>
      <c r="F211" s="108"/>
      <c r="G211" s="108"/>
      <c r="H211" s="108"/>
      <c r="I211" s="108"/>
      <c r="J211" s="108"/>
      <c r="K211" s="108"/>
      <c r="L211" s="108"/>
      <c r="M211" s="108"/>
      <c r="N211" s="108"/>
      <c r="O211" s="108"/>
      <c r="P211" s="108"/>
      <c r="Q211" s="108"/>
      <c r="R211" s="108"/>
      <c r="S211" s="108"/>
      <c r="T211" s="108"/>
      <c r="U211" s="108"/>
      <c r="W211" s="108"/>
      <c r="X211" s="108"/>
    </row>
    <row r="212" spans="1:24" s="124" customFormat="1" ht="14.25" customHeight="1">
      <c r="A212" s="107"/>
      <c r="B212" s="108"/>
      <c r="C212" s="108"/>
      <c r="D212" s="108"/>
      <c r="E212" s="108"/>
      <c r="F212" s="108"/>
      <c r="G212" s="108"/>
      <c r="H212" s="108"/>
      <c r="I212" s="108"/>
      <c r="J212" s="108"/>
      <c r="K212" s="108"/>
      <c r="L212" s="108"/>
      <c r="M212" s="108"/>
      <c r="N212" s="108"/>
      <c r="O212" s="108"/>
      <c r="P212" s="108"/>
      <c r="Q212" s="108"/>
      <c r="R212" s="108"/>
      <c r="S212" s="108"/>
      <c r="T212" s="108"/>
      <c r="U212" s="108"/>
      <c r="W212" s="108"/>
      <c r="X212" s="108"/>
    </row>
    <row r="213" spans="1:24" s="124" customFormat="1" ht="14.25" customHeight="1">
      <c r="A213" s="107"/>
      <c r="B213" s="108"/>
      <c r="C213" s="108"/>
      <c r="D213" s="108"/>
      <c r="E213" s="108"/>
      <c r="F213" s="108"/>
      <c r="G213" s="108"/>
      <c r="H213" s="108"/>
      <c r="I213" s="108"/>
      <c r="J213" s="108"/>
      <c r="K213" s="108"/>
      <c r="L213" s="108"/>
      <c r="M213" s="108"/>
      <c r="N213" s="108"/>
      <c r="O213" s="108"/>
      <c r="P213" s="108"/>
      <c r="Q213" s="108"/>
      <c r="R213" s="108"/>
      <c r="S213" s="108"/>
      <c r="T213" s="108"/>
      <c r="U213" s="108"/>
      <c r="W213" s="108"/>
      <c r="X213" s="108"/>
    </row>
    <row r="214" spans="1:24" s="124" customFormat="1" ht="14.25" customHeight="1">
      <c r="A214" s="107"/>
      <c r="B214" s="108"/>
      <c r="C214" s="108"/>
      <c r="D214" s="108"/>
      <c r="E214" s="108"/>
      <c r="F214" s="108"/>
      <c r="G214" s="108"/>
      <c r="H214" s="108"/>
      <c r="I214" s="108"/>
      <c r="J214" s="108"/>
      <c r="K214" s="108"/>
      <c r="L214" s="108"/>
      <c r="M214" s="108"/>
      <c r="N214" s="108"/>
      <c r="O214" s="108"/>
      <c r="P214" s="108"/>
      <c r="Q214" s="108"/>
      <c r="R214" s="108"/>
      <c r="S214" s="108"/>
      <c r="T214" s="108"/>
      <c r="U214" s="108"/>
      <c r="W214" s="108"/>
      <c r="X214" s="108"/>
    </row>
    <row r="215" spans="1:24" s="124" customFormat="1" ht="14.25" customHeight="1">
      <c r="A215" s="107"/>
      <c r="B215" s="108"/>
      <c r="C215" s="108"/>
      <c r="D215" s="108"/>
      <c r="E215" s="108"/>
      <c r="F215" s="108"/>
      <c r="G215" s="108"/>
      <c r="H215" s="108"/>
      <c r="I215" s="108"/>
      <c r="J215" s="108"/>
      <c r="K215" s="108"/>
      <c r="L215" s="108"/>
      <c r="M215" s="108"/>
      <c r="N215" s="108"/>
      <c r="O215" s="108"/>
      <c r="P215" s="108"/>
      <c r="Q215" s="108"/>
      <c r="R215" s="108"/>
      <c r="S215" s="108"/>
      <c r="T215" s="108"/>
      <c r="U215" s="108"/>
      <c r="W215" s="108"/>
      <c r="X215" s="108"/>
    </row>
    <row r="216" spans="1:24" s="124" customFormat="1" ht="14.25" customHeight="1">
      <c r="A216" s="107"/>
      <c r="B216" s="108"/>
      <c r="C216" s="108"/>
      <c r="D216" s="108"/>
      <c r="E216" s="108"/>
      <c r="F216" s="108"/>
      <c r="G216" s="108"/>
      <c r="H216" s="108"/>
      <c r="I216" s="108"/>
      <c r="J216" s="108"/>
      <c r="K216" s="108"/>
      <c r="L216" s="108"/>
      <c r="M216" s="108"/>
      <c r="N216" s="108"/>
      <c r="O216" s="108"/>
      <c r="P216" s="108"/>
      <c r="Q216" s="108"/>
      <c r="R216" s="108"/>
      <c r="S216" s="108"/>
      <c r="T216" s="108"/>
      <c r="U216" s="108"/>
      <c r="W216" s="108"/>
      <c r="X216" s="108"/>
    </row>
    <row r="217" spans="1:24" s="124" customFormat="1" ht="14.25" customHeight="1">
      <c r="A217" s="107"/>
      <c r="B217" s="108"/>
      <c r="C217" s="108"/>
      <c r="D217" s="108"/>
      <c r="E217" s="108"/>
      <c r="F217" s="108"/>
      <c r="G217" s="108"/>
      <c r="H217" s="108"/>
      <c r="I217" s="108"/>
      <c r="J217" s="108"/>
      <c r="K217" s="108"/>
      <c r="L217" s="108"/>
      <c r="M217" s="108"/>
      <c r="N217" s="108"/>
      <c r="O217" s="108"/>
      <c r="P217" s="108"/>
      <c r="Q217" s="108"/>
      <c r="R217" s="108"/>
      <c r="S217" s="108"/>
      <c r="T217" s="108"/>
      <c r="U217" s="108"/>
      <c r="W217" s="108"/>
      <c r="X217" s="108"/>
    </row>
    <row r="218" spans="1:24" s="124" customFormat="1" ht="14.25" customHeight="1">
      <c r="A218" s="107"/>
      <c r="B218" s="108"/>
      <c r="C218" s="108"/>
      <c r="D218" s="108"/>
      <c r="E218" s="108"/>
      <c r="F218" s="108"/>
      <c r="G218" s="108"/>
      <c r="H218" s="108"/>
      <c r="I218" s="108"/>
      <c r="J218" s="108"/>
      <c r="K218" s="108"/>
      <c r="L218" s="108"/>
      <c r="M218" s="108"/>
      <c r="N218" s="108"/>
      <c r="O218" s="108"/>
      <c r="P218" s="108"/>
      <c r="Q218" s="108"/>
      <c r="R218" s="108"/>
      <c r="S218" s="108"/>
      <c r="T218" s="108"/>
      <c r="U218" s="108"/>
      <c r="W218" s="108"/>
      <c r="X218" s="108"/>
    </row>
    <row r="219" spans="1:24" s="124" customFormat="1" ht="14.25" customHeight="1">
      <c r="A219" s="107"/>
      <c r="B219" s="108"/>
      <c r="C219" s="108"/>
      <c r="D219" s="108"/>
      <c r="E219" s="108"/>
      <c r="F219" s="108"/>
      <c r="G219" s="108"/>
      <c r="H219" s="108"/>
      <c r="I219" s="108"/>
      <c r="J219" s="108"/>
      <c r="K219" s="108"/>
      <c r="L219" s="108"/>
      <c r="M219" s="108"/>
      <c r="N219" s="108"/>
      <c r="O219" s="108"/>
      <c r="P219" s="108"/>
      <c r="Q219" s="108"/>
      <c r="R219" s="108"/>
      <c r="S219" s="108"/>
      <c r="T219" s="108"/>
      <c r="U219" s="108"/>
      <c r="W219" s="108"/>
      <c r="X219" s="108"/>
    </row>
    <row r="220" spans="1:24" s="124" customFormat="1" ht="14.25" customHeight="1">
      <c r="A220" s="107"/>
      <c r="B220" s="108"/>
      <c r="C220" s="108"/>
      <c r="D220" s="108"/>
      <c r="E220" s="108"/>
      <c r="F220" s="108"/>
      <c r="G220" s="108"/>
      <c r="H220" s="108"/>
      <c r="I220" s="108"/>
      <c r="J220" s="108"/>
      <c r="K220" s="108"/>
      <c r="L220" s="108"/>
      <c r="M220" s="108"/>
      <c r="N220" s="108"/>
      <c r="O220" s="108"/>
      <c r="P220" s="108"/>
      <c r="Q220" s="108"/>
      <c r="R220" s="108"/>
      <c r="S220" s="108"/>
      <c r="T220" s="108"/>
      <c r="U220" s="108"/>
      <c r="W220" s="108"/>
      <c r="X220" s="108"/>
    </row>
    <row r="221" spans="1:24" s="124" customFormat="1" ht="14.25" customHeight="1">
      <c r="A221" s="107"/>
      <c r="B221" s="108"/>
      <c r="C221" s="108"/>
      <c r="D221" s="108"/>
      <c r="E221" s="108"/>
      <c r="F221" s="108"/>
      <c r="G221" s="108"/>
      <c r="H221" s="108"/>
      <c r="I221" s="108"/>
      <c r="J221" s="108"/>
      <c r="K221" s="108"/>
      <c r="L221" s="108"/>
      <c r="M221" s="108"/>
      <c r="N221" s="108"/>
      <c r="O221" s="108"/>
      <c r="P221" s="108"/>
      <c r="Q221" s="108"/>
      <c r="R221" s="108"/>
      <c r="S221" s="108"/>
      <c r="T221" s="108"/>
      <c r="U221" s="108"/>
      <c r="W221" s="108"/>
      <c r="X221" s="108"/>
    </row>
    <row r="222" spans="1:24" s="124" customFormat="1" ht="14.25" customHeight="1">
      <c r="A222" s="107"/>
      <c r="B222" s="108"/>
      <c r="C222" s="108"/>
      <c r="D222" s="108"/>
      <c r="E222" s="108"/>
      <c r="F222" s="108"/>
      <c r="G222" s="108"/>
      <c r="H222" s="108"/>
      <c r="I222" s="108"/>
      <c r="J222" s="108"/>
      <c r="K222" s="108"/>
      <c r="L222" s="108"/>
      <c r="M222" s="108"/>
      <c r="N222" s="108"/>
      <c r="O222" s="108"/>
      <c r="P222" s="108"/>
      <c r="Q222" s="108"/>
      <c r="R222" s="108"/>
      <c r="S222" s="108"/>
      <c r="T222" s="108"/>
      <c r="U222" s="108"/>
      <c r="W222" s="108"/>
      <c r="X222" s="108"/>
    </row>
    <row r="223" spans="1:24" s="124" customFormat="1" ht="14.25" customHeight="1">
      <c r="A223" s="107"/>
      <c r="B223" s="108"/>
      <c r="C223" s="108"/>
      <c r="D223" s="108"/>
      <c r="E223" s="108"/>
      <c r="F223" s="108"/>
      <c r="G223" s="108"/>
      <c r="H223" s="108"/>
      <c r="I223" s="108"/>
      <c r="J223" s="108"/>
      <c r="K223" s="108"/>
      <c r="L223" s="108"/>
      <c r="M223" s="108"/>
      <c r="N223" s="108"/>
      <c r="O223" s="108"/>
      <c r="P223" s="108"/>
      <c r="Q223" s="108"/>
      <c r="R223" s="108"/>
      <c r="S223" s="108"/>
      <c r="T223" s="108"/>
      <c r="U223" s="108"/>
      <c r="W223" s="108"/>
      <c r="X223" s="108"/>
    </row>
    <row r="224" spans="1:24" s="124" customFormat="1" ht="14.25" customHeight="1">
      <c r="A224" s="107"/>
      <c r="B224" s="108"/>
      <c r="C224" s="108"/>
      <c r="D224" s="108"/>
      <c r="E224" s="108"/>
      <c r="F224" s="108"/>
      <c r="G224" s="108"/>
      <c r="H224" s="108"/>
      <c r="I224" s="108"/>
      <c r="J224" s="108"/>
      <c r="K224" s="108"/>
      <c r="L224" s="108"/>
      <c r="M224" s="108"/>
      <c r="N224" s="108"/>
      <c r="O224" s="108"/>
      <c r="P224" s="108"/>
      <c r="Q224" s="108"/>
      <c r="R224" s="108"/>
      <c r="S224" s="108"/>
      <c r="T224" s="108"/>
      <c r="U224" s="108"/>
      <c r="W224" s="108"/>
      <c r="X224" s="108"/>
    </row>
    <row r="225" spans="1:24" s="124" customFormat="1" ht="14.25" customHeight="1">
      <c r="A225" s="107"/>
      <c r="B225" s="108"/>
      <c r="C225" s="108"/>
      <c r="D225" s="108"/>
      <c r="E225" s="108"/>
      <c r="F225" s="108"/>
      <c r="G225" s="108"/>
      <c r="H225" s="108"/>
      <c r="I225" s="108"/>
      <c r="J225" s="108"/>
      <c r="K225" s="108"/>
      <c r="L225" s="108"/>
      <c r="M225" s="108"/>
      <c r="N225" s="108"/>
      <c r="O225" s="108"/>
      <c r="P225" s="108"/>
      <c r="Q225" s="108"/>
      <c r="R225" s="108"/>
      <c r="S225" s="108"/>
      <c r="T225" s="108"/>
      <c r="U225" s="108"/>
      <c r="W225" s="108"/>
      <c r="X225" s="108"/>
    </row>
    <row r="226" spans="1:24" s="124" customFormat="1" ht="14.25" customHeight="1">
      <c r="A226" s="107"/>
      <c r="B226" s="108"/>
      <c r="C226" s="108"/>
      <c r="D226" s="108"/>
      <c r="E226" s="108"/>
      <c r="F226" s="108"/>
      <c r="G226" s="108"/>
      <c r="H226" s="108"/>
      <c r="I226" s="108"/>
      <c r="J226" s="108"/>
      <c r="K226" s="108"/>
      <c r="L226" s="108"/>
      <c r="M226" s="108"/>
      <c r="N226" s="108"/>
      <c r="O226" s="108"/>
      <c r="P226" s="108"/>
      <c r="Q226" s="108"/>
      <c r="R226" s="108"/>
      <c r="S226" s="108"/>
      <c r="T226" s="108"/>
      <c r="U226" s="108"/>
      <c r="W226" s="108"/>
      <c r="X226" s="108"/>
    </row>
    <row r="227" spans="1:24" s="124" customFormat="1" ht="14.25" customHeight="1">
      <c r="A227" s="107"/>
      <c r="B227" s="108"/>
      <c r="C227" s="108"/>
      <c r="D227" s="108"/>
      <c r="E227" s="108"/>
      <c r="F227" s="108"/>
      <c r="G227" s="108"/>
      <c r="H227" s="108"/>
      <c r="I227" s="108"/>
      <c r="J227" s="108"/>
      <c r="K227" s="108"/>
      <c r="L227" s="108"/>
      <c r="M227" s="108"/>
      <c r="N227" s="108"/>
      <c r="O227" s="108"/>
      <c r="P227" s="108"/>
      <c r="Q227" s="108"/>
      <c r="R227" s="108"/>
      <c r="S227" s="108"/>
      <c r="T227" s="108"/>
      <c r="U227" s="108"/>
      <c r="W227" s="108"/>
      <c r="X227" s="108"/>
    </row>
    <row r="228" spans="1:24" s="124" customFormat="1" ht="14.25" customHeight="1">
      <c r="A228" s="107"/>
      <c r="B228" s="108"/>
      <c r="C228" s="108"/>
      <c r="D228" s="108"/>
      <c r="E228" s="108"/>
      <c r="F228" s="108"/>
      <c r="G228" s="108"/>
      <c r="H228" s="108"/>
      <c r="I228" s="108"/>
      <c r="J228" s="108"/>
      <c r="K228" s="108"/>
      <c r="L228" s="108"/>
      <c r="M228" s="108"/>
      <c r="N228" s="108"/>
      <c r="O228" s="108"/>
      <c r="P228" s="108"/>
      <c r="Q228" s="108"/>
      <c r="R228" s="108"/>
      <c r="S228" s="108"/>
      <c r="T228" s="108"/>
      <c r="U228" s="108"/>
      <c r="W228" s="108"/>
      <c r="X228" s="108"/>
    </row>
    <row r="229" spans="1:24" s="124" customFormat="1" ht="14.25" customHeight="1">
      <c r="A229" s="107"/>
      <c r="B229" s="108"/>
      <c r="C229" s="108"/>
      <c r="D229" s="108"/>
      <c r="E229" s="108"/>
      <c r="F229" s="108"/>
      <c r="G229" s="108"/>
      <c r="H229" s="108"/>
      <c r="I229" s="108"/>
      <c r="J229" s="108"/>
      <c r="K229" s="108"/>
      <c r="L229" s="108"/>
      <c r="M229" s="108"/>
      <c r="N229" s="108"/>
      <c r="O229" s="108"/>
      <c r="P229" s="108"/>
      <c r="Q229" s="108"/>
      <c r="R229" s="108"/>
      <c r="S229" s="108"/>
      <c r="T229" s="108"/>
      <c r="U229" s="108"/>
      <c r="W229" s="108"/>
      <c r="X229" s="108"/>
    </row>
    <row r="230" spans="1:24" s="124" customFormat="1" ht="14.25" customHeight="1">
      <c r="A230" s="107"/>
      <c r="B230" s="108"/>
      <c r="C230" s="108"/>
      <c r="D230" s="108"/>
      <c r="E230" s="108"/>
      <c r="F230" s="108"/>
      <c r="G230" s="108"/>
      <c r="H230" s="108"/>
      <c r="I230" s="108"/>
      <c r="J230" s="108"/>
      <c r="K230" s="108"/>
      <c r="L230" s="108"/>
      <c r="M230" s="108"/>
      <c r="N230" s="108"/>
      <c r="O230" s="108"/>
      <c r="P230" s="108"/>
      <c r="Q230" s="108"/>
      <c r="R230" s="108"/>
      <c r="S230" s="108"/>
      <c r="T230" s="108"/>
      <c r="U230" s="108"/>
      <c r="W230" s="108"/>
      <c r="X230" s="108"/>
    </row>
    <row r="231" spans="1:24" s="124" customFormat="1" ht="14.25" customHeight="1">
      <c r="A231" s="107"/>
      <c r="B231" s="108"/>
      <c r="C231" s="108"/>
      <c r="D231" s="108"/>
      <c r="E231" s="108"/>
      <c r="F231" s="108"/>
      <c r="G231" s="108"/>
      <c r="H231" s="108"/>
      <c r="I231" s="108"/>
      <c r="J231" s="108"/>
      <c r="K231" s="108"/>
      <c r="L231" s="108"/>
      <c r="M231" s="108"/>
      <c r="N231" s="108"/>
      <c r="O231" s="108"/>
      <c r="P231" s="108"/>
      <c r="Q231" s="108"/>
      <c r="R231" s="108"/>
      <c r="S231" s="108"/>
      <c r="T231" s="108"/>
      <c r="U231" s="108"/>
      <c r="W231" s="108"/>
      <c r="X231" s="108"/>
    </row>
    <row r="232" spans="1:24" s="124" customFormat="1" ht="14.25" customHeight="1">
      <c r="A232" s="107"/>
      <c r="B232" s="108"/>
      <c r="C232" s="108"/>
      <c r="D232" s="108"/>
      <c r="E232" s="108"/>
      <c r="F232" s="108"/>
      <c r="G232" s="108"/>
      <c r="H232" s="108"/>
      <c r="I232" s="108"/>
      <c r="J232" s="108"/>
      <c r="K232" s="108"/>
      <c r="L232" s="108"/>
      <c r="M232" s="108"/>
      <c r="N232" s="108"/>
      <c r="O232" s="108"/>
      <c r="P232" s="108"/>
      <c r="Q232" s="108"/>
      <c r="R232" s="108"/>
      <c r="S232" s="108"/>
      <c r="T232" s="108"/>
      <c r="U232" s="108"/>
      <c r="W232" s="108"/>
      <c r="X232" s="108"/>
    </row>
    <row r="233" spans="1:24" s="124" customFormat="1" ht="14.25" customHeight="1">
      <c r="A233" s="107"/>
      <c r="B233" s="108"/>
      <c r="C233" s="108"/>
      <c r="D233" s="108"/>
      <c r="E233" s="108"/>
      <c r="F233" s="108"/>
      <c r="G233" s="108"/>
      <c r="H233" s="108"/>
      <c r="I233" s="108"/>
      <c r="J233" s="108"/>
      <c r="K233" s="108"/>
      <c r="L233" s="108"/>
      <c r="M233" s="108"/>
      <c r="N233" s="108"/>
      <c r="O233" s="108"/>
      <c r="P233" s="108"/>
      <c r="Q233" s="108"/>
      <c r="R233" s="108"/>
      <c r="S233" s="108"/>
      <c r="T233" s="108"/>
      <c r="U233" s="108"/>
      <c r="W233" s="108"/>
      <c r="X233" s="108"/>
    </row>
    <row r="234" spans="1:24" s="124" customFormat="1" ht="14.25" customHeight="1">
      <c r="A234" s="107"/>
      <c r="B234" s="108"/>
      <c r="C234" s="108"/>
      <c r="D234" s="108"/>
      <c r="E234" s="108"/>
      <c r="F234" s="108"/>
      <c r="G234" s="108"/>
      <c r="H234" s="108"/>
      <c r="I234" s="108"/>
      <c r="J234" s="108"/>
      <c r="K234" s="108"/>
      <c r="L234" s="108"/>
      <c r="M234" s="108"/>
      <c r="N234" s="108"/>
      <c r="O234" s="108"/>
      <c r="P234" s="108"/>
      <c r="Q234" s="108"/>
      <c r="R234" s="108"/>
      <c r="S234" s="108"/>
      <c r="T234" s="108"/>
      <c r="U234" s="108"/>
      <c r="W234" s="108"/>
      <c r="X234" s="108"/>
    </row>
    <row r="235" spans="1:24" s="124" customFormat="1" ht="14.25" customHeight="1">
      <c r="A235" s="107"/>
      <c r="B235" s="108"/>
      <c r="C235" s="108"/>
      <c r="D235" s="108"/>
      <c r="E235" s="108"/>
      <c r="F235" s="108"/>
      <c r="G235" s="108"/>
      <c r="H235" s="108"/>
      <c r="I235" s="108"/>
      <c r="J235" s="108"/>
      <c r="K235" s="108"/>
      <c r="L235" s="108"/>
      <c r="M235" s="108"/>
      <c r="N235" s="108"/>
      <c r="O235" s="108"/>
      <c r="P235" s="108"/>
      <c r="Q235" s="108"/>
      <c r="R235" s="108"/>
      <c r="S235" s="108"/>
      <c r="T235" s="108"/>
      <c r="U235" s="108"/>
      <c r="W235" s="108"/>
      <c r="X235" s="108"/>
    </row>
    <row r="236" spans="1:24" s="124" customFormat="1" ht="14.25" customHeight="1">
      <c r="A236" s="107"/>
      <c r="B236" s="108"/>
      <c r="C236" s="108"/>
      <c r="D236" s="108"/>
      <c r="E236" s="108"/>
      <c r="F236" s="108"/>
      <c r="G236" s="108"/>
      <c r="H236" s="108"/>
      <c r="I236" s="108"/>
      <c r="J236" s="108"/>
      <c r="K236" s="108"/>
      <c r="L236" s="108"/>
      <c r="M236" s="108"/>
      <c r="N236" s="108"/>
      <c r="O236" s="108"/>
      <c r="P236" s="108"/>
      <c r="Q236" s="108"/>
      <c r="R236" s="108"/>
      <c r="S236" s="108"/>
      <c r="T236" s="108"/>
      <c r="U236" s="108"/>
      <c r="W236" s="108"/>
      <c r="X236" s="108"/>
    </row>
    <row r="237" spans="1:24" s="124" customFormat="1" ht="14.25" customHeight="1">
      <c r="A237" s="107"/>
      <c r="B237" s="108"/>
      <c r="C237" s="108"/>
      <c r="D237" s="108"/>
      <c r="E237" s="108"/>
      <c r="F237" s="108"/>
      <c r="G237" s="108"/>
      <c r="H237" s="108"/>
      <c r="I237" s="108"/>
      <c r="J237" s="108"/>
      <c r="K237" s="108"/>
      <c r="L237" s="108"/>
      <c r="M237" s="108"/>
      <c r="N237" s="108"/>
      <c r="O237" s="108"/>
      <c r="P237" s="108"/>
      <c r="Q237" s="108"/>
      <c r="R237" s="108"/>
      <c r="S237" s="108"/>
      <c r="T237" s="108"/>
      <c r="U237" s="108"/>
      <c r="W237" s="108"/>
      <c r="X237" s="108"/>
    </row>
    <row r="238" spans="1:24" s="124" customFormat="1" ht="14.25" customHeight="1">
      <c r="A238" s="107"/>
      <c r="B238" s="108"/>
      <c r="C238" s="108"/>
      <c r="D238" s="108"/>
      <c r="E238" s="108"/>
      <c r="F238" s="108"/>
      <c r="G238" s="108"/>
      <c r="H238" s="108"/>
      <c r="I238" s="108"/>
      <c r="J238" s="108"/>
      <c r="K238" s="108"/>
      <c r="L238" s="108"/>
      <c r="M238" s="108"/>
      <c r="N238" s="108"/>
      <c r="O238" s="108"/>
      <c r="P238" s="108"/>
      <c r="Q238" s="108"/>
      <c r="R238" s="108"/>
      <c r="S238" s="108"/>
      <c r="T238" s="108"/>
      <c r="U238" s="108"/>
      <c r="W238" s="108"/>
      <c r="X238" s="108"/>
    </row>
    <row r="239" spans="1:24" s="124" customFormat="1" ht="14.25" customHeight="1">
      <c r="A239" s="107"/>
      <c r="B239" s="108"/>
      <c r="C239" s="108"/>
      <c r="D239" s="108"/>
      <c r="E239" s="108"/>
      <c r="F239" s="108"/>
      <c r="G239" s="108"/>
      <c r="H239" s="108"/>
      <c r="I239" s="108"/>
      <c r="J239" s="108"/>
      <c r="K239" s="108"/>
      <c r="L239" s="108"/>
      <c r="M239" s="108"/>
      <c r="N239" s="108"/>
      <c r="O239" s="108"/>
      <c r="P239" s="108"/>
      <c r="Q239" s="108"/>
      <c r="R239" s="108"/>
      <c r="S239" s="108"/>
      <c r="T239" s="108"/>
      <c r="U239" s="108"/>
      <c r="W239" s="108"/>
      <c r="X239" s="108"/>
    </row>
    <row r="240" spans="1:24" s="124" customFormat="1" ht="14.25" customHeight="1">
      <c r="A240" s="107"/>
      <c r="B240" s="108"/>
      <c r="C240" s="108"/>
      <c r="D240" s="108"/>
      <c r="E240" s="108"/>
      <c r="F240" s="108"/>
      <c r="G240" s="108"/>
      <c r="H240" s="108"/>
      <c r="I240" s="108"/>
      <c r="J240" s="108"/>
      <c r="K240" s="108"/>
      <c r="L240" s="108"/>
      <c r="M240" s="108"/>
      <c r="N240" s="108"/>
      <c r="O240" s="108"/>
      <c r="P240" s="108"/>
      <c r="Q240" s="108"/>
      <c r="R240" s="108"/>
      <c r="S240" s="108"/>
      <c r="T240" s="108"/>
      <c r="U240" s="108"/>
      <c r="W240" s="108"/>
      <c r="X240" s="108"/>
    </row>
    <row r="241" spans="1:24" s="124" customFormat="1" ht="14.25" customHeight="1">
      <c r="A241" s="107"/>
      <c r="B241" s="108"/>
      <c r="C241" s="108"/>
      <c r="D241" s="108"/>
      <c r="E241" s="108"/>
      <c r="F241" s="108"/>
      <c r="G241" s="108"/>
      <c r="H241" s="108"/>
      <c r="I241" s="108"/>
      <c r="J241" s="108"/>
      <c r="K241" s="108"/>
      <c r="L241" s="108"/>
      <c r="M241" s="108"/>
      <c r="N241" s="108"/>
      <c r="O241" s="108"/>
      <c r="P241" s="108"/>
      <c r="Q241" s="108"/>
      <c r="R241" s="108"/>
      <c r="S241" s="108"/>
      <c r="T241" s="108"/>
      <c r="U241" s="108"/>
      <c r="W241" s="108"/>
      <c r="X241" s="108"/>
    </row>
    <row r="242" spans="1:24" s="124" customFormat="1" ht="14.25" customHeight="1">
      <c r="A242" s="107"/>
      <c r="B242" s="108"/>
      <c r="C242" s="108"/>
      <c r="D242" s="108"/>
      <c r="E242" s="108"/>
      <c r="F242" s="108"/>
      <c r="G242" s="108"/>
      <c r="H242" s="108"/>
      <c r="I242" s="108"/>
      <c r="J242" s="108"/>
      <c r="K242" s="108"/>
      <c r="L242" s="108"/>
      <c r="M242" s="108"/>
      <c r="N242" s="108"/>
      <c r="O242" s="108"/>
      <c r="P242" s="108"/>
      <c r="Q242" s="108"/>
      <c r="R242" s="108"/>
      <c r="S242" s="108"/>
      <c r="T242" s="108"/>
      <c r="U242" s="108"/>
      <c r="W242" s="108"/>
      <c r="X242" s="108"/>
    </row>
    <row r="243" spans="1:24" s="124" customFormat="1" ht="14.25" customHeight="1">
      <c r="A243" s="107"/>
      <c r="B243" s="108"/>
      <c r="C243" s="108"/>
      <c r="D243" s="108"/>
      <c r="E243" s="108"/>
      <c r="F243" s="108"/>
      <c r="G243" s="108"/>
      <c r="H243" s="108"/>
      <c r="I243" s="108"/>
      <c r="J243" s="108"/>
      <c r="K243" s="108"/>
      <c r="L243" s="108"/>
      <c r="M243" s="108"/>
      <c r="N243" s="108"/>
      <c r="O243" s="108"/>
      <c r="P243" s="108"/>
      <c r="Q243" s="108"/>
      <c r="R243" s="108"/>
      <c r="S243" s="108"/>
      <c r="T243" s="108"/>
      <c r="U243" s="108"/>
      <c r="W243" s="108"/>
      <c r="X243" s="108"/>
    </row>
    <row r="244" spans="1:24" s="124" customFormat="1" ht="14.25" customHeight="1">
      <c r="A244" s="107"/>
      <c r="B244" s="108"/>
      <c r="C244" s="108"/>
      <c r="D244" s="108"/>
      <c r="E244" s="108"/>
      <c r="F244" s="108"/>
      <c r="G244" s="108"/>
      <c r="H244" s="108"/>
      <c r="I244" s="108"/>
      <c r="J244" s="108"/>
      <c r="K244" s="108"/>
      <c r="L244" s="108"/>
      <c r="M244" s="108"/>
      <c r="N244" s="108"/>
      <c r="O244" s="108"/>
      <c r="P244" s="108"/>
      <c r="Q244" s="108"/>
      <c r="R244" s="108"/>
      <c r="S244" s="108"/>
      <c r="T244" s="108"/>
      <c r="U244" s="108"/>
      <c r="W244" s="108"/>
      <c r="X244" s="108"/>
    </row>
    <row r="245" spans="1:24" s="124" customFormat="1" ht="14.25" customHeight="1">
      <c r="A245" s="107"/>
      <c r="B245" s="108"/>
      <c r="C245" s="108"/>
      <c r="D245" s="108"/>
      <c r="E245" s="108"/>
      <c r="F245" s="108"/>
      <c r="G245" s="108"/>
      <c r="H245" s="108"/>
      <c r="I245" s="108"/>
      <c r="J245" s="108"/>
      <c r="K245" s="108"/>
      <c r="L245" s="108"/>
      <c r="M245" s="108"/>
      <c r="N245" s="108"/>
      <c r="O245" s="108"/>
      <c r="P245" s="108"/>
      <c r="Q245" s="108"/>
      <c r="R245" s="108"/>
      <c r="S245" s="108"/>
      <c r="T245" s="108"/>
      <c r="U245" s="108"/>
      <c r="W245" s="108"/>
      <c r="X245" s="108"/>
    </row>
    <row r="246" spans="1:24" s="124" customFormat="1" ht="14.25" customHeight="1">
      <c r="A246" s="107"/>
      <c r="B246" s="108"/>
      <c r="C246" s="108"/>
      <c r="D246" s="108"/>
      <c r="E246" s="108"/>
      <c r="F246" s="108"/>
      <c r="G246" s="108"/>
      <c r="H246" s="108"/>
      <c r="I246" s="108"/>
      <c r="J246" s="108"/>
      <c r="K246" s="108"/>
      <c r="L246" s="108"/>
      <c r="M246" s="108"/>
      <c r="N246" s="108"/>
      <c r="O246" s="108"/>
      <c r="P246" s="108"/>
      <c r="Q246" s="108"/>
      <c r="R246" s="108"/>
      <c r="S246" s="108"/>
      <c r="T246" s="108"/>
      <c r="U246" s="108"/>
      <c r="W246" s="108"/>
      <c r="X246" s="108"/>
    </row>
    <row r="247" spans="1:24" s="124" customFormat="1" ht="14.25" customHeight="1">
      <c r="A247" s="107"/>
      <c r="B247" s="108"/>
      <c r="C247" s="108"/>
      <c r="D247" s="108"/>
      <c r="E247" s="108"/>
      <c r="F247" s="108"/>
      <c r="G247" s="108"/>
      <c r="H247" s="108"/>
      <c r="I247" s="108"/>
      <c r="J247" s="108"/>
      <c r="K247" s="108"/>
      <c r="L247" s="108"/>
      <c r="M247" s="108"/>
      <c r="N247" s="108"/>
      <c r="O247" s="108"/>
      <c r="P247" s="108"/>
      <c r="Q247" s="108"/>
      <c r="R247" s="108"/>
      <c r="S247" s="108"/>
      <c r="T247" s="108"/>
      <c r="U247" s="108"/>
      <c r="W247" s="108"/>
      <c r="X247" s="108"/>
    </row>
    <row r="248" spans="1:24" s="124" customFormat="1" ht="14.25" customHeight="1">
      <c r="A248" s="107"/>
      <c r="B248" s="108"/>
      <c r="C248" s="108"/>
      <c r="D248" s="108"/>
      <c r="E248" s="108"/>
      <c r="F248" s="108"/>
      <c r="G248" s="108"/>
      <c r="H248" s="108"/>
      <c r="I248" s="108"/>
      <c r="J248" s="108"/>
      <c r="K248" s="108"/>
      <c r="L248" s="108"/>
      <c r="M248" s="108"/>
      <c r="N248" s="108"/>
      <c r="O248" s="108"/>
      <c r="P248" s="108"/>
      <c r="Q248" s="108"/>
      <c r="R248" s="108"/>
      <c r="S248" s="108"/>
      <c r="T248" s="108"/>
      <c r="U248" s="108"/>
      <c r="W248" s="108"/>
      <c r="X248" s="108"/>
    </row>
    <row r="249" spans="1:24" s="124" customFormat="1" ht="14.25" customHeight="1">
      <c r="A249" s="107"/>
      <c r="B249" s="108"/>
      <c r="C249" s="108"/>
      <c r="D249" s="108"/>
      <c r="E249" s="108"/>
      <c r="F249" s="108"/>
      <c r="G249" s="108"/>
      <c r="H249" s="108"/>
      <c r="I249" s="108"/>
      <c r="J249" s="108"/>
      <c r="K249" s="108"/>
      <c r="L249" s="108"/>
      <c r="M249" s="108"/>
      <c r="N249" s="108"/>
      <c r="O249" s="108"/>
      <c r="P249" s="108"/>
      <c r="Q249" s="108"/>
      <c r="R249" s="108"/>
      <c r="S249" s="108"/>
      <c r="T249" s="108"/>
      <c r="U249" s="108"/>
      <c r="W249" s="108"/>
      <c r="X249" s="108"/>
    </row>
    <row r="250" spans="1:24" s="124" customFormat="1" ht="14.25" customHeight="1">
      <c r="A250" s="107"/>
      <c r="B250" s="108"/>
      <c r="C250" s="108"/>
      <c r="D250" s="108"/>
      <c r="E250" s="108"/>
      <c r="F250" s="108"/>
      <c r="G250" s="108"/>
      <c r="H250" s="108"/>
      <c r="I250" s="108"/>
      <c r="J250" s="108"/>
      <c r="K250" s="108"/>
      <c r="L250" s="108"/>
      <c r="M250" s="108"/>
      <c r="N250" s="108"/>
      <c r="O250" s="108"/>
      <c r="P250" s="108"/>
      <c r="Q250" s="108"/>
      <c r="R250" s="108"/>
      <c r="S250" s="108"/>
      <c r="T250" s="108"/>
      <c r="U250" s="108"/>
      <c r="W250" s="108"/>
      <c r="X250" s="108"/>
    </row>
    <row r="251" spans="1:24" s="124" customFormat="1" ht="14.25" customHeight="1">
      <c r="A251" s="107"/>
      <c r="B251" s="108"/>
      <c r="C251" s="108"/>
      <c r="D251" s="108"/>
      <c r="E251" s="108"/>
      <c r="F251" s="108"/>
      <c r="G251" s="108"/>
      <c r="H251" s="108"/>
      <c r="I251" s="108"/>
      <c r="J251" s="108"/>
      <c r="K251" s="108"/>
      <c r="L251" s="108"/>
      <c r="M251" s="108"/>
      <c r="N251" s="108"/>
      <c r="O251" s="108"/>
      <c r="P251" s="108"/>
      <c r="Q251" s="108"/>
      <c r="R251" s="108"/>
      <c r="S251" s="108"/>
      <c r="T251" s="108"/>
      <c r="U251" s="108"/>
      <c r="W251" s="108"/>
      <c r="X251" s="108"/>
    </row>
    <row r="252" spans="1:24" s="124" customFormat="1" ht="14.25" customHeight="1">
      <c r="A252" s="107"/>
      <c r="B252" s="108"/>
      <c r="C252" s="108"/>
      <c r="D252" s="108"/>
      <c r="E252" s="108"/>
      <c r="F252" s="108"/>
      <c r="G252" s="108"/>
      <c r="H252" s="108"/>
      <c r="I252" s="108"/>
      <c r="J252" s="108"/>
      <c r="K252" s="108"/>
      <c r="L252" s="108"/>
      <c r="M252" s="108"/>
      <c r="N252" s="108"/>
      <c r="O252" s="108"/>
      <c r="P252" s="108"/>
      <c r="Q252" s="108"/>
      <c r="R252" s="108"/>
      <c r="S252" s="108"/>
      <c r="T252" s="108"/>
      <c r="U252" s="108"/>
      <c r="W252" s="108"/>
      <c r="X252" s="108"/>
    </row>
    <row r="253" spans="1:24" s="124" customFormat="1" ht="14.25" customHeight="1">
      <c r="A253" s="107"/>
      <c r="B253" s="108"/>
      <c r="C253" s="108"/>
      <c r="D253" s="108"/>
      <c r="E253" s="108"/>
      <c r="F253" s="108"/>
      <c r="G253" s="108"/>
      <c r="H253" s="108"/>
      <c r="I253" s="108"/>
      <c r="J253" s="108"/>
      <c r="K253" s="108"/>
      <c r="L253" s="108"/>
      <c r="M253" s="108"/>
      <c r="N253" s="108"/>
      <c r="O253" s="108"/>
      <c r="P253" s="108"/>
      <c r="Q253" s="108"/>
      <c r="R253" s="108"/>
      <c r="S253" s="108"/>
      <c r="T253" s="108"/>
      <c r="U253" s="108"/>
      <c r="W253" s="108"/>
      <c r="X253" s="108"/>
    </row>
    <row r="254" spans="1:24" s="124" customFormat="1" ht="14.25" customHeight="1">
      <c r="A254" s="107"/>
      <c r="B254" s="108"/>
      <c r="C254" s="108"/>
      <c r="D254" s="108"/>
      <c r="E254" s="108"/>
      <c r="F254" s="108"/>
      <c r="G254" s="108"/>
      <c r="H254" s="108"/>
      <c r="I254" s="108"/>
      <c r="J254" s="108"/>
      <c r="K254" s="108"/>
      <c r="L254" s="108"/>
      <c r="M254" s="108"/>
      <c r="N254" s="108"/>
      <c r="O254" s="108"/>
      <c r="P254" s="108"/>
      <c r="Q254" s="108"/>
      <c r="R254" s="108"/>
      <c r="S254" s="108"/>
      <c r="T254" s="108"/>
      <c r="U254" s="108"/>
      <c r="W254" s="108"/>
      <c r="X254" s="108"/>
    </row>
    <row r="255" spans="1:24" s="124" customFormat="1" ht="14.25" customHeight="1">
      <c r="A255" s="107"/>
      <c r="B255" s="108"/>
      <c r="C255" s="108"/>
      <c r="D255" s="108"/>
      <c r="E255" s="108"/>
      <c r="F255" s="108"/>
      <c r="G255" s="108"/>
      <c r="H255" s="108"/>
      <c r="I255" s="108"/>
      <c r="J255" s="108"/>
      <c r="K255" s="108"/>
      <c r="L255" s="108"/>
      <c r="M255" s="108"/>
      <c r="N255" s="108"/>
      <c r="O255" s="108"/>
      <c r="P255" s="108"/>
      <c r="Q255" s="108"/>
      <c r="R255" s="108"/>
      <c r="S255" s="108"/>
      <c r="T255" s="108"/>
      <c r="U255" s="108"/>
      <c r="W255" s="108"/>
      <c r="X255" s="108"/>
    </row>
    <row r="256" spans="1:24" s="124" customFormat="1" ht="14.25" customHeight="1">
      <c r="A256" s="107"/>
      <c r="B256" s="108"/>
      <c r="C256" s="108"/>
      <c r="D256" s="108"/>
      <c r="E256" s="108"/>
      <c r="F256" s="108"/>
      <c r="G256" s="108"/>
      <c r="H256" s="108"/>
      <c r="I256" s="108"/>
      <c r="J256" s="108"/>
      <c r="K256" s="108"/>
      <c r="L256" s="108"/>
      <c r="M256" s="108"/>
      <c r="N256" s="108"/>
      <c r="O256" s="108"/>
      <c r="P256" s="108"/>
      <c r="Q256" s="108"/>
      <c r="R256" s="108"/>
      <c r="S256" s="108"/>
      <c r="T256" s="108"/>
      <c r="U256" s="108"/>
      <c r="W256" s="108"/>
      <c r="X256" s="108"/>
    </row>
    <row r="257" spans="1:24" s="124" customFormat="1" ht="14.25" customHeight="1">
      <c r="A257" s="107"/>
      <c r="B257" s="108"/>
      <c r="C257" s="108"/>
      <c r="D257" s="108"/>
      <c r="E257" s="108"/>
      <c r="F257" s="108"/>
      <c r="G257" s="108"/>
      <c r="H257" s="108"/>
      <c r="I257" s="108"/>
      <c r="J257" s="108"/>
      <c r="K257" s="108"/>
      <c r="L257" s="108"/>
      <c r="M257" s="108"/>
      <c r="N257" s="108"/>
      <c r="O257" s="108"/>
      <c r="P257" s="108"/>
      <c r="Q257" s="108"/>
      <c r="R257" s="108"/>
      <c r="S257" s="108"/>
      <c r="T257" s="108"/>
      <c r="U257" s="108"/>
      <c r="W257" s="108"/>
      <c r="X257" s="108"/>
    </row>
    <row r="258" spans="1:24" s="124" customFormat="1" ht="14.25" customHeight="1">
      <c r="A258" s="107"/>
      <c r="B258" s="108"/>
      <c r="C258" s="108"/>
      <c r="D258" s="108"/>
      <c r="E258" s="108"/>
      <c r="F258" s="108"/>
      <c r="G258" s="108"/>
      <c r="H258" s="108"/>
      <c r="I258" s="108"/>
      <c r="J258" s="108"/>
      <c r="K258" s="108"/>
      <c r="L258" s="108"/>
      <c r="M258" s="108"/>
      <c r="N258" s="108"/>
      <c r="O258" s="108"/>
      <c r="P258" s="108"/>
      <c r="Q258" s="108"/>
      <c r="R258" s="108"/>
      <c r="S258" s="108"/>
      <c r="T258" s="108"/>
      <c r="U258" s="108"/>
      <c r="W258" s="108"/>
      <c r="X258" s="108"/>
    </row>
    <row r="259" spans="1:24" s="124" customFormat="1" ht="14.25" customHeight="1">
      <c r="A259" s="107"/>
      <c r="B259" s="108"/>
      <c r="C259" s="108"/>
      <c r="D259" s="108"/>
      <c r="E259" s="108"/>
      <c r="F259" s="108"/>
      <c r="G259" s="108"/>
      <c r="H259" s="108"/>
      <c r="I259" s="108"/>
      <c r="J259" s="108"/>
      <c r="K259" s="108"/>
      <c r="L259" s="108"/>
      <c r="M259" s="108"/>
      <c r="N259" s="108"/>
      <c r="O259" s="108"/>
      <c r="P259" s="108"/>
      <c r="Q259" s="108"/>
      <c r="R259" s="108"/>
      <c r="S259" s="108"/>
      <c r="T259" s="108"/>
      <c r="U259" s="108"/>
      <c r="W259" s="108"/>
      <c r="X259" s="108"/>
    </row>
    <row r="260" spans="1:24" s="124" customFormat="1" ht="14.25" customHeight="1">
      <c r="A260" s="107"/>
      <c r="B260" s="108"/>
      <c r="C260" s="108"/>
      <c r="D260" s="108"/>
      <c r="E260" s="108"/>
      <c r="F260" s="108"/>
      <c r="G260" s="108"/>
      <c r="H260" s="108"/>
      <c r="I260" s="108"/>
      <c r="J260" s="108"/>
      <c r="K260" s="108"/>
      <c r="L260" s="108"/>
      <c r="M260" s="108"/>
      <c r="N260" s="108"/>
      <c r="O260" s="108"/>
      <c r="P260" s="108"/>
      <c r="Q260" s="108"/>
      <c r="R260" s="108"/>
      <c r="S260" s="108"/>
      <c r="T260" s="108"/>
      <c r="U260" s="108"/>
      <c r="W260" s="108"/>
      <c r="X260" s="108"/>
    </row>
    <row r="261" spans="1:24" s="124" customFormat="1" ht="14.25" customHeight="1">
      <c r="A261" s="107"/>
      <c r="B261" s="108"/>
      <c r="C261" s="108"/>
      <c r="D261" s="108"/>
      <c r="E261" s="108"/>
      <c r="F261" s="108"/>
      <c r="G261" s="108"/>
      <c r="H261" s="108"/>
      <c r="I261" s="108"/>
      <c r="J261" s="108"/>
      <c r="K261" s="108"/>
      <c r="L261" s="108"/>
      <c r="M261" s="108"/>
      <c r="N261" s="108"/>
      <c r="O261" s="108"/>
      <c r="P261" s="108"/>
      <c r="Q261" s="108"/>
      <c r="R261" s="108"/>
      <c r="S261" s="108"/>
      <c r="T261" s="108"/>
      <c r="U261" s="108"/>
      <c r="W261" s="108"/>
      <c r="X261" s="108"/>
    </row>
    <row r="262" spans="1:24" s="124" customFormat="1" ht="14.25" customHeight="1">
      <c r="A262" s="107"/>
      <c r="B262" s="108"/>
      <c r="C262" s="108"/>
      <c r="D262" s="108"/>
      <c r="E262" s="108"/>
      <c r="F262" s="108"/>
      <c r="G262" s="108"/>
      <c r="H262" s="108"/>
      <c r="I262" s="108"/>
      <c r="J262" s="108"/>
      <c r="K262" s="108"/>
      <c r="L262" s="108"/>
      <c r="M262" s="108"/>
      <c r="N262" s="108"/>
      <c r="O262" s="108"/>
      <c r="P262" s="108"/>
      <c r="Q262" s="108"/>
      <c r="R262" s="108"/>
      <c r="S262" s="108"/>
      <c r="T262" s="108"/>
      <c r="U262" s="108"/>
      <c r="W262" s="108"/>
      <c r="X262" s="108"/>
    </row>
    <row r="263" spans="1:24" s="124" customFormat="1" ht="14.25" customHeight="1">
      <c r="A263" s="107"/>
      <c r="B263" s="108"/>
      <c r="C263" s="108"/>
      <c r="D263" s="108"/>
      <c r="E263" s="108"/>
      <c r="F263" s="108"/>
      <c r="G263" s="108"/>
      <c r="H263" s="108"/>
      <c r="I263" s="108"/>
      <c r="J263" s="108"/>
      <c r="K263" s="108"/>
      <c r="L263" s="108"/>
      <c r="M263" s="108"/>
      <c r="N263" s="108"/>
      <c r="O263" s="108"/>
      <c r="P263" s="108"/>
      <c r="Q263" s="108"/>
      <c r="R263" s="108"/>
      <c r="S263" s="108"/>
      <c r="T263" s="108"/>
      <c r="U263" s="108"/>
      <c r="W263" s="108"/>
      <c r="X263" s="108"/>
    </row>
    <row r="264" spans="1:24" s="124" customFormat="1" ht="14.25" customHeight="1">
      <c r="A264" s="107"/>
      <c r="B264" s="108"/>
      <c r="C264" s="108"/>
      <c r="D264" s="108"/>
      <c r="E264" s="108"/>
      <c r="F264" s="108"/>
      <c r="G264" s="108"/>
      <c r="H264" s="108"/>
      <c r="I264" s="108"/>
      <c r="J264" s="108"/>
      <c r="K264" s="108"/>
      <c r="L264" s="108"/>
      <c r="M264" s="108"/>
      <c r="N264" s="108"/>
      <c r="O264" s="108"/>
      <c r="P264" s="108"/>
      <c r="Q264" s="108"/>
      <c r="R264" s="108"/>
      <c r="S264" s="108"/>
      <c r="T264" s="108"/>
      <c r="U264" s="108"/>
      <c r="W264" s="108"/>
      <c r="X264" s="108"/>
    </row>
    <row r="265" spans="1:24" s="124" customFormat="1" ht="14.25" customHeight="1">
      <c r="A265" s="107"/>
      <c r="B265" s="108"/>
      <c r="C265" s="108"/>
      <c r="D265" s="108"/>
      <c r="E265" s="108"/>
      <c r="F265" s="108"/>
      <c r="G265" s="108"/>
      <c r="H265" s="108"/>
      <c r="I265" s="108"/>
      <c r="J265" s="108"/>
      <c r="K265" s="108"/>
      <c r="L265" s="108"/>
      <c r="M265" s="108"/>
      <c r="N265" s="108"/>
      <c r="O265" s="108"/>
      <c r="P265" s="108"/>
      <c r="Q265" s="108"/>
      <c r="R265" s="108"/>
      <c r="S265" s="108"/>
      <c r="T265" s="108"/>
      <c r="U265" s="108"/>
      <c r="W265" s="108"/>
      <c r="X265" s="108"/>
    </row>
    <row r="266" spans="1:24" s="124" customFormat="1" ht="14.25" customHeight="1">
      <c r="A266" s="107"/>
      <c r="B266" s="108"/>
      <c r="C266" s="108"/>
      <c r="D266" s="108"/>
      <c r="E266" s="108"/>
      <c r="F266" s="108"/>
      <c r="G266" s="108"/>
      <c r="H266" s="108"/>
      <c r="I266" s="108"/>
      <c r="J266" s="108"/>
      <c r="K266" s="108"/>
      <c r="L266" s="108"/>
      <c r="M266" s="108"/>
      <c r="N266" s="108"/>
      <c r="O266" s="108"/>
      <c r="P266" s="108"/>
      <c r="Q266" s="108"/>
      <c r="R266" s="108"/>
      <c r="S266" s="108"/>
      <c r="T266" s="108"/>
      <c r="U266" s="108"/>
      <c r="W266" s="108"/>
      <c r="X266" s="108"/>
    </row>
    <row r="267" spans="1:24" s="124" customFormat="1" ht="14.25" customHeight="1">
      <c r="A267" s="107"/>
      <c r="B267" s="108"/>
      <c r="C267" s="108"/>
      <c r="D267" s="108"/>
      <c r="E267" s="108"/>
      <c r="F267" s="108"/>
      <c r="G267" s="108"/>
      <c r="H267" s="108"/>
      <c r="I267" s="108"/>
      <c r="J267" s="108"/>
      <c r="K267" s="108"/>
      <c r="L267" s="108"/>
      <c r="M267" s="108"/>
      <c r="N267" s="108"/>
      <c r="O267" s="108"/>
      <c r="P267" s="108"/>
      <c r="Q267" s="108"/>
      <c r="R267" s="108"/>
      <c r="S267" s="108"/>
      <c r="T267" s="108"/>
      <c r="U267" s="108"/>
      <c r="W267" s="108"/>
      <c r="X267" s="108"/>
    </row>
    <row r="268" spans="1:24" s="124" customFormat="1" ht="14.25" customHeight="1">
      <c r="A268" s="107"/>
      <c r="B268" s="108"/>
      <c r="C268" s="108"/>
      <c r="D268" s="108"/>
      <c r="E268" s="108"/>
      <c r="F268" s="108"/>
      <c r="G268" s="108"/>
      <c r="H268" s="108"/>
      <c r="I268" s="108"/>
      <c r="J268" s="108"/>
      <c r="K268" s="108"/>
      <c r="L268" s="108"/>
      <c r="M268" s="108"/>
      <c r="N268" s="108"/>
      <c r="O268" s="108"/>
      <c r="P268" s="108"/>
      <c r="Q268" s="108"/>
      <c r="R268" s="108"/>
      <c r="S268" s="108"/>
      <c r="T268" s="108"/>
      <c r="U268" s="108"/>
      <c r="W268" s="108"/>
      <c r="X268" s="108"/>
    </row>
    <row r="269" spans="1:24" s="124" customFormat="1" ht="14.25" customHeight="1">
      <c r="A269" s="107"/>
      <c r="B269" s="108"/>
      <c r="C269" s="108"/>
      <c r="D269" s="108"/>
      <c r="E269" s="108"/>
      <c r="F269" s="108"/>
      <c r="G269" s="108"/>
      <c r="H269" s="108"/>
      <c r="I269" s="108"/>
      <c r="J269" s="108"/>
      <c r="K269" s="108"/>
      <c r="L269" s="108"/>
      <c r="M269" s="108"/>
      <c r="N269" s="108"/>
      <c r="O269" s="108"/>
      <c r="P269" s="108"/>
      <c r="Q269" s="108"/>
      <c r="R269" s="108"/>
      <c r="S269" s="108"/>
      <c r="T269" s="108"/>
      <c r="U269" s="108"/>
      <c r="W269" s="108"/>
      <c r="X269" s="108"/>
    </row>
    <row r="270" spans="1:24" s="124" customFormat="1" ht="14.25" customHeight="1">
      <c r="A270" s="107"/>
      <c r="B270" s="108"/>
      <c r="C270" s="108"/>
      <c r="D270" s="108"/>
      <c r="E270" s="108"/>
      <c r="F270" s="108"/>
      <c r="G270" s="108"/>
      <c r="H270" s="108"/>
      <c r="I270" s="108"/>
      <c r="J270" s="108"/>
      <c r="K270" s="108"/>
      <c r="L270" s="108"/>
      <c r="M270" s="108"/>
      <c r="N270" s="108"/>
      <c r="O270" s="108"/>
      <c r="P270" s="108"/>
      <c r="Q270" s="108"/>
      <c r="R270" s="108"/>
      <c r="S270" s="108"/>
      <c r="T270" s="108"/>
      <c r="U270" s="108"/>
      <c r="W270" s="108"/>
      <c r="X270" s="108"/>
    </row>
    <row r="271" spans="1:24" s="124" customFormat="1" ht="14.25" customHeight="1">
      <c r="A271" s="107"/>
      <c r="B271" s="108"/>
      <c r="C271" s="108"/>
      <c r="D271" s="108"/>
      <c r="E271" s="108"/>
      <c r="F271" s="108"/>
      <c r="G271" s="108"/>
      <c r="H271" s="108"/>
      <c r="I271" s="108"/>
      <c r="J271" s="108"/>
      <c r="K271" s="108"/>
      <c r="L271" s="108"/>
      <c r="M271" s="108"/>
      <c r="N271" s="108"/>
      <c r="O271" s="108"/>
      <c r="P271" s="108"/>
      <c r="Q271" s="108"/>
      <c r="R271" s="108"/>
      <c r="S271" s="108"/>
      <c r="T271" s="108"/>
      <c r="U271" s="108"/>
      <c r="W271" s="108"/>
      <c r="X271" s="108"/>
    </row>
    <row r="272" spans="1:24" s="124" customFormat="1" ht="14.25" customHeight="1">
      <c r="A272" s="107"/>
      <c r="B272" s="108"/>
      <c r="C272" s="108"/>
      <c r="D272" s="108"/>
      <c r="E272" s="108"/>
      <c r="F272" s="108"/>
      <c r="G272" s="108"/>
      <c r="H272" s="108"/>
      <c r="I272" s="108"/>
      <c r="J272" s="108"/>
      <c r="K272" s="108"/>
      <c r="L272" s="108"/>
      <c r="M272" s="108"/>
      <c r="N272" s="108"/>
      <c r="O272" s="108"/>
      <c r="P272" s="108"/>
      <c r="Q272" s="108"/>
      <c r="R272" s="108"/>
      <c r="S272" s="108"/>
      <c r="T272" s="108"/>
      <c r="U272" s="108"/>
      <c r="W272" s="108"/>
      <c r="X272" s="108"/>
    </row>
    <row r="273" spans="1:24" s="124" customFormat="1" ht="14.25" customHeight="1">
      <c r="A273" s="107"/>
      <c r="B273" s="108"/>
      <c r="C273" s="108"/>
      <c r="D273" s="108"/>
      <c r="E273" s="108"/>
      <c r="F273" s="108"/>
      <c r="G273" s="108"/>
      <c r="H273" s="108"/>
      <c r="I273" s="108"/>
      <c r="J273" s="108"/>
      <c r="K273" s="108"/>
      <c r="L273" s="108"/>
      <c r="M273" s="108"/>
      <c r="N273" s="108"/>
      <c r="O273" s="108"/>
      <c r="P273" s="108"/>
      <c r="Q273" s="108"/>
      <c r="R273" s="108"/>
      <c r="S273" s="108"/>
      <c r="T273" s="108"/>
      <c r="U273" s="108"/>
      <c r="W273" s="108"/>
      <c r="X273" s="108"/>
    </row>
    <row r="274" spans="1:24" s="124" customFormat="1" ht="14.25" customHeight="1">
      <c r="A274" s="107"/>
      <c r="B274" s="108"/>
      <c r="C274" s="108"/>
      <c r="D274" s="108"/>
      <c r="E274" s="108"/>
      <c r="F274" s="108"/>
      <c r="G274" s="108"/>
      <c r="H274" s="108"/>
      <c r="I274" s="108"/>
      <c r="J274" s="108"/>
      <c r="K274" s="108"/>
      <c r="L274" s="108"/>
      <c r="M274" s="108"/>
      <c r="N274" s="108"/>
      <c r="O274" s="108"/>
      <c r="P274" s="108"/>
      <c r="Q274" s="108"/>
      <c r="R274" s="108"/>
      <c r="S274" s="108"/>
      <c r="T274" s="108"/>
      <c r="U274" s="108"/>
      <c r="W274" s="108"/>
      <c r="X274" s="108"/>
    </row>
    <row r="275" spans="1:24" s="124" customFormat="1" ht="14.25" customHeight="1">
      <c r="A275" s="107"/>
      <c r="B275" s="108"/>
      <c r="C275" s="108"/>
      <c r="D275" s="108"/>
      <c r="E275" s="108"/>
      <c r="F275" s="108"/>
      <c r="G275" s="108"/>
      <c r="H275" s="108"/>
      <c r="I275" s="108"/>
      <c r="J275" s="108"/>
      <c r="K275" s="108"/>
      <c r="L275" s="108"/>
      <c r="M275" s="108"/>
      <c r="N275" s="108"/>
      <c r="O275" s="108"/>
      <c r="P275" s="108"/>
      <c r="Q275" s="108"/>
      <c r="R275" s="108"/>
      <c r="S275" s="108"/>
      <c r="T275" s="108"/>
      <c r="U275" s="108"/>
      <c r="W275" s="108"/>
      <c r="X275" s="108"/>
    </row>
    <row r="276" spans="1:24" s="124" customFormat="1" ht="14.25" customHeight="1">
      <c r="A276" s="107"/>
      <c r="B276" s="108"/>
      <c r="C276" s="108"/>
      <c r="D276" s="108"/>
      <c r="E276" s="108"/>
      <c r="F276" s="108"/>
      <c r="G276" s="108"/>
      <c r="H276" s="108"/>
      <c r="I276" s="108"/>
      <c r="J276" s="108"/>
      <c r="K276" s="108"/>
      <c r="L276" s="108"/>
      <c r="M276" s="108"/>
      <c r="N276" s="108"/>
      <c r="O276" s="108"/>
      <c r="P276" s="108"/>
      <c r="Q276" s="108"/>
      <c r="R276" s="108"/>
      <c r="S276" s="108"/>
      <c r="T276" s="108"/>
      <c r="U276" s="108"/>
      <c r="W276" s="108"/>
      <c r="X276" s="108"/>
    </row>
    <row r="277" spans="1:24" s="124" customFormat="1" ht="14.25" customHeight="1">
      <c r="A277" s="107"/>
      <c r="B277" s="108"/>
      <c r="C277" s="108"/>
      <c r="D277" s="108"/>
      <c r="E277" s="108"/>
      <c r="F277" s="108"/>
      <c r="G277" s="108"/>
      <c r="H277" s="108"/>
      <c r="I277" s="108"/>
      <c r="J277" s="108"/>
      <c r="K277" s="108"/>
      <c r="L277" s="108"/>
      <c r="M277" s="108"/>
      <c r="N277" s="108"/>
      <c r="O277" s="108"/>
      <c r="P277" s="108"/>
      <c r="Q277" s="108"/>
      <c r="R277" s="108"/>
      <c r="S277" s="108"/>
      <c r="T277" s="108"/>
      <c r="U277" s="108"/>
      <c r="W277" s="108"/>
      <c r="X277" s="108"/>
    </row>
    <row r="278" spans="1:24" s="124" customFormat="1" ht="14.25" customHeight="1">
      <c r="A278" s="107"/>
      <c r="B278" s="108"/>
      <c r="C278" s="108"/>
      <c r="D278" s="108"/>
      <c r="E278" s="108"/>
      <c r="F278" s="108"/>
      <c r="G278" s="108"/>
      <c r="H278" s="108"/>
      <c r="I278" s="108"/>
      <c r="J278" s="108"/>
      <c r="K278" s="108"/>
      <c r="L278" s="108"/>
      <c r="M278" s="108"/>
      <c r="N278" s="108"/>
      <c r="O278" s="108"/>
      <c r="P278" s="108"/>
      <c r="Q278" s="108"/>
      <c r="R278" s="108"/>
      <c r="S278" s="108"/>
      <c r="T278" s="108"/>
      <c r="U278" s="108"/>
      <c r="W278" s="108"/>
      <c r="X278" s="108"/>
    </row>
    <row r="279" spans="1:24" s="124" customFormat="1" ht="14.25" customHeight="1">
      <c r="A279" s="107"/>
      <c r="B279" s="108"/>
      <c r="C279" s="108"/>
      <c r="D279" s="108"/>
      <c r="E279" s="108"/>
      <c r="F279" s="108"/>
      <c r="G279" s="108"/>
      <c r="H279" s="108"/>
      <c r="I279" s="108"/>
      <c r="J279" s="108"/>
      <c r="K279" s="108"/>
      <c r="L279" s="108"/>
      <c r="M279" s="108"/>
      <c r="N279" s="108"/>
      <c r="O279" s="108"/>
      <c r="P279" s="108"/>
      <c r="Q279" s="108"/>
      <c r="R279" s="108"/>
      <c r="S279" s="108"/>
      <c r="T279" s="108"/>
      <c r="U279" s="108"/>
      <c r="W279" s="108"/>
      <c r="X279" s="108"/>
    </row>
    <row r="280" spans="1:24" s="124" customFormat="1" ht="14.25" customHeight="1">
      <c r="A280" s="107"/>
      <c r="B280" s="108"/>
      <c r="C280" s="108"/>
      <c r="D280" s="108"/>
      <c r="E280" s="108"/>
      <c r="F280" s="108"/>
      <c r="G280" s="108"/>
      <c r="H280" s="108"/>
      <c r="I280" s="108"/>
      <c r="J280" s="108"/>
      <c r="K280" s="108"/>
      <c r="L280" s="108"/>
      <c r="M280" s="108"/>
      <c r="N280" s="108"/>
      <c r="O280" s="108"/>
      <c r="P280" s="108"/>
      <c r="Q280" s="108"/>
      <c r="R280" s="108"/>
      <c r="S280" s="108"/>
      <c r="T280" s="108"/>
      <c r="U280" s="108"/>
      <c r="W280" s="108"/>
      <c r="X280" s="108"/>
    </row>
    <row r="281" spans="1:24" s="124" customFormat="1" ht="14.25" customHeight="1">
      <c r="A281" s="107"/>
      <c r="B281" s="108"/>
      <c r="C281" s="108"/>
      <c r="D281" s="108"/>
      <c r="E281" s="108"/>
      <c r="F281" s="108"/>
      <c r="G281" s="108"/>
      <c r="H281" s="108"/>
      <c r="I281" s="108"/>
      <c r="J281" s="108"/>
      <c r="K281" s="108"/>
      <c r="L281" s="108"/>
      <c r="M281" s="108"/>
      <c r="N281" s="108"/>
      <c r="O281" s="108"/>
      <c r="P281" s="108"/>
      <c r="Q281" s="108"/>
      <c r="R281" s="108"/>
      <c r="S281" s="108"/>
      <c r="T281" s="108"/>
      <c r="U281" s="108"/>
      <c r="W281" s="108"/>
      <c r="X281" s="108"/>
    </row>
    <row r="282" spans="1:24" s="124" customFormat="1" ht="14.25" customHeight="1">
      <c r="A282" s="107"/>
      <c r="B282" s="108"/>
      <c r="C282" s="108"/>
      <c r="D282" s="108"/>
      <c r="E282" s="108"/>
      <c r="F282" s="108"/>
      <c r="G282" s="108"/>
      <c r="H282" s="108"/>
      <c r="I282" s="108"/>
      <c r="J282" s="108"/>
      <c r="K282" s="108"/>
      <c r="L282" s="108"/>
      <c r="M282" s="108"/>
      <c r="N282" s="108"/>
      <c r="O282" s="108"/>
      <c r="P282" s="108"/>
      <c r="Q282" s="108"/>
      <c r="R282" s="108"/>
      <c r="S282" s="108"/>
      <c r="T282" s="108"/>
      <c r="U282" s="108"/>
      <c r="W282" s="108"/>
      <c r="X282" s="108"/>
    </row>
    <row r="283" spans="1:24" s="124" customFormat="1" ht="14.25" customHeight="1">
      <c r="A283" s="107"/>
      <c r="B283" s="108"/>
      <c r="C283" s="108"/>
      <c r="D283" s="108"/>
      <c r="E283" s="108"/>
      <c r="F283" s="108"/>
      <c r="G283" s="108"/>
      <c r="H283" s="108"/>
      <c r="I283" s="108"/>
      <c r="J283" s="108"/>
      <c r="K283" s="108"/>
      <c r="L283" s="108"/>
      <c r="M283" s="108"/>
      <c r="N283" s="108"/>
      <c r="O283" s="108"/>
      <c r="P283" s="108"/>
      <c r="Q283" s="108"/>
      <c r="R283" s="108"/>
      <c r="S283" s="108"/>
      <c r="T283" s="108"/>
      <c r="U283" s="108"/>
      <c r="W283" s="108"/>
      <c r="X283" s="108"/>
    </row>
    <row r="284" spans="1:24" s="124" customFormat="1" ht="14.25" customHeight="1">
      <c r="A284" s="107"/>
      <c r="B284" s="108"/>
      <c r="C284" s="108"/>
      <c r="D284" s="108"/>
      <c r="E284" s="108"/>
      <c r="F284" s="108"/>
      <c r="G284" s="108"/>
      <c r="H284" s="108"/>
      <c r="I284" s="108"/>
      <c r="J284" s="108"/>
      <c r="K284" s="108"/>
      <c r="L284" s="108"/>
      <c r="M284" s="108"/>
      <c r="N284" s="108"/>
      <c r="O284" s="108"/>
      <c r="P284" s="108"/>
      <c r="Q284" s="108"/>
      <c r="R284" s="108"/>
      <c r="S284" s="108"/>
      <c r="T284" s="108"/>
      <c r="U284" s="108"/>
      <c r="W284" s="108"/>
      <c r="X284" s="108"/>
    </row>
    <row r="285" spans="1:24" s="124" customFormat="1" ht="14.25" customHeight="1">
      <c r="A285" s="107"/>
      <c r="B285" s="108"/>
      <c r="C285" s="108"/>
      <c r="D285" s="108"/>
      <c r="E285" s="108"/>
      <c r="F285" s="108"/>
      <c r="G285" s="108"/>
      <c r="H285" s="108"/>
      <c r="I285" s="108"/>
      <c r="J285" s="108"/>
      <c r="K285" s="108"/>
      <c r="L285" s="108"/>
      <c r="M285" s="108"/>
      <c r="N285" s="108"/>
      <c r="O285" s="108"/>
      <c r="P285" s="108"/>
      <c r="Q285" s="108"/>
      <c r="R285" s="108"/>
      <c r="S285" s="108"/>
      <c r="T285" s="108"/>
      <c r="U285" s="108"/>
      <c r="W285" s="108"/>
      <c r="X285" s="108"/>
    </row>
    <row r="286" spans="1:24" s="124" customFormat="1" ht="14.25" customHeight="1">
      <c r="A286" s="107"/>
      <c r="B286" s="108"/>
      <c r="C286" s="108"/>
      <c r="D286" s="108"/>
      <c r="E286" s="108"/>
      <c r="F286" s="108"/>
      <c r="G286" s="108"/>
      <c r="H286" s="108"/>
      <c r="I286" s="108"/>
      <c r="J286" s="108"/>
      <c r="K286" s="108"/>
      <c r="L286" s="108"/>
      <c r="M286" s="108"/>
      <c r="N286" s="108"/>
      <c r="O286" s="108"/>
      <c r="P286" s="108"/>
      <c r="Q286" s="108"/>
      <c r="R286" s="108"/>
      <c r="S286" s="108"/>
      <c r="T286" s="108"/>
      <c r="U286" s="108"/>
      <c r="W286" s="108"/>
      <c r="X286" s="108"/>
    </row>
    <row r="287" spans="1:24" s="124" customFormat="1" ht="14.25" customHeight="1">
      <c r="A287" s="107"/>
      <c r="B287" s="108"/>
      <c r="C287" s="108"/>
      <c r="D287" s="108"/>
      <c r="E287" s="108"/>
      <c r="F287" s="108"/>
      <c r="G287" s="108"/>
      <c r="H287" s="108"/>
      <c r="I287" s="108"/>
      <c r="J287" s="108"/>
      <c r="K287" s="108"/>
      <c r="L287" s="108"/>
      <c r="M287" s="108"/>
      <c r="N287" s="108"/>
      <c r="O287" s="108"/>
      <c r="P287" s="108"/>
      <c r="Q287" s="108"/>
      <c r="R287" s="108"/>
      <c r="S287" s="108"/>
      <c r="T287" s="108"/>
      <c r="U287" s="108"/>
      <c r="W287" s="108"/>
      <c r="X287" s="108"/>
    </row>
    <row r="288" spans="1:24" s="124" customFormat="1" ht="14.25" customHeight="1">
      <c r="A288" s="107"/>
      <c r="B288" s="108"/>
      <c r="C288" s="108"/>
      <c r="D288" s="108"/>
      <c r="E288" s="108"/>
      <c r="F288" s="108"/>
      <c r="G288" s="108"/>
      <c r="H288" s="108"/>
      <c r="I288" s="108"/>
      <c r="J288" s="108"/>
      <c r="K288" s="108"/>
      <c r="L288" s="108"/>
      <c r="M288" s="108"/>
      <c r="N288" s="108"/>
      <c r="O288" s="108"/>
      <c r="P288" s="108"/>
      <c r="Q288" s="108"/>
      <c r="R288" s="108"/>
      <c r="S288" s="108"/>
      <c r="T288" s="108"/>
      <c r="U288" s="108"/>
      <c r="W288" s="108"/>
      <c r="X288" s="108"/>
    </row>
    <row r="289" spans="1:24" s="124" customFormat="1" ht="14.25" customHeight="1">
      <c r="A289" s="107"/>
      <c r="B289" s="108"/>
      <c r="C289" s="108"/>
      <c r="D289" s="108"/>
      <c r="E289" s="108"/>
      <c r="F289" s="108"/>
      <c r="G289" s="108"/>
      <c r="H289" s="108"/>
      <c r="I289" s="108"/>
      <c r="J289" s="108"/>
      <c r="K289" s="108"/>
      <c r="L289" s="108"/>
      <c r="M289" s="108"/>
      <c r="N289" s="108"/>
      <c r="O289" s="108"/>
      <c r="P289" s="108"/>
      <c r="Q289" s="108"/>
      <c r="R289" s="108"/>
      <c r="S289" s="108"/>
      <c r="T289" s="108"/>
      <c r="U289" s="108"/>
      <c r="W289" s="108"/>
      <c r="X289" s="108"/>
    </row>
    <row r="290" spans="1:24" s="124" customFormat="1" ht="14.25" customHeight="1">
      <c r="A290" s="107"/>
      <c r="B290" s="108"/>
      <c r="C290" s="108"/>
      <c r="D290" s="108"/>
      <c r="E290" s="108"/>
      <c r="F290" s="108"/>
      <c r="G290" s="108"/>
      <c r="H290" s="108"/>
      <c r="I290" s="108"/>
      <c r="J290" s="108"/>
      <c r="K290" s="108"/>
      <c r="L290" s="108"/>
      <c r="M290" s="108"/>
      <c r="N290" s="108"/>
      <c r="O290" s="108"/>
      <c r="P290" s="108"/>
      <c r="Q290" s="108"/>
      <c r="R290" s="108"/>
      <c r="S290" s="108"/>
      <c r="T290" s="108"/>
      <c r="U290" s="108"/>
      <c r="W290" s="108"/>
      <c r="X290" s="108"/>
    </row>
    <row r="291" spans="1:24" s="124" customFormat="1" ht="14.25" customHeight="1">
      <c r="A291" s="107"/>
      <c r="B291" s="108"/>
      <c r="C291" s="108"/>
      <c r="D291" s="108"/>
      <c r="E291" s="108"/>
      <c r="F291" s="108"/>
      <c r="G291" s="108"/>
      <c r="H291" s="108"/>
      <c r="I291" s="108"/>
      <c r="J291" s="108"/>
      <c r="K291" s="108"/>
      <c r="L291" s="108"/>
      <c r="M291" s="108"/>
      <c r="N291" s="108"/>
      <c r="O291" s="108"/>
      <c r="P291" s="108"/>
      <c r="Q291" s="108"/>
      <c r="R291" s="108"/>
      <c r="S291" s="108"/>
      <c r="T291" s="108"/>
      <c r="U291" s="108"/>
      <c r="W291" s="108"/>
      <c r="X291" s="108"/>
    </row>
    <row r="292" spans="1:24" s="124" customFormat="1" ht="14.25" customHeight="1">
      <c r="A292" s="107"/>
      <c r="B292" s="108"/>
      <c r="C292" s="108"/>
      <c r="D292" s="108"/>
      <c r="E292" s="108"/>
      <c r="F292" s="108"/>
      <c r="G292" s="108"/>
      <c r="H292" s="108"/>
      <c r="I292" s="108"/>
      <c r="J292" s="108"/>
      <c r="K292" s="108"/>
      <c r="L292" s="108"/>
      <c r="M292" s="108"/>
      <c r="N292" s="108"/>
      <c r="O292" s="108"/>
      <c r="P292" s="108"/>
      <c r="Q292" s="108"/>
      <c r="R292" s="108"/>
      <c r="S292" s="108"/>
      <c r="T292" s="108"/>
      <c r="U292" s="108"/>
      <c r="W292" s="108"/>
      <c r="X292" s="108"/>
    </row>
    <row r="293" spans="1:24" s="124" customFormat="1" ht="14.25" customHeight="1">
      <c r="A293" s="107"/>
      <c r="B293" s="108"/>
      <c r="C293" s="108"/>
      <c r="D293" s="108"/>
      <c r="E293" s="108"/>
      <c r="F293" s="108"/>
      <c r="G293" s="108"/>
      <c r="H293" s="108"/>
      <c r="I293" s="108"/>
      <c r="J293" s="108"/>
      <c r="K293" s="108"/>
      <c r="L293" s="108"/>
      <c r="M293" s="108"/>
      <c r="N293" s="108"/>
      <c r="O293" s="108"/>
      <c r="P293" s="108"/>
      <c r="Q293" s="108"/>
      <c r="R293" s="108"/>
      <c r="S293" s="108"/>
      <c r="T293" s="108"/>
      <c r="U293" s="108"/>
      <c r="W293" s="108"/>
      <c r="X293" s="108"/>
    </row>
    <row r="294" spans="1:24" s="124" customFormat="1" ht="14.25" customHeight="1">
      <c r="A294" s="107"/>
      <c r="B294" s="108"/>
      <c r="C294" s="108"/>
      <c r="D294" s="108"/>
      <c r="E294" s="108"/>
      <c r="F294" s="108"/>
      <c r="G294" s="108"/>
      <c r="H294" s="108"/>
      <c r="I294" s="108"/>
      <c r="J294" s="108"/>
      <c r="K294" s="108"/>
      <c r="L294" s="108"/>
      <c r="M294" s="108"/>
      <c r="N294" s="108"/>
      <c r="O294" s="108"/>
      <c r="P294" s="108"/>
      <c r="Q294" s="108"/>
      <c r="R294" s="108"/>
      <c r="S294" s="108"/>
      <c r="T294" s="108"/>
      <c r="U294" s="108"/>
      <c r="W294" s="108"/>
      <c r="X294" s="108"/>
    </row>
    <row r="295" spans="1:24" s="124" customFormat="1" ht="14.25" customHeight="1">
      <c r="A295" s="107"/>
      <c r="B295" s="108"/>
      <c r="C295" s="108"/>
      <c r="D295" s="108"/>
      <c r="E295" s="108"/>
      <c r="F295" s="108"/>
      <c r="G295" s="108"/>
      <c r="H295" s="108"/>
      <c r="I295" s="108"/>
      <c r="J295" s="108"/>
      <c r="K295" s="108"/>
      <c r="L295" s="108"/>
      <c r="M295" s="108"/>
      <c r="N295" s="108"/>
      <c r="O295" s="108"/>
      <c r="P295" s="108"/>
      <c r="Q295" s="108"/>
      <c r="R295" s="108"/>
      <c r="S295" s="108"/>
      <c r="T295" s="108"/>
      <c r="U295" s="108"/>
      <c r="W295" s="108"/>
      <c r="X295" s="108"/>
    </row>
    <row r="296" spans="1:24" s="124" customFormat="1" ht="14.25" customHeight="1">
      <c r="A296" s="107"/>
      <c r="B296" s="108"/>
      <c r="C296" s="108"/>
      <c r="D296" s="108"/>
      <c r="E296" s="108"/>
      <c r="F296" s="108"/>
      <c r="G296" s="108"/>
      <c r="H296" s="108"/>
      <c r="I296" s="108"/>
      <c r="J296" s="108"/>
      <c r="K296" s="108"/>
      <c r="L296" s="108"/>
      <c r="M296" s="108"/>
      <c r="N296" s="108"/>
      <c r="O296" s="108"/>
      <c r="P296" s="108"/>
      <c r="Q296" s="108"/>
      <c r="R296" s="108"/>
      <c r="S296" s="108"/>
      <c r="T296" s="108"/>
      <c r="U296" s="108"/>
      <c r="W296" s="108"/>
      <c r="X296" s="108"/>
    </row>
    <row r="297" spans="1:24" s="124" customFormat="1" ht="14.25" customHeight="1">
      <c r="A297" s="107"/>
      <c r="B297" s="108"/>
      <c r="C297" s="108"/>
      <c r="D297" s="108"/>
      <c r="E297" s="108"/>
      <c r="F297" s="108"/>
      <c r="G297" s="108"/>
      <c r="H297" s="108"/>
      <c r="I297" s="108"/>
      <c r="J297" s="108"/>
      <c r="K297" s="108"/>
      <c r="L297" s="108"/>
      <c r="M297" s="108"/>
      <c r="N297" s="108"/>
      <c r="O297" s="108"/>
      <c r="P297" s="108"/>
      <c r="Q297" s="108"/>
      <c r="R297" s="108"/>
      <c r="S297" s="108"/>
      <c r="T297" s="108"/>
      <c r="U297" s="108"/>
      <c r="W297" s="108"/>
      <c r="X297" s="108"/>
    </row>
    <row r="298" spans="1:24" s="124" customFormat="1" ht="14.25" customHeight="1">
      <c r="A298" s="107"/>
      <c r="B298" s="108"/>
      <c r="C298" s="108"/>
      <c r="D298" s="108"/>
      <c r="E298" s="108"/>
      <c r="F298" s="108"/>
      <c r="G298" s="108"/>
      <c r="H298" s="108"/>
      <c r="I298" s="108"/>
      <c r="J298" s="108"/>
      <c r="K298" s="108"/>
      <c r="L298" s="108"/>
      <c r="M298" s="108"/>
      <c r="N298" s="108"/>
      <c r="O298" s="108"/>
      <c r="P298" s="108"/>
      <c r="Q298" s="108"/>
      <c r="R298" s="108"/>
      <c r="S298" s="108"/>
      <c r="T298" s="108"/>
      <c r="U298" s="108"/>
      <c r="W298" s="108"/>
      <c r="X298" s="108"/>
    </row>
    <row r="299" spans="1:24" s="124" customFormat="1" ht="14.25" customHeight="1">
      <c r="A299" s="107"/>
      <c r="B299" s="108"/>
      <c r="C299" s="108"/>
      <c r="D299" s="108"/>
      <c r="E299" s="108"/>
      <c r="F299" s="108"/>
      <c r="G299" s="108"/>
      <c r="H299" s="108"/>
      <c r="I299" s="108"/>
      <c r="J299" s="108"/>
      <c r="K299" s="108"/>
      <c r="L299" s="108"/>
      <c r="M299" s="108"/>
      <c r="N299" s="108"/>
      <c r="O299" s="108"/>
      <c r="P299" s="108"/>
      <c r="Q299" s="108"/>
      <c r="R299" s="108"/>
      <c r="S299" s="108"/>
      <c r="T299" s="108"/>
      <c r="U299" s="108"/>
      <c r="W299" s="108"/>
      <c r="X299" s="108"/>
    </row>
    <row r="300" spans="1:24" s="124" customFormat="1" ht="14.25" customHeight="1">
      <c r="A300" s="107"/>
      <c r="B300" s="108"/>
      <c r="C300" s="108"/>
      <c r="D300" s="108"/>
      <c r="E300" s="108"/>
      <c r="F300" s="108"/>
      <c r="G300" s="108"/>
      <c r="H300" s="108"/>
      <c r="I300" s="108"/>
      <c r="J300" s="108"/>
      <c r="K300" s="108"/>
      <c r="L300" s="108"/>
      <c r="M300" s="108"/>
      <c r="N300" s="108"/>
      <c r="O300" s="108"/>
      <c r="P300" s="108"/>
      <c r="Q300" s="108"/>
      <c r="R300" s="108"/>
      <c r="S300" s="108"/>
      <c r="T300" s="108"/>
      <c r="U300" s="108"/>
      <c r="W300" s="108"/>
      <c r="X300" s="108"/>
    </row>
    <row r="301" spans="1:24" s="124" customFormat="1" ht="14.25" customHeight="1">
      <c r="A301" s="107"/>
      <c r="B301" s="108"/>
      <c r="C301" s="108"/>
      <c r="D301" s="108"/>
      <c r="E301" s="108"/>
      <c r="F301" s="108"/>
      <c r="G301" s="108"/>
      <c r="H301" s="108"/>
      <c r="I301" s="108"/>
      <c r="J301" s="108"/>
      <c r="K301" s="108"/>
      <c r="L301" s="108"/>
      <c r="M301" s="108"/>
      <c r="N301" s="108"/>
      <c r="O301" s="108"/>
      <c r="P301" s="108"/>
      <c r="Q301" s="108"/>
      <c r="R301" s="108"/>
      <c r="S301" s="108"/>
      <c r="T301" s="108"/>
      <c r="U301" s="108"/>
      <c r="W301" s="108"/>
      <c r="X301" s="108"/>
    </row>
    <row r="302" spans="1:24" s="124" customFormat="1" ht="14.25" customHeight="1">
      <c r="A302" s="107"/>
      <c r="B302" s="108"/>
      <c r="C302" s="108"/>
      <c r="D302" s="108"/>
      <c r="E302" s="108"/>
      <c r="F302" s="108"/>
      <c r="G302" s="108"/>
      <c r="H302" s="108"/>
      <c r="I302" s="108"/>
      <c r="J302" s="108"/>
      <c r="K302" s="108"/>
      <c r="L302" s="108"/>
      <c r="M302" s="108"/>
      <c r="N302" s="108"/>
      <c r="O302" s="108"/>
      <c r="P302" s="108"/>
      <c r="Q302" s="108"/>
      <c r="R302" s="108"/>
      <c r="S302" s="108"/>
      <c r="T302" s="108"/>
      <c r="U302" s="108"/>
      <c r="W302" s="108"/>
      <c r="X302" s="108"/>
    </row>
    <row r="303" spans="1:24" s="124" customFormat="1" ht="14.25" customHeight="1">
      <c r="A303" s="107"/>
      <c r="B303" s="108"/>
      <c r="C303" s="108"/>
      <c r="D303" s="108"/>
      <c r="E303" s="108"/>
      <c r="F303" s="108"/>
      <c r="G303" s="108"/>
      <c r="H303" s="108"/>
      <c r="I303" s="108"/>
      <c r="J303" s="108"/>
      <c r="K303" s="108"/>
      <c r="L303" s="108"/>
      <c r="M303" s="108"/>
      <c r="N303" s="108"/>
      <c r="O303" s="108"/>
      <c r="P303" s="108"/>
      <c r="Q303" s="108"/>
      <c r="R303" s="108"/>
      <c r="S303" s="108"/>
      <c r="T303" s="108"/>
      <c r="U303" s="108"/>
      <c r="W303" s="108"/>
      <c r="X303" s="108"/>
    </row>
    <row r="304" spans="1:24" s="124" customFormat="1" ht="14.25" customHeight="1">
      <c r="A304" s="107"/>
      <c r="B304" s="108"/>
      <c r="C304" s="108"/>
      <c r="D304" s="108"/>
      <c r="E304" s="108"/>
      <c r="F304" s="108"/>
      <c r="G304" s="108"/>
      <c r="H304" s="108"/>
      <c r="I304" s="108"/>
      <c r="J304" s="108"/>
      <c r="K304" s="108"/>
      <c r="L304" s="108"/>
      <c r="M304" s="108"/>
      <c r="N304" s="108"/>
      <c r="O304" s="108"/>
      <c r="P304" s="108"/>
      <c r="Q304" s="108"/>
      <c r="R304" s="108"/>
      <c r="S304" s="108"/>
      <c r="T304" s="108"/>
      <c r="U304" s="108"/>
      <c r="W304" s="108"/>
      <c r="X304" s="108"/>
    </row>
    <row r="305" spans="1:24" s="124" customFormat="1" ht="14.25" customHeight="1">
      <c r="A305" s="107"/>
      <c r="B305" s="108"/>
      <c r="C305" s="108"/>
      <c r="D305" s="108"/>
      <c r="E305" s="108"/>
      <c r="F305" s="108"/>
      <c r="G305" s="108"/>
      <c r="H305" s="108"/>
      <c r="I305" s="108"/>
      <c r="J305" s="108"/>
      <c r="K305" s="108"/>
      <c r="L305" s="108"/>
      <c r="M305" s="108"/>
      <c r="N305" s="108"/>
      <c r="O305" s="108"/>
      <c r="P305" s="108"/>
      <c r="Q305" s="108"/>
      <c r="R305" s="108"/>
      <c r="S305" s="108"/>
      <c r="T305" s="108"/>
      <c r="U305" s="108"/>
      <c r="W305" s="108"/>
      <c r="X305" s="108"/>
    </row>
    <row r="306" spans="1:24" s="124" customFormat="1" ht="14.25" customHeight="1">
      <c r="A306" s="107"/>
      <c r="B306" s="108"/>
      <c r="C306" s="108"/>
      <c r="D306" s="108"/>
      <c r="E306" s="108"/>
      <c r="F306" s="108"/>
      <c r="G306" s="108"/>
      <c r="H306" s="108"/>
      <c r="I306" s="108"/>
      <c r="J306" s="108"/>
      <c r="K306" s="108"/>
      <c r="L306" s="108"/>
      <c r="M306" s="108"/>
      <c r="N306" s="108"/>
      <c r="O306" s="108"/>
      <c r="P306" s="108"/>
      <c r="Q306" s="108"/>
      <c r="R306" s="108"/>
      <c r="S306" s="108"/>
      <c r="T306" s="108"/>
      <c r="U306" s="108"/>
      <c r="W306" s="108"/>
      <c r="X306" s="108"/>
    </row>
    <row r="307" spans="1:24" s="124" customFormat="1" ht="14.25" customHeight="1">
      <c r="A307" s="107"/>
      <c r="B307" s="108"/>
      <c r="C307" s="108"/>
      <c r="D307" s="108"/>
      <c r="E307" s="108"/>
      <c r="F307" s="108"/>
      <c r="G307" s="108"/>
      <c r="H307" s="108"/>
      <c r="I307" s="108"/>
      <c r="J307" s="108"/>
      <c r="K307" s="108"/>
      <c r="L307" s="108"/>
      <c r="M307" s="108"/>
      <c r="N307" s="108"/>
      <c r="O307" s="108"/>
      <c r="P307" s="108"/>
      <c r="Q307" s="108"/>
      <c r="R307" s="108"/>
      <c r="S307" s="108"/>
      <c r="T307" s="108"/>
      <c r="U307" s="108"/>
      <c r="W307" s="108"/>
      <c r="X307" s="108"/>
    </row>
    <row r="308" spans="1:24" s="124" customFormat="1" ht="14.25" customHeight="1">
      <c r="A308" s="107"/>
      <c r="B308" s="108"/>
      <c r="C308" s="108"/>
      <c r="D308" s="108"/>
      <c r="E308" s="108"/>
      <c r="F308" s="108"/>
      <c r="G308" s="108"/>
      <c r="H308" s="108"/>
      <c r="I308" s="108"/>
      <c r="J308" s="108"/>
      <c r="K308" s="108"/>
      <c r="L308" s="108"/>
      <c r="M308" s="108"/>
      <c r="N308" s="108"/>
      <c r="O308" s="108"/>
      <c r="P308" s="108"/>
      <c r="Q308" s="108"/>
      <c r="R308" s="108"/>
      <c r="S308" s="108"/>
      <c r="T308" s="108"/>
      <c r="U308" s="108"/>
      <c r="W308" s="108"/>
      <c r="X308" s="108"/>
    </row>
    <row r="309" spans="1:24" s="124" customFormat="1" ht="14.25" customHeight="1">
      <c r="A309" s="107"/>
      <c r="B309" s="108"/>
      <c r="C309" s="108"/>
      <c r="D309" s="108"/>
      <c r="E309" s="108"/>
      <c r="F309" s="108"/>
      <c r="G309" s="108"/>
      <c r="H309" s="108"/>
      <c r="I309" s="108"/>
      <c r="J309" s="108"/>
      <c r="K309" s="108"/>
      <c r="L309" s="108"/>
      <c r="M309" s="108"/>
      <c r="N309" s="108"/>
      <c r="O309" s="108"/>
      <c r="P309" s="108"/>
      <c r="Q309" s="108"/>
      <c r="R309" s="108"/>
      <c r="S309" s="108"/>
      <c r="T309" s="108"/>
      <c r="U309" s="108"/>
      <c r="W309" s="108"/>
      <c r="X309" s="108"/>
    </row>
    <row r="310" spans="1:24" s="124" customFormat="1" ht="14.25" customHeight="1">
      <c r="A310" s="107"/>
      <c r="B310" s="108"/>
      <c r="C310" s="108"/>
      <c r="D310" s="108"/>
      <c r="E310" s="108"/>
      <c r="F310" s="108"/>
      <c r="G310" s="108"/>
      <c r="H310" s="108"/>
      <c r="I310" s="108"/>
      <c r="J310" s="108"/>
      <c r="K310" s="108"/>
      <c r="L310" s="108"/>
      <c r="M310" s="108"/>
      <c r="N310" s="108"/>
      <c r="O310" s="108"/>
      <c r="P310" s="108"/>
      <c r="Q310" s="108"/>
      <c r="R310" s="108"/>
      <c r="S310" s="108"/>
      <c r="T310" s="108"/>
      <c r="U310" s="108"/>
      <c r="W310" s="108"/>
      <c r="X310" s="108"/>
    </row>
    <row r="311" spans="1:24" s="124" customFormat="1" ht="14.25" customHeight="1">
      <c r="A311" s="107"/>
      <c r="B311" s="108"/>
      <c r="C311" s="108"/>
      <c r="D311" s="108"/>
      <c r="E311" s="108"/>
      <c r="F311" s="108"/>
      <c r="G311" s="108"/>
      <c r="H311" s="108"/>
      <c r="I311" s="108"/>
      <c r="J311" s="108"/>
      <c r="K311" s="108"/>
      <c r="L311" s="108"/>
      <c r="M311" s="108"/>
      <c r="N311" s="108"/>
      <c r="O311" s="108"/>
      <c r="P311" s="108"/>
      <c r="Q311" s="108"/>
      <c r="R311" s="108"/>
      <c r="S311" s="108"/>
      <c r="T311" s="108"/>
      <c r="U311" s="108"/>
      <c r="W311" s="108"/>
      <c r="X311" s="108"/>
    </row>
    <row r="312" spans="1:24" s="124" customFormat="1" ht="14.25" customHeight="1">
      <c r="A312" s="107"/>
      <c r="B312" s="108"/>
      <c r="C312" s="108"/>
      <c r="D312" s="108"/>
      <c r="E312" s="108"/>
      <c r="F312" s="108"/>
      <c r="G312" s="108"/>
      <c r="H312" s="108"/>
      <c r="I312" s="108"/>
      <c r="J312" s="108"/>
      <c r="K312" s="108"/>
      <c r="L312" s="108"/>
      <c r="M312" s="108"/>
      <c r="N312" s="108"/>
      <c r="O312" s="108"/>
      <c r="P312" s="108"/>
      <c r="Q312" s="108"/>
      <c r="R312" s="108"/>
      <c r="S312" s="108"/>
      <c r="T312" s="108"/>
      <c r="U312" s="108"/>
      <c r="W312" s="108"/>
      <c r="X312" s="108"/>
    </row>
    <row r="313" spans="1:24" s="124" customFormat="1" ht="14.25" customHeight="1">
      <c r="A313" s="107"/>
      <c r="B313" s="108"/>
      <c r="C313" s="108"/>
      <c r="D313" s="108"/>
      <c r="E313" s="108"/>
      <c r="F313" s="108"/>
      <c r="G313" s="108"/>
      <c r="H313" s="108"/>
      <c r="I313" s="108"/>
      <c r="J313" s="108"/>
      <c r="K313" s="108"/>
      <c r="L313" s="108"/>
      <c r="M313" s="108"/>
      <c r="N313" s="108"/>
      <c r="O313" s="108"/>
      <c r="P313" s="108"/>
      <c r="Q313" s="108"/>
      <c r="R313" s="108"/>
      <c r="S313" s="108"/>
      <c r="T313" s="108"/>
      <c r="U313" s="108"/>
      <c r="W313" s="108"/>
      <c r="X313" s="108"/>
    </row>
    <row r="314" spans="1:24" s="124" customFormat="1" ht="14.25" customHeight="1">
      <c r="A314" s="107"/>
      <c r="B314" s="108"/>
      <c r="C314" s="108"/>
      <c r="D314" s="108"/>
      <c r="E314" s="108"/>
      <c r="F314" s="108"/>
      <c r="G314" s="108"/>
      <c r="H314" s="108"/>
      <c r="I314" s="108"/>
      <c r="J314" s="108"/>
      <c r="K314" s="108"/>
      <c r="L314" s="108"/>
      <c r="M314" s="108"/>
      <c r="N314" s="108"/>
      <c r="O314" s="108"/>
      <c r="P314" s="108"/>
      <c r="Q314" s="108"/>
      <c r="R314" s="108"/>
      <c r="S314" s="108"/>
      <c r="T314" s="108"/>
      <c r="U314" s="108"/>
      <c r="W314" s="108"/>
      <c r="X314" s="108"/>
    </row>
    <row r="315" spans="1:24" s="124" customFormat="1" ht="14.25" customHeight="1">
      <c r="A315" s="107"/>
      <c r="B315" s="108"/>
      <c r="C315" s="108"/>
      <c r="D315" s="108"/>
      <c r="E315" s="108"/>
      <c r="F315" s="108"/>
      <c r="G315" s="108"/>
      <c r="H315" s="108"/>
      <c r="I315" s="108"/>
      <c r="J315" s="108"/>
      <c r="K315" s="108"/>
      <c r="L315" s="108"/>
      <c r="M315" s="108"/>
      <c r="N315" s="108"/>
      <c r="O315" s="108"/>
      <c r="P315" s="108"/>
      <c r="Q315" s="108"/>
      <c r="R315" s="108"/>
      <c r="S315" s="108"/>
      <c r="T315" s="108"/>
      <c r="U315" s="108"/>
      <c r="W315" s="108"/>
      <c r="X315" s="108"/>
    </row>
    <row r="316" spans="1:24" s="124" customFormat="1" ht="14.25" customHeight="1">
      <c r="A316" s="107"/>
      <c r="B316" s="108"/>
      <c r="C316" s="108"/>
      <c r="D316" s="108"/>
      <c r="E316" s="108"/>
      <c r="F316" s="108"/>
      <c r="G316" s="108"/>
      <c r="H316" s="108"/>
      <c r="I316" s="108"/>
      <c r="J316" s="108"/>
      <c r="K316" s="108"/>
      <c r="L316" s="108"/>
      <c r="M316" s="108"/>
      <c r="N316" s="108"/>
      <c r="O316" s="108"/>
      <c r="P316" s="108"/>
      <c r="Q316" s="108"/>
      <c r="R316" s="108"/>
      <c r="S316" s="108"/>
      <c r="T316" s="108"/>
      <c r="U316" s="108"/>
      <c r="W316" s="108"/>
      <c r="X316" s="108"/>
    </row>
    <row r="317" spans="1:24" s="124" customFormat="1" ht="14.25" customHeight="1">
      <c r="A317" s="107"/>
      <c r="B317" s="108"/>
      <c r="C317" s="108"/>
      <c r="D317" s="108"/>
      <c r="E317" s="108"/>
      <c r="F317" s="108"/>
      <c r="G317" s="108"/>
      <c r="H317" s="108"/>
      <c r="I317" s="108"/>
      <c r="J317" s="108"/>
      <c r="K317" s="108"/>
      <c r="L317" s="108"/>
      <c r="M317" s="108"/>
      <c r="N317" s="108"/>
      <c r="O317" s="108"/>
      <c r="P317" s="108"/>
      <c r="Q317" s="108"/>
      <c r="R317" s="108"/>
      <c r="S317" s="108"/>
      <c r="T317" s="108"/>
      <c r="U317" s="108"/>
      <c r="W317" s="108"/>
      <c r="X317" s="108"/>
    </row>
    <row r="318" spans="1:24" s="124" customFormat="1" ht="14.25" customHeight="1">
      <c r="A318" s="107"/>
      <c r="B318" s="108"/>
      <c r="C318" s="108"/>
      <c r="D318" s="108"/>
      <c r="E318" s="108"/>
      <c r="F318" s="108"/>
      <c r="G318" s="108"/>
      <c r="H318" s="108"/>
      <c r="I318" s="108"/>
      <c r="J318" s="108"/>
      <c r="K318" s="108"/>
      <c r="L318" s="108"/>
      <c r="M318" s="108"/>
      <c r="N318" s="108"/>
      <c r="O318" s="108"/>
      <c r="P318" s="108"/>
      <c r="Q318" s="108"/>
      <c r="R318" s="108"/>
      <c r="S318" s="108"/>
      <c r="T318" s="108"/>
      <c r="U318" s="108"/>
      <c r="W318" s="108"/>
      <c r="X318" s="108"/>
    </row>
    <row r="319" spans="1:24" s="124" customFormat="1" ht="14.25" customHeight="1">
      <c r="A319" s="107"/>
      <c r="B319" s="108"/>
      <c r="C319" s="108"/>
      <c r="D319" s="108"/>
      <c r="E319" s="108"/>
      <c r="F319" s="108"/>
      <c r="G319" s="108"/>
      <c r="H319" s="108"/>
      <c r="I319" s="108"/>
      <c r="J319" s="108"/>
      <c r="K319" s="108"/>
      <c r="L319" s="108"/>
      <c r="M319" s="108"/>
      <c r="N319" s="108"/>
      <c r="O319" s="108"/>
      <c r="P319" s="108"/>
      <c r="Q319" s="108"/>
      <c r="R319" s="108"/>
      <c r="S319" s="108"/>
      <c r="T319" s="108"/>
      <c r="U319" s="108"/>
      <c r="W319" s="108"/>
      <c r="X319" s="108"/>
    </row>
    <row r="320" spans="1:24" s="124" customFormat="1" ht="14.25" customHeight="1">
      <c r="A320" s="107"/>
      <c r="B320" s="108"/>
      <c r="C320" s="108"/>
      <c r="D320" s="108"/>
      <c r="E320" s="108"/>
      <c r="F320" s="108"/>
      <c r="G320" s="108"/>
      <c r="H320" s="108"/>
      <c r="I320" s="108"/>
      <c r="J320" s="108"/>
      <c r="K320" s="108"/>
      <c r="L320" s="108"/>
      <c r="M320" s="108"/>
      <c r="N320" s="108"/>
      <c r="O320" s="108"/>
      <c r="P320" s="108"/>
      <c r="Q320" s="108"/>
      <c r="R320" s="108"/>
      <c r="S320" s="108"/>
      <c r="T320" s="108"/>
      <c r="U320" s="108"/>
      <c r="W320" s="108"/>
      <c r="X320" s="108"/>
    </row>
    <row r="321" spans="1:24" s="124" customFormat="1" ht="14.25" customHeight="1">
      <c r="A321" s="107"/>
      <c r="B321" s="108"/>
      <c r="C321" s="108"/>
      <c r="D321" s="108"/>
      <c r="E321" s="108"/>
      <c r="F321" s="108"/>
      <c r="G321" s="108"/>
      <c r="H321" s="108"/>
      <c r="I321" s="108"/>
      <c r="J321" s="108"/>
      <c r="K321" s="108"/>
      <c r="L321" s="108"/>
      <c r="M321" s="108"/>
      <c r="N321" s="108"/>
      <c r="O321" s="108"/>
      <c r="P321" s="108"/>
      <c r="Q321" s="108"/>
      <c r="R321" s="108"/>
      <c r="S321" s="108"/>
      <c r="T321" s="108"/>
      <c r="U321" s="108"/>
      <c r="W321" s="108"/>
      <c r="X321" s="108"/>
    </row>
    <row r="322" spans="1:24" s="124" customFormat="1" ht="14.25" customHeight="1">
      <c r="A322" s="107"/>
      <c r="B322" s="108"/>
      <c r="C322" s="108"/>
      <c r="D322" s="108"/>
      <c r="E322" s="108"/>
      <c r="F322" s="108"/>
      <c r="G322" s="108"/>
      <c r="H322" s="108"/>
      <c r="I322" s="108"/>
      <c r="J322" s="108"/>
      <c r="K322" s="108"/>
      <c r="L322" s="108"/>
      <c r="M322" s="108"/>
      <c r="N322" s="108"/>
      <c r="O322" s="108"/>
      <c r="P322" s="108"/>
      <c r="Q322" s="108"/>
      <c r="R322" s="108"/>
      <c r="S322" s="108"/>
      <c r="T322" s="108"/>
      <c r="U322" s="108"/>
      <c r="W322" s="108"/>
      <c r="X322" s="108"/>
    </row>
    <row r="323" spans="1:24" s="124" customFormat="1" ht="14.25" customHeight="1">
      <c r="A323" s="107"/>
      <c r="B323" s="108"/>
      <c r="C323" s="108"/>
      <c r="D323" s="108"/>
      <c r="E323" s="108"/>
      <c r="F323" s="108"/>
      <c r="G323" s="108"/>
      <c r="H323" s="108"/>
      <c r="I323" s="108"/>
      <c r="J323" s="108"/>
      <c r="K323" s="108"/>
      <c r="L323" s="108"/>
      <c r="M323" s="108"/>
      <c r="N323" s="108"/>
      <c r="O323" s="108"/>
      <c r="P323" s="108"/>
      <c r="Q323" s="108"/>
      <c r="R323" s="108"/>
      <c r="S323" s="108"/>
      <c r="T323" s="108"/>
      <c r="U323" s="108"/>
      <c r="W323" s="108"/>
      <c r="X323" s="108"/>
    </row>
    <row r="324" spans="1:24" s="124" customFormat="1" ht="14.25" customHeight="1">
      <c r="A324" s="107"/>
      <c r="B324" s="108"/>
      <c r="C324" s="108"/>
      <c r="D324" s="108"/>
      <c r="E324" s="108"/>
      <c r="F324" s="108"/>
      <c r="G324" s="108"/>
      <c r="H324" s="108"/>
      <c r="I324" s="108"/>
      <c r="J324" s="108"/>
      <c r="K324" s="108"/>
      <c r="L324" s="108"/>
      <c r="M324" s="108"/>
      <c r="N324" s="108"/>
      <c r="O324" s="108"/>
      <c r="P324" s="108"/>
      <c r="Q324" s="108"/>
      <c r="R324" s="108"/>
      <c r="S324" s="108"/>
      <c r="T324" s="108"/>
      <c r="U324" s="108"/>
      <c r="W324" s="108"/>
      <c r="X324" s="108"/>
    </row>
    <row r="325" spans="1:24" s="124" customFormat="1" ht="14.25" customHeight="1">
      <c r="A325" s="107"/>
      <c r="B325" s="108"/>
      <c r="C325" s="108"/>
      <c r="D325" s="108"/>
      <c r="E325" s="108"/>
      <c r="F325" s="108"/>
      <c r="G325" s="108"/>
      <c r="H325" s="108"/>
      <c r="I325" s="108"/>
      <c r="J325" s="108"/>
      <c r="K325" s="108"/>
      <c r="L325" s="108"/>
      <c r="M325" s="108"/>
      <c r="N325" s="108"/>
      <c r="O325" s="108"/>
      <c r="P325" s="108"/>
      <c r="Q325" s="108"/>
      <c r="R325" s="108"/>
      <c r="S325" s="108"/>
      <c r="T325" s="108"/>
      <c r="U325" s="108"/>
      <c r="W325" s="108"/>
      <c r="X325" s="108"/>
    </row>
    <row r="326" spans="1:24" s="124" customFormat="1" ht="14.25" customHeight="1">
      <c r="A326" s="107"/>
      <c r="B326" s="108"/>
      <c r="C326" s="108"/>
      <c r="D326" s="108"/>
      <c r="E326" s="108"/>
      <c r="F326" s="108"/>
      <c r="G326" s="108"/>
      <c r="H326" s="108"/>
      <c r="I326" s="108"/>
      <c r="J326" s="108"/>
      <c r="K326" s="108"/>
      <c r="L326" s="108"/>
      <c r="M326" s="108"/>
      <c r="N326" s="108"/>
      <c r="O326" s="108"/>
      <c r="P326" s="108"/>
      <c r="Q326" s="108"/>
      <c r="R326" s="108"/>
      <c r="S326" s="108"/>
      <c r="T326" s="108"/>
      <c r="U326" s="108"/>
      <c r="W326" s="108"/>
      <c r="X326" s="108"/>
    </row>
    <row r="327" spans="1:24" s="124" customFormat="1" ht="14.25" customHeight="1">
      <c r="A327" s="107"/>
      <c r="B327" s="108"/>
      <c r="C327" s="108"/>
      <c r="D327" s="108"/>
      <c r="E327" s="108"/>
      <c r="F327" s="108"/>
      <c r="G327" s="108"/>
      <c r="H327" s="108"/>
      <c r="I327" s="108"/>
      <c r="J327" s="108"/>
      <c r="K327" s="108"/>
      <c r="L327" s="108"/>
      <c r="M327" s="108"/>
      <c r="N327" s="108"/>
      <c r="O327" s="108"/>
      <c r="P327" s="108"/>
      <c r="Q327" s="108"/>
      <c r="R327" s="108"/>
      <c r="S327" s="108"/>
      <c r="T327" s="108"/>
      <c r="U327" s="108"/>
      <c r="W327" s="108"/>
      <c r="X327" s="108"/>
    </row>
    <row r="328" spans="1:24" s="124" customFormat="1" ht="14.25" customHeight="1">
      <c r="A328" s="107"/>
      <c r="B328" s="108"/>
      <c r="C328" s="108"/>
      <c r="D328" s="108"/>
      <c r="E328" s="108"/>
      <c r="F328" s="108"/>
      <c r="G328" s="108"/>
      <c r="H328" s="108"/>
      <c r="I328" s="108"/>
      <c r="J328" s="108"/>
      <c r="K328" s="108"/>
      <c r="L328" s="108"/>
      <c r="M328" s="108"/>
      <c r="N328" s="108"/>
      <c r="O328" s="108"/>
      <c r="P328" s="108"/>
      <c r="Q328" s="108"/>
      <c r="R328" s="108"/>
      <c r="S328" s="108"/>
      <c r="T328" s="108"/>
      <c r="U328" s="108"/>
      <c r="W328" s="108"/>
      <c r="X328" s="108"/>
    </row>
    <row r="329" spans="1:24" s="124" customFormat="1" ht="14.25" customHeight="1">
      <c r="A329" s="107"/>
      <c r="B329" s="108"/>
      <c r="C329" s="108"/>
      <c r="D329" s="108"/>
      <c r="E329" s="108"/>
      <c r="F329" s="108"/>
      <c r="G329" s="108"/>
      <c r="H329" s="108"/>
      <c r="I329" s="108"/>
      <c r="J329" s="108"/>
      <c r="K329" s="108"/>
      <c r="L329" s="108"/>
      <c r="M329" s="108"/>
      <c r="N329" s="108"/>
      <c r="O329" s="108"/>
      <c r="P329" s="108"/>
      <c r="Q329" s="108"/>
      <c r="R329" s="108"/>
      <c r="S329" s="108"/>
      <c r="T329" s="108"/>
      <c r="U329" s="108"/>
      <c r="W329" s="108"/>
      <c r="X329" s="108"/>
    </row>
    <row r="330" spans="1:24" s="124" customFormat="1" ht="14.25" customHeight="1">
      <c r="A330" s="107"/>
      <c r="B330" s="108"/>
      <c r="C330" s="108"/>
      <c r="D330" s="108"/>
      <c r="E330" s="108"/>
      <c r="F330" s="108"/>
      <c r="G330" s="108"/>
      <c r="H330" s="108"/>
      <c r="I330" s="108"/>
      <c r="J330" s="108"/>
      <c r="K330" s="108"/>
      <c r="L330" s="108"/>
      <c r="M330" s="108"/>
      <c r="N330" s="108"/>
      <c r="O330" s="108"/>
      <c r="P330" s="108"/>
      <c r="Q330" s="108"/>
      <c r="R330" s="108"/>
      <c r="S330" s="108"/>
      <c r="T330" s="108"/>
      <c r="U330" s="108"/>
      <c r="W330" s="108"/>
      <c r="X330" s="108"/>
    </row>
    <row r="331" spans="1:24" s="124" customFormat="1" ht="14.25" customHeight="1">
      <c r="A331" s="107"/>
      <c r="B331" s="108"/>
      <c r="C331" s="108"/>
      <c r="D331" s="108"/>
      <c r="E331" s="108"/>
      <c r="F331" s="108"/>
      <c r="G331" s="108"/>
      <c r="H331" s="108"/>
      <c r="I331" s="108"/>
      <c r="J331" s="108"/>
      <c r="K331" s="108"/>
      <c r="L331" s="108"/>
      <c r="M331" s="108"/>
      <c r="N331" s="108"/>
      <c r="O331" s="108"/>
      <c r="P331" s="108"/>
      <c r="Q331" s="108"/>
      <c r="R331" s="108"/>
      <c r="S331" s="108"/>
      <c r="T331" s="108"/>
      <c r="U331" s="108"/>
      <c r="W331" s="108"/>
      <c r="X331" s="108"/>
    </row>
    <row r="332" spans="1:24" s="124" customFormat="1" ht="14.25" customHeight="1">
      <c r="A332" s="107"/>
      <c r="B332" s="108"/>
      <c r="C332" s="108"/>
      <c r="D332" s="108"/>
      <c r="E332" s="108"/>
      <c r="F332" s="108"/>
      <c r="G332" s="108"/>
      <c r="H332" s="108"/>
      <c r="I332" s="108"/>
      <c r="J332" s="108"/>
      <c r="K332" s="108"/>
      <c r="L332" s="108"/>
      <c r="M332" s="108"/>
      <c r="N332" s="108"/>
      <c r="O332" s="108"/>
      <c r="P332" s="108"/>
      <c r="Q332" s="108"/>
      <c r="R332" s="108"/>
      <c r="S332" s="108"/>
      <c r="T332" s="108"/>
      <c r="U332" s="108"/>
      <c r="W332" s="108"/>
      <c r="X332" s="108"/>
    </row>
    <row r="333" spans="1:24" s="124" customFormat="1" ht="14.25" customHeight="1">
      <c r="A333" s="107"/>
      <c r="B333" s="108"/>
      <c r="C333" s="108"/>
      <c r="D333" s="108"/>
      <c r="E333" s="108"/>
      <c r="F333" s="108"/>
      <c r="G333" s="108"/>
      <c r="H333" s="108"/>
      <c r="I333" s="108"/>
      <c r="J333" s="108"/>
      <c r="K333" s="108"/>
      <c r="L333" s="108"/>
      <c r="M333" s="108"/>
      <c r="N333" s="108"/>
      <c r="O333" s="108"/>
      <c r="P333" s="108"/>
      <c r="Q333" s="108"/>
      <c r="R333" s="108"/>
      <c r="S333" s="108"/>
      <c r="T333" s="108"/>
      <c r="U333" s="108"/>
      <c r="W333" s="108"/>
      <c r="X333" s="108"/>
    </row>
    <row r="334" spans="1:24" s="124" customFormat="1" ht="14.25" customHeight="1">
      <c r="A334" s="107"/>
      <c r="B334" s="108"/>
      <c r="C334" s="108"/>
      <c r="D334" s="108"/>
      <c r="E334" s="108"/>
      <c r="F334" s="108"/>
      <c r="G334" s="108"/>
      <c r="H334" s="108"/>
      <c r="I334" s="108"/>
      <c r="J334" s="108"/>
      <c r="K334" s="108"/>
      <c r="L334" s="108"/>
      <c r="M334" s="108"/>
      <c r="N334" s="108"/>
      <c r="O334" s="108"/>
      <c r="P334" s="108"/>
      <c r="Q334" s="108"/>
      <c r="R334" s="108"/>
      <c r="S334" s="108"/>
      <c r="T334" s="108"/>
      <c r="U334" s="108"/>
      <c r="W334" s="108"/>
      <c r="X334" s="108"/>
    </row>
    <row r="335" spans="1:24" s="124" customFormat="1" ht="14.25" customHeight="1">
      <c r="A335" s="107"/>
      <c r="B335" s="108"/>
      <c r="C335" s="108"/>
      <c r="D335" s="108"/>
      <c r="E335" s="108"/>
      <c r="F335" s="108"/>
      <c r="G335" s="108"/>
      <c r="H335" s="108"/>
      <c r="I335" s="108"/>
      <c r="J335" s="108"/>
      <c r="K335" s="108"/>
      <c r="L335" s="108"/>
      <c r="M335" s="108"/>
      <c r="N335" s="108"/>
      <c r="O335" s="108"/>
      <c r="P335" s="108"/>
      <c r="Q335" s="108"/>
      <c r="R335" s="108"/>
      <c r="S335" s="108"/>
      <c r="T335" s="108"/>
      <c r="U335" s="108"/>
      <c r="W335" s="108"/>
      <c r="X335" s="108"/>
    </row>
    <row r="336" spans="1:24" s="124" customFormat="1" ht="14.25" customHeight="1">
      <c r="A336" s="107"/>
      <c r="B336" s="108"/>
      <c r="C336" s="108"/>
      <c r="D336" s="108"/>
      <c r="E336" s="108"/>
      <c r="F336" s="108"/>
      <c r="G336" s="108"/>
      <c r="H336" s="108"/>
      <c r="I336" s="108"/>
      <c r="J336" s="108"/>
      <c r="K336" s="108"/>
      <c r="L336" s="108"/>
      <c r="M336" s="108"/>
      <c r="N336" s="108"/>
      <c r="O336" s="108"/>
      <c r="P336" s="108"/>
      <c r="Q336" s="108"/>
      <c r="R336" s="108"/>
      <c r="S336" s="108"/>
      <c r="T336" s="108"/>
      <c r="U336" s="108"/>
      <c r="W336" s="108"/>
      <c r="X336" s="108"/>
    </row>
    <row r="337" spans="1:24" s="124" customFormat="1" ht="14.25" customHeight="1">
      <c r="A337" s="107"/>
      <c r="B337" s="108"/>
      <c r="C337" s="108"/>
      <c r="D337" s="108"/>
      <c r="E337" s="108"/>
      <c r="F337" s="108"/>
      <c r="G337" s="108"/>
      <c r="H337" s="108"/>
      <c r="I337" s="108"/>
      <c r="J337" s="108"/>
      <c r="K337" s="108"/>
      <c r="L337" s="108"/>
      <c r="M337" s="108"/>
      <c r="N337" s="108"/>
      <c r="O337" s="108"/>
      <c r="P337" s="108"/>
      <c r="Q337" s="108"/>
      <c r="R337" s="108"/>
      <c r="S337" s="108"/>
      <c r="T337" s="108"/>
      <c r="U337" s="108"/>
      <c r="W337" s="108"/>
      <c r="X337" s="108"/>
    </row>
    <row r="338" spans="1:24" s="124" customFormat="1" ht="14.25" customHeight="1">
      <c r="A338" s="107"/>
      <c r="B338" s="108"/>
      <c r="C338" s="108"/>
      <c r="D338" s="108"/>
      <c r="E338" s="108"/>
      <c r="F338" s="108"/>
      <c r="G338" s="108"/>
      <c r="H338" s="108"/>
      <c r="I338" s="108"/>
      <c r="J338" s="108"/>
      <c r="K338" s="108"/>
      <c r="L338" s="108"/>
      <c r="M338" s="108"/>
      <c r="N338" s="108"/>
      <c r="O338" s="108"/>
      <c r="P338" s="108"/>
      <c r="Q338" s="108"/>
      <c r="R338" s="108"/>
      <c r="S338" s="108"/>
      <c r="T338" s="108"/>
      <c r="U338" s="108"/>
      <c r="W338" s="108"/>
      <c r="X338" s="108"/>
    </row>
    <row r="339" spans="1:24" s="124" customFormat="1" ht="14.25" customHeight="1">
      <c r="A339" s="107"/>
      <c r="B339" s="108"/>
      <c r="C339" s="108"/>
      <c r="D339" s="108"/>
      <c r="E339" s="108"/>
      <c r="F339" s="108"/>
      <c r="G339" s="108"/>
      <c r="H339" s="108"/>
      <c r="I339" s="108"/>
      <c r="J339" s="108"/>
      <c r="K339" s="108"/>
      <c r="L339" s="108"/>
      <c r="M339" s="108"/>
      <c r="N339" s="108"/>
      <c r="O339" s="108"/>
      <c r="P339" s="108"/>
      <c r="Q339" s="108"/>
      <c r="R339" s="108"/>
      <c r="S339" s="108"/>
      <c r="T339" s="108"/>
      <c r="U339" s="108"/>
      <c r="W339" s="108"/>
      <c r="X339" s="108"/>
    </row>
    <row r="340" spans="1:24" s="124" customFormat="1" ht="14.25" customHeight="1">
      <c r="A340" s="107"/>
      <c r="B340" s="108"/>
      <c r="C340" s="108"/>
      <c r="D340" s="108"/>
      <c r="E340" s="108"/>
      <c r="F340" s="108"/>
      <c r="G340" s="108"/>
      <c r="H340" s="108"/>
      <c r="I340" s="108"/>
      <c r="J340" s="108"/>
      <c r="K340" s="108"/>
      <c r="L340" s="108"/>
      <c r="M340" s="108"/>
      <c r="N340" s="108"/>
      <c r="O340" s="108"/>
      <c r="P340" s="108"/>
      <c r="Q340" s="108"/>
      <c r="R340" s="108"/>
      <c r="S340" s="108"/>
      <c r="T340" s="108"/>
      <c r="U340" s="108"/>
      <c r="W340" s="108"/>
      <c r="X340" s="108"/>
    </row>
    <row r="341" spans="1:24" s="124" customFormat="1" ht="14.25" customHeight="1">
      <c r="A341" s="107"/>
      <c r="B341" s="108"/>
      <c r="C341" s="108"/>
      <c r="D341" s="108"/>
      <c r="E341" s="108"/>
      <c r="F341" s="108"/>
      <c r="G341" s="108"/>
      <c r="H341" s="108"/>
      <c r="I341" s="108"/>
      <c r="J341" s="108"/>
      <c r="K341" s="108"/>
      <c r="L341" s="108"/>
      <c r="M341" s="108"/>
      <c r="N341" s="108"/>
      <c r="O341" s="108"/>
      <c r="P341" s="108"/>
      <c r="Q341" s="108"/>
      <c r="R341" s="108"/>
      <c r="S341" s="108"/>
      <c r="T341" s="108"/>
      <c r="U341" s="108"/>
      <c r="W341" s="108"/>
      <c r="X341" s="108"/>
    </row>
    <row r="342" spans="1:24" s="124" customFormat="1" ht="14.25" customHeight="1">
      <c r="A342" s="107"/>
      <c r="B342" s="108"/>
      <c r="C342" s="108"/>
      <c r="D342" s="108"/>
      <c r="E342" s="108"/>
      <c r="F342" s="108"/>
      <c r="G342" s="108"/>
      <c r="H342" s="108"/>
      <c r="I342" s="108"/>
      <c r="J342" s="108"/>
      <c r="K342" s="108"/>
      <c r="L342" s="108"/>
      <c r="M342" s="108"/>
      <c r="N342" s="108"/>
      <c r="O342" s="108"/>
      <c r="P342" s="108"/>
      <c r="Q342" s="108"/>
      <c r="R342" s="108"/>
      <c r="S342" s="108"/>
      <c r="T342" s="108"/>
      <c r="U342" s="108"/>
      <c r="W342" s="108"/>
      <c r="X342" s="108"/>
    </row>
    <row r="343" spans="1:24" s="124" customFormat="1" ht="14.25" customHeight="1">
      <c r="A343" s="107"/>
      <c r="B343" s="108"/>
      <c r="C343" s="108"/>
      <c r="D343" s="108"/>
      <c r="E343" s="108"/>
      <c r="F343" s="108"/>
      <c r="G343" s="108"/>
      <c r="H343" s="108"/>
      <c r="I343" s="108"/>
      <c r="J343" s="108"/>
      <c r="K343" s="108"/>
      <c r="L343" s="108"/>
      <c r="M343" s="108"/>
      <c r="N343" s="108"/>
      <c r="O343" s="108"/>
      <c r="P343" s="108"/>
      <c r="Q343" s="108"/>
      <c r="R343" s="108"/>
      <c r="S343" s="108"/>
      <c r="T343" s="108"/>
      <c r="U343" s="108"/>
      <c r="W343" s="108"/>
      <c r="X343" s="108"/>
    </row>
    <row r="344" spans="1:24" s="124" customFormat="1" ht="14.25" customHeight="1">
      <c r="A344" s="107"/>
      <c r="B344" s="108"/>
      <c r="C344" s="108"/>
      <c r="D344" s="108"/>
      <c r="E344" s="108"/>
      <c r="F344" s="108"/>
      <c r="G344" s="108"/>
      <c r="H344" s="108"/>
      <c r="I344" s="108"/>
      <c r="J344" s="108"/>
      <c r="K344" s="108"/>
      <c r="L344" s="108"/>
      <c r="M344" s="108"/>
      <c r="N344" s="108"/>
      <c r="O344" s="108"/>
      <c r="P344" s="108"/>
      <c r="Q344" s="108"/>
      <c r="R344" s="108"/>
      <c r="S344" s="108"/>
      <c r="T344" s="108"/>
      <c r="U344" s="108"/>
      <c r="W344" s="108"/>
      <c r="X344" s="108"/>
    </row>
    <row r="345" spans="1:24" s="124" customFormat="1" ht="14.25" customHeight="1">
      <c r="A345" s="107"/>
      <c r="B345" s="108"/>
      <c r="C345" s="108"/>
      <c r="D345" s="108"/>
      <c r="E345" s="108"/>
      <c r="F345" s="108"/>
      <c r="G345" s="108"/>
      <c r="H345" s="108"/>
      <c r="I345" s="108"/>
      <c r="J345" s="108"/>
      <c r="K345" s="108"/>
      <c r="L345" s="108"/>
      <c r="M345" s="108"/>
      <c r="N345" s="108"/>
      <c r="O345" s="108"/>
      <c r="P345" s="108"/>
      <c r="Q345" s="108"/>
      <c r="R345" s="108"/>
      <c r="S345" s="108"/>
      <c r="T345" s="108"/>
      <c r="U345" s="108"/>
      <c r="W345" s="108"/>
      <c r="X345" s="108"/>
    </row>
    <row r="346" spans="1:24" s="124" customFormat="1" ht="14.25" customHeight="1">
      <c r="A346" s="107"/>
      <c r="B346" s="108"/>
      <c r="C346" s="108"/>
      <c r="D346" s="108"/>
      <c r="E346" s="108"/>
      <c r="F346" s="108"/>
      <c r="G346" s="108"/>
      <c r="H346" s="108"/>
      <c r="I346" s="108"/>
      <c r="J346" s="108"/>
      <c r="K346" s="108"/>
      <c r="L346" s="108"/>
      <c r="M346" s="108"/>
      <c r="N346" s="108"/>
      <c r="O346" s="108"/>
      <c r="P346" s="108"/>
      <c r="Q346" s="108"/>
      <c r="R346" s="108"/>
      <c r="S346" s="108"/>
      <c r="T346" s="108"/>
      <c r="U346" s="108"/>
      <c r="W346" s="108"/>
      <c r="X346" s="108"/>
    </row>
    <row r="347" spans="1:24" s="124" customFormat="1" ht="14.25" customHeight="1">
      <c r="A347" s="107"/>
      <c r="B347" s="108"/>
      <c r="C347" s="108"/>
      <c r="D347" s="108"/>
      <c r="E347" s="108"/>
      <c r="F347" s="108"/>
      <c r="G347" s="108"/>
      <c r="H347" s="108"/>
      <c r="I347" s="108"/>
      <c r="J347" s="108"/>
      <c r="K347" s="108"/>
      <c r="L347" s="108"/>
      <c r="M347" s="108"/>
      <c r="N347" s="108"/>
      <c r="O347" s="108"/>
      <c r="P347" s="108"/>
      <c r="Q347" s="108"/>
      <c r="R347" s="108"/>
      <c r="S347" s="108"/>
      <c r="T347" s="108"/>
      <c r="U347" s="108"/>
      <c r="W347" s="108"/>
      <c r="X347" s="108"/>
    </row>
    <row r="348" spans="1:24" s="124" customFormat="1" ht="14.25" customHeight="1">
      <c r="A348" s="107"/>
      <c r="B348" s="108"/>
      <c r="C348" s="108"/>
      <c r="D348" s="108"/>
      <c r="E348" s="108"/>
      <c r="F348" s="108"/>
      <c r="G348" s="108"/>
      <c r="H348" s="108"/>
      <c r="I348" s="108"/>
      <c r="J348" s="108"/>
      <c r="K348" s="108"/>
      <c r="L348" s="108"/>
      <c r="M348" s="108"/>
      <c r="N348" s="108"/>
      <c r="O348" s="108"/>
      <c r="P348" s="108"/>
      <c r="Q348" s="108"/>
      <c r="R348" s="108"/>
      <c r="S348" s="108"/>
      <c r="T348" s="108"/>
      <c r="U348" s="108"/>
      <c r="W348" s="108"/>
      <c r="X348" s="108"/>
    </row>
    <row r="349" spans="1:24" s="124" customFormat="1" ht="14.25" customHeight="1">
      <c r="A349" s="107"/>
      <c r="B349" s="108"/>
      <c r="C349" s="108"/>
      <c r="D349" s="108"/>
      <c r="E349" s="108"/>
      <c r="F349" s="108"/>
      <c r="G349" s="108"/>
      <c r="H349" s="108"/>
      <c r="I349" s="108"/>
      <c r="J349" s="108"/>
      <c r="K349" s="108"/>
      <c r="L349" s="108"/>
      <c r="M349" s="108"/>
      <c r="N349" s="108"/>
      <c r="O349" s="108"/>
      <c r="P349" s="108"/>
      <c r="Q349" s="108"/>
      <c r="R349" s="108"/>
      <c r="S349" s="108"/>
      <c r="T349" s="108"/>
      <c r="U349" s="108"/>
      <c r="W349" s="108"/>
      <c r="X349" s="108"/>
    </row>
    <row r="350" spans="1:24" s="124" customFormat="1" ht="14.25" customHeight="1">
      <c r="A350" s="107"/>
      <c r="B350" s="108"/>
      <c r="C350" s="108"/>
      <c r="D350" s="108"/>
      <c r="E350" s="108"/>
      <c r="F350" s="108"/>
      <c r="G350" s="108"/>
      <c r="H350" s="108"/>
      <c r="I350" s="108"/>
      <c r="J350" s="108"/>
      <c r="K350" s="108"/>
      <c r="L350" s="108"/>
      <c r="M350" s="108"/>
      <c r="N350" s="108"/>
      <c r="O350" s="108"/>
      <c r="P350" s="108"/>
      <c r="Q350" s="108"/>
      <c r="R350" s="108"/>
      <c r="S350" s="108"/>
      <c r="T350" s="108"/>
      <c r="U350" s="108"/>
      <c r="W350" s="108"/>
      <c r="X350" s="108"/>
    </row>
    <row r="351" spans="1:24" s="124" customFormat="1" ht="14.25" customHeight="1">
      <c r="A351" s="107"/>
      <c r="B351" s="108"/>
      <c r="C351" s="108"/>
      <c r="D351" s="108"/>
      <c r="E351" s="108"/>
      <c r="F351" s="108"/>
      <c r="G351" s="108"/>
      <c r="H351" s="108"/>
      <c r="I351" s="108"/>
      <c r="J351" s="108"/>
      <c r="K351" s="108"/>
      <c r="L351" s="108"/>
      <c r="M351" s="108"/>
      <c r="N351" s="108"/>
      <c r="O351" s="108"/>
      <c r="P351" s="108"/>
      <c r="Q351" s="108"/>
      <c r="R351" s="108"/>
      <c r="S351" s="108"/>
      <c r="T351" s="108"/>
      <c r="U351" s="108"/>
      <c r="W351" s="108"/>
      <c r="X351" s="108"/>
    </row>
    <row r="352" spans="1:24" s="124" customFormat="1" ht="14.25" customHeight="1">
      <c r="A352" s="107"/>
      <c r="B352" s="108"/>
      <c r="C352" s="108"/>
      <c r="D352" s="108"/>
      <c r="E352" s="108"/>
      <c r="F352" s="108"/>
      <c r="G352" s="108"/>
      <c r="H352" s="108"/>
      <c r="I352" s="108"/>
      <c r="J352" s="108"/>
      <c r="K352" s="108"/>
      <c r="L352" s="108"/>
      <c r="M352" s="108"/>
      <c r="N352" s="108"/>
      <c r="O352" s="108"/>
      <c r="P352" s="108"/>
      <c r="Q352" s="108"/>
      <c r="R352" s="108"/>
      <c r="S352" s="108"/>
      <c r="T352" s="108"/>
      <c r="U352" s="108"/>
      <c r="W352" s="108"/>
      <c r="X352" s="108"/>
    </row>
    <row r="353" spans="1:24" s="124" customFormat="1" ht="14.25" customHeight="1">
      <c r="A353" s="107"/>
      <c r="B353" s="108"/>
      <c r="C353" s="108"/>
      <c r="D353" s="108"/>
      <c r="E353" s="108"/>
      <c r="F353" s="108"/>
      <c r="G353" s="108"/>
      <c r="H353" s="108"/>
      <c r="I353" s="108"/>
      <c r="J353" s="108"/>
      <c r="K353" s="108"/>
      <c r="L353" s="108"/>
      <c r="M353" s="108"/>
      <c r="N353" s="108"/>
      <c r="O353" s="108"/>
      <c r="P353" s="108"/>
      <c r="Q353" s="108"/>
      <c r="R353" s="108"/>
      <c r="S353" s="108"/>
      <c r="T353" s="108"/>
      <c r="U353" s="108"/>
      <c r="W353" s="108"/>
      <c r="X353" s="108"/>
    </row>
    <row r="354" spans="1:24" s="124" customFormat="1" ht="14.25" customHeight="1">
      <c r="A354" s="107"/>
      <c r="B354" s="108"/>
      <c r="C354" s="108"/>
      <c r="D354" s="108"/>
      <c r="E354" s="108"/>
      <c r="F354" s="108"/>
      <c r="G354" s="108"/>
      <c r="H354" s="108"/>
      <c r="I354" s="108"/>
      <c r="J354" s="108"/>
      <c r="K354" s="108"/>
      <c r="L354" s="108"/>
      <c r="M354" s="108"/>
      <c r="N354" s="108"/>
      <c r="O354" s="108"/>
      <c r="P354" s="108"/>
      <c r="Q354" s="108"/>
      <c r="R354" s="108"/>
      <c r="S354" s="108"/>
      <c r="T354" s="108"/>
      <c r="U354" s="108"/>
      <c r="W354" s="108"/>
      <c r="X354" s="108"/>
    </row>
    <row r="355" spans="1:24" s="124" customFormat="1" ht="14.25" customHeight="1">
      <c r="A355" s="107"/>
      <c r="B355" s="108"/>
      <c r="C355" s="108"/>
      <c r="D355" s="108"/>
      <c r="E355" s="108"/>
      <c r="F355" s="108"/>
      <c r="G355" s="108"/>
      <c r="H355" s="108"/>
      <c r="I355" s="108"/>
      <c r="J355" s="108"/>
      <c r="K355" s="108"/>
      <c r="L355" s="108"/>
      <c r="M355" s="108"/>
      <c r="N355" s="108"/>
      <c r="O355" s="108"/>
      <c r="P355" s="108"/>
      <c r="Q355" s="108"/>
      <c r="R355" s="108"/>
      <c r="S355" s="108"/>
      <c r="T355" s="108"/>
      <c r="U355" s="108"/>
      <c r="W355" s="108"/>
      <c r="X355" s="108"/>
    </row>
    <row r="356" spans="1:24" s="124" customFormat="1" ht="14.25" customHeight="1">
      <c r="A356" s="107"/>
      <c r="B356" s="108"/>
      <c r="C356" s="108"/>
      <c r="D356" s="108"/>
      <c r="E356" s="108"/>
      <c r="F356" s="108"/>
      <c r="G356" s="108"/>
      <c r="H356" s="108"/>
      <c r="I356" s="108"/>
      <c r="J356" s="108"/>
      <c r="K356" s="108"/>
      <c r="L356" s="108"/>
      <c r="M356" s="108"/>
      <c r="N356" s="108"/>
      <c r="O356" s="108"/>
      <c r="P356" s="108"/>
      <c r="Q356" s="108"/>
      <c r="R356" s="108"/>
      <c r="S356" s="108"/>
      <c r="T356" s="108"/>
      <c r="U356" s="108"/>
      <c r="W356" s="108"/>
      <c r="X356" s="108"/>
    </row>
    <row r="357" spans="1:24" s="124" customFormat="1" ht="14.25" customHeight="1">
      <c r="A357" s="107"/>
      <c r="B357" s="108"/>
      <c r="C357" s="108"/>
      <c r="D357" s="108"/>
      <c r="E357" s="108"/>
      <c r="F357" s="108"/>
      <c r="G357" s="108"/>
      <c r="H357" s="108"/>
      <c r="I357" s="108"/>
      <c r="J357" s="108"/>
      <c r="K357" s="108"/>
      <c r="L357" s="108"/>
      <c r="M357" s="108"/>
      <c r="N357" s="108"/>
      <c r="O357" s="108"/>
      <c r="P357" s="108"/>
      <c r="Q357" s="108"/>
      <c r="R357" s="108"/>
      <c r="S357" s="108"/>
      <c r="T357" s="108"/>
      <c r="U357" s="108"/>
      <c r="W357" s="108"/>
      <c r="X357" s="108"/>
    </row>
    <row r="358" spans="1:24" s="124" customFormat="1" ht="14.25" customHeight="1">
      <c r="A358" s="107"/>
      <c r="B358" s="108"/>
      <c r="C358" s="108"/>
      <c r="D358" s="108"/>
      <c r="E358" s="108"/>
      <c r="F358" s="108"/>
      <c r="G358" s="108"/>
      <c r="H358" s="108"/>
      <c r="I358" s="108"/>
      <c r="J358" s="108"/>
      <c r="K358" s="108"/>
      <c r="L358" s="108"/>
      <c r="M358" s="108"/>
      <c r="N358" s="108"/>
      <c r="O358" s="108"/>
      <c r="P358" s="108"/>
      <c r="Q358" s="108"/>
      <c r="R358" s="108"/>
      <c r="S358" s="108"/>
      <c r="T358" s="108"/>
      <c r="U358" s="108"/>
      <c r="W358" s="108"/>
      <c r="X358" s="108"/>
    </row>
    <row r="359" spans="1:24" s="124" customFormat="1" ht="14.25" customHeight="1">
      <c r="A359" s="107"/>
      <c r="B359" s="108"/>
      <c r="C359" s="108"/>
      <c r="D359" s="108"/>
      <c r="E359" s="108"/>
      <c r="F359" s="108"/>
      <c r="G359" s="108"/>
      <c r="H359" s="108"/>
      <c r="I359" s="108"/>
      <c r="J359" s="108"/>
      <c r="K359" s="108"/>
      <c r="L359" s="108"/>
      <c r="M359" s="108"/>
      <c r="N359" s="108"/>
      <c r="O359" s="108"/>
      <c r="P359" s="108"/>
      <c r="Q359" s="108"/>
      <c r="R359" s="108"/>
      <c r="S359" s="108"/>
      <c r="T359" s="108"/>
      <c r="U359" s="108"/>
      <c r="W359" s="108"/>
      <c r="X359" s="108"/>
    </row>
    <row r="360" spans="1:24" s="124" customFormat="1" ht="14.25" customHeight="1">
      <c r="A360" s="107"/>
      <c r="B360" s="108"/>
      <c r="C360" s="108"/>
      <c r="D360" s="108"/>
      <c r="E360" s="108"/>
      <c r="F360" s="108"/>
      <c r="G360" s="108"/>
      <c r="H360" s="108"/>
      <c r="I360" s="108"/>
      <c r="J360" s="108"/>
      <c r="K360" s="108"/>
      <c r="L360" s="108"/>
      <c r="M360" s="108"/>
      <c r="N360" s="108"/>
      <c r="O360" s="108"/>
      <c r="P360" s="108"/>
      <c r="Q360" s="108"/>
      <c r="R360" s="108"/>
      <c r="S360" s="108"/>
      <c r="T360" s="108"/>
      <c r="U360" s="108"/>
      <c r="W360" s="108"/>
      <c r="X360" s="108"/>
    </row>
    <row r="361" spans="1:24" s="124" customFormat="1" ht="14.25" customHeight="1">
      <c r="A361" s="107"/>
      <c r="B361" s="108"/>
      <c r="C361" s="108"/>
      <c r="D361" s="108"/>
      <c r="E361" s="108"/>
      <c r="F361" s="108"/>
      <c r="G361" s="108"/>
      <c r="H361" s="108"/>
      <c r="I361" s="108"/>
      <c r="J361" s="108"/>
      <c r="K361" s="108"/>
      <c r="L361" s="108"/>
      <c r="M361" s="108"/>
      <c r="N361" s="108"/>
      <c r="O361" s="108"/>
      <c r="P361" s="108"/>
      <c r="Q361" s="108"/>
      <c r="R361" s="108"/>
      <c r="S361" s="108"/>
      <c r="T361" s="108"/>
      <c r="U361" s="108"/>
      <c r="W361" s="108"/>
      <c r="X361" s="108"/>
    </row>
    <row r="362" spans="1:24" s="124" customFormat="1" ht="14.25" customHeight="1">
      <c r="A362" s="107"/>
      <c r="B362" s="108"/>
      <c r="C362" s="108"/>
      <c r="D362" s="108"/>
      <c r="E362" s="108"/>
      <c r="F362" s="108"/>
      <c r="G362" s="108"/>
      <c r="H362" s="108"/>
      <c r="I362" s="108"/>
      <c r="J362" s="108"/>
      <c r="K362" s="108"/>
      <c r="L362" s="108"/>
      <c r="M362" s="108"/>
      <c r="N362" s="108"/>
      <c r="O362" s="108"/>
      <c r="P362" s="108"/>
      <c r="Q362" s="108"/>
      <c r="R362" s="108"/>
      <c r="S362" s="108"/>
      <c r="T362" s="108"/>
      <c r="U362" s="108"/>
      <c r="W362" s="108"/>
      <c r="X362" s="108"/>
    </row>
    <row r="363" spans="1:24" s="124" customFormat="1" ht="14.25" customHeight="1">
      <c r="A363" s="107"/>
      <c r="B363" s="108"/>
      <c r="C363" s="108"/>
      <c r="D363" s="108"/>
      <c r="E363" s="108"/>
      <c r="F363" s="108"/>
      <c r="G363" s="108"/>
      <c r="H363" s="108"/>
      <c r="I363" s="108"/>
      <c r="J363" s="108"/>
      <c r="K363" s="108"/>
      <c r="L363" s="108"/>
      <c r="M363" s="108"/>
      <c r="N363" s="108"/>
      <c r="O363" s="108"/>
      <c r="P363" s="108"/>
      <c r="Q363" s="108"/>
      <c r="R363" s="108"/>
      <c r="S363" s="108"/>
      <c r="T363" s="108"/>
      <c r="U363" s="108"/>
      <c r="W363" s="108"/>
      <c r="X363" s="108"/>
    </row>
    <row r="364" spans="1:24" s="124" customFormat="1" ht="14.25" customHeight="1">
      <c r="A364" s="107"/>
      <c r="B364" s="108"/>
      <c r="C364" s="108"/>
      <c r="D364" s="108"/>
      <c r="E364" s="108"/>
      <c r="F364" s="108"/>
      <c r="G364" s="108"/>
      <c r="H364" s="108"/>
      <c r="I364" s="108"/>
      <c r="J364" s="108"/>
      <c r="K364" s="108"/>
      <c r="L364" s="108"/>
      <c r="M364" s="108"/>
      <c r="N364" s="108"/>
      <c r="O364" s="108"/>
      <c r="P364" s="108"/>
      <c r="Q364" s="108"/>
      <c r="R364" s="108"/>
      <c r="S364" s="108"/>
      <c r="T364" s="108"/>
      <c r="U364" s="108"/>
      <c r="W364" s="108"/>
      <c r="X364" s="108"/>
    </row>
    <row r="365" spans="1:24" s="124" customFormat="1" ht="14.25" customHeight="1">
      <c r="A365" s="107"/>
      <c r="B365" s="108"/>
      <c r="C365" s="108"/>
      <c r="D365" s="108"/>
      <c r="E365" s="108"/>
      <c r="F365" s="108"/>
      <c r="G365" s="108"/>
      <c r="H365" s="108"/>
      <c r="I365" s="108"/>
      <c r="J365" s="108"/>
      <c r="K365" s="108"/>
      <c r="L365" s="108"/>
      <c r="M365" s="108"/>
      <c r="N365" s="108"/>
      <c r="O365" s="108"/>
      <c r="P365" s="108"/>
      <c r="Q365" s="108"/>
      <c r="R365" s="108"/>
      <c r="S365" s="108"/>
      <c r="T365" s="108"/>
      <c r="U365" s="108"/>
      <c r="W365" s="108"/>
      <c r="X365" s="108"/>
    </row>
    <row r="366" spans="1:24" s="124" customFormat="1" ht="14.25" customHeight="1">
      <c r="A366" s="107"/>
      <c r="B366" s="108"/>
      <c r="C366" s="108"/>
      <c r="D366" s="108"/>
      <c r="E366" s="108"/>
      <c r="F366" s="108"/>
      <c r="G366" s="108"/>
      <c r="H366" s="108"/>
      <c r="I366" s="108"/>
      <c r="J366" s="108"/>
      <c r="K366" s="108"/>
      <c r="L366" s="108"/>
      <c r="M366" s="108"/>
      <c r="N366" s="108"/>
      <c r="O366" s="108"/>
      <c r="P366" s="108"/>
      <c r="Q366" s="108"/>
      <c r="R366" s="108"/>
      <c r="S366" s="108"/>
      <c r="T366" s="108"/>
      <c r="U366" s="108"/>
      <c r="W366" s="108"/>
      <c r="X366" s="108"/>
    </row>
    <row r="367" spans="1:24" s="124" customFormat="1" ht="14.25" customHeight="1">
      <c r="A367" s="107"/>
      <c r="B367" s="108"/>
      <c r="C367" s="108"/>
      <c r="D367" s="108"/>
      <c r="E367" s="108"/>
      <c r="F367" s="108"/>
      <c r="G367" s="108"/>
      <c r="H367" s="108"/>
      <c r="I367" s="108"/>
      <c r="J367" s="108"/>
      <c r="K367" s="108"/>
      <c r="L367" s="108"/>
      <c r="M367" s="108"/>
      <c r="N367" s="108"/>
      <c r="O367" s="108"/>
      <c r="P367" s="108"/>
      <c r="Q367" s="108"/>
      <c r="R367" s="108"/>
      <c r="S367" s="108"/>
      <c r="T367" s="108"/>
      <c r="U367" s="108"/>
      <c r="W367" s="108"/>
      <c r="X367" s="108"/>
    </row>
    <row r="368" spans="1:24" s="124" customFormat="1" ht="14.25" customHeight="1">
      <c r="A368" s="107"/>
      <c r="B368" s="108"/>
      <c r="C368" s="108"/>
      <c r="D368" s="108"/>
      <c r="E368" s="108"/>
      <c r="F368" s="108"/>
      <c r="G368" s="108"/>
      <c r="H368" s="108"/>
      <c r="I368" s="108"/>
      <c r="J368" s="108"/>
      <c r="K368" s="108"/>
      <c r="L368" s="108"/>
      <c r="M368" s="108"/>
      <c r="N368" s="108"/>
      <c r="O368" s="108"/>
      <c r="P368" s="108"/>
      <c r="Q368" s="108"/>
      <c r="R368" s="108"/>
      <c r="S368" s="108"/>
      <c r="T368" s="108"/>
      <c r="U368" s="108"/>
      <c r="W368" s="108"/>
      <c r="X368" s="108"/>
    </row>
    <row r="369" spans="1:24" s="124" customFormat="1" ht="14.25" customHeight="1">
      <c r="A369" s="107"/>
      <c r="B369" s="108"/>
      <c r="C369" s="108"/>
      <c r="D369" s="108"/>
      <c r="E369" s="108"/>
      <c r="F369" s="108"/>
      <c r="G369" s="108"/>
      <c r="H369" s="108"/>
      <c r="I369" s="108"/>
      <c r="J369" s="108"/>
      <c r="K369" s="108"/>
      <c r="L369" s="108"/>
      <c r="M369" s="108"/>
      <c r="N369" s="108"/>
      <c r="O369" s="108"/>
      <c r="P369" s="108"/>
      <c r="Q369" s="108"/>
      <c r="R369" s="108"/>
      <c r="S369" s="108"/>
      <c r="T369" s="108"/>
      <c r="U369" s="108"/>
      <c r="W369" s="108"/>
      <c r="X369" s="108"/>
    </row>
    <row r="370" spans="1:24" s="124" customFormat="1" ht="14.25" customHeight="1">
      <c r="A370" s="107"/>
      <c r="B370" s="108"/>
      <c r="C370" s="108"/>
      <c r="D370" s="108"/>
      <c r="E370" s="108"/>
      <c r="F370" s="108"/>
      <c r="G370" s="108"/>
      <c r="H370" s="108"/>
      <c r="I370" s="108"/>
      <c r="J370" s="108"/>
      <c r="K370" s="108"/>
      <c r="L370" s="108"/>
      <c r="M370" s="108"/>
      <c r="N370" s="108"/>
      <c r="O370" s="108"/>
      <c r="P370" s="108"/>
      <c r="Q370" s="108"/>
      <c r="R370" s="108"/>
      <c r="S370" s="108"/>
      <c r="T370" s="108"/>
      <c r="U370" s="108"/>
      <c r="W370" s="108"/>
      <c r="X370" s="108"/>
    </row>
    <row r="371" spans="1:24" s="124" customFormat="1" ht="14.25" customHeight="1">
      <c r="A371" s="107"/>
      <c r="B371" s="108"/>
      <c r="C371" s="108"/>
      <c r="D371" s="108"/>
      <c r="E371" s="108"/>
      <c r="F371" s="108"/>
      <c r="G371" s="108"/>
      <c r="H371" s="108"/>
      <c r="I371" s="108"/>
      <c r="J371" s="108"/>
      <c r="K371" s="108"/>
      <c r="L371" s="108"/>
      <c r="M371" s="108"/>
      <c r="N371" s="108"/>
      <c r="O371" s="108"/>
      <c r="P371" s="108"/>
      <c r="Q371" s="108"/>
      <c r="R371" s="108"/>
      <c r="S371" s="108"/>
      <c r="T371" s="108"/>
      <c r="U371" s="108"/>
      <c r="W371" s="108"/>
      <c r="X371" s="108"/>
    </row>
    <row r="372" spans="1:24" s="124" customFormat="1" ht="14.25" customHeight="1">
      <c r="A372" s="107"/>
      <c r="B372" s="108"/>
      <c r="C372" s="108"/>
      <c r="D372" s="108"/>
      <c r="E372" s="108"/>
      <c r="F372" s="108"/>
      <c r="G372" s="108"/>
      <c r="H372" s="108"/>
      <c r="I372" s="108"/>
      <c r="J372" s="108"/>
      <c r="K372" s="108"/>
      <c r="L372" s="108"/>
      <c r="M372" s="108"/>
      <c r="N372" s="108"/>
      <c r="O372" s="108"/>
      <c r="P372" s="108"/>
      <c r="Q372" s="108"/>
      <c r="R372" s="108"/>
      <c r="S372" s="108"/>
      <c r="T372" s="108"/>
      <c r="U372" s="108"/>
      <c r="W372" s="108"/>
      <c r="X372" s="108"/>
    </row>
    <row r="373" spans="1:24" s="124" customFormat="1" ht="14.25" customHeight="1">
      <c r="A373" s="107"/>
      <c r="B373" s="108"/>
      <c r="C373" s="108"/>
      <c r="D373" s="108"/>
      <c r="E373" s="108"/>
      <c r="F373" s="108"/>
      <c r="G373" s="108"/>
      <c r="H373" s="108"/>
      <c r="I373" s="108"/>
      <c r="J373" s="108"/>
      <c r="K373" s="108"/>
      <c r="L373" s="108"/>
      <c r="M373" s="108"/>
      <c r="N373" s="108"/>
      <c r="O373" s="108"/>
      <c r="P373" s="108"/>
      <c r="Q373" s="108"/>
      <c r="R373" s="108"/>
      <c r="S373" s="108"/>
      <c r="T373" s="108"/>
      <c r="U373" s="108"/>
      <c r="W373" s="108"/>
      <c r="X373" s="108"/>
    </row>
    <row r="374" spans="1:24" s="124" customFormat="1" ht="14.25" customHeight="1">
      <c r="A374" s="107"/>
      <c r="B374" s="108"/>
      <c r="C374" s="108"/>
      <c r="D374" s="108"/>
      <c r="E374" s="108"/>
      <c r="F374" s="108"/>
      <c r="G374" s="108"/>
      <c r="H374" s="108"/>
      <c r="I374" s="108"/>
      <c r="J374" s="108"/>
      <c r="K374" s="108"/>
      <c r="L374" s="108"/>
      <c r="M374" s="108"/>
      <c r="N374" s="108"/>
      <c r="O374" s="108"/>
      <c r="P374" s="108"/>
      <c r="Q374" s="108"/>
      <c r="R374" s="108"/>
      <c r="S374" s="108"/>
      <c r="T374" s="108"/>
      <c r="U374" s="108"/>
      <c r="W374" s="108"/>
      <c r="X374" s="108"/>
    </row>
    <row r="375" spans="1:24" s="124" customFormat="1" ht="14.25" customHeight="1">
      <c r="A375" s="107"/>
      <c r="B375" s="108"/>
      <c r="C375" s="108"/>
      <c r="D375" s="108"/>
      <c r="E375" s="108"/>
      <c r="F375" s="108"/>
      <c r="G375" s="108"/>
      <c r="H375" s="108"/>
      <c r="I375" s="108"/>
      <c r="J375" s="108"/>
      <c r="K375" s="108"/>
      <c r="L375" s="108"/>
      <c r="M375" s="108"/>
      <c r="N375" s="108"/>
      <c r="O375" s="108"/>
      <c r="P375" s="108"/>
      <c r="Q375" s="108"/>
      <c r="R375" s="108"/>
      <c r="S375" s="108"/>
      <c r="T375" s="108"/>
      <c r="U375" s="108"/>
      <c r="W375" s="108"/>
      <c r="X375" s="108"/>
    </row>
    <row r="376" spans="1:24" s="124" customFormat="1" ht="14.25" customHeight="1">
      <c r="A376" s="107"/>
      <c r="B376" s="108"/>
      <c r="C376" s="108"/>
      <c r="D376" s="108"/>
      <c r="E376" s="108"/>
      <c r="F376" s="108"/>
      <c r="G376" s="108"/>
      <c r="H376" s="108"/>
      <c r="I376" s="108"/>
      <c r="J376" s="108"/>
      <c r="K376" s="108"/>
      <c r="L376" s="108"/>
      <c r="M376" s="108"/>
      <c r="N376" s="108"/>
      <c r="O376" s="108"/>
      <c r="P376" s="108"/>
      <c r="Q376" s="108"/>
      <c r="R376" s="108"/>
      <c r="S376" s="108"/>
      <c r="T376" s="108"/>
      <c r="U376" s="108"/>
      <c r="W376" s="108"/>
      <c r="X376" s="108"/>
    </row>
    <row r="377" spans="1:24" s="124" customFormat="1" ht="14.25" customHeight="1">
      <c r="A377" s="107"/>
      <c r="B377" s="108"/>
      <c r="C377" s="108"/>
      <c r="D377" s="108"/>
      <c r="E377" s="108"/>
      <c r="F377" s="108"/>
      <c r="G377" s="108"/>
      <c r="H377" s="108"/>
      <c r="I377" s="108"/>
      <c r="J377" s="108"/>
      <c r="K377" s="108"/>
      <c r="L377" s="108"/>
      <c r="M377" s="108"/>
      <c r="N377" s="108"/>
      <c r="O377" s="108"/>
      <c r="P377" s="108"/>
      <c r="Q377" s="108"/>
      <c r="R377" s="108"/>
      <c r="S377" s="108"/>
      <c r="T377" s="108"/>
      <c r="U377" s="108"/>
      <c r="W377" s="108"/>
      <c r="X377" s="108"/>
    </row>
    <row r="378" spans="1:24" s="124" customFormat="1" ht="14.25" customHeight="1">
      <c r="A378" s="107"/>
      <c r="B378" s="108"/>
      <c r="C378" s="108"/>
      <c r="D378" s="108"/>
      <c r="E378" s="108"/>
      <c r="F378" s="108"/>
      <c r="G378" s="108"/>
      <c r="H378" s="108"/>
      <c r="I378" s="108"/>
      <c r="J378" s="108"/>
      <c r="K378" s="108"/>
      <c r="L378" s="108"/>
      <c r="M378" s="108"/>
      <c r="N378" s="108"/>
      <c r="O378" s="108"/>
      <c r="P378" s="108"/>
      <c r="Q378" s="108"/>
      <c r="R378" s="108"/>
      <c r="S378" s="108"/>
      <c r="T378" s="108"/>
      <c r="U378" s="108"/>
      <c r="W378" s="108"/>
      <c r="X378" s="108"/>
    </row>
    <row r="379" spans="1:24" s="124" customFormat="1" ht="14.25" customHeight="1">
      <c r="A379" s="107"/>
      <c r="B379" s="108"/>
      <c r="C379" s="108"/>
      <c r="D379" s="108"/>
      <c r="E379" s="108"/>
      <c r="F379" s="108"/>
      <c r="G379" s="108"/>
      <c r="H379" s="108"/>
      <c r="I379" s="108"/>
      <c r="J379" s="108"/>
      <c r="K379" s="108"/>
      <c r="L379" s="108"/>
      <c r="M379" s="108"/>
      <c r="N379" s="108"/>
      <c r="O379" s="108"/>
      <c r="P379" s="108"/>
      <c r="Q379" s="108"/>
      <c r="R379" s="108"/>
      <c r="S379" s="108"/>
      <c r="T379" s="108"/>
      <c r="U379" s="108"/>
      <c r="W379" s="108"/>
      <c r="X379" s="108"/>
    </row>
    <row r="380" spans="1:24" s="124" customFormat="1" ht="14.25" customHeight="1">
      <c r="A380" s="107"/>
      <c r="B380" s="108"/>
      <c r="C380" s="108"/>
      <c r="D380" s="108"/>
      <c r="E380" s="108"/>
      <c r="F380" s="108"/>
      <c r="G380" s="108"/>
      <c r="H380" s="108"/>
      <c r="I380" s="108"/>
      <c r="J380" s="108"/>
      <c r="K380" s="108"/>
      <c r="L380" s="108"/>
      <c r="M380" s="108"/>
      <c r="N380" s="108"/>
      <c r="O380" s="108"/>
      <c r="P380" s="108"/>
      <c r="Q380" s="108"/>
      <c r="R380" s="108"/>
      <c r="S380" s="108"/>
      <c r="T380" s="108"/>
      <c r="U380" s="108"/>
      <c r="W380" s="108"/>
      <c r="X380" s="108"/>
    </row>
    <row r="381" spans="1:24" s="124" customFormat="1" ht="14.25" customHeight="1">
      <c r="A381" s="107"/>
      <c r="B381" s="108"/>
      <c r="C381" s="108"/>
      <c r="D381" s="108"/>
      <c r="E381" s="108"/>
      <c r="F381" s="108"/>
      <c r="G381" s="108"/>
      <c r="H381" s="108"/>
      <c r="I381" s="108"/>
      <c r="J381" s="108"/>
      <c r="K381" s="108"/>
      <c r="L381" s="108"/>
      <c r="M381" s="108"/>
      <c r="N381" s="108"/>
      <c r="O381" s="108"/>
      <c r="P381" s="108"/>
      <c r="Q381" s="108"/>
      <c r="R381" s="108"/>
      <c r="S381" s="108"/>
      <c r="T381" s="108"/>
      <c r="U381" s="108"/>
      <c r="W381" s="108"/>
      <c r="X381" s="108"/>
    </row>
    <row r="382" spans="1:24" s="124" customFormat="1" ht="14.25" customHeight="1">
      <c r="A382" s="107"/>
      <c r="B382" s="108"/>
      <c r="C382" s="108"/>
      <c r="D382" s="108"/>
      <c r="E382" s="108"/>
      <c r="F382" s="108"/>
      <c r="G382" s="108"/>
      <c r="H382" s="108"/>
      <c r="I382" s="108"/>
      <c r="J382" s="108"/>
      <c r="K382" s="108"/>
      <c r="L382" s="108"/>
      <c r="M382" s="108"/>
      <c r="N382" s="108"/>
      <c r="O382" s="108"/>
      <c r="P382" s="108"/>
      <c r="Q382" s="108"/>
      <c r="R382" s="108"/>
      <c r="S382" s="108"/>
      <c r="T382" s="108"/>
      <c r="U382" s="108"/>
      <c r="W382" s="108"/>
      <c r="X382" s="108"/>
    </row>
    <row r="383" spans="1:24" s="124" customFormat="1" ht="14.25" customHeight="1">
      <c r="A383" s="107"/>
      <c r="B383" s="108"/>
      <c r="C383" s="108"/>
      <c r="D383" s="108"/>
      <c r="E383" s="108"/>
      <c r="F383" s="108"/>
      <c r="G383" s="108"/>
      <c r="H383" s="108"/>
      <c r="I383" s="108"/>
      <c r="J383" s="108"/>
      <c r="K383" s="108"/>
      <c r="L383" s="108"/>
      <c r="M383" s="108"/>
      <c r="N383" s="108"/>
      <c r="O383" s="108"/>
      <c r="P383" s="108"/>
      <c r="Q383" s="108"/>
      <c r="R383" s="108"/>
      <c r="S383" s="108"/>
      <c r="T383" s="108"/>
      <c r="U383" s="108"/>
      <c r="W383" s="108"/>
      <c r="X383" s="108"/>
    </row>
    <row r="384" spans="1:24" s="124" customFormat="1" ht="14.25" customHeight="1">
      <c r="A384" s="107"/>
      <c r="B384" s="108"/>
      <c r="C384" s="108"/>
      <c r="D384" s="108"/>
      <c r="E384" s="108"/>
      <c r="F384" s="108"/>
      <c r="G384" s="108"/>
      <c r="H384" s="108"/>
      <c r="I384" s="108"/>
      <c r="J384" s="108"/>
      <c r="K384" s="108"/>
      <c r="L384" s="108"/>
      <c r="M384" s="108"/>
      <c r="N384" s="108"/>
      <c r="O384" s="108"/>
      <c r="P384" s="108"/>
      <c r="Q384" s="108"/>
      <c r="R384" s="108"/>
      <c r="S384" s="108"/>
      <c r="T384" s="108"/>
      <c r="U384" s="108"/>
      <c r="W384" s="108"/>
      <c r="X384" s="108"/>
    </row>
    <row r="385" spans="1:24" s="124" customFormat="1" ht="14.25" customHeight="1">
      <c r="A385" s="107"/>
      <c r="B385" s="108"/>
      <c r="C385" s="108"/>
      <c r="D385" s="108"/>
      <c r="E385" s="108"/>
      <c r="F385" s="108"/>
      <c r="G385" s="108"/>
      <c r="H385" s="108"/>
      <c r="I385" s="108"/>
      <c r="J385" s="108"/>
      <c r="K385" s="108"/>
      <c r="L385" s="108"/>
      <c r="M385" s="108"/>
      <c r="N385" s="108"/>
      <c r="O385" s="108"/>
      <c r="P385" s="108"/>
      <c r="Q385" s="108"/>
      <c r="R385" s="108"/>
      <c r="S385" s="108"/>
      <c r="T385" s="108"/>
      <c r="U385" s="108"/>
      <c r="W385" s="108"/>
      <c r="X385" s="108"/>
    </row>
    <row r="386" spans="1:24" s="124" customFormat="1" ht="14.25" customHeight="1">
      <c r="A386" s="107"/>
      <c r="B386" s="108"/>
      <c r="C386" s="108"/>
      <c r="D386" s="108"/>
      <c r="E386" s="108"/>
      <c r="F386" s="108"/>
      <c r="G386" s="108"/>
      <c r="H386" s="108"/>
      <c r="I386" s="108"/>
      <c r="J386" s="108"/>
      <c r="K386" s="108"/>
      <c r="L386" s="108"/>
      <c r="M386" s="108"/>
      <c r="N386" s="108"/>
      <c r="O386" s="108"/>
      <c r="P386" s="108"/>
      <c r="Q386" s="108"/>
      <c r="R386" s="108"/>
      <c r="S386" s="108"/>
      <c r="T386" s="108"/>
      <c r="U386" s="108"/>
      <c r="W386" s="108"/>
      <c r="X386" s="108"/>
    </row>
    <row r="387" spans="1:24" s="124" customFormat="1" ht="14.25" customHeight="1">
      <c r="A387" s="107"/>
      <c r="B387" s="108"/>
      <c r="C387" s="108"/>
      <c r="D387" s="108"/>
      <c r="E387" s="108"/>
      <c r="F387" s="108"/>
      <c r="G387" s="108"/>
      <c r="H387" s="108"/>
      <c r="I387" s="108"/>
      <c r="J387" s="108"/>
      <c r="K387" s="108"/>
      <c r="L387" s="108"/>
      <c r="M387" s="108"/>
      <c r="N387" s="108"/>
      <c r="O387" s="108"/>
      <c r="P387" s="108"/>
      <c r="Q387" s="108"/>
      <c r="R387" s="108"/>
      <c r="S387" s="108"/>
      <c r="T387" s="108"/>
      <c r="U387" s="108"/>
      <c r="W387" s="108"/>
      <c r="X387" s="108"/>
    </row>
    <row r="388" spans="1:24" s="124" customFormat="1" ht="14.25" customHeight="1">
      <c r="A388" s="107"/>
      <c r="B388" s="108"/>
      <c r="C388" s="108"/>
      <c r="D388" s="108"/>
      <c r="E388" s="108"/>
      <c r="F388" s="108"/>
      <c r="G388" s="108"/>
      <c r="H388" s="108"/>
      <c r="I388" s="108"/>
      <c r="J388" s="108"/>
      <c r="K388" s="108"/>
      <c r="L388" s="108"/>
      <c r="M388" s="108"/>
      <c r="N388" s="108"/>
      <c r="O388" s="108"/>
      <c r="P388" s="108"/>
      <c r="Q388" s="108"/>
      <c r="R388" s="108"/>
      <c r="S388" s="108"/>
      <c r="T388" s="108"/>
      <c r="U388" s="108"/>
      <c r="W388" s="108"/>
      <c r="X388" s="108"/>
    </row>
    <row r="389" spans="1:24" s="124" customFormat="1" ht="14.25" customHeight="1">
      <c r="A389" s="107"/>
      <c r="B389" s="108"/>
      <c r="C389" s="108"/>
      <c r="D389" s="108"/>
      <c r="E389" s="108"/>
      <c r="F389" s="108"/>
      <c r="G389" s="108"/>
      <c r="H389" s="108"/>
      <c r="I389" s="108"/>
      <c r="J389" s="108"/>
      <c r="K389" s="108"/>
      <c r="L389" s="108"/>
      <c r="M389" s="108"/>
      <c r="N389" s="108"/>
      <c r="O389" s="108"/>
      <c r="P389" s="108"/>
      <c r="Q389" s="108"/>
      <c r="R389" s="108"/>
      <c r="S389" s="108"/>
      <c r="T389" s="108"/>
      <c r="U389" s="108"/>
      <c r="W389" s="108"/>
      <c r="X389" s="108"/>
    </row>
    <row r="390" spans="1:24" s="124" customFormat="1" ht="14.25" customHeight="1">
      <c r="A390" s="107"/>
      <c r="B390" s="108"/>
      <c r="C390" s="108"/>
      <c r="D390" s="108"/>
      <c r="E390" s="108"/>
      <c r="F390" s="108"/>
      <c r="G390" s="108"/>
      <c r="H390" s="108"/>
      <c r="I390" s="108"/>
      <c r="J390" s="108"/>
      <c r="K390" s="108"/>
      <c r="L390" s="108"/>
      <c r="M390" s="108"/>
      <c r="N390" s="108"/>
      <c r="O390" s="108"/>
      <c r="P390" s="108"/>
      <c r="Q390" s="108"/>
      <c r="R390" s="108"/>
      <c r="S390" s="108"/>
      <c r="T390" s="108"/>
      <c r="U390" s="108"/>
      <c r="W390" s="108"/>
      <c r="X390" s="108"/>
    </row>
    <row r="391" spans="1:24" s="124" customFormat="1" ht="14.25" customHeight="1">
      <c r="A391" s="107"/>
      <c r="B391" s="108"/>
      <c r="C391" s="108"/>
      <c r="D391" s="108"/>
      <c r="E391" s="108"/>
      <c r="F391" s="108"/>
      <c r="G391" s="108"/>
      <c r="H391" s="108"/>
      <c r="I391" s="108"/>
      <c r="J391" s="108"/>
      <c r="K391" s="108"/>
      <c r="L391" s="108"/>
      <c r="M391" s="108"/>
      <c r="N391" s="108"/>
      <c r="O391" s="108"/>
      <c r="P391" s="108"/>
      <c r="Q391" s="108"/>
      <c r="R391" s="108"/>
      <c r="S391" s="108"/>
      <c r="T391" s="108"/>
      <c r="U391" s="108"/>
      <c r="W391" s="108"/>
      <c r="X391" s="108"/>
    </row>
    <row r="392" spans="1:24" s="124" customFormat="1" ht="14.25" customHeight="1">
      <c r="A392" s="107"/>
      <c r="B392" s="108"/>
      <c r="C392" s="108"/>
      <c r="D392" s="108"/>
      <c r="E392" s="108"/>
      <c r="F392" s="108"/>
      <c r="G392" s="108"/>
      <c r="H392" s="108"/>
      <c r="I392" s="108"/>
      <c r="J392" s="108"/>
      <c r="K392" s="108"/>
      <c r="L392" s="108"/>
      <c r="M392" s="108"/>
      <c r="N392" s="108"/>
      <c r="O392" s="108"/>
      <c r="P392" s="108"/>
      <c r="Q392" s="108"/>
      <c r="R392" s="108"/>
      <c r="S392" s="108"/>
      <c r="T392" s="108"/>
      <c r="U392" s="108"/>
      <c r="W392" s="108"/>
      <c r="X392" s="108"/>
    </row>
    <row r="393" spans="1:24" s="124" customFormat="1" ht="14.25" customHeight="1">
      <c r="A393" s="107"/>
      <c r="B393" s="108"/>
      <c r="C393" s="108"/>
      <c r="D393" s="108"/>
      <c r="E393" s="108"/>
      <c r="F393" s="108"/>
      <c r="G393" s="108"/>
      <c r="H393" s="108"/>
      <c r="I393" s="108"/>
      <c r="J393" s="108"/>
      <c r="K393" s="108"/>
      <c r="L393" s="108"/>
      <c r="M393" s="108"/>
      <c r="N393" s="108"/>
      <c r="O393" s="108"/>
      <c r="P393" s="108"/>
      <c r="Q393" s="108"/>
      <c r="R393" s="108"/>
      <c r="S393" s="108"/>
      <c r="T393" s="108"/>
      <c r="U393" s="108"/>
      <c r="W393" s="108"/>
      <c r="X393" s="108"/>
    </row>
    <row r="394" spans="1:24" s="124" customFormat="1" ht="14.25" customHeight="1">
      <c r="A394" s="107"/>
      <c r="B394" s="108"/>
      <c r="C394" s="108"/>
      <c r="D394" s="108"/>
      <c r="E394" s="108"/>
      <c r="F394" s="108"/>
      <c r="G394" s="108"/>
      <c r="H394" s="108"/>
      <c r="I394" s="108"/>
      <c r="J394" s="108"/>
      <c r="K394" s="108"/>
      <c r="L394" s="108"/>
      <c r="M394" s="108"/>
      <c r="N394" s="108"/>
      <c r="O394" s="108"/>
      <c r="P394" s="108"/>
      <c r="Q394" s="108"/>
      <c r="R394" s="108"/>
      <c r="S394" s="108"/>
      <c r="T394" s="108"/>
      <c r="U394" s="108"/>
      <c r="W394" s="108"/>
      <c r="X394" s="108"/>
    </row>
    <row r="395" spans="1:24" s="124" customFormat="1" ht="14.25" customHeight="1">
      <c r="A395" s="107"/>
      <c r="B395" s="108"/>
      <c r="C395" s="108"/>
      <c r="D395" s="108"/>
      <c r="E395" s="108"/>
      <c r="F395" s="108"/>
      <c r="G395" s="108"/>
      <c r="H395" s="108"/>
      <c r="I395" s="108"/>
      <c r="J395" s="108"/>
      <c r="K395" s="108"/>
      <c r="L395" s="108"/>
      <c r="M395" s="108"/>
      <c r="N395" s="108"/>
      <c r="O395" s="108"/>
      <c r="P395" s="108"/>
      <c r="Q395" s="108"/>
      <c r="R395" s="108"/>
      <c r="S395" s="108"/>
      <c r="T395" s="108"/>
      <c r="U395" s="108"/>
      <c r="W395" s="108"/>
      <c r="X395" s="108"/>
    </row>
    <row r="396" spans="1:24" s="124" customFormat="1" ht="14.25" customHeight="1">
      <c r="A396" s="107"/>
      <c r="B396" s="108"/>
      <c r="C396" s="108"/>
      <c r="D396" s="108"/>
      <c r="E396" s="108"/>
      <c r="F396" s="108"/>
      <c r="G396" s="108"/>
      <c r="H396" s="108"/>
      <c r="I396" s="108"/>
      <c r="J396" s="108"/>
      <c r="K396" s="108"/>
      <c r="L396" s="108"/>
      <c r="M396" s="108"/>
      <c r="N396" s="108"/>
      <c r="O396" s="108"/>
      <c r="P396" s="108"/>
      <c r="Q396" s="108"/>
      <c r="R396" s="108"/>
      <c r="S396" s="108"/>
      <c r="T396" s="108"/>
      <c r="U396" s="108"/>
      <c r="W396" s="108"/>
      <c r="X396" s="108"/>
    </row>
    <row r="397" spans="1:24" s="124" customFormat="1" ht="14.25" customHeight="1">
      <c r="A397" s="107"/>
      <c r="B397" s="108"/>
      <c r="C397" s="108"/>
      <c r="D397" s="108"/>
      <c r="E397" s="108"/>
      <c r="F397" s="108"/>
      <c r="G397" s="108"/>
      <c r="H397" s="108"/>
      <c r="I397" s="108"/>
      <c r="J397" s="108"/>
      <c r="K397" s="108"/>
      <c r="L397" s="108"/>
      <c r="M397" s="108"/>
      <c r="N397" s="108"/>
      <c r="O397" s="108"/>
      <c r="P397" s="108"/>
      <c r="Q397" s="108"/>
      <c r="R397" s="108"/>
      <c r="S397" s="108"/>
      <c r="T397" s="108"/>
      <c r="U397" s="108"/>
      <c r="W397" s="108"/>
      <c r="X397" s="108"/>
    </row>
    <row r="398" spans="1:24" s="124" customFormat="1" ht="14.25" customHeight="1">
      <c r="A398" s="107"/>
      <c r="B398" s="108"/>
      <c r="C398" s="108"/>
      <c r="D398" s="108"/>
      <c r="E398" s="108"/>
      <c r="F398" s="108"/>
      <c r="G398" s="108"/>
      <c r="H398" s="108"/>
      <c r="I398" s="108"/>
      <c r="J398" s="108"/>
      <c r="K398" s="108"/>
      <c r="L398" s="108"/>
      <c r="M398" s="108"/>
      <c r="N398" s="108"/>
      <c r="O398" s="108"/>
      <c r="P398" s="108"/>
      <c r="Q398" s="108"/>
      <c r="R398" s="108"/>
      <c r="S398" s="108"/>
      <c r="T398" s="108"/>
      <c r="U398" s="108"/>
      <c r="W398" s="108"/>
      <c r="X398" s="108"/>
    </row>
    <row r="399" spans="1:24" s="124" customFormat="1" ht="14.25" customHeight="1">
      <c r="A399" s="107"/>
      <c r="B399" s="108"/>
      <c r="C399" s="108"/>
      <c r="D399" s="108"/>
      <c r="E399" s="108"/>
      <c r="F399" s="108"/>
      <c r="G399" s="108"/>
      <c r="H399" s="108"/>
      <c r="I399" s="108"/>
      <c r="J399" s="108"/>
      <c r="K399" s="108"/>
      <c r="L399" s="108"/>
      <c r="M399" s="108"/>
      <c r="N399" s="108"/>
      <c r="O399" s="108"/>
      <c r="P399" s="108"/>
      <c r="Q399" s="108"/>
      <c r="R399" s="108"/>
      <c r="S399" s="108"/>
      <c r="T399" s="108"/>
      <c r="U399" s="108"/>
      <c r="W399" s="108"/>
      <c r="X399" s="108"/>
    </row>
    <row r="400" spans="1:24" s="124" customFormat="1" ht="14.25" customHeight="1">
      <c r="A400" s="107"/>
      <c r="B400" s="108"/>
      <c r="C400" s="108"/>
      <c r="D400" s="108"/>
      <c r="E400" s="108"/>
      <c r="F400" s="108"/>
      <c r="G400" s="108"/>
      <c r="H400" s="108"/>
      <c r="I400" s="108"/>
      <c r="J400" s="108"/>
      <c r="K400" s="108"/>
      <c r="L400" s="108"/>
      <c r="M400" s="108"/>
      <c r="N400" s="108"/>
      <c r="O400" s="108"/>
      <c r="P400" s="108"/>
      <c r="Q400" s="108"/>
      <c r="R400" s="108"/>
      <c r="S400" s="108"/>
      <c r="T400" s="108"/>
      <c r="U400" s="108"/>
      <c r="W400" s="108"/>
      <c r="X400" s="108"/>
    </row>
    <row r="401" spans="1:24" s="124" customFormat="1" ht="14.25" customHeight="1">
      <c r="A401" s="107"/>
      <c r="B401" s="108"/>
      <c r="C401" s="108"/>
      <c r="D401" s="108"/>
      <c r="E401" s="108"/>
      <c r="F401" s="108"/>
      <c r="G401" s="108"/>
      <c r="H401" s="108"/>
      <c r="I401" s="108"/>
      <c r="J401" s="108"/>
      <c r="K401" s="108"/>
      <c r="L401" s="108"/>
      <c r="M401" s="108"/>
      <c r="N401" s="108"/>
      <c r="O401" s="108"/>
      <c r="P401" s="108"/>
      <c r="Q401" s="108"/>
      <c r="R401" s="108"/>
      <c r="S401" s="108"/>
      <c r="T401" s="108"/>
      <c r="U401" s="108"/>
      <c r="W401" s="108"/>
      <c r="X401" s="108"/>
    </row>
    <row r="402" spans="1:24" s="124" customFormat="1" ht="14.25" customHeight="1">
      <c r="A402" s="107"/>
      <c r="B402" s="108"/>
      <c r="C402" s="108"/>
      <c r="D402" s="108"/>
      <c r="E402" s="108"/>
      <c r="F402" s="108"/>
      <c r="G402" s="108"/>
      <c r="H402" s="108"/>
      <c r="I402" s="108"/>
      <c r="J402" s="108"/>
      <c r="K402" s="108"/>
      <c r="L402" s="108"/>
      <c r="M402" s="108"/>
      <c r="N402" s="108"/>
      <c r="O402" s="108"/>
      <c r="P402" s="108"/>
      <c r="Q402" s="108"/>
      <c r="R402" s="108"/>
      <c r="S402" s="108"/>
      <c r="T402" s="108"/>
      <c r="U402" s="108"/>
      <c r="W402" s="108"/>
      <c r="X402" s="108"/>
    </row>
    <row r="403" spans="1:24" s="124" customFormat="1" ht="14.25" customHeight="1">
      <c r="A403" s="107"/>
      <c r="B403" s="108"/>
      <c r="C403" s="108"/>
      <c r="D403" s="108"/>
      <c r="E403" s="108"/>
      <c r="F403" s="108"/>
      <c r="G403" s="108"/>
      <c r="H403" s="108"/>
      <c r="I403" s="108"/>
      <c r="J403" s="108"/>
      <c r="K403" s="108"/>
      <c r="L403" s="108"/>
      <c r="M403" s="108"/>
      <c r="N403" s="108"/>
      <c r="O403" s="108"/>
      <c r="P403" s="108"/>
      <c r="Q403" s="108"/>
      <c r="R403" s="108"/>
      <c r="S403" s="108"/>
      <c r="T403" s="108"/>
      <c r="U403" s="108"/>
      <c r="W403" s="108"/>
      <c r="X403" s="108"/>
    </row>
    <row r="404" spans="1:24" s="124" customFormat="1" ht="14.25" customHeight="1">
      <c r="A404" s="107"/>
      <c r="B404" s="108"/>
      <c r="C404" s="108"/>
      <c r="D404" s="108"/>
      <c r="E404" s="108"/>
      <c r="F404" s="108"/>
      <c r="G404" s="108"/>
      <c r="H404" s="108"/>
      <c r="I404" s="108"/>
      <c r="J404" s="108"/>
      <c r="K404" s="108"/>
      <c r="L404" s="108"/>
      <c r="M404" s="108"/>
      <c r="N404" s="108"/>
      <c r="O404" s="108"/>
      <c r="P404" s="108"/>
      <c r="Q404" s="108"/>
      <c r="R404" s="108"/>
      <c r="S404" s="108"/>
      <c r="T404" s="108"/>
      <c r="U404" s="108"/>
      <c r="W404" s="108"/>
      <c r="X404" s="108"/>
    </row>
    <row r="405" spans="1:24" s="124" customFormat="1" ht="14.25" customHeight="1">
      <c r="A405" s="107"/>
      <c r="B405" s="108"/>
      <c r="C405" s="108"/>
      <c r="D405" s="108"/>
      <c r="E405" s="108"/>
      <c r="F405" s="108"/>
      <c r="G405" s="108"/>
      <c r="H405" s="108"/>
      <c r="I405" s="108"/>
      <c r="J405" s="108"/>
      <c r="K405" s="108"/>
      <c r="L405" s="108"/>
      <c r="M405" s="108"/>
      <c r="N405" s="108"/>
      <c r="O405" s="108"/>
      <c r="P405" s="108"/>
      <c r="Q405" s="108"/>
      <c r="R405" s="108"/>
      <c r="S405" s="108"/>
      <c r="T405" s="108"/>
      <c r="U405" s="108"/>
      <c r="W405" s="108"/>
      <c r="X405" s="108"/>
    </row>
    <row r="406" spans="1:24" s="124" customFormat="1" ht="14.25" customHeight="1">
      <c r="A406" s="107"/>
      <c r="B406" s="108"/>
      <c r="C406" s="108"/>
      <c r="D406" s="108"/>
      <c r="E406" s="108"/>
      <c r="F406" s="108"/>
      <c r="G406" s="108"/>
      <c r="H406" s="108"/>
      <c r="I406" s="108"/>
      <c r="J406" s="108"/>
      <c r="K406" s="108"/>
      <c r="L406" s="108"/>
      <c r="M406" s="108"/>
      <c r="N406" s="108"/>
      <c r="O406" s="108"/>
      <c r="P406" s="108"/>
      <c r="Q406" s="108"/>
      <c r="R406" s="108"/>
      <c r="S406" s="108"/>
      <c r="T406" s="108"/>
      <c r="U406" s="108"/>
      <c r="W406" s="108"/>
      <c r="X406" s="108"/>
    </row>
    <row r="407" spans="1:24" s="124" customFormat="1" ht="14.25" customHeight="1">
      <c r="A407" s="107"/>
      <c r="B407" s="108"/>
      <c r="C407" s="108"/>
      <c r="D407" s="108"/>
      <c r="E407" s="108"/>
      <c r="F407" s="108"/>
      <c r="G407" s="108"/>
      <c r="H407" s="108"/>
      <c r="I407" s="108"/>
      <c r="J407" s="108"/>
      <c r="K407" s="108"/>
      <c r="L407" s="108"/>
      <c r="M407" s="108"/>
      <c r="N407" s="108"/>
      <c r="O407" s="108"/>
      <c r="P407" s="108"/>
      <c r="Q407" s="108"/>
      <c r="R407" s="108"/>
      <c r="S407" s="108"/>
      <c r="T407" s="108"/>
      <c r="U407" s="108"/>
      <c r="W407" s="108"/>
      <c r="X407" s="108"/>
    </row>
    <row r="408" spans="1:24" s="124" customFormat="1" ht="14.25" customHeight="1">
      <c r="A408" s="107"/>
      <c r="B408" s="108"/>
      <c r="C408" s="108"/>
      <c r="D408" s="108"/>
      <c r="E408" s="108"/>
      <c r="F408" s="108"/>
      <c r="G408" s="108"/>
      <c r="H408" s="108"/>
      <c r="I408" s="108"/>
      <c r="J408" s="108"/>
      <c r="K408" s="108"/>
      <c r="L408" s="108"/>
      <c r="M408" s="108"/>
      <c r="N408" s="108"/>
      <c r="O408" s="108"/>
      <c r="P408" s="108"/>
      <c r="Q408" s="108"/>
      <c r="R408" s="108"/>
      <c r="S408" s="108"/>
      <c r="T408" s="108"/>
      <c r="U408" s="108"/>
      <c r="W408" s="108"/>
      <c r="X408" s="108"/>
    </row>
    <row r="409" spans="1:24" s="124" customFormat="1" ht="14.25" customHeight="1">
      <c r="A409" s="107"/>
      <c r="B409" s="108"/>
      <c r="C409" s="108"/>
      <c r="D409" s="108"/>
      <c r="E409" s="108"/>
      <c r="F409" s="108"/>
      <c r="G409" s="108"/>
      <c r="H409" s="108"/>
      <c r="I409" s="108"/>
      <c r="J409" s="108"/>
      <c r="K409" s="108"/>
      <c r="L409" s="108"/>
      <c r="M409" s="108"/>
      <c r="N409" s="108"/>
      <c r="O409" s="108"/>
      <c r="P409" s="108"/>
      <c r="Q409" s="108"/>
      <c r="R409" s="108"/>
      <c r="S409" s="108"/>
      <c r="T409" s="108"/>
      <c r="U409" s="108"/>
      <c r="W409" s="108"/>
      <c r="X409" s="108"/>
    </row>
    <row r="410" spans="1:24" s="124" customFormat="1" ht="14.25" customHeight="1">
      <c r="A410" s="107"/>
      <c r="B410" s="108"/>
      <c r="C410" s="108"/>
      <c r="D410" s="108"/>
      <c r="E410" s="108"/>
      <c r="F410" s="108"/>
      <c r="G410" s="108"/>
      <c r="H410" s="108"/>
      <c r="I410" s="108"/>
      <c r="J410" s="108"/>
      <c r="K410" s="108"/>
      <c r="L410" s="108"/>
      <c r="M410" s="108"/>
      <c r="N410" s="108"/>
      <c r="O410" s="108"/>
      <c r="P410" s="108"/>
      <c r="Q410" s="108"/>
      <c r="R410" s="108"/>
      <c r="S410" s="108"/>
      <c r="T410" s="108"/>
      <c r="U410" s="108"/>
      <c r="W410" s="108"/>
      <c r="X410" s="108"/>
    </row>
    <row r="411" spans="1:24" s="124" customFormat="1" ht="14.25" customHeight="1">
      <c r="A411" s="107"/>
      <c r="B411" s="108"/>
      <c r="C411" s="108"/>
      <c r="D411" s="108"/>
      <c r="E411" s="108"/>
      <c r="F411" s="108"/>
      <c r="G411" s="108"/>
      <c r="H411" s="108"/>
      <c r="I411" s="108"/>
      <c r="J411" s="108"/>
      <c r="K411" s="108"/>
      <c r="L411" s="108"/>
      <c r="M411" s="108"/>
      <c r="N411" s="108"/>
      <c r="O411" s="108"/>
      <c r="P411" s="108"/>
      <c r="Q411" s="108"/>
      <c r="R411" s="108"/>
      <c r="S411" s="108"/>
      <c r="T411" s="108"/>
      <c r="U411" s="108"/>
      <c r="W411" s="108"/>
      <c r="X411" s="108"/>
    </row>
    <row r="412" spans="1:24" s="124" customFormat="1" ht="14.25" customHeight="1">
      <c r="A412" s="107"/>
      <c r="B412" s="108"/>
      <c r="C412" s="108"/>
      <c r="D412" s="108"/>
      <c r="E412" s="108"/>
      <c r="F412" s="108"/>
      <c r="G412" s="108"/>
      <c r="H412" s="108"/>
      <c r="I412" s="108"/>
      <c r="J412" s="108"/>
      <c r="K412" s="108"/>
      <c r="L412" s="108"/>
      <c r="M412" s="108"/>
      <c r="N412" s="108"/>
      <c r="O412" s="108"/>
      <c r="P412" s="108"/>
      <c r="Q412" s="108"/>
      <c r="R412" s="108"/>
      <c r="S412" s="108"/>
      <c r="T412" s="108"/>
      <c r="U412" s="108"/>
      <c r="W412" s="108"/>
      <c r="X412" s="108"/>
    </row>
    <row r="413" spans="1:24" s="124" customFormat="1" ht="14.25" customHeight="1">
      <c r="A413" s="107"/>
      <c r="B413" s="108"/>
      <c r="C413" s="108"/>
      <c r="D413" s="108"/>
      <c r="E413" s="108"/>
      <c r="F413" s="108"/>
      <c r="G413" s="108"/>
      <c r="H413" s="108"/>
      <c r="I413" s="108"/>
      <c r="J413" s="108"/>
      <c r="K413" s="108"/>
      <c r="L413" s="108"/>
      <c r="M413" s="108"/>
      <c r="N413" s="108"/>
      <c r="O413" s="108"/>
      <c r="P413" s="108"/>
      <c r="Q413" s="108"/>
      <c r="R413" s="108"/>
      <c r="S413" s="108"/>
      <c r="T413" s="108"/>
      <c r="U413" s="108"/>
      <c r="W413" s="108"/>
      <c r="X413" s="108"/>
    </row>
    <row r="414" spans="1:24" s="124" customFormat="1" ht="14.25" customHeight="1">
      <c r="A414" s="107"/>
      <c r="B414" s="108"/>
      <c r="C414" s="108"/>
      <c r="D414" s="108"/>
      <c r="E414" s="108"/>
      <c r="F414" s="108"/>
      <c r="G414" s="108"/>
      <c r="H414" s="108"/>
      <c r="I414" s="108"/>
      <c r="J414" s="108"/>
      <c r="K414" s="108"/>
      <c r="L414" s="108"/>
      <c r="M414" s="108"/>
      <c r="N414" s="108"/>
      <c r="O414" s="108"/>
      <c r="P414" s="108"/>
      <c r="Q414" s="108"/>
      <c r="R414" s="108"/>
      <c r="S414" s="108"/>
      <c r="T414" s="108"/>
      <c r="U414" s="108"/>
      <c r="W414" s="108"/>
      <c r="X414" s="108"/>
    </row>
    <row r="415" spans="1:24" s="124" customFormat="1" ht="14.25" customHeight="1">
      <c r="A415" s="107"/>
      <c r="B415" s="108"/>
      <c r="C415" s="108"/>
      <c r="D415" s="108"/>
      <c r="E415" s="108"/>
      <c r="F415" s="108"/>
      <c r="G415" s="108"/>
      <c r="H415" s="108"/>
      <c r="I415" s="108"/>
      <c r="J415" s="108"/>
      <c r="K415" s="108"/>
      <c r="L415" s="108"/>
      <c r="M415" s="108"/>
      <c r="N415" s="108"/>
      <c r="O415" s="108"/>
      <c r="P415" s="108"/>
      <c r="Q415" s="108"/>
      <c r="R415" s="108"/>
      <c r="S415" s="108"/>
      <c r="T415" s="108"/>
      <c r="U415" s="108"/>
      <c r="W415" s="108"/>
      <c r="X415" s="108"/>
    </row>
    <row r="416" spans="1:24" s="124" customFormat="1" ht="14.25" customHeight="1">
      <c r="A416" s="107"/>
      <c r="B416" s="108"/>
      <c r="C416" s="108"/>
      <c r="D416" s="108"/>
      <c r="E416" s="108"/>
      <c r="F416" s="108"/>
      <c r="G416" s="108"/>
      <c r="H416" s="108"/>
      <c r="I416" s="108"/>
      <c r="J416" s="108"/>
      <c r="K416" s="108"/>
      <c r="L416" s="108"/>
      <c r="M416" s="108"/>
      <c r="N416" s="108"/>
      <c r="O416" s="108"/>
      <c r="P416" s="108"/>
      <c r="Q416" s="108"/>
      <c r="R416" s="108"/>
      <c r="S416" s="108"/>
      <c r="T416" s="108"/>
      <c r="U416" s="108"/>
      <c r="W416" s="108"/>
      <c r="X416" s="108"/>
    </row>
    <row r="417" spans="1:24" s="124" customFormat="1" ht="14.25" customHeight="1">
      <c r="A417" s="107"/>
      <c r="B417" s="108"/>
      <c r="C417" s="108"/>
      <c r="D417" s="108"/>
      <c r="E417" s="108"/>
      <c r="F417" s="108"/>
      <c r="G417" s="108"/>
      <c r="H417" s="108"/>
      <c r="I417" s="108"/>
      <c r="J417" s="108"/>
      <c r="K417" s="108"/>
      <c r="L417" s="108"/>
      <c r="M417" s="108"/>
      <c r="N417" s="108"/>
      <c r="O417" s="108"/>
      <c r="P417" s="108"/>
      <c r="Q417" s="108"/>
      <c r="R417" s="108"/>
      <c r="S417" s="108"/>
      <c r="T417" s="108"/>
      <c r="U417" s="108"/>
      <c r="W417" s="108"/>
      <c r="X417" s="108"/>
    </row>
    <row r="418" spans="1:24" s="124" customFormat="1" ht="14.25" customHeight="1">
      <c r="A418" s="107"/>
      <c r="B418" s="108"/>
      <c r="C418" s="108"/>
      <c r="D418" s="108"/>
      <c r="E418" s="108"/>
      <c r="F418" s="108"/>
      <c r="G418" s="108"/>
      <c r="H418" s="108"/>
      <c r="I418" s="108"/>
      <c r="J418" s="108"/>
      <c r="K418" s="108"/>
      <c r="L418" s="108"/>
      <c r="M418" s="108"/>
      <c r="N418" s="108"/>
      <c r="O418" s="108"/>
      <c r="P418" s="108"/>
      <c r="Q418" s="108"/>
      <c r="R418" s="108"/>
      <c r="S418" s="108"/>
      <c r="T418" s="108"/>
      <c r="U418" s="108"/>
      <c r="W418" s="108"/>
      <c r="X418" s="108"/>
    </row>
    <row r="419" spans="1:24" s="124" customFormat="1" ht="14.25" customHeight="1">
      <c r="A419" s="107"/>
      <c r="B419" s="108"/>
      <c r="C419" s="108"/>
      <c r="D419" s="108"/>
      <c r="E419" s="108"/>
      <c r="F419" s="108"/>
      <c r="G419" s="108"/>
      <c r="H419" s="108"/>
      <c r="I419" s="108"/>
      <c r="J419" s="108"/>
      <c r="K419" s="108"/>
      <c r="L419" s="108"/>
      <c r="M419" s="108"/>
      <c r="N419" s="108"/>
      <c r="O419" s="108"/>
      <c r="P419" s="108"/>
      <c r="Q419" s="108"/>
      <c r="R419" s="108"/>
      <c r="S419" s="108"/>
      <c r="T419" s="108"/>
      <c r="U419" s="108"/>
      <c r="W419" s="108"/>
      <c r="X419" s="108"/>
    </row>
    <row r="420" spans="1:24" s="124" customFormat="1" ht="14.25" customHeight="1">
      <c r="A420" s="107"/>
      <c r="B420" s="108"/>
      <c r="C420" s="108"/>
      <c r="D420" s="108"/>
      <c r="E420" s="108"/>
      <c r="F420" s="108"/>
      <c r="G420" s="108"/>
      <c r="H420" s="108"/>
      <c r="I420" s="108"/>
      <c r="J420" s="108"/>
      <c r="K420" s="108"/>
      <c r="L420" s="108"/>
      <c r="M420" s="108"/>
      <c r="N420" s="108"/>
      <c r="O420" s="108"/>
      <c r="P420" s="108"/>
      <c r="Q420" s="108"/>
      <c r="R420" s="108"/>
      <c r="S420" s="108"/>
      <c r="T420" s="108"/>
      <c r="U420" s="108"/>
      <c r="W420" s="108"/>
      <c r="X420" s="108"/>
    </row>
    <row r="421" spans="1:24" s="124" customFormat="1" ht="14.25" customHeight="1">
      <c r="A421" s="107"/>
      <c r="B421" s="108"/>
      <c r="C421" s="108"/>
      <c r="D421" s="108"/>
      <c r="E421" s="108"/>
      <c r="F421" s="108"/>
      <c r="G421" s="108"/>
      <c r="H421" s="108"/>
      <c r="I421" s="108"/>
      <c r="J421" s="108"/>
      <c r="K421" s="108"/>
      <c r="L421" s="108"/>
      <c r="M421" s="108"/>
      <c r="N421" s="108"/>
      <c r="O421" s="108"/>
      <c r="P421" s="108"/>
      <c r="Q421" s="108"/>
      <c r="R421" s="108"/>
      <c r="S421" s="108"/>
      <c r="T421" s="108"/>
      <c r="U421" s="108"/>
      <c r="W421" s="108"/>
      <c r="X421" s="108"/>
    </row>
    <row r="422" spans="1:24" s="124" customFormat="1" ht="14.25" customHeight="1">
      <c r="A422" s="107"/>
      <c r="B422" s="108"/>
      <c r="C422" s="108"/>
      <c r="D422" s="108"/>
      <c r="E422" s="108"/>
      <c r="F422" s="108"/>
      <c r="G422" s="108"/>
      <c r="H422" s="108"/>
      <c r="I422" s="108"/>
      <c r="J422" s="108"/>
      <c r="K422" s="108"/>
      <c r="L422" s="108"/>
      <c r="M422" s="108"/>
      <c r="N422" s="108"/>
      <c r="O422" s="108"/>
      <c r="P422" s="108"/>
      <c r="Q422" s="108"/>
      <c r="R422" s="108"/>
      <c r="S422" s="108"/>
      <c r="T422" s="108"/>
      <c r="U422" s="108"/>
      <c r="W422" s="108"/>
      <c r="X422" s="108"/>
    </row>
    <row r="423" spans="1:24" s="124" customFormat="1" ht="14.25" customHeight="1">
      <c r="A423" s="107"/>
      <c r="B423" s="108"/>
      <c r="C423" s="108"/>
      <c r="D423" s="108"/>
      <c r="E423" s="108"/>
      <c r="F423" s="108"/>
      <c r="G423" s="108"/>
      <c r="H423" s="108"/>
      <c r="I423" s="108"/>
      <c r="J423" s="108"/>
      <c r="K423" s="108"/>
      <c r="L423" s="108"/>
      <c r="M423" s="108"/>
      <c r="N423" s="108"/>
      <c r="O423" s="108"/>
      <c r="P423" s="108"/>
      <c r="Q423" s="108"/>
      <c r="R423" s="108"/>
      <c r="S423" s="108"/>
      <c r="T423" s="108"/>
      <c r="U423" s="108"/>
      <c r="W423" s="108"/>
      <c r="X423" s="108"/>
    </row>
    <row r="424" spans="1:24" s="124" customFormat="1" ht="14.25" customHeight="1">
      <c r="A424" s="107"/>
      <c r="B424" s="108"/>
      <c r="C424" s="108"/>
      <c r="D424" s="108"/>
      <c r="E424" s="108"/>
      <c r="F424" s="108"/>
      <c r="G424" s="108"/>
      <c r="H424" s="108"/>
      <c r="I424" s="108"/>
      <c r="J424" s="108"/>
      <c r="K424" s="108"/>
      <c r="L424" s="108"/>
      <c r="M424" s="108"/>
      <c r="N424" s="108"/>
      <c r="O424" s="108"/>
      <c r="P424" s="108"/>
      <c r="Q424" s="108"/>
      <c r="R424" s="108"/>
      <c r="S424" s="108"/>
      <c r="T424" s="108"/>
      <c r="U424" s="108"/>
      <c r="W424" s="108"/>
      <c r="X424" s="108"/>
    </row>
    <row r="425" spans="1:24" s="124" customFormat="1" ht="14.25" customHeight="1">
      <c r="A425" s="107"/>
      <c r="B425" s="108"/>
      <c r="C425" s="108"/>
      <c r="D425" s="108"/>
      <c r="E425" s="108"/>
      <c r="F425" s="108"/>
      <c r="G425" s="108"/>
      <c r="H425" s="108"/>
      <c r="I425" s="108"/>
      <c r="J425" s="108"/>
      <c r="K425" s="108"/>
      <c r="L425" s="108"/>
      <c r="M425" s="108"/>
      <c r="N425" s="108"/>
      <c r="O425" s="108"/>
      <c r="P425" s="108"/>
      <c r="Q425" s="108"/>
      <c r="R425" s="108"/>
      <c r="S425" s="108"/>
      <c r="T425" s="108"/>
      <c r="U425" s="108"/>
      <c r="W425" s="108"/>
      <c r="X425" s="108"/>
    </row>
    <row r="426" spans="1:24" s="124" customFormat="1" ht="14.25" customHeight="1">
      <c r="A426" s="107"/>
      <c r="B426" s="108"/>
      <c r="C426" s="108"/>
      <c r="D426" s="108"/>
      <c r="E426" s="108"/>
      <c r="F426" s="108"/>
      <c r="G426" s="108"/>
      <c r="H426" s="108"/>
      <c r="I426" s="108"/>
      <c r="J426" s="108"/>
      <c r="K426" s="108"/>
      <c r="L426" s="108"/>
      <c r="M426" s="108"/>
      <c r="N426" s="108"/>
      <c r="O426" s="108"/>
      <c r="P426" s="108"/>
      <c r="Q426" s="108"/>
      <c r="R426" s="108"/>
      <c r="S426" s="108"/>
      <c r="T426" s="108"/>
      <c r="U426" s="108"/>
      <c r="W426" s="108"/>
      <c r="X426" s="108"/>
    </row>
    <row r="427" spans="1:24" s="124" customFormat="1" ht="14.25" customHeight="1">
      <c r="A427" s="107"/>
      <c r="B427" s="108"/>
      <c r="C427" s="108"/>
      <c r="D427" s="108"/>
      <c r="E427" s="108"/>
      <c r="F427" s="108"/>
      <c r="G427" s="108"/>
      <c r="H427" s="108"/>
      <c r="I427" s="108"/>
      <c r="J427" s="108"/>
      <c r="K427" s="108"/>
      <c r="L427" s="108"/>
      <c r="M427" s="108"/>
      <c r="N427" s="108"/>
      <c r="O427" s="108"/>
      <c r="P427" s="108"/>
      <c r="Q427" s="108"/>
      <c r="R427" s="108"/>
      <c r="S427" s="108"/>
      <c r="T427" s="108"/>
      <c r="U427" s="108"/>
      <c r="W427" s="108"/>
      <c r="X427" s="108"/>
    </row>
    <row r="428" spans="1:24" s="124" customFormat="1" ht="14.25" customHeight="1">
      <c r="A428" s="107"/>
      <c r="B428" s="108"/>
      <c r="C428" s="108"/>
      <c r="D428" s="108"/>
      <c r="E428" s="108"/>
      <c r="F428" s="108"/>
      <c r="G428" s="108"/>
      <c r="H428" s="108"/>
      <c r="I428" s="108"/>
      <c r="J428" s="108"/>
      <c r="K428" s="108"/>
      <c r="L428" s="108"/>
      <c r="M428" s="108"/>
      <c r="N428" s="108"/>
      <c r="O428" s="108"/>
      <c r="P428" s="108"/>
      <c r="Q428" s="108"/>
      <c r="R428" s="108"/>
      <c r="S428" s="108"/>
      <c r="T428" s="108"/>
      <c r="U428" s="108"/>
      <c r="W428" s="108"/>
      <c r="X428" s="108"/>
    </row>
    <row r="429" spans="1:24" s="124" customFormat="1" ht="14.25" customHeight="1">
      <c r="A429" s="107"/>
      <c r="B429" s="108"/>
      <c r="C429" s="108"/>
      <c r="D429" s="108"/>
      <c r="E429" s="108"/>
      <c r="F429" s="108"/>
      <c r="G429" s="108"/>
      <c r="H429" s="108"/>
      <c r="I429" s="108"/>
      <c r="J429" s="108"/>
      <c r="K429" s="108"/>
      <c r="L429" s="108"/>
      <c r="M429" s="108"/>
      <c r="N429" s="108"/>
      <c r="O429" s="108"/>
      <c r="P429" s="108"/>
      <c r="Q429" s="108"/>
      <c r="R429" s="108"/>
      <c r="S429" s="108"/>
      <c r="T429" s="108"/>
      <c r="U429" s="108"/>
      <c r="W429" s="108"/>
      <c r="X429" s="108"/>
    </row>
    <row r="430" spans="1:24" s="124" customFormat="1" ht="14.25" customHeight="1">
      <c r="A430" s="107"/>
      <c r="B430" s="108"/>
      <c r="C430" s="108"/>
      <c r="D430" s="108"/>
      <c r="E430" s="108"/>
      <c r="F430" s="108"/>
      <c r="G430" s="108"/>
      <c r="H430" s="108"/>
      <c r="I430" s="108"/>
      <c r="J430" s="108"/>
      <c r="K430" s="108"/>
      <c r="L430" s="108"/>
      <c r="M430" s="108"/>
      <c r="N430" s="108"/>
      <c r="O430" s="108"/>
      <c r="P430" s="108"/>
      <c r="Q430" s="108"/>
      <c r="R430" s="108"/>
      <c r="S430" s="108"/>
      <c r="T430" s="108"/>
      <c r="U430" s="108"/>
      <c r="W430" s="108"/>
      <c r="X430" s="108"/>
    </row>
    <row r="431" spans="1:24" s="124" customFormat="1" ht="14.25" customHeight="1">
      <c r="A431" s="107"/>
      <c r="B431" s="108"/>
      <c r="C431" s="108"/>
      <c r="D431" s="108"/>
      <c r="E431" s="108"/>
      <c r="F431" s="108"/>
      <c r="G431" s="108"/>
      <c r="H431" s="108"/>
      <c r="I431" s="108"/>
      <c r="J431" s="108"/>
      <c r="K431" s="108"/>
      <c r="L431" s="108"/>
      <c r="M431" s="108"/>
      <c r="N431" s="108"/>
      <c r="O431" s="108"/>
      <c r="P431" s="108"/>
      <c r="Q431" s="108"/>
      <c r="R431" s="108"/>
      <c r="S431" s="108"/>
      <c r="T431" s="108"/>
      <c r="U431" s="108"/>
      <c r="W431" s="108"/>
      <c r="X431" s="108"/>
    </row>
    <row r="432" spans="1:24" s="124" customFormat="1" ht="14.25" customHeight="1">
      <c r="A432" s="107"/>
      <c r="B432" s="108"/>
      <c r="C432" s="108"/>
      <c r="D432" s="108"/>
      <c r="E432" s="108"/>
      <c r="F432" s="108"/>
      <c r="G432" s="108"/>
      <c r="H432" s="108"/>
      <c r="I432" s="108"/>
      <c r="J432" s="108"/>
      <c r="K432" s="108"/>
      <c r="L432" s="108"/>
      <c r="M432" s="108"/>
      <c r="N432" s="108"/>
      <c r="O432" s="108"/>
      <c r="P432" s="108"/>
      <c r="Q432" s="108"/>
      <c r="R432" s="108"/>
      <c r="S432" s="108"/>
      <c r="T432" s="108"/>
      <c r="U432" s="108"/>
      <c r="W432" s="108"/>
      <c r="X432" s="108"/>
    </row>
    <row r="433" spans="1:24" s="124" customFormat="1" ht="14.25" customHeight="1">
      <c r="A433" s="107"/>
      <c r="B433" s="108"/>
      <c r="C433" s="108"/>
      <c r="D433" s="108"/>
      <c r="E433" s="108"/>
      <c r="F433" s="108"/>
      <c r="G433" s="108"/>
      <c r="H433" s="108"/>
      <c r="I433" s="108"/>
      <c r="J433" s="108"/>
      <c r="K433" s="108"/>
      <c r="L433" s="108"/>
      <c r="M433" s="108"/>
      <c r="N433" s="108"/>
      <c r="O433" s="108"/>
      <c r="P433" s="108"/>
      <c r="Q433" s="108"/>
      <c r="R433" s="108"/>
      <c r="S433" s="108"/>
      <c r="T433" s="108"/>
      <c r="U433" s="108"/>
      <c r="W433" s="108"/>
      <c r="X433" s="108"/>
    </row>
    <row r="434" spans="1:24" s="124" customFormat="1" ht="14.25" customHeight="1">
      <c r="A434" s="107"/>
      <c r="B434" s="108"/>
      <c r="C434" s="108"/>
      <c r="D434" s="108"/>
      <c r="E434" s="108"/>
      <c r="F434" s="108"/>
      <c r="G434" s="108"/>
      <c r="H434" s="108"/>
      <c r="I434" s="108"/>
      <c r="J434" s="108"/>
      <c r="K434" s="108"/>
      <c r="L434" s="108"/>
      <c r="M434" s="108"/>
      <c r="N434" s="108"/>
      <c r="O434" s="108"/>
      <c r="P434" s="108"/>
      <c r="Q434" s="108"/>
      <c r="R434" s="108"/>
      <c r="S434" s="108"/>
      <c r="T434" s="108"/>
      <c r="U434" s="108"/>
      <c r="W434" s="108"/>
      <c r="X434" s="108"/>
    </row>
    <row r="435" spans="1:24" s="124" customFormat="1" ht="14.25" customHeight="1">
      <c r="A435" s="107"/>
      <c r="B435" s="108"/>
      <c r="C435" s="108"/>
      <c r="D435" s="108"/>
      <c r="E435" s="108"/>
      <c r="F435" s="108"/>
      <c r="G435" s="108"/>
      <c r="H435" s="108"/>
      <c r="I435" s="108"/>
      <c r="J435" s="108"/>
      <c r="K435" s="108"/>
      <c r="L435" s="108"/>
      <c r="M435" s="108"/>
      <c r="N435" s="108"/>
      <c r="O435" s="108"/>
      <c r="P435" s="108"/>
      <c r="Q435" s="108"/>
      <c r="R435" s="108"/>
      <c r="S435" s="108"/>
      <c r="T435" s="108"/>
      <c r="U435" s="108"/>
      <c r="W435" s="108"/>
      <c r="X435" s="108"/>
    </row>
    <row r="436" spans="1:24" s="124" customFormat="1" ht="14.25" customHeight="1">
      <c r="A436" s="107"/>
      <c r="B436" s="108"/>
      <c r="C436" s="108"/>
      <c r="D436" s="108"/>
      <c r="E436" s="108"/>
      <c r="F436" s="108"/>
      <c r="G436" s="108"/>
      <c r="H436" s="108"/>
      <c r="I436" s="108"/>
      <c r="J436" s="108"/>
      <c r="K436" s="108"/>
      <c r="L436" s="108"/>
      <c r="M436" s="108"/>
      <c r="N436" s="108"/>
      <c r="O436" s="108"/>
      <c r="P436" s="108"/>
      <c r="Q436" s="108"/>
      <c r="R436" s="108"/>
      <c r="S436" s="108"/>
      <c r="T436" s="108"/>
      <c r="U436" s="108"/>
      <c r="W436" s="108"/>
      <c r="X436" s="108"/>
    </row>
    <row r="437" spans="1:24" s="124" customFormat="1" ht="14.25" customHeight="1">
      <c r="A437" s="107"/>
      <c r="B437" s="108"/>
      <c r="C437" s="108"/>
      <c r="D437" s="108"/>
      <c r="E437" s="108"/>
      <c r="F437" s="108"/>
      <c r="G437" s="108"/>
      <c r="H437" s="108"/>
      <c r="I437" s="108"/>
      <c r="J437" s="108"/>
      <c r="K437" s="108"/>
      <c r="L437" s="108"/>
      <c r="M437" s="108"/>
      <c r="N437" s="108"/>
      <c r="O437" s="108"/>
      <c r="P437" s="108"/>
      <c r="Q437" s="108"/>
      <c r="R437" s="108"/>
      <c r="S437" s="108"/>
      <c r="T437" s="108"/>
      <c r="U437" s="108"/>
      <c r="W437" s="108"/>
      <c r="X437" s="108"/>
    </row>
    <row r="438" spans="1:24" s="124" customFormat="1" ht="14.25" customHeight="1">
      <c r="A438" s="107"/>
      <c r="B438" s="108"/>
      <c r="C438" s="108"/>
      <c r="D438" s="108"/>
      <c r="E438" s="108"/>
      <c r="F438" s="108"/>
      <c r="G438" s="108"/>
      <c r="H438" s="108"/>
      <c r="I438" s="108"/>
      <c r="J438" s="108"/>
      <c r="K438" s="108"/>
      <c r="L438" s="108"/>
      <c r="M438" s="108"/>
      <c r="N438" s="108"/>
      <c r="O438" s="108"/>
      <c r="P438" s="108"/>
      <c r="Q438" s="108"/>
      <c r="R438" s="108"/>
      <c r="S438" s="108"/>
      <c r="T438" s="108"/>
      <c r="U438" s="108"/>
      <c r="W438" s="108"/>
      <c r="X438" s="108"/>
    </row>
    <row r="439" spans="1:24" s="124" customFormat="1" ht="14.25" customHeight="1">
      <c r="A439" s="107"/>
      <c r="B439" s="108"/>
      <c r="C439" s="108"/>
      <c r="D439" s="108"/>
      <c r="E439" s="108"/>
      <c r="F439" s="108"/>
      <c r="G439" s="108"/>
      <c r="H439" s="108"/>
      <c r="I439" s="108"/>
      <c r="J439" s="108"/>
      <c r="K439" s="108"/>
      <c r="L439" s="108"/>
      <c r="M439" s="108"/>
      <c r="N439" s="108"/>
      <c r="O439" s="108"/>
      <c r="P439" s="108"/>
      <c r="Q439" s="108"/>
      <c r="R439" s="108"/>
      <c r="S439" s="108"/>
      <c r="T439" s="108"/>
      <c r="U439" s="108"/>
      <c r="W439" s="108"/>
      <c r="X439" s="108"/>
    </row>
    <row r="440" spans="1:24" s="124" customFormat="1" ht="14.25" customHeight="1">
      <c r="A440" s="107"/>
      <c r="B440" s="108"/>
      <c r="C440" s="108"/>
      <c r="D440" s="108"/>
      <c r="E440" s="108"/>
      <c r="F440" s="108"/>
      <c r="G440" s="108"/>
      <c r="H440" s="108"/>
      <c r="I440" s="108"/>
      <c r="J440" s="108"/>
      <c r="K440" s="108"/>
      <c r="L440" s="108"/>
      <c r="M440" s="108"/>
      <c r="N440" s="108"/>
      <c r="O440" s="108"/>
      <c r="P440" s="108"/>
      <c r="Q440" s="108"/>
      <c r="R440" s="108"/>
      <c r="S440" s="108"/>
      <c r="T440" s="108"/>
      <c r="U440" s="108"/>
      <c r="W440" s="108"/>
      <c r="X440" s="108"/>
    </row>
    <row r="441" spans="1:24" s="124" customFormat="1" ht="14.25" customHeight="1">
      <c r="A441" s="107"/>
      <c r="B441" s="108"/>
      <c r="C441" s="108"/>
      <c r="D441" s="108"/>
      <c r="E441" s="108"/>
      <c r="F441" s="108"/>
      <c r="G441" s="108"/>
      <c r="H441" s="108"/>
      <c r="I441" s="108"/>
      <c r="J441" s="108"/>
      <c r="K441" s="108"/>
      <c r="L441" s="108"/>
      <c r="M441" s="108"/>
      <c r="N441" s="108"/>
      <c r="O441" s="108"/>
      <c r="P441" s="108"/>
      <c r="Q441" s="108"/>
      <c r="R441" s="108"/>
      <c r="S441" s="108"/>
      <c r="T441" s="108"/>
      <c r="U441" s="108"/>
      <c r="W441" s="108"/>
      <c r="X441" s="108"/>
    </row>
    <row r="442" spans="1:24" s="124" customFormat="1" ht="14.25" customHeight="1">
      <c r="A442" s="107"/>
      <c r="B442" s="108"/>
      <c r="C442" s="108"/>
      <c r="D442" s="108"/>
      <c r="E442" s="108"/>
      <c r="F442" s="108"/>
      <c r="G442" s="108"/>
      <c r="H442" s="108"/>
      <c r="I442" s="108"/>
      <c r="J442" s="108"/>
      <c r="K442" s="108"/>
      <c r="L442" s="108"/>
      <c r="M442" s="108"/>
      <c r="N442" s="108"/>
      <c r="O442" s="108"/>
      <c r="P442" s="108"/>
      <c r="Q442" s="108"/>
      <c r="R442" s="108"/>
      <c r="S442" s="108"/>
      <c r="T442" s="108"/>
      <c r="U442" s="108"/>
      <c r="W442" s="108"/>
      <c r="X442" s="108"/>
    </row>
    <row r="443" spans="1:24" s="124" customFormat="1" ht="14.25" customHeight="1">
      <c r="A443" s="107"/>
      <c r="B443" s="108"/>
      <c r="C443" s="108"/>
      <c r="D443" s="108"/>
      <c r="E443" s="108"/>
      <c r="F443" s="108"/>
      <c r="G443" s="108"/>
      <c r="H443" s="108"/>
      <c r="I443" s="108"/>
      <c r="J443" s="108"/>
      <c r="K443" s="108"/>
      <c r="L443" s="108"/>
      <c r="M443" s="108"/>
      <c r="N443" s="108"/>
      <c r="O443" s="108"/>
      <c r="P443" s="108"/>
      <c r="Q443" s="108"/>
      <c r="R443" s="108"/>
      <c r="S443" s="108"/>
      <c r="T443" s="108"/>
      <c r="U443" s="108"/>
      <c r="W443" s="108"/>
      <c r="X443" s="108"/>
    </row>
    <row r="444" spans="1:24" s="124" customFormat="1" ht="14.25" customHeight="1">
      <c r="A444" s="107"/>
      <c r="B444" s="108"/>
      <c r="C444" s="108"/>
      <c r="D444" s="108"/>
      <c r="E444" s="108"/>
      <c r="F444" s="108"/>
      <c r="G444" s="108"/>
      <c r="H444" s="108"/>
      <c r="I444" s="108"/>
      <c r="J444" s="108"/>
      <c r="K444" s="108"/>
      <c r="L444" s="108"/>
      <c r="M444" s="108"/>
      <c r="N444" s="108"/>
      <c r="O444" s="108"/>
      <c r="P444" s="108"/>
      <c r="Q444" s="108"/>
      <c r="R444" s="108"/>
      <c r="S444" s="108"/>
      <c r="T444" s="108"/>
      <c r="U444" s="108"/>
      <c r="W444" s="108"/>
      <c r="X444" s="108"/>
    </row>
    <row r="445" spans="1:24" s="124" customFormat="1" ht="14.25" customHeight="1">
      <c r="A445" s="107"/>
      <c r="B445" s="108"/>
      <c r="C445" s="108"/>
      <c r="D445" s="108"/>
      <c r="E445" s="108"/>
      <c r="F445" s="108"/>
      <c r="G445" s="108"/>
      <c r="H445" s="108"/>
      <c r="I445" s="108"/>
      <c r="J445" s="108"/>
      <c r="K445" s="108"/>
      <c r="L445" s="108"/>
      <c r="M445" s="108"/>
      <c r="N445" s="108"/>
      <c r="O445" s="108"/>
      <c r="P445" s="108"/>
      <c r="Q445" s="108"/>
      <c r="R445" s="108"/>
      <c r="S445" s="108"/>
      <c r="T445" s="108"/>
      <c r="U445" s="108"/>
      <c r="W445" s="108"/>
      <c r="X445" s="108"/>
    </row>
    <row r="446" spans="1:24" s="124" customFormat="1" ht="14.25" customHeight="1">
      <c r="A446" s="107"/>
      <c r="B446" s="108"/>
      <c r="C446" s="108"/>
      <c r="D446" s="108"/>
      <c r="E446" s="108"/>
      <c r="F446" s="108"/>
      <c r="G446" s="108"/>
      <c r="H446" s="108"/>
      <c r="I446" s="108"/>
      <c r="J446" s="108"/>
      <c r="K446" s="108"/>
      <c r="L446" s="108"/>
      <c r="M446" s="108"/>
      <c r="N446" s="108"/>
      <c r="O446" s="108"/>
      <c r="P446" s="108"/>
      <c r="Q446" s="108"/>
      <c r="R446" s="108"/>
      <c r="S446" s="108"/>
      <c r="T446" s="108"/>
      <c r="U446" s="108"/>
      <c r="W446" s="108"/>
      <c r="X446" s="108"/>
    </row>
    <row r="447" spans="1:24" s="124" customFormat="1" ht="14.25" customHeight="1">
      <c r="A447" s="107"/>
      <c r="B447" s="108"/>
      <c r="C447" s="108"/>
      <c r="D447" s="108"/>
      <c r="E447" s="108"/>
      <c r="F447" s="108"/>
      <c r="G447" s="108"/>
      <c r="H447" s="108"/>
      <c r="I447" s="108"/>
      <c r="J447" s="108"/>
      <c r="K447" s="108"/>
      <c r="L447" s="108"/>
      <c r="M447" s="108"/>
      <c r="N447" s="108"/>
      <c r="O447" s="108"/>
      <c r="P447" s="108"/>
      <c r="Q447" s="108"/>
      <c r="R447" s="108"/>
      <c r="S447" s="108"/>
      <c r="T447" s="108"/>
      <c r="U447" s="108"/>
      <c r="W447" s="108"/>
      <c r="X447" s="108"/>
    </row>
    <row r="448" spans="1:24" s="124" customFormat="1" ht="14.25" customHeight="1">
      <c r="A448" s="107"/>
      <c r="B448" s="108"/>
      <c r="C448" s="108"/>
      <c r="D448" s="108"/>
      <c r="E448" s="108"/>
      <c r="F448" s="108"/>
      <c r="G448" s="108"/>
      <c r="H448" s="108"/>
      <c r="I448" s="108"/>
      <c r="J448" s="108"/>
      <c r="K448" s="108"/>
      <c r="L448" s="108"/>
      <c r="M448" s="108"/>
      <c r="N448" s="108"/>
      <c r="O448" s="108"/>
      <c r="P448" s="108"/>
      <c r="Q448" s="108"/>
      <c r="R448" s="108"/>
      <c r="S448" s="108"/>
      <c r="T448" s="108"/>
      <c r="U448" s="108"/>
      <c r="W448" s="108"/>
      <c r="X448" s="108"/>
    </row>
    <row r="449" spans="1:24" s="124" customFormat="1" ht="14.25" customHeight="1">
      <c r="A449" s="107"/>
      <c r="B449" s="108"/>
      <c r="C449" s="108"/>
      <c r="D449" s="108"/>
      <c r="E449" s="108"/>
      <c r="F449" s="108"/>
      <c r="G449" s="108"/>
      <c r="H449" s="108"/>
      <c r="I449" s="108"/>
      <c r="J449" s="108"/>
      <c r="K449" s="108"/>
      <c r="L449" s="108"/>
      <c r="M449" s="108"/>
      <c r="N449" s="108"/>
      <c r="O449" s="108"/>
      <c r="P449" s="108"/>
      <c r="Q449" s="108"/>
      <c r="R449" s="108"/>
      <c r="S449" s="108"/>
      <c r="T449" s="108"/>
      <c r="U449" s="108"/>
      <c r="W449" s="108"/>
      <c r="X449" s="108"/>
    </row>
    <row r="450" spans="1:24" s="124" customFormat="1" ht="14.25" customHeight="1">
      <c r="A450" s="107"/>
      <c r="B450" s="108"/>
      <c r="C450" s="108"/>
      <c r="D450" s="108"/>
      <c r="E450" s="108"/>
      <c r="F450" s="108"/>
      <c r="G450" s="108"/>
      <c r="H450" s="108"/>
      <c r="I450" s="108"/>
      <c r="J450" s="108"/>
      <c r="K450" s="108"/>
      <c r="L450" s="108"/>
      <c r="M450" s="108"/>
      <c r="N450" s="108"/>
      <c r="O450" s="108"/>
      <c r="P450" s="108"/>
      <c r="Q450" s="108"/>
      <c r="R450" s="108"/>
      <c r="S450" s="108"/>
      <c r="T450" s="108"/>
      <c r="U450" s="108"/>
      <c r="W450" s="108"/>
      <c r="X450" s="108"/>
    </row>
    <row r="451" spans="1:24" s="124" customFormat="1" ht="14.25" customHeight="1">
      <c r="A451" s="107"/>
      <c r="B451" s="108"/>
      <c r="C451" s="108"/>
      <c r="D451" s="108"/>
      <c r="E451" s="108"/>
      <c r="F451" s="108"/>
      <c r="G451" s="108"/>
      <c r="H451" s="108"/>
      <c r="I451" s="108"/>
      <c r="J451" s="108"/>
      <c r="K451" s="108"/>
      <c r="L451" s="108"/>
      <c r="M451" s="108"/>
      <c r="N451" s="108"/>
      <c r="O451" s="108"/>
      <c r="P451" s="108"/>
      <c r="Q451" s="108"/>
      <c r="R451" s="108"/>
      <c r="S451" s="108"/>
      <c r="T451" s="108"/>
      <c r="U451" s="108"/>
      <c r="W451" s="108"/>
      <c r="X451" s="108"/>
    </row>
    <row r="452" spans="1:24" s="124" customFormat="1" ht="14.25" customHeight="1">
      <c r="A452" s="107"/>
      <c r="B452" s="108"/>
      <c r="C452" s="108"/>
      <c r="D452" s="108"/>
      <c r="E452" s="108"/>
      <c r="F452" s="108"/>
      <c r="G452" s="108"/>
      <c r="H452" s="108"/>
      <c r="I452" s="108"/>
      <c r="J452" s="108"/>
      <c r="K452" s="108"/>
      <c r="L452" s="108"/>
      <c r="M452" s="108"/>
      <c r="N452" s="108"/>
      <c r="O452" s="108"/>
      <c r="P452" s="108"/>
      <c r="Q452" s="108"/>
      <c r="R452" s="108"/>
      <c r="S452" s="108"/>
      <c r="T452" s="108"/>
      <c r="U452" s="108"/>
      <c r="W452" s="108"/>
      <c r="X452" s="108"/>
    </row>
    <row r="453" spans="1:24" s="124" customFormat="1" ht="14.25" customHeight="1">
      <c r="A453" s="107"/>
      <c r="B453" s="108"/>
      <c r="C453" s="108"/>
      <c r="D453" s="108"/>
      <c r="E453" s="108"/>
      <c r="F453" s="108"/>
      <c r="G453" s="108"/>
      <c r="H453" s="108"/>
      <c r="I453" s="108"/>
      <c r="J453" s="108"/>
      <c r="K453" s="108"/>
      <c r="L453" s="108"/>
      <c r="M453" s="108"/>
      <c r="N453" s="108"/>
      <c r="O453" s="108"/>
      <c r="P453" s="108"/>
      <c r="Q453" s="108"/>
      <c r="R453" s="108"/>
      <c r="S453" s="108"/>
      <c r="T453" s="108"/>
      <c r="U453" s="108"/>
      <c r="W453" s="108"/>
      <c r="X453" s="108"/>
    </row>
    <row r="454" spans="1:24" s="124" customFormat="1" ht="14.25" customHeight="1">
      <c r="A454" s="107"/>
      <c r="B454" s="108"/>
      <c r="C454" s="108"/>
      <c r="D454" s="108"/>
      <c r="E454" s="108"/>
      <c r="F454" s="108"/>
      <c r="G454" s="108"/>
      <c r="H454" s="108"/>
      <c r="I454" s="108"/>
      <c r="J454" s="108"/>
      <c r="K454" s="108"/>
      <c r="L454" s="108"/>
      <c r="M454" s="108"/>
      <c r="N454" s="108"/>
      <c r="O454" s="108"/>
      <c r="P454" s="108"/>
      <c r="Q454" s="108"/>
      <c r="R454" s="108"/>
      <c r="S454" s="108"/>
      <c r="T454" s="108"/>
      <c r="U454" s="108"/>
      <c r="W454" s="108"/>
      <c r="X454" s="108"/>
    </row>
    <row r="455" spans="1:24" s="124" customFormat="1" ht="14.25" customHeight="1">
      <c r="A455" s="107"/>
      <c r="B455" s="108"/>
      <c r="C455" s="108"/>
      <c r="D455" s="108"/>
      <c r="E455" s="108"/>
      <c r="F455" s="108"/>
      <c r="G455" s="108"/>
      <c r="H455" s="108"/>
      <c r="I455" s="108"/>
      <c r="J455" s="108"/>
      <c r="K455" s="108"/>
      <c r="L455" s="108"/>
      <c r="M455" s="108"/>
      <c r="N455" s="108"/>
      <c r="O455" s="108"/>
      <c r="P455" s="108"/>
      <c r="Q455" s="108"/>
      <c r="R455" s="108"/>
      <c r="S455" s="108"/>
      <c r="T455" s="108"/>
      <c r="U455" s="108"/>
      <c r="W455" s="108"/>
      <c r="X455" s="108"/>
    </row>
    <row r="456" spans="1:24" s="124" customFormat="1" ht="14.25" customHeight="1">
      <c r="A456" s="107"/>
      <c r="B456" s="108"/>
      <c r="C456" s="108"/>
      <c r="D456" s="108"/>
      <c r="E456" s="108"/>
      <c r="F456" s="108"/>
      <c r="G456" s="108"/>
      <c r="H456" s="108"/>
      <c r="I456" s="108"/>
      <c r="J456" s="108"/>
      <c r="K456" s="108"/>
      <c r="L456" s="108"/>
      <c r="M456" s="108"/>
      <c r="N456" s="108"/>
      <c r="O456" s="108"/>
      <c r="P456" s="108"/>
      <c r="Q456" s="108"/>
      <c r="R456" s="108"/>
      <c r="S456" s="108"/>
      <c r="T456" s="108"/>
      <c r="U456" s="108"/>
      <c r="W456" s="108"/>
      <c r="X456" s="108"/>
    </row>
    <row r="457" spans="1:24" s="124" customFormat="1" ht="14.25" customHeight="1">
      <c r="A457" s="107"/>
      <c r="B457" s="108"/>
      <c r="C457" s="108"/>
      <c r="D457" s="108"/>
      <c r="E457" s="108"/>
      <c r="F457" s="108"/>
      <c r="G457" s="108"/>
      <c r="H457" s="108"/>
      <c r="I457" s="108"/>
      <c r="J457" s="108"/>
      <c r="K457" s="108"/>
      <c r="L457" s="108"/>
      <c r="M457" s="108"/>
      <c r="N457" s="108"/>
      <c r="O457" s="108"/>
      <c r="P457" s="108"/>
      <c r="Q457" s="108"/>
      <c r="R457" s="108"/>
      <c r="S457" s="108"/>
      <c r="T457" s="108"/>
      <c r="U457" s="108"/>
      <c r="W457" s="108"/>
      <c r="X457" s="108"/>
    </row>
    <row r="458" spans="1:24" s="124" customFormat="1" ht="14.25" customHeight="1">
      <c r="A458" s="107"/>
      <c r="B458" s="108"/>
      <c r="C458" s="108"/>
      <c r="D458" s="108"/>
      <c r="E458" s="108"/>
      <c r="F458" s="108"/>
      <c r="G458" s="108"/>
      <c r="H458" s="108"/>
      <c r="I458" s="108"/>
      <c r="J458" s="108"/>
      <c r="K458" s="108"/>
      <c r="L458" s="108"/>
      <c r="M458" s="108"/>
      <c r="N458" s="108"/>
      <c r="O458" s="108"/>
      <c r="P458" s="108"/>
      <c r="Q458" s="108"/>
      <c r="R458" s="108"/>
      <c r="S458" s="108"/>
      <c r="T458" s="108"/>
      <c r="U458" s="108"/>
      <c r="W458" s="108"/>
      <c r="X458" s="108"/>
    </row>
    <row r="459" spans="1:24" s="124" customFormat="1" ht="14.25" customHeight="1">
      <c r="A459" s="107"/>
      <c r="B459" s="108"/>
      <c r="C459" s="108"/>
      <c r="D459" s="108"/>
      <c r="E459" s="108"/>
      <c r="F459" s="108"/>
      <c r="G459" s="108"/>
      <c r="H459" s="108"/>
      <c r="I459" s="108"/>
      <c r="J459" s="108"/>
      <c r="K459" s="108"/>
      <c r="L459" s="108"/>
      <c r="M459" s="108"/>
      <c r="N459" s="108"/>
      <c r="O459" s="108"/>
      <c r="P459" s="108"/>
      <c r="Q459" s="108"/>
      <c r="R459" s="108"/>
      <c r="S459" s="108"/>
      <c r="T459" s="108"/>
      <c r="U459" s="108"/>
      <c r="W459" s="108"/>
      <c r="X459" s="108"/>
    </row>
    <row r="460" spans="1:24" s="124" customFormat="1" ht="31.65" customHeight="1">
      <c r="A460" s="107"/>
      <c r="B460" s="108"/>
      <c r="C460" s="108"/>
      <c r="D460" s="108"/>
      <c r="E460" s="108"/>
      <c r="F460" s="108"/>
      <c r="G460" s="108"/>
      <c r="H460" s="108"/>
      <c r="I460" s="108"/>
      <c r="J460" s="108"/>
      <c r="K460" s="108"/>
      <c r="L460" s="108"/>
      <c r="M460" s="108"/>
      <c r="N460" s="108"/>
      <c r="O460" s="108"/>
      <c r="P460" s="108"/>
      <c r="Q460" s="108"/>
      <c r="R460" s="108"/>
      <c r="S460" s="108"/>
      <c r="T460" s="108"/>
      <c r="U460" s="108"/>
      <c r="W460" s="108"/>
      <c r="X460" s="108"/>
    </row>
    <row r="461" spans="1:24" s="124" customFormat="1" ht="14.25" customHeight="1">
      <c r="A461" s="107"/>
      <c r="B461" s="108"/>
      <c r="C461" s="108"/>
      <c r="D461" s="108"/>
      <c r="E461" s="108"/>
      <c r="F461" s="108"/>
      <c r="G461" s="108"/>
      <c r="H461" s="108"/>
      <c r="I461" s="108"/>
      <c r="J461" s="108"/>
      <c r="K461" s="108"/>
      <c r="L461" s="108"/>
      <c r="M461" s="108"/>
      <c r="N461" s="108"/>
      <c r="O461" s="108"/>
      <c r="P461" s="108"/>
      <c r="Q461" s="108"/>
      <c r="R461" s="108"/>
      <c r="S461" s="108"/>
      <c r="T461" s="108"/>
      <c r="U461" s="108"/>
      <c r="W461" s="108"/>
      <c r="X461" s="108"/>
    </row>
    <row r="462" spans="1:24" s="124" customFormat="1" ht="14.25" customHeight="1">
      <c r="A462" s="107"/>
      <c r="B462" s="108"/>
      <c r="C462" s="108"/>
      <c r="D462" s="108"/>
      <c r="E462" s="108"/>
      <c r="F462" s="108"/>
      <c r="G462" s="108"/>
      <c r="H462" s="108"/>
      <c r="I462" s="108"/>
      <c r="J462" s="108"/>
      <c r="K462" s="108"/>
      <c r="L462" s="108"/>
      <c r="M462" s="108"/>
      <c r="N462" s="108"/>
      <c r="O462" s="108"/>
      <c r="P462" s="108"/>
      <c r="Q462" s="108"/>
      <c r="R462" s="108"/>
      <c r="S462" s="108"/>
      <c r="T462" s="108"/>
      <c r="U462" s="108"/>
      <c r="W462" s="108"/>
      <c r="X462" s="108"/>
    </row>
    <row r="463" spans="1:24" s="124" customFormat="1" ht="14.25" customHeight="1">
      <c r="A463" s="107"/>
      <c r="B463" s="108"/>
      <c r="C463" s="108"/>
      <c r="D463" s="108"/>
      <c r="E463" s="108"/>
      <c r="F463" s="108"/>
      <c r="G463" s="108"/>
      <c r="H463" s="108"/>
      <c r="I463" s="108"/>
      <c r="J463" s="108"/>
      <c r="K463" s="108"/>
      <c r="L463" s="108"/>
      <c r="M463" s="108"/>
      <c r="N463" s="108"/>
      <c r="O463" s="108"/>
      <c r="P463" s="108"/>
      <c r="Q463" s="108"/>
      <c r="R463" s="108"/>
      <c r="S463" s="108"/>
      <c r="T463" s="108"/>
      <c r="U463" s="108"/>
      <c r="W463" s="108"/>
      <c r="X463" s="108"/>
    </row>
    <row r="464" spans="1:24" s="124" customFormat="1" ht="14.25" customHeight="1">
      <c r="A464" s="107"/>
      <c r="B464" s="108"/>
      <c r="C464" s="108"/>
      <c r="D464" s="108"/>
      <c r="E464" s="108"/>
      <c r="F464" s="108"/>
      <c r="G464" s="108"/>
      <c r="H464" s="108"/>
      <c r="I464" s="108"/>
      <c r="J464" s="108"/>
      <c r="K464" s="108"/>
      <c r="L464" s="108"/>
      <c r="M464" s="108"/>
      <c r="N464" s="108"/>
      <c r="O464" s="108"/>
      <c r="P464" s="108"/>
      <c r="Q464" s="108"/>
      <c r="R464" s="108"/>
      <c r="S464" s="108"/>
      <c r="T464" s="108"/>
      <c r="U464" s="108"/>
      <c r="W464" s="108"/>
      <c r="X464" s="108"/>
    </row>
    <row r="465" spans="1:24" s="124" customFormat="1" ht="14.25" customHeight="1">
      <c r="A465" s="107"/>
      <c r="B465" s="108"/>
      <c r="C465" s="108"/>
      <c r="D465" s="108"/>
      <c r="E465" s="108"/>
      <c r="F465" s="108"/>
      <c r="G465" s="108"/>
      <c r="H465" s="108"/>
      <c r="I465" s="108"/>
      <c r="J465" s="108"/>
      <c r="K465" s="108"/>
      <c r="L465" s="108"/>
      <c r="M465" s="108"/>
      <c r="N465" s="108"/>
      <c r="O465" s="108"/>
      <c r="P465" s="108"/>
      <c r="Q465" s="108"/>
      <c r="R465" s="108"/>
      <c r="S465" s="108"/>
      <c r="T465" s="108"/>
      <c r="U465" s="108"/>
      <c r="W465" s="108"/>
      <c r="X465" s="108"/>
    </row>
    <row r="466" spans="1:24" s="124" customFormat="1" ht="14.25" customHeight="1">
      <c r="A466" s="107"/>
      <c r="B466" s="108"/>
      <c r="C466" s="108"/>
      <c r="D466" s="108"/>
      <c r="E466" s="108"/>
      <c r="F466" s="108"/>
      <c r="G466" s="108"/>
      <c r="H466" s="108"/>
      <c r="I466" s="108"/>
      <c r="J466" s="108"/>
      <c r="K466" s="108"/>
      <c r="L466" s="108"/>
      <c r="M466" s="108"/>
      <c r="N466" s="108"/>
      <c r="O466" s="108"/>
      <c r="P466" s="108"/>
      <c r="Q466" s="108"/>
      <c r="R466" s="108"/>
      <c r="S466" s="108"/>
      <c r="T466" s="108"/>
      <c r="U466" s="108"/>
      <c r="W466" s="108"/>
      <c r="X466" s="108"/>
    </row>
    <row r="467" spans="1:24" s="124" customFormat="1" ht="14.25" customHeight="1">
      <c r="A467" s="107"/>
      <c r="B467" s="108"/>
      <c r="C467" s="108"/>
      <c r="D467" s="108"/>
      <c r="E467" s="108"/>
      <c r="F467" s="108"/>
      <c r="G467" s="108"/>
      <c r="H467" s="108"/>
      <c r="I467" s="108"/>
      <c r="J467" s="108"/>
      <c r="K467" s="108"/>
      <c r="L467" s="108"/>
      <c r="M467" s="108"/>
      <c r="N467" s="108"/>
      <c r="O467" s="108"/>
      <c r="P467" s="108"/>
      <c r="Q467" s="108"/>
      <c r="R467" s="108"/>
      <c r="S467" s="108"/>
      <c r="T467" s="108"/>
      <c r="U467" s="108"/>
      <c r="W467" s="108"/>
      <c r="X467" s="108"/>
    </row>
    <row r="468" spans="1:24" s="124" customFormat="1" ht="14.25" customHeight="1">
      <c r="A468" s="107"/>
      <c r="B468" s="108"/>
      <c r="C468" s="108"/>
      <c r="D468" s="108"/>
      <c r="E468" s="108"/>
      <c r="F468" s="108"/>
      <c r="G468" s="108"/>
      <c r="H468" s="108"/>
      <c r="I468" s="108"/>
      <c r="J468" s="108"/>
      <c r="K468" s="108"/>
      <c r="L468" s="108"/>
      <c r="M468" s="108"/>
      <c r="N468" s="108"/>
      <c r="O468" s="108"/>
      <c r="P468" s="108"/>
      <c r="Q468" s="108"/>
      <c r="R468" s="108"/>
      <c r="S468" s="108"/>
      <c r="T468" s="108"/>
      <c r="U468" s="108"/>
      <c r="W468" s="108"/>
      <c r="X468" s="108"/>
    </row>
    <row r="469" spans="1:24" s="124" customFormat="1" ht="14.25" customHeight="1">
      <c r="A469" s="107"/>
      <c r="B469" s="108"/>
      <c r="C469" s="108"/>
      <c r="D469" s="108"/>
      <c r="E469" s="108"/>
      <c r="F469" s="108"/>
      <c r="G469" s="108"/>
      <c r="H469" s="108"/>
      <c r="I469" s="108"/>
      <c r="J469" s="108"/>
      <c r="K469" s="108"/>
      <c r="L469" s="108"/>
      <c r="M469" s="108"/>
      <c r="N469" s="108"/>
      <c r="O469" s="108"/>
      <c r="P469" s="108"/>
      <c r="Q469" s="108"/>
      <c r="R469" s="108"/>
      <c r="S469" s="108"/>
      <c r="T469" s="108"/>
      <c r="U469" s="108"/>
      <c r="W469" s="108"/>
      <c r="X469" s="108"/>
    </row>
    <row r="470" spans="1:24" s="124" customFormat="1" ht="14.25" customHeight="1">
      <c r="A470" s="107"/>
      <c r="B470" s="108"/>
      <c r="C470" s="108"/>
      <c r="D470" s="108"/>
      <c r="E470" s="108"/>
      <c r="F470" s="108"/>
      <c r="G470" s="108"/>
      <c r="H470" s="108"/>
      <c r="I470" s="108"/>
      <c r="J470" s="108"/>
      <c r="K470" s="108"/>
      <c r="L470" s="108"/>
      <c r="M470" s="108"/>
      <c r="N470" s="108"/>
      <c r="O470" s="108"/>
      <c r="P470" s="108"/>
      <c r="Q470" s="108"/>
      <c r="R470" s="108"/>
      <c r="S470" s="108"/>
      <c r="T470" s="108"/>
      <c r="U470" s="108"/>
      <c r="W470" s="108"/>
      <c r="X470" s="108"/>
    </row>
    <row r="471" spans="1:24" s="124" customFormat="1" ht="14.25" customHeight="1">
      <c r="A471" s="107"/>
      <c r="B471" s="108"/>
      <c r="C471" s="108"/>
      <c r="D471" s="108"/>
      <c r="E471" s="108"/>
      <c r="F471" s="108"/>
      <c r="G471" s="108"/>
      <c r="H471" s="108"/>
      <c r="I471" s="108"/>
      <c r="J471" s="108"/>
      <c r="K471" s="108"/>
      <c r="L471" s="108"/>
      <c r="M471" s="108"/>
      <c r="N471" s="108"/>
      <c r="O471" s="108"/>
      <c r="P471" s="108"/>
      <c r="Q471" s="108"/>
      <c r="R471" s="108"/>
      <c r="S471" s="108"/>
      <c r="T471" s="108"/>
      <c r="U471" s="108"/>
      <c r="W471" s="108"/>
      <c r="X471" s="108"/>
    </row>
    <row r="472" spans="1:24" s="124" customFormat="1" ht="14.25" customHeight="1">
      <c r="A472" s="107"/>
      <c r="B472" s="108"/>
      <c r="C472" s="108"/>
      <c r="D472" s="108"/>
      <c r="E472" s="108"/>
      <c r="F472" s="108"/>
      <c r="G472" s="108"/>
      <c r="H472" s="108"/>
      <c r="I472" s="108"/>
      <c r="J472" s="108"/>
      <c r="K472" s="108"/>
      <c r="L472" s="108"/>
      <c r="M472" s="108"/>
      <c r="N472" s="108"/>
      <c r="O472" s="108"/>
      <c r="P472" s="108"/>
      <c r="Q472" s="108"/>
      <c r="R472" s="108"/>
      <c r="S472" s="108"/>
      <c r="T472" s="108"/>
      <c r="U472" s="108"/>
      <c r="W472" s="108"/>
      <c r="X472" s="108"/>
    </row>
    <row r="473" spans="1:24" s="124" customFormat="1" ht="14.25" customHeight="1">
      <c r="A473" s="107"/>
      <c r="B473" s="108"/>
      <c r="C473" s="108"/>
      <c r="D473" s="108"/>
      <c r="E473" s="108"/>
      <c r="F473" s="108"/>
      <c r="G473" s="108"/>
      <c r="H473" s="108"/>
      <c r="I473" s="108"/>
      <c r="J473" s="108"/>
      <c r="K473" s="108"/>
      <c r="L473" s="108"/>
      <c r="M473" s="108"/>
      <c r="N473" s="108"/>
      <c r="O473" s="108"/>
      <c r="P473" s="108"/>
      <c r="Q473" s="108"/>
      <c r="R473" s="108"/>
      <c r="S473" s="108"/>
      <c r="T473" s="108"/>
      <c r="U473" s="108"/>
      <c r="W473" s="108"/>
      <c r="X473" s="108"/>
    </row>
    <row r="474" spans="1:24" s="124" customFormat="1" ht="14.25" customHeight="1">
      <c r="A474" s="107"/>
      <c r="B474" s="108"/>
      <c r="C474" s="108"/>
      <c r="D474" s="108"/>
      <c r="E474" s="108"/>
      <c r="F474" s="108"/>
      <c r="G474" s="108"/>
      <c r="H474" s="108"/>
      <c r="I474" s="108"/>
      <c r="J474" s="108"/>
      <c r="K474" s="108"/>
      <c r="L474" s="108"/>
      <c r="M474" s="108"/>
      <c r="N474" s="108"/>
      <c r="O474" s="108"/>
      <c r="P474" s="108"/>
      <c r="Q474" s="108"/>
      <c r="R474" s="108"/>
      <c r="S474" s="108"/>
      <c r="T474" s="108"/>
      <c r="U474" s="108"/>
      <c r="W474" s="108"/>
      <c r="X474" s="108"/>
    </row>
    <row r="475" spans="1:24" s="124" customFormat="1" ht="14.25" customHeight="1">
      <c r="A475" s="107"/>
      <c r="B475" s="108"/>
      <c r="C475" s="108"/>
      <c r="D475" s="108"/>
      <c r="E475" s="108"/>
      <c r="F475" s="108"/>
      <c r="G475" s="108"/>
      <c r="H475" s="108"/>
      <c r="I475" s="108"/>
      <c r="J475" s="108"/>
      <c r="K475" s="108"/>
      <c r="L475" s="108"/>
      <c r="M475" s="108"/>
      <c r="N475" s="108"/>
      <c r="O475" s="108"/>
      <c r="P475" s="108"/>
      <c r="Q475" s="108"/>
      <c r="R475" s="108"/>
      <c r="S475" s="108"/>
      <c r="T475" s="108"/>
      <c r="U475" s="108"/>
      <c r="W475" s="108"/>
      <c r="X475" s="108"/>
    </row>
    <row r="476" spans="1:24" s="124" customFormat="1" ht="14.25" customHeight="1">
      <c r="A476" s="107"/>
      <c r="B476" s="108"/>
      <c r="C476" s="108"/>
      <c r="D476" s="108"/>
      <c r="E476" s="108"/>
      <c r="F476" s="108"/>
      <c r="G476" s="108"/>
      <c r="H476" s="108"/>
      <c r="I476" s="108"/>
      <c r="J476" s="108"/>
      <c r="K476" s="108"/>
      <c r="L476" s="108"/>
      <c r="M476" s="108"/>
      <c r="N476" s="108"/>
      <c r="O476" s="108"/>
      <c r="P476" s="108"/>
      <c r="Q476" s="108"/>
      <c r="R476" s="108"/>
      <c r="S476" s="108"/>
      <c r="T476" s="108"/>
      <c r="U476" s="108"/>
      <c r="W476" s="108"/>
      <c r="X476" s="108"/>
    </row>
    <row r="477" spans="1:24" s="124" customFormat="1" ht="14.25" customHeight="1">
      <c r="A477" s="107"/>
      <c r="B477" s="108"/>
      <c r="C477" s="108"/>
      <c r="D477" s="108"/>
      <c r="E477" s="108"/>
      <c r="F477" s="108"/>
      <c r="G477" s="108"/>
      <c r="H477" s="108"/>
      <c r="I477" s="108"/>
      <c r="J477" s="108"/>
      <c r="K477" s="108"/>
      <c r="L477" s="108"/>
      <c r="M477" s="108"/>
      <c r="N477" s="108"/>
      <c r="O477" s="108"/>
      <c r="P477" s="108"/>
      <c r="Q477" s="108"/>
      <c r="R477" s="108"/>
      <c r="S477" s="108"/>
      <c r="T477" s="108"/>
      <c r="U477" s="108"/>
      <c r="W477" s="108"/>
      <c r="X477" s="108"/>
    </row>
    <row r="478" spans="1:24" s="124" customFormat="1" ht="14.25" customHeight="1">
      <c r="A478" s="107"/>
      <c r="B478" s="108"/>
      <c r="C478" s="108"/>
      <c r="D478" s="108"/>
      <c r="E478" s="108"/>
      <c r="F478" s="108"/>
      <c r="G478" s="108"/>
      <c r="H478" s="108"/>
      <c r="I478" s="108"/>
      <c r="J478" s="108"/>
      <c r="K478" s="108"/>
      <c r="L478" s="108"/>
      <c r="M478" s="108"/>
      <c r="N478" s="108"/>
      <c r="O478" s="108"/>
      <c r="P478" s="108"/>
      <c r="Q478" s="108"/>
      <c r="R478" s="108"/>
      <c r="S478" s="108"/>
      <c r="T478" s="108"/>
      <c r="U478" s="108"/>
      <c r="W478" s="108"/>
      <c r="X478" s="108"/>
    </row>
    <row r="479" spans="1:24" s="124" customFormat="1" ht="14.25" customHeight="1">
      <c r="A479" s="107"/>
      <c r="B479" s="108"/>
      <c r="C479" s="108"/>
      <c r="D479" s="108"/>
      <c r="E479" s="108"/>
      <c r="F479" s="108"/>
      <c r="G479" s="108"/>
      <c r="H479" s="108"/>
      <c r="I479" s="108"/>
      <c r="J479" s="108"/>
      <c r="K479" s="108"/>
      <c r="L479" s="108"/>
      <c r="M479" s="108"/>
      <c r="N479" s="108"/>
      <c r="O479" s="108"/>
      <c r="P479" s="108"/>
      <c r="Q479" s="108"/>
      <c r="R479" s="108"/>
      <c r="S479" s="108"/>
      <c r="T479" s="108"/>
      <c r="U479" s="108"/>
      <c r="W479" s="108"/>
      <c r="X479" s="108"/>
    </row>
    <row r="480" spans="1:24" s="124" customFormat="1" ht="14.25" customHeight="1">
      <c r="A480" s="107"/>
      <c r="B480" s="108"/>
      <c r="C480" s="108"/>
      <c r="D480" s="108"/>
      <c r="E480" s="108"/>
      <c r="F480" s="108"/>
      <c r="G480" s="108"/>
      <c r="H480" s="108"/>
      <c r="I480" s="108"/>
      <c r="J480" s="108"/>
      <c r="K480" s="108"/>
      <c r="L480" s="108"/>
      <c r="M480" s="108"/>
      <c r="N480" s="108"/>
      <c r="O480" s="108"/>
      <c r="P480" s="108"/>
      <c r="Q480" s="108"/>
      <c r="R480" s="108"/>
      <c r="S480" s="108"/>
      <c r="T480" s="108"/>
      <c r="U480" s="108"/>
      <c r="W480" s="108"/>
      <c r="X480" s="108"/>
    </row>
    <row r="481" spans="1:24" s="124" customFormat="1" ht="14.25" customHeight="1">
      <c r="A481" s="107"/>
      <c r="B481" s="108"/>
      <c r="C481" s="108"/>
      <c r="D481" s="108"/>
      <c r="E481" s="108"/>
      <c r="F481" s="108"/>
      <c r="G481" s="108"/>
      <c r="H481" s="108"/>
      <c r="I481" s="108"/>
      <c r="J481" s="108"/>
      <c r="K481" s="108"/>
      <c r="L481" s="108"/>
      <c r="M481" s="108"/>
      <c r="N481" s="108"/>
      <c r="O481" s="108"/>
      <c r="P481" s="108"/>
      <c r="Q481" s="108"/>
      <c r="R481" s="108"/>
      <c r="S481" s="108"/>
      <c r="T481" s="108"/>
      <c r="U481" s="108"/>
      <c r="W481" s="108"/>
      <c r="X481" s="108"/>
    </row>
    <row r="482" spans="1:24" s="124" customFormat="1" ht="14.25" customHeight="1">
      <c r="A482" s="107"/>
      <c r="B482" s="108"/>
      <c r="C482" s="108"/>
      <c r="D482" s="108"/>
      <c r="E482" s="108"/>
      <c r="F482" s="108"/>
      <c r="G482" s="108"/>
      <c r="H482" s="108"/>
      <c r="I482" s="108"/>
      <c r="J482" s="108"/>
      <c r="K482" s="108"/>
      <c r="L482" s="108"/>
      <c r="M482" s="108"/>
      <c r="N482" s="108"/>
      <c r="O482" s="108"/>
      <c r="P482" s="108"/>
      <c r="Q482" s="108"/>
      <c r="R482" s="108"/>
      <c r="S482" s="108"/>
      <c r="T482" s="108"/>
      <c r="U482" s="108"/>
      <c r="W482" s="108"/>
      <c r="X482" s="108"/>
    </row>
    <row r="483" spans="1:24" s="124" customFormat="1" ht="14.25" customHeight="1">
      <c r="A483" s="107"/>
      <c r="B483" s="108"/>
      <c r="C483" s="108"/>
      <c r="D483" s="108"/>
      <c r="E483" s="108"/>
      <c r="F483" s="108"/>
      <c r="G483" s="108"/>
      <c r="H483" s="108"/>
      <c r="I483" s="108"/>
      <c r="J483" s="108"/>
      <c r="K483" s="108"/>
      <c r="L483" s="108"/>
      <c r="M483" s="108"/>
      <c r="N483" s="108"/>
      <c r="O483" s="108"/>
      <c r="P483" s="108"/>
      <c r="Q483" s="108"/>
      <c r="R483" s="108"/>
      <c r="S483" s="108"/>
      <c r="T483" s="108"/>
      <c r="U483" s="108"/>
      <c r="W483" s="108"/>
      <c r="X483" s="108"/>
    </row>
    <row r="484" spans="1:24" s="124" customFormat="1" ht="14.25" customHeight="1">
      <c r="A484" s="107"/>
      <c r="B484" s="108"/>
      <c r="C484" s="108"/>
      <c r="D484" s="108"/>
      <c r="E484" s="108"/>
      <c r="F484" s="108"/>
      <c r="G484" s="108"/>
      <c r="H484" s="108"/>
      <c r="I484" s="108"/>
      <c r="J484" s="108"/>
      <c r="K484" s="108"/>
      <c r="L484" s="108"/>
      <c r="M484" s="108"/>
      <c r="N484" s="108"/>
      <c r="O484" s="108"/>
      <c r="P484" s="108"/>
      <c r="Q484" s="108"/>
      <c r="R484" s="108"/>
      <c r="S484" s="108"/>
      <c r="T484" s="108"/>
      <c r="U484" s="108"/>
      <c r="W484" s="108"/>
      <c r="X484" s="108"/>
    </row>
    <row r="485" spans="1:24" s="124" customFormat="1" ht="14.25" customHeight="1">
      <c r="A485" s="107"/>
      <c r="B485" s="108"/>
      <c r="C485" s="108"/>
      <c r="D485" s="108"/>
      <c r="E485" s="108"/>
      <c r="F485" s="108"/>
      <c r="G485" s="108"/>
      <c r="H485" s="108"/>
      <c r="I485" s="108"/>
      <c r="J485" s="108"/>
      <c r="K485" s="108"/>
      <c r="L485" s="108"/>
      <c r="M485" s="108"/>
      <c r="N485" s="108"/>
      <c r="O485" s="108"/>
      <c r="P485" s="108"/>
      <c r="Q485" s="108"/>
      <c r="R485" s="108"/>
      <c r="S485" s="108"/>
      <c r="T485" s="108"/>
      <c r="U485" s="108"/>
      <c r="W485" s="108"/>
      <c r="X485" s="108"/>
    </row>
    <row r="486" spans="1:24" s="124" customFormat="1" ht="14.25" customHeight="1">
      <c r="A486" s="107"/>
      <c r="B486" s="108"/>
      <c r="C486" s="108"/>
      <c r="D486" s="108"/>
      <c r="E486" s="108"/>
      <c r="F486" s="108"/>
      <c r="G486" s="108"/>
      <c r="H486" s="108"/>
      <c r="I486" s="108"/>
      <c r="J486" s="108"/>
      <c r="K486" s="108"/>
      <c r="L486" s="108"/>
      <c r="M486" s="108"/>
      <c r="N486" s="108"/>
      <c r="O486" s="108"/>
      <c r="P486" s="108"/>
      <c r="Q486" s="108"/>
      <c r="R486" s="108"/>
      <c r="S486" s="108"/>
      <c r="T486" s="108"/>
      <c r="U486" s="108"/>
      <c r="W486" s="108"/>
      <c r="X486" s="108"/>
    </row>
    <row r="487" spans="1:24" s="124" customFormat="1" ht="14.25" customHeight="1">
      <c r="A487" s="107"/>
      <c r="B487" s="108"/>
      <c r="C487" s="108"/>
      <c r="D487" s="108"/>
      <c r="E487" s="108"/>
      <c r="F487" s="108"/>
      <c r="G487" s="108"/>
      <c r="H487" s="108"/>
      <c r="I487" s="108"/>
      <c r="J487" s="108"/>
      <c r="K487" s="108"/>
      <c r="L487" s="108"/>
      <c r="M487" s="108"/>
      <c r="N487" s="108"/>
      <c r="O487" s="108"/>
      <c r="P487" s="108"/>
      <c r="Q487" s="108"/>
      <c r="R487" s="108"/>
      <c r="S487" s="108"/>
      <c r="T487" s="108"/>
      <c r="U487" s="108"/>
      <c r="W487" s="108"/>
      <c r="X487" s="108"/>
    </row>
    <row r="488" spans="1:24" s="124" customFormat="1" ht="14.25" customHeight="1">
      <c r="A488" s="107"/>
      <c r="B488" s="108"/>
      <c r="C488" s="108"/>
      <c r="D488" s="108"/>
      <c r="E488" s="108"/>
      <c r="F488" s="108"/>
      <c r="G488" s="108"/>
      <c r="H488" s="108"/>
      <c r="I488" s="108"/>
      <c r="J488" s="108"/>
      <c r="K488" s="108"/>
      <c r="L488" s="108"/>
      <c r="M488" s="108"/>
      <c r="N488" s="108"/>
      <c r="O488" s="108"/>
      <c r="P488" s="108"/>
      <c r="Q488" s="108"/>
      <c r="R488" s="108"/>
      <c r="S488" s="108"/>
      <c r="T488" s="108"/>
      <c r="U488" s="108"/>
      <c r="W488" s="108"/>
      <c r="X488" s="108"/>
    </row>
    <row r="489" spans="1:24" s="124" customFormat="1" ht="14.25" customHeight="1">
      <c r="A489" s="107"/>
      <c r="B489" s="108"/>
      <c r="C489" s="108"/>
      <c r="D489" s="108"/>
      <c r="E489" s="108"/>
      <c r="F489" s="108"/>
      <c r="G489" s="108"/>
      <c r="H489" s="108"/>
      <c r="I489" s="108"/>
      <c r="J489" s="108"/>
      <c r="K489" s="108"/>
      <c r="L489" s="108"/>
      <c r="M489" s="108"/>
      <c r="N489" s="108"/>
      <c r="O489" s="108"/>
      <c r="P489" s="108"/>
      <c r="Q489" s="108"/>
      <c r="R489" s="108"/>
      <c r="S489" s="108"/>
      <c r="T489" s="108"/>
      <c r="U489" s="108"/>
      <c r="W489" s="108"/>
      <c r="X489" s="108"/>
    </row>
    <row r="490" spans="1:24" s="124" customFormat="1" ht="14.25" customHeight="1">
      <c r="A490" s="107"/>
      <c r="B490" s="108"/>
      <c r="C490" s="108"/>
      <c r="D490" s="108"/>
      <c r="E490" s="108"/>
      <c r="F490" s="108"/>
      <c r="G490" s="108"/>
      <c r="H490" s="108"/>
      <c r="I490" s="108"/>
      <c r="J490" s="108"/>
      <c r="K490" s="108"/>
      <c r="L490" s="108"/>
      <c r="M490" s="108"/>
      <c r="N490" s="108"/>
      <c r="O490" s="108"/>
      <c r="P490" s="108"/>
      <c r="Q490" s="108"/>
      <c r="R490" s="108"/>
      <c r="S490" s="108"/>
      <c r="T490" s="108"/>
      <c r="U490" s="108"/>
      <c r="W490" s="108"/>
      <c r="X490" s="108"/>
    </row>
    <row r="491" spans="1:24" s="124" customFormat="1" ht="14.25" customHeight="1">
      <c r="A491" s="107"/>
      <c r="B491" s="108"/>
      <c r="C491" s="108"/>
      <c r="D491" s="108"/>
      <c r="E491" s="108"/>
      <c r="F491" s="108"/>
      <c r="G491" s="108"/>
      <c r="H491" s="108"/>
      <c r="I491" s="108"/>
      <c r="J491" s="108"/>
      <c r="K491" s="108"/>
      <c r="L491" s="108"/>
      <c r="M491" s="108"/>
      <c r="N491" s="108"/>
      <c r="O491" s="108"/>
      <c r="P491" s="108"/>
      <c r="Q491" s="108"/>
      <c r="R491" s="108"/>
      <c r="S491" s="108"/>
      <c r="T491" s="108"/>
      <c r="U491" s="108"/>
      <c r="W491" s="108"/>
      <c r="X491" s="108"/>
    </row>
    <row r="492" spans="1:24" s="124" customFormat="1" ht="14.25" customHeight="1">
      <c r="A492" s="107"/>
      <c r="B492" s="108"/>
      <c r="C492" s="108"/>
      <c r="D492" s="108"/>
      <c r="E492" s="108"/>
      <c r="F492" s="108"/>
      <c r="G492" s="108"/>
      <c r="H492" s="108"/>
      <c r="I492" s="108"/>
      <c r="J492" s="108"/>
      <c r="K492" s="108"/>
      <c r="L492" s="108"/>
      <c r="M492" s="108"/>
      <c r="N492" s="108"/>
      <c r="O492" s="108"/>
      <c r="P492" s="108"/>
      <c r="Q492" s="108"/>
      <c r="R492" s="108"/>
      <c r="S492" s="108"/>
      <c r="T492" s="108"/>
      <c r="U492" s="108"/>
      <c r="W492" s="108"/>
      <c r="X492" s="108"/>
    </row>
    <row r="493" spans="1:24" s="124" customFormat="1" ht="14.25" customHeight="1">
      <c r="A493" s="107"/>
      <c r="B493" s="108"/>
      <c r="C493" s="108"/>
      <c r="D493" s="108"/>
      <c r="E493" s="108"/>
      <c r="F493" s="108"/>
      <c r="G493" s="108"/>
      <c r="H493" s="108"/>
      <c r="I493" s="108"/>
      <c r="J493" s="108"/>
      <c r="K493" s="108"/>
      <c r="L493" s="108"/>
      <c r="M493" s="108"/>
      <c r="N493" s="108"/>
      <c r="O493" s="108"/>
      <c r="P493" s="108"/>
      <c r="Q493" s="108"/>
      <c r="R493" s="108"/>
      <c r="S493" s="108"/>
      <c r="T493" s="108"/>
      <c r="U493" s="108"/>
      <c r="W493" s="108"/>
      <c r="X493" s="108"/>
    </row>
    <row r="494" spans="1:24" s="124" customFormat="1" ht="14.25" customHeight="1">
      <c r="A494" s="107"/>
      <c r="B494" s="108"/>
      <c r="C494" s="108"/>
      <c r="D494" s="108"/>
      <c r="E494" s="108"/>
      <c r="F494" s="108"/>
      <c r="G494" s="108"/>
      <c r="H494" s="108"/>
      <c r="I494" s="108"/>
      <c r="J494" s="108"/>
      <c r="K494" s="108"/>
      <c r="L494" s="108"/>
      <c r="M494" s="108"/>
      <c r="N494" s="108"/>
      <c r="O494" s="108"/>
      <c r="P494" s="108"/>
      <c r="Q494" s="108"/>
      <c r="R494" s="108"/>
      <c r="S494" s="108"/>
      <c r="T494" s="108"/>
      <c r="U494" s="108"/>
      <c r="W494" s="108"/>
      <c r="X494" s="108"/>
    </row>
    <row r="495" spans="1:24" s="124" customFormat="1" ht="14.25" customHeight="1">
      <c r="A495" s="107"/>
      <c r="B495" s="108"/>
      <c r="C495" s="108"/>
      <c r="D495" s="108"/>
      <c r="E495" s="108"/>
      <c r="F495" s="108"/>
      <c r="G495" s="108"/>
      <c r="H495" s="108"/>
      <c r="I495" s="108"/>
      <c r="J495" s="108"/>
      <c r="K495" s="108"/>
      <c r="L495" s="108"/>
      <c r="M495" s="108"/>
      <c r="N495" s="108"/>
      <c r="O495" s="108"/>
      <c r="P495" s="108"/>
      <c r="Q495" s="108"/>
      <c r="R495" s="108"/>
      <c r="S495" s="108"/>
      <c r="T495" s="108"/>
      <c r="U495" s="108"/>
      <c r="W495" s="108"/>
      <c r="X495" s="108"/>
    </row>
    <row r="496" spans="1:24" s="124" customFormat="1" ht="14.25" customHeight="1">
      <c r="A496" s="107"/>
      <c r="B496" s="108"/>
      <c r="C496" s="108"/>
      <c r="D496" s="108"/>
      <c r="E496" s="108"/>
      <c r="F496" s="108"/>
      <c r="G496" s="108"/>
      <c r="H496" s="108"/>
      <c r="I496" s="108"/>
      <c r="J496" s="108"/>
      <c r="K496" s="108"/>
      <c r="L496" s="108"/>
      <c r="M496" s="108"/>
      <c r="N496" s="108"/>
      <c r="O496" s="108"/>
      <c r="P496" s="108"/>
      <c r="Q496" s="108"/>
      <c r="R496" s="108"/>
      <c r="S496" s="108"/>
      <c r="T496" s="108"/>
      <c r="U496" s="108"/>
      <c r="W496" s="108"/>
      <c r="X496" s="108"/>
    </row>
    <row r="497" spans="1:24" s="124" customFormat="1" ht="14.25" customHeight="1">
      <c r="A497" s="107"/>
      <c r="B497" s="108"/>
      <c r="C497" s="108"/>
      <c r="D497" s="108"/>
      <c r="E497" s="108"/>
      <c r="F497" s="108"/>
      <c r="G497" s="108"/>
      <c r="H497" s="108"/>
      <c r="I497" s="108"/>
      <c r="J497" s="108"/>
      <c r="K497" s="108"/>
      <c r="L497" s="108"/>
      <c r="M497" s="108"/>
      <c r="N497" s="108"/>
      <c r="O497" s="108"/>
      <c r="P497" s="108"/>
      <c r="Q497" s="108"/>
      <c r="R497" s="108"/>
      <c r="S497" s="108"/>
      <c r="T497" s="108"/>
      <c r="U497" s="108"/>
      <c r="W497" s="108"/>
      <c r="X497" s="108"/>
    </row>
    <row r="498" spans="1:24" s="124" customFormat="1" ht="14.25" customHeight="1">
      <c r="A498" s="107"/>
      <c r="B498" s="108"/>
      <c r="C498" s="108"/>
      <c r="D498" s="108"/>
      <c r="E498" s="108"/>
      <c r="F498" s="108"/>
      <c r="G498" s="108"/>
      <c r="H498" s="108"/>
      <c r="I498" s="108"/>
      <c r="J498" s="108"/>
      <c r="K498" s="108"/>
      <c r="L498" s="108"/>
      <c r="M498" s="108"/>
      <c r="N498" s="108"/>
      <c r="O498" s="108"/>
      <c r="P498" s="108"/>
      <c r="Q498" s="108"/>
      <c r="R498" s="108"/>
      <c r="S498" s="108"/>
      <c r="T498" s="108"/>
      <c r="U498" s="108"/>
      <c r="W498" s="108"/>
      <c r="X498" s="108"/>
    </row>
    <row r="499" spans="1:24" s="124" customFormat="1" ht="14.25" customHeight="1">
      <c r="A499" s="107"/>
      <c r="B499" s="108"/>
      <c r="C499" s="108"/>
      <c r="D499" s="108"/>
      <c r="E499" s="108"/>
      <c r="F499" s="108"/>
      <c r="G499" s="108"/>
      <c r="H499" s="108"/>
      <c r="I499" s="108"/>
      <c r="J499" s="108"/>
      <c r="K499" s="108"/>
      <c r="L499" s="108"/>
      <c r="M499" s="108"/>
      <c r="N499" s="108"/>
      <c r="O499" s="108"/>
      <c r="P499" s="108"/>
      <c r="Q499" s="108"/>
      <c r="R499" s="108"/>
      <c r="S499" s="108"/>
      <c r="T499" s="108"/>
      <c r="U499" s="108"/>
      <c r="W499" s="108"/>
      <c r="X499" s="108"/>
    </row>
    <row r="500" spans="1:24" s="124" customFormat="1" ht="14.25" customHeight="1">
      <c r="A500" s="107"/>
      <c r="B500" s="108"/>
      <c r="C500" s="108"/>
      <c r="D500" s="108"/>
      <c r="E500" s="108"/>
      <c r="F500" s="108"/>
      <c r="G500" s="108"/>
      <c r="H500" s="108"/>
      <c r="I500" s="108"/>
      <c r="J500" s="108"/>
      <c r="K500" s="108"/>
      <c r="L500" s="108"/>
      <c r="M500" s="108"/>
      <c r="N500" s="108"/>
      <c r="O500" s="108"/>
      <c r="P500" s="108"/>
      <c r="Q500" s="108"/>
      <c r="R500" s="108"/>
      <c r="S500" s="108"/>
      <c r="T500" s="108"/>
      <c r="U500" s="108"/>
      <c r="W500" s="108"/>
      <c r="X500" s="108"/>
    </row>
    <row r="501" spans="1:24" s="124" customFormat="1" ht="14.25" customHeight="1">
      <c r="A501" s="107"/>
      <c r="B501" s="108"/>
      <c r="C501" s="108"/>
      <c r="D501" s="108"/>
      <c r="E501" s="108"/>
      <c r="F501" s="108"/>
      <c r="G501" s="108"/>
      <c r="H501" s="108"/>
      <c r="I501" s="108"/>
      <c r="J501" s="108"/>
      <c r="K501" s="108"/>
      <c r="L501" s="108"/>
      <c r="M501" s="108"/>
      <c r="N501" s="108"/>
      <c r="O501" s="108"/>
      <c r="P501" s="108"/>
      <c r="Q501" s="108"/>
      <c r="R501" s="108"/>
      <c r="S501" s="108"/>
      <c r="T501" s="108"/>
      <c r="U501" s="108"/>
      <c r="W501" s="108"/>
      <c r="X501" s="108"/>
    </row>
    <row r="502" spans="1:24" s="124" customFormat="1" ht="14.25" customHeight="1">
      <c r="A502" s="107"/>
      <c r="B502" s="108"/>
      <c r="C502" s="108"/>
      <c r="D502" s="108"/>
      <c r="E502" s="108"/>
      <c r="F502" s="108"/>
      <c r="G502" s="108"/>
      <c r="H502" s="108"/>
      <c r="I502" s="108"/>
      <c r="J502" s="108"/>
      <c r="K502" s="108"/>
      <c r="L502" s="108"/>
      <c r="M502" s="108"/>
      <c r="N502" s="108"/>
      <c r="O502" s="108"/>
      <c r="P502" s="108"/>
      <c r="Q502" s="108"/>
      <c r="R502" s="108"/>
      <c r="S502" s="108"/>
      <c r="T502" s="108"/>
      <c r="U502" s="108"/>
      <c r="W502" s="108"/>
      <c r="X502" s="108"/>
    </row>
    <row r="503" spans="1:24" s="124" customFormat="1" ht="14.25" customHeight="1">
      <c r="A503" s="107"/>
      <c r="B503" s="108"/>
      <c r="C503" s="108"/>
      <c r="D503" s="108"/>
      <c r="E503" s="108"/>
      <c r="F503" s="108"/>
      <c r="G503" s="108"/>
      <c r="H503" s="108"/>
      <c r="I503" s="108"/>
      <c r="J503" s="108"/>
      <c r="K503" s="108"/>
      <c r="L503" s="108"/>
      <c r="M503" s="108"/>
      <c r="N503" s="108"/>
      <c r="O503" s="108"/>
      <c r="P503" s="108"/>
      <c r="Q503" s="108"/>
      <c r="R503" s="108"/>
      <c r="S503" s="108"/>
      <c r="T503" s="108"/>
      <c r="U503" s="108"/>
      <c r="W503" s="108"/>
      <c r="X503" s="108"/>
    </row>
    <row r="504" spans="1:24" s="124" customFormat="1" ht="14.25" customHeight="1">
      <c r="A504" s="107"/>
      <c r="B504" s="108"/>
      <c r="C504" s="108"/>
      <c r="D504" s="108"/>
      <c r="E504" s="108"/>
      <c r="F504" s="108"/>
      <c r="G504" s="108"/>
      <c r="H504" s="108"/>
      <c r="I504" s="108"/>
      <c r="J504" s="108"/>
      <c r="K504" s="108"/>
      <c r="L504" s="108"/>
      <c r="M504" s="108"/>
      <c r="N504" s="108"/>
      <c r="O504" s="108"/>
      <c r="P504" s="108"/>
      <c r="Q504" s="108"/>
      <c r="R504" s="108"/>
      <c r="S504" s="108"/>
      <c r="T504" s="108"/>
      <c r="U504" s="108"/>
      <c r="W504" s="108"/>
      <c r="X504" s="108"/>
    </row>
    <row r="505" spans="1:24" s="124" customFormat="1" ht="14.25" customHeight="1">
      <c r="A505" s="107"/>
      <c r="B505" s="108"/>
      <c r="C505" s="108"/>
      <c r="D505" s="108"/>
      <c r="E505" s="108"/>
      <c r="F505" s="108"/>
      <c r="G505" s="108"/>
      <c r="H505" s="108"/>
      <c r="I505" s="108"/>
      <c r="J505" s="108"/>
      <c r="K505" s="108"/>
      <c r="L505" s="108"/>
      <c r="M505" s="108"/>
      <c r="N505" s="108"/>
      <c r="O505" s="108"/>
      <c r="P505" s="108"/>
      <c r="Q505" s="108"/>
      <c r="R505" s="108"/>
      <c r="S505" s="108"/>
      <c r="T505" s="108"/>
      <c r="U505" s="108"/>
      <c r="W505" s="108"/>
      <c r="X505" s="108"/>
    </row>
    <row r="506" spans="1:24" s="124" customFormat="1" ht="14.25" customHeight="1">
      <c r="A506" s="107"/>
      <c r="B506" s="108"/>
      <c r="C506" s="108"/>
      <c r="D506" s="108"/>
      <c r="E506" s="108"/>
      <c r="F506" s="108"/>
      <c r="G506" s="108"/>
      <c r="H506" s="108"/>
      <c r="I506" s="108"/>
      <c r="J506" s="108"/>
      <c r="K506" s="108"/>
      <c r="L506" s="108"/>
      <c r="M506" s="108"/>
      <c r="N506" s="108"/>
      <c r="O506" s="108"/>
      <c r="P506" s="108"/>
      <c r="Q506" s="108"/>
      <c r="R506" s="108"/>
      <c r="S506" s="108"/>
      <c r="T506" s="108"/>
      <c r="U506" s="108"/>
      <c r="W506" s="108"/>
      <c r="X506" s="108"/>
    </row>
    <row r="507" spans="1:24" s="124" customFormat="1" ht="14.25" customHeight="1">
      <c r="A507" s="107"/>
      <c r="B507" s="108"/>
      <c r="C507" s="108"/>
      <c r="D507" s="108"/>
      <c r="E507" s="108"/>
      <c r="F507" s="108"/>
      <c r="G507" s="108"/>
      <c r="H507" s="108"/>
      <c r="I507" s="108"/>
      <c r="J507" s="108"/>
      <c r="K507" s="108"/>
      <c r="L507" s="108"/>
      <c r="M507" s="108"/>
      <c r="N507" s="108"/>
      <c r="O507" s="108"/>
      <c r="P507" s="108"/>
      <c r="Q507" s="108"/>
      <c r="R507" s="108"/>
      <c r="S507" s="108"/>
      <c r="T507" s="108"/>
      <c r="U507" s="108"/>
      <c r="W507" s="108"/>
      <c r="X507" s="108"/>
    </row>
    <row r="508" spans="1:24" s="124" customFormat="1" ht="14.25" customHeight="1">
      <c r="A508" s="107"/>
      <c r="B508" s="108"/>
      <c r="C508" s="108"/>
      <c r="D508" s="108"/>
      <c r="E508" s="108"/>
      <c r="F508" s="108"/>
      <c r="G508" s="108"/>
      <c r="H508" s="108"/>
      <c r="I508" s="108"/>
      <c r="J508" s="108"/>
      <c r="K508" s="108"/>
      <c r="L508" s="108"/>
      <c r="M508" s="108"/>
      <c r="N508" s="108"/>
      <c r="O508" s="108"/>
      <c r="P508" s="108"/>
      <c r="Q508" s="108"/>
      <c r="R508" s="108"/>
      <c r="S508" s="108"/>
      <c r="T508" s="108"/>
      <c r="U508" s="108"/>
      <c r="W508" s="108"/>
      <c r="X508" s="108"/>
    </row>
    <row r="509" spans="1:24" s="124" customFormat="1" ht="14.25" customHeight="1">
      <c r="A509" s="107"/>
      <c r="B509" s="108"/>
      <c r="C509" s="108"/>
      <c r="D509" s="108"/>
      <c r="E509" s="108"/>
      <c r="F509" s="108"/>
      <c r="G509" s="108"/>
      <c r="H509" s="108"/>
      <c r="I509" s="108"/>
      <c r="J509" s="108"/>
      <c r="K509" s="108"/>
      <c r="L509" s="108"/>
      <c r="M509" s="108"/>
      <c r="N509" s="108"/>
      <c r="O509" s="108"/>
      <c r="P509" s="108"/>
      <c r="Q509" s="108"/>
      <c r="R509" s="108"/>
      <c r="S509" s="108"/>
      <c r="T509" s="108"/>
      <c r="U509" s="108"/>
      <c r="W509" s="108"/>
      <c r="X509" s="108"/>
    </row>
    <row r="510" spans="1:24" s="124" customFormat="1" ht="14.25" customHeight="1">
      <c r="A510" s="107"/>
      <c r="B510" s="108"/>
      <c r="C510" s="108"/>
      <c r="D510" s="108"/>
      <c r="E510" s="108"/>
      <c r="F510" s="108"/>
      <c r="G510" s="108"/>
      <c r="H510" s="108"/>
      <c r="I510" s="108"/>
      <c r="J510" s="108"/>
      <c r="K510" s="108"/>
      <c r="L510" s="108"/>
      <c r="M510" s="108"/>
      <c r="N510" s="108"/>
      <c r="O510" s="108"/>
      <c r="P510" s="108"/>
      <c r="Q510" s="108"/>
      <c r="R510" s="108"/>
      <c r="S510" s="108"/>
      <c r="T510" s="108"/>
      <c r="U510" s="108"/>
      <c r="W510" s="108"/>
      <c r="X510" s="108"/>
    </row>
    <row r="511" spans="1:24" s="124" customFormat="1" ht="14.25" customHeight="1">
      <c r="A511" s="107"/>
      <c r="B511" s="108"/>
      <c r="C511" s="108"/>
      <c r="D511" s="108"/>
      <c r="E511" s="108"/>
      <c r="F511" s="108"/>
      <c r="G511" s="108"/>
      <c r="H511" s="108"/>
      <c r="I511" s="108"/>
      <c r="J511" s="108"/>
      <c r="K511" s="108"/>
      <c r="L511" s="108"/>
      <c r="M511" s="108"/>
      <c r="N511" s="108"/>
      <c r="O511" s="108"/>
      <c r="P511" s="108"/>
      <c r="Q511" s="108"/>
      <c r="R511" s="108"/>
      <c r="S511" s="108"/>
      <c r="T511" s="108"/>
      <c r="U511" s="108"/>
      <c r="W511" s="108"/>
      <c r="X511" s="108"/>
    </row>
    <row r="512" spans="1:24" s="124" customFormat="1" ht="14.25" customHeight="1">
      <c r="A512" s="107"/>
      <c r="B512" s="108"/>
      <c r="C512" s="108"/>
      <c r="D512" s="108"/>
      <c r="E512" s="108"/>
      <c r="F512" s="108"/>
      <c r="G512" s="108"/>
      <c r="H512" s="108"/>
      <c r="I512" s="108"/>
      <c r="J512" s="108"/>
      <c r="K512" s="108"/>
      <c r="L512" s="108"/>
      <c r="M512" s="108"/>
      <c r="N512" s="108"/>
      <c r="O512" s="108"/>
      <c r="P512" s="108"/>
      <c r="Q512" s="108"/>
      <c r="R512" s="108"/>
      <c r="S512" s="108"/>
      <c r="T512" s="108"/>
      <c r="U512" s="108"/>
      <c r="W512" s="108"/>
      <c r="X512" s="108"/>
    </row>
    <row r="513" spans="1:24" s="124" customFormat="1" ht="14.25" customHeight="1">
      <c r="A513" s="107"/>
      <c r="B513" s="108"/>
      <c r="C513" s="108"/>
      <c r="D513" s="108"/>
      <c r="E513" s="108"/>
      <c r="F513" s="108"/>
      <c r="G513" s="108"/>
      <c r="H513" s="108"/>
      <c r="I513" s="108"/>
      <c r="J513" s="108"/>
      <c r="K513" s="108"/>
      <c r="L513" s="108"/>
      <c r="M513" s="108"/>
      <c r="N513" s="108"/>
      <c r="O513" s="108"/>
      <c r="P513" s="108"/>
      <c r="Q513" s="108"/>
      <c r="R513" s="108"/>
      <c r="S513" s="108"/>
      <c r="T513" s="108"/>
      <c r="U513" s="108"/>
      <c r="W513" s="108"/>
      <c r="X513" s="108"/>
    </row>
    <row r="514" spans="1:24" s="124" customFormat="1" ht="14.25" customHeight="1">
      <c r="A514" s="107"/>
      <c r="B514" s="108"/>
      <c r="C514" s="108"/>
      <c r="D514" s="108"/>
      <c r="E514" s="108"/>
      <c r="F514" s="108"/>
      <c r="G514" s="108"/>
      <c r="H514" s="108"/>
      <c r="I514" s="108"/>
      <c r="J514" s="108"/>
      <c r="K514" s="108"/>
      <c r="L514" s="108"/>
      <c r="M514" s="108"/>
      <c r="N514" s="108"/>
      <c r="O514" s="108"/>
      <c r="P514" s="108"/>
      <c r="Q514" s="108"/>
      <c r="R514" s="108"/>
      <c r="S514" s="108"/>
      <c r="T514" s="108"/>
      <c r="U514" s="108"/>
      <c r="W514" s="108"/>
      <c r="X514" s="108"/>
    </row>
    <row r="515" spans="1:24" s="124" customFormat="1" ht="14.25" customHeight="1">
      <c r="A515" s="107"/>
      <c r="B515" s="108"/>
      <c r="C515" s="108"/>
      <c r="D515" s="108"/>
      <c r="E515" s="108"/>
      <c r="F515" s="108"/>
      <c r="G515" s="108"/>
      <c r="H515" s="108"/>
      <c r="I515" s="108"/>
      <c r="J515" s="108"/>
      <c r="K515" s="108"/>
      <c r="L515" s="108"/>
      <c r="M515" s="108"/>
      <c r="N515" s="108"/>
      <c r="O515" s="108"/>
      <c r="P515" s="108"/>
      <c r="Q515" s="108"/>
      <c r="R515" s="108"/>
      <c r="S515" s="108"/>
      <c r="T515" s="108"/>
      <c r="U515" s="108"/>
      <c r="W515" s="108"/>
      <c r="X515" s="108"/>
    </row>
    <row r="516" spans="1:24" s="124" customFormat="1" ht="14.25" customHeight="1">
      <c r="A516" s="107"/>
      <c r="B516" s="108"/>
      <c r="C516" s="108"/>
      <c r="D516" s="108"/>
      <c r="E516" s="108"/>
      <c r="F516" s="108"/>
      <c r="G516" s="108"/>
      <c r="H516" s="108"/>
      <c r="I516" s="108"/>
      <c r="J516" s="108"/>
      <c r="K516" s="108"/>
      <c r="L516" s="108"/>
      <c r="M516" s="108"/>
      <c r="N516" s="108"/>
      <c r="O516" s="108"/>
      <c r="P516" s="108"/>
      <c r="Q516" s="108"/>
      <c r="R516" s="108"/>
      <c r="S516" s="108"/>
      <c r="T516" s="108"/>
      <c r="U516" s="108"/>
      <c r="W516" s="108"/>
      <c r="X516" s="108"/>
    </row>
    <row r="517" spans="1:24" s="124" customFormat="1" ht="14.25" customHeight="1">
      <c r="A517" s="107"/>
      <c r="B517" s="108"/>
      <c r="C517" s="108"/>
      <c r="D517" s="108"/>
      <c r="E517" s="108"/>
      <c r="F517" s="108"/>
      <c r="G517" s="108"/>
      <c r="H517" s="108"/>
      <c r="I517" s="108"/>
      <c r="J517" s="108"/>
      <c r="K517" s="108"/>
      <c r="L517" s="108"/>
      <c r="M517" s="108"/>
      <c r="N517" s="108"/>
      <c r="O517" s="108"/>
      <c r="P517" s="108"/>
      <c r="Q517" s="108"/>
      <c r="R517" s="108"/>
      <c r="S517" s="108"/>
      <c r="T517" s="108"/>
      <c r="U517" s="108"/>
      <c r="W517" s="108"/>
      <c r="X517" s="108"/>
    </row>
    <row r="518" spans="1:24" s="124" customFormat="1" ht="14.25" customHeight="1">
      <c r="A518" s="107"/>
      <c r="B518" s="108"/>
      <c r="C518" s="108"/>
      <c r="D518" s="108"/>
      <c r="E518" s="108"/>
      <c r="F518" s="108"/>
      <c r="G518" s="108"/>
      <c r="H518" s="108"/>
      <c r="I518" s="108"/>
      <c r="J518" s="108"/>
      <c r="K518" s="108"/>
      <c r="L518" s="108"/>
      <c r="M518" s="108"/>
      <c r="N518" s="108"/>
      <c r="O518" s="108"/>
      <c r="P518" s="108"/>
      <c r="Q518" s="108"/>
      <c r="R518" s="108"/>
      <c r="S518" s="108"/>
      <c r="T518" s="108"/>
      <c r="U518" s="108"/>
      <c r="W518" s="108"/>
      <c r="X518" s="108"/>
    </row>
    <row r="519" spans="1:24" s="124" customFormat="1" ht="14.25" customHeight="1">
      <c r="A519" s="107"/>
      <c r="B519" s="108"/>
      <c r="C519" s="108"/>
      <c r="D519" s="108"/>
      <c r="E519" s="108"/>
      <c r="F519" s="108"/>
      <c r="G519" s="108"/>
      <c r="H519" s="108"/>
      <c r="I519" s="108"/>
      <c r="J519" s="108"/>
      <c r="K519" s="108"/>
      <c r="L519" s="108"/>
      <c r="M519" s="108"/>
      <c r="N519" s="108"/>
      <c r="O519" s="108"/>
      <c r="P519" s="108"/>
      <c r="Q519" s="108"/>
      <c r="R519" s="108"/>
      <c r="S519" s="108"/>
      <c r="T519" s="108"/>
      <c r="U519" s="108"/>
      <c r="W519" s="108"/>
      <c r="X519" s="108"/>
    </row>
    <row r="520" spans="1:24" s="124" customFormat="1" ht="14.25" customHeight="1">
      <c r="A520" s="107"/>
      <c r="B520" s="108"/>
      <c r="C520" s="108"/>
      <c r="D520" s="108"/>
      <c r="E520" s="108"/>
      <c r="F520" s="108"/>
      <c r="G520" s="108"/>
      <c r="H520" s="108"/>
      <c r="I520" s="108"/>
      <c r="J520" s="108"/>
      <c r="K520" s="108"/>
      <c r="L520" s="108"/>
      <c r="M520" s="108"/>
      <c r="N520" s="108"/>
      <c r="O520" s="108"/>
      <c r="P520" s="108"/>
      <c r="Q520" s="108"/>
      <c r="R520" s="108"/>
      <c r="S520" s="108"/>
      <c r="T520" s="108"/>
      <c r="U520" s="108"/>
      <c r="W520" s="108"/>
      <c r="X520" s="108"/>
    </row>
    <row r="521" spans="1:24" s="124" customFormat="1" ht="14.25" customHeight="1">
      <c r="A521" s="107"/>
      <c r="B521" s="108"/>
      <c r="C521" s="108"/>
      <c r="D521" s="108"/>
      <c r="E521" s="108"/>
      <c r="F521" s="108"/>
      <c r="G521" s="108"/>
      <c r="H521" s="108"/>
      <c r="I521" s="108"/>
      <c r="J521" s="108"/>
      <c r="K521" s="108"/>
      <c r="L521" s="108"/>
      <c r="M521" s="108"/>
      <c r="N521" s="108"/>
      <c r="O521" s="108"/>
      <c r="P521" s="108"/>
      <c r="Q521" s="108"/>
      <c r="R521" s="108"/>
      <c r="S521" s="108"/>
      <c r="T521" s="108"/>
      <c r="U521" s="108"/>
      <c r="W521" s="108"/>
      <c r="X521" s="108"/>
    </row>
    <row r="522" spans="1:24" s="124" customFormat="1" ht="14.25" customHeight="1">
      <c r="A522" s="107"/>
      <c r="B522" s="108"/>
      <c r="C522" s="108"/>
      <c r="D522" s="108"/>
      <c r="E522" s="108"/>
      <c r="F522" s="108"/>
      <c r="G522" s="108"/>
      <c r="H522" s="108"/>
      <c r="I522" s="108"/>
      <c r="J522" s="108"/>
      <c r="K522" s="108"/>
      <c r="L522" s="108"/>
      <c r="M522" s="108"/>
      <c r="N522" s="108"/>
      <c r="O522" s="108"/>
      <c r="P522" s="108"/>
      <c r="Q522" s="108"/>
      <c r="R522" s="108"/>
      <c r="S522" s="108"/>
      <c r="T522" s="108"/>
      <c r="U522" s="108"/>
      <c r="W522" s="108"/>
      <c r="X522" s="108"/>
    </row>
    <row r="523" spans="1:24" s="124" customFormat="1" ht="14.25" customHeight="1">
      <c r="A523" s="107"/>
      <c r="B523" s="108"/>
      <c r="C523" s="108"/>
      <c r="D523" s="108"/>
      <c r="E523" s="108"/>
      <c r="F523" s="108"/>
      <c r="G523" s="108"/>
      <c r="H523" s="108"/>
      <c r="I523" s="108"/>
      <c r="J523" s="108"/>
      <c r="K523" s="108"/>
      <c r="L523" s="108"/>
      <c r="M523" s="108"/>
      <c r="N523" s="108"/>
      <c r="O523" s="108"/>
      <c r="P523" s="108"/>
      <c r="Q523" s="108"/>
      <c r="R523" s="108"/>
      <c r="S523" s="108"/>
      <c r="T523" s="108"/>
      <c r="U523" s="108"/>
      <c r="W523" s="108"/>
      <c r="X523" s="108"/>
    </row>
    <row r="524" spans="1:24" s="124" customFormat="1" ht="14.25" customHeight="1">
      <c r="A524" s="107"/>
      <c r="B524" s="108"/>
      <c r="C524" s="108"/>
      <c r="D524" s="108"/>
      <c r="E524" s="108"/>
      <c r="F524" s="108"/>
      <c r="G524" s="108"/>
      <c r="H524" s="108"/>
      <c r="I524" s="108"/>
      <c r="J524" s="108"/>
      <c r="K524" s="108"/>
      <c r="L524" s="108"/>
      <c r="M524" s="108"/>
      <c r="N524" s="108"/>
      <c r="O524" s="108"/>
      <c r="P524" s="108"/>
      <c r="Q524" s="108"/>
      <c r="R524" s="108"/>
      <c r="S524" s="108"/>
      <c r="T524" s="108"/>
      <c r="U524" s="108"/>
      <c r="W524" s="108"/>
      <c r="X524" s="108"/>
    </row>
    <row r="525" spans="1:24" s="124" customFormat="1" ht="14.25" customHeight="1">
      <c r="A525" s="107"/>
      <c r="B525" s="108"/>
      <c r="C525" s="108"/>
      <c r="D525" s="108"/>
      <c r="E525" s="108"/>
      <c r="F525" s="108"/>
      <c r="G525" s="108"/>
      <c r="H525" s="108"/>
      <c r="I525" s="108"/>
      <c r="J525" s="108"/>
      <c r="K525" s="108"/>
      <c r="L525" s="108"/>
      <c r="M525" s="108"/>
      <c r="N525" s="108"/>
      <c r="O525" s="108"/>
      <c r="P525" s="108"/>
      <c r="Q525" s="108"/>
      <c r="R525" s="108"/>
      <c r="S525" s="108"/>
      <c r="T525" s="108"/>
      <c r="U525" s="108"/>
      <c r="W525" s="108"/>
      <c r="X525" s="108"/>
    </row>
    <row r="526" spans="1:24" s="124" customFormat="1" ht="14.25" customHeight="1">
      <c r="A526" s="107"/>
      <c r="B526" s="108"/>
      <c r="C526" s="108"/>
      <c r="D526" s="108"/>
      <c r="E526" s="108"/>
      <c r="F526" s="108"/>
      <c r="G526" s="108"/>
      <c r="H526" s="108"/>
      <c r="I526" s="108"/>
      <c r="J526" s="108"/>
      <c r="K526" s="108"/>
      <c r="L526" s="108"/>
      <c r="M526" s="108"/>
      <c r="N526" s="108"/>
      <c r="O526" s="108"/>
      <c r="P526" s="108"/>
      <c r="Q526" s="108"/>
      <c r="R526" s="108"/>
      <c r="S526" s="108"/>
      <c r="T526" s="108"/>
      <c r="U526" s="108"/>
      <c r="W526" s="108"/>
      <c r="X526" s="108"/>
    </row>
    <row r="527" spans="1:24" s="124" customFormat="1" ht="14.25" customHeight="1">
      <c r="A527" s="107"/>
      <c r="B527" s="108"/>
      <c r="C527" s="108"/>
      <c r="D527" s="108"/>
      <c r="E527" s="108"/>
      <c r="F527" s="108"/>
      <c r="G527" s="108"/>
      <c r="H527" s="108"/>
      <c r="I527" s="108"/>
      <c r="J527" s="108"/>
      <c r="K527" s="108"/>
      <c r="L527" s="108"/>
      <c r="M527" s="108"/>
      <c r="N527" s="108"/>
      <c r="O527" s="108"/>
      <c r="P527" s="108"/>
      <c r="Q527" s="108"/>
      <c r="R527" s="108"/>
      <c r="S527" s="108"/>
      <c r="T527" s="108"/>
      <c r="U527" s="108"/>
      <c r="W527" s="108"/>
      <c r="X527" s="108"/>
    </row>
    <row r="528" spans="1:24" s="124" customFormat="1" ht="14.25" customHeight="1">
      <c r="A528" s="107"/>
      <c r="B528" s="108"/>
      <c r="C528" s="108"/>
      <c r="D528" s="108"/>
      <c r="E528" s="108"/>
      <c r="F528" s="108"/>
      <c r="G528" s="108"/>
      <c r="H528" s="108"/>
      <c r="I528" s="108"/>
      <c r="J528" s="108"/>
      <c r="K528" s="108"/>
      <c r="L528" s="108"/>
      <c r="M528" s="108"/>
      <c r="N528" s="108"/>
      <c r="O528" s="108"/>
      <c r="P528" s="108"/>
      <c r="Q528" s="108"/>
      <c r="R528" s="108"/>
      <c r="S528" s="108"/>
      <c r="T528" s="108"/>
      <c r="U528" s="108"/>
      <c r="W528" s="108"/>
      <c r="X528" s="108"/>
    </row>
    <row r="529" spans="1:24" s="124" customFormat="1" ht="14.25" customHeight="1">
      <c r="A529" s="107"/>
      <c r="B529" s="108"/>
      <c r="C529" s="108"/>
      <c r="D529" s="108"/>
      <c r="E529" s="108"/>
      <c r="F529" s="108"/>
      <c r="G529" s="108"/>
      <c r="H529" s="108"/>
      <c r="I529" s="108"/>
      <c r="J529" s="108"/>
      <c r="K529" s="108"/>
      <c r="L529" s="108"/>
      <c r="M529" s="108"/>
      <c r="N529" s="108"/>
      <c r="O529" s="108"/>
      <c r="P529" s="108"/>
      <c r="Q529" s="108"/>
      <c r="R529" s="108"/>
      <c r="S529" s="108"/>
      <c r="T529" s="108"/>
      <c r="U529" s="108"/>
      <c r="W529" s="108"/>
      <c r="X529" s="108"/>
    </row>
    <row r="530" spans="1:24" s="124" customFormat="1" ht="14.25" customHeight="1">
      <c r="A530" s="107"/>
      <c r="B530" s="108"/>
      <c r="C530" s="108"/>
      <c r="D530" s="108"/>
      <c r="E530" s="108"/>
      <c r="F530" s="108"/>
      <c r="G530" s="108"/>
      <c r="H530" s="108"/>
      <c r="I530" s="108"/>
      <c r="J530" s="108"/>
      <c r="K530" s="108"/>
      <c r="L530" s="108"/>
      <c r="M530" s="108"/>
      <c r="N530" s="108"/>
      <c r="O530" s="108"/>
      <c r="P530" s="108"/>
      <c r="Q530" s="108"/>
      <c r="R530" s="108"/>
      <c r="S530" s="108"/>
      <c r="T530" s="108"/>
      <c r="U530" s="108"/>
      <c r="W530" s="108"/>
      <c r="X530" s="108"/>
    </row>
    <row r="531" spans="1:24" s="124" customFormat="1" ht="14.25" customHeight="1">
      <c r="A531" s="107"/>
      <c r="B531" s="108"/>
      <c r="C531" s="108"/>
      <c r="D531" s="108"/>
      <c r="E531" s="108"/>
      <c r="F531" s="108"/>
      <c r="G531" s="108"/>
      <c r="H531" s="108"/>
      <c r="I531" s="108"/>
      <c r="J531" s="108"/>
      <c r="K531" s="108"/>
      <c r="L531" s="108"/>
      <c r="M531" s="108"/>
      <c r="N531" s="108"/>
      <c r="O531" s="108"/>
      <c r="P531" s="108"/>
      <c r="Q531" s="108"/>
      <c r="R531" s="108"/>
      <c r="S531" s="108"/>
      <c r="T531" s="108"/>
      <c r="U531" s="108"/>
      <c r="W531" s="108"/>
      <c r="X531" s="108"/>
    </row>
    <row r="532" spans="1:24" s="124" customFormat="1" ht="14.25" customHeight="1">
      <c r="A532" s="107"/>
      <c r="B532" s="108"/>
      <c r="C532" s="108"/>
      <c r="D532" s="108"/>
      <c r="E532" s="108"/>
      <c r="F532" s="108"/>
      <c r="G532" s="108"/>
      <c r="H532" s="108"/>
      <c r="I532" s="108"/>
      <c r="J532" s="108"/>
      <c r="K532" s="108"/>
      <c r="L532" s="108"/>
      <c r="M532" s="108"/>
      <c r="N532" s="108"/>
      <c r="O532" s="108"/>
      <c r="P532" s="108"/>
      <c r="Q532" s="108"/>
      <c r="R532" s="108"/>
      <c r="S532" s="108"/>
      <c r="T532" s="108"/>
      <c r="U532" s="108"/>
      <c r="W532" s="108"/>
      <c r="X532" s="108"/>
    </row>
    <row r="533" spans="1:24" s="124" customFormat="1" ht="14.25" customHeight="1">
      <c r="A533" s="107"/>
      <c r="B533" s="108"/>
      <c r="C533" s="108"/>
      <c r="D533" s="108"/>
      <c r="E533" s="108"/>
      <c r="F533" s="108"/>
      <c r="G533" s="108"/>
      <c r="H533" s="108"/>
      <c r="I533" s="108"/>
      <c r="J533" s="108"/>
      <c r="K533" s="108"/>
      <c r="L533" s="108"/>
      <c r="M533" s="108"/>
      <c r="N533" s="108"/>
      <c r="O533" s="108"/>
      <c r="P533" s="108"/>
      <c r="Q533" s="108"/>
      <c r="R533" s="108"/>
      <c r="S533" s="108"/>
      <c r="T533" s="108"/>
      <c r="U533" s="108"/>
      <c r="W533" s="108"/>
      <c r="X533" s="108"/>
    </row>
    <row r="534" spans="1:24" s="124" customFormat="1" ht="14.25" customHeight="1">
      <c r="A534" s="107"/>
      <c r="B534" s="108"/>
      <c r="C534" s="108"/>
      <c r="D534" s="108"/>
      <c r="E534" s="108"/>
      <c r="F534" s="108"/>
      <c r="G534" s="108"/>
      <c r="H534" s="108"/>
      <c r="I534" s="108"/>
      <c r="J534" s="108"/>
      <c r="K534" s="108"/>
      <c r="L534" s="108"/>
      <c r="M534" s="108"/>
      <c r="N534" s="108"/>
      <c r="O534" s="108"/>
      <c r="P534" s="108"/>
      <c r="Q534" s="108"/>
      <c r="R534" s="108"/>
      <c r="S534" s="108"/>
      <c r="T534" s="108"/>
      <c r="U534" s="108"/>
      <c r="W534" s="108"/>
      <c r="X534" s="108"/>
    </row>
    <row r="535" spans="1:24" s="124" customFormat="1" ht="14.25" customHeight="1">
      <c r="A535" s="107"/>
      <c r="B535" s="108"/>
      <c r="C535" s="108"/>
      <c r="D535" s="108"/>
      <c r="E535" s="108"/>
      <c r="F535" s="108"/>
      <c r="G535" s="108"/>
      <c r="H535" s="108"/>
      <c r="I535" s="108"/>
      <c r="J535" s="108"/>
      <c r="K535" s="108"/>
      <c r="L535" s="108"/>
      <c r="M535" s="108"/>
      <c r="N535" s="108"/>
      <c r="O535" s="108"/>
      <c r="P535" s="108"/>
      <c r="Q535" s="108"/>
      <c r="R535" s="108"/>
      <c r="S535" s="108"/>
      <c r="T535" s="108"/>
      <c r="U535" s="108"/>
      <c r="W535" s="108"/>
      <c r="X535" s="108"/>
    </row>
    <row r="536" spans="1:24" s="124" customFormat="1" ht="14.25" customHeight="1">
      <c r="A536" s="107"/>
      <c r="B536" s="108"/>
      <c r="C536" s="108"/>
      <c r="D536" s="108"/>
      <c r="E536" s="108"/>
      <c r="F536" s="108"/>
      <c r="G536" s="108"/>
      <c r="H536" s="108"/>
      <c r="I536" s="108"/>
      <c r="J536" s="108"/>
      <c r="K536" s="108"/>
      <c r="L536" s="108"/>
      <c r="M536" s="108"/>
      <c r="N536" s="108"/>
      <c r="O536" s="108"/>
      <c r="P536" s="108"/>
      <c r="Q536" s="108"/>
      <c r="R536" s="108"/>
      <c r="S536" s="108"/>
      <c r="T536" s="108"/>
      <c r="U536" s="108"/>
      <c r="W536" s="108"/>
      <c r="X536" s="108"/>
    </row>
    <row r="537" spans="1:24" s="124" customFormat="1" ht="14.25" customHeight="1">
      <c r="A537" s="107"/>
      <c r="B537" s="108"/>
      <c r="C537" s="108"/>
      <c r="D537" s="108"/>
      <c r="E537" s="108"/>
      <c r="F537" s="108"/>
      <c r="G537" s="108"/>
      <c r="H537" s="108"/>
      <c r="I537" s="108"/>
      <c r="J537" s="108"/>
      <c r="K537" s="108"/>
      <c r="L537" s="108"/>
      <c r="M537" s="108"/>
      <c r="N537" s="108"/>
      <c r="O537" s="108"/>
      <c r="P537" s="108"/>
      <c r="Q537" s="108"/>
      <c r="R537" s="108"/>
      <c r="S537" s="108"/>
      <c r="T537" s="108"/>
      <c r="U537" s="108"/>
      <c r="W537" s="108"/>
      <c r="X537" s="108"/>
    </row>
    <row r="538" spans="1:24" s="124" customFormat="1" ht="14.25" customHeight="1">
      <c r="A538" s="107"/>
      <c r="B538" s="108"/>
      <c r="C538" s="108"/>
      <c r="D538" s="108"/>
      <c r="E538" s="108"/>
      <c r="F538" s="108"/>
      <c r="G538" s="108"/>
      <c r="H538" s="108"/>
      <c r="I538" s="108"/>
      <c r="J538" s="108"/>
      <c r="K538" s="108"/>
      <c r="L538" s="108"/>
      <c r="M538" s="108"/>
      <c r="N538" s="108"/>
      <c r="O538" s="108"/>
      <c r="P538" s="108"/>
      <c r="Q538" s="108"/>
      <c r="R538" s="108"/>
      <c r="S538" s="108"/>
      <c r="T538" s="108"/>
      <c r="U538" s="108"/>
      <c r="W538" s="108"/>
      <c r="X538" s="108"/>
    </row>
    <row r="539" spans="1:24" s="124" customFormat="1" ht="14.25" customHeight="1">
      <c r="A539" s="107"/>
      <c r="B539" s="108"/>
      <c r="C539" s="108"/>
      <c r="D539" s="108"/>
      <c r="E539" s="108"/>
      <c r="F539" s="108"/>
      <c r="G539" s="108"/>
      <c r="H539" s="108"/>
      <c r="I539" s="108"/>
      <c r="J539" s="108"/>
      <c r="K539" s="108"/>
      <c r="L539" s="108"/>
      <c r="M539" s="108"/>
      <c r="N539" s="108"/>
      <c r="O539" s="108"/>
      <c r="P539" s="108"/>
      <c r="Q539" s="108"/>
      <c r="R539" s="108"/>
      <c r="S539" s="108"/>
      <c r="T539" s="108"/>
      <c r="U539" s="108"/>
      <c r="W539" s="108"/>
      <c r="X539" s="108"/>
    </row>
    <row r="540" spans="1:24" s="124" customFormat="1" ht="14.25" customHeight="1">
      <c r="A540" s="107"/>
      <c r="B540" s="108"/>
      <c r="C540" s="108"/>
      <c r="D540" s="108"/>
      <c r="E540" s="108"/>
      <c r="F540" s="108"/>
      <c r="G540" s="108"/>
      <c r="H540" s="108"/>
      <c r="I540" s="108"/>
      <c r="J540" s="108"/>
      <c r="K540" s="108"/>
      <c r="L540" s="108"/>
      <c r="M540" s="108"/>
      <c r="N540" s="108"/>
      <c r="O540" s="108"/>
      <c r="P540" s="108"/>
      <c r="Q540" s="108"/>
      <c r="R540" s="108"/>
      <c r="S540" s="108"/>
      <c r="T540" s="108"/>
      <c r="U540" s="108"/>
      <c r="W540" s="108"/>
      <c r="X540" s="108"/>
    </row>
    <row r="541" spans="1:24" s="124" customFormat="1" ht="14.25" customHeight="1">
      <c r="A541" s="107"/>
      <c r="B541" s="108"/>
      <c r="C541" s="108"/>
      <c r="D541" s="108"/>
      <c r="E541" s="108"/>
      <c r="F541" s="108"/>
      <c r="G541" s="108"/>
      <c r="H541" s="108"/>
      <c r="I541" s="108"/>
      <c r="J541" s="108"/>
      <c r="K541" s="108"/>
      <c r="L541" s="108"/>
      <c r="M541" s="108"/>
      <c r="N541" s="108"/>
      <c r="O541" s="108"/>
      <c r="P541" s="108"/>
      <c r="Q541" s="108"/>
      <c r="R541" s="108"/>
      <c r="S541" s="108"/>
      <c r="T541" s="108"/>
      <c r="U541" s="108"/>
      <c r="W541" s="108"/>
      <c r="X541" s="108"/>
    </row>
    <row r="542" spans="1:24" s="124" customFormat="1" ht="14.25" customHeight="1">
      <c r="A542" s="107"/>
      <c r="B542" s="108"/>
      <c r="C542" s="108"/>
      <c r="D542" s="108"/>
      <c r="E542" s="108"/>
      <c r="F542" s="108"/>
      <c r="G542" s="108"/>
      <c r="H542" s="108"/>
      <c r="I542" s="108"/>
      <c r="J542" s="108"/>
      <c r="K542" s="108"/>
      <c r="L542" s="108"/>
      <c r="M542" s="108"/>
      <c r="N542" s="108"/>
      <c r="O542" s="108"/>
      <c r="P542" s="108"/>
      <c r="Q542" s="108"/>
      <c r="R542" s="108"/>
      <c r="S542" s="108"/>
      <c r="T542" s="108"/>
      <c r="U542" s="108"/>
      <c r="W542" s="108"/>
      <c r="X542" s="108"/>
    </row>
    <row r="543" spans="1:24" s="124" customFormat="1" ht="14.25" customHeight="1">
      <c r="A543" s="107"/>
      <c r="B543" s="108"/>
      <c r="C543" s="108"/>
      <c r="D543" s="108"/>
      <c r="E543" s="108"/>
      <c r="F543" s="108"/>
      <c r="G543" s="108"/>
      <c r="H543" s="108"/>
      <c r="I543" s="108"/>
      <c r="J543" s="108"/>
      <c r="K543" s="108"/>
      <c r="L543" s="108"/>
      <c r="M543" s="108"/>
      <c r="N543" s="108"/>
      <c r="O543" s="108"/>
      <c r="P543" s="108"/>
      <c r="Q543" s="108"/>
      <c r="R543" s="108"/>
      <c r="S543" s="108"/>
      <c r="T543" s="108"/>
      <c r="U543" s="108"/>
      <c r="W543" s="108"/>
      <c r="X543" s="108"/>
    </row>
    <row r="544" spans="1:24" s="124" customFormat="1" ht="14.25" customHeight="1">
      <c r="A544" s="107"/>
      <c r="B544" s="108"/>
      <c r="C544" s="108"/>
      <c r="D544" s="108"/>
      <c r="E544" s="108"/>
      <c r="F544" s="108"/>
      <c r="G544" s="108"/>
      <c r="H544" s="108"/>
      <c r="I544" s="108"/>
      <c r="J544" s="108"/>
      <c r="K544" s="108"/>
      <c r="L544" s="108"/>
      <c r="M544" s="108"/>
      <c r="N544" s="108"/>
      <c r="O544" s="108"/>
      <c r="P544" s="108"/>
      <c r="Q544" s="108"/>
      <c r="R544" s="108"/>
      <c r="S544" s="108"/>
      <c r="T544" s="108"/>
      <c r="U544" s="108"/>
      <c r="W544" s="108"/>
      <c r="X544" s="108"/>
    </row>
    <row r="545" spans="1:24" s="124" customFormat="1" ht="14.25" customHeight="1">
      <c r="A545" s="107"/>
      <c r="B545" s="108"/>
      <c r="C545" s="108"/>
      <c r="D545" s="108"/>
      <c r="E545" s="108"/>
      <c r="F545" s="108"/>
      <c r="G545" s="108"/>
      <c r="H545" s="108"/>
      <c r="I545" s="108"/>
      <c r="J545" s="108"/>
      <c r="K545" s="108"/>
      <c r="L545" s="108"/>
      <c r="M545" s="108"/>
      <c r="N545" s="108"/>
      <c r="O545" s="108"/>
      <c r="P545" s="108"/>
      <c r="Q545" s="108"/>
      <c r="R545" s="108"/>
      <c r="S545" s="108"/>
      <c r="T545" s="108"/>
      <c r="U545" s="108"/>
      <c r="W545" s="108"/>
      <c r="X545" s="108"/>
    </row>
    <row r="546" spans="1:24" s="124" customFormat="1" ht="14.25" customHeight="1">
      <c r="A546" s="107"/>
      <c r="B546" s="108"/>
      <c r="C546" s="108"/>
      <c r="D546" s="108"/>
      <c r="E546" s="108"/>
      <c r="F546" s="108"/>
      <c r="G546" s="108"/>
      <c r="H546" s="108"/>
      <c r="I546" s="108"/>
      <c r="J546" s="108"/>
      <c r="K546" s="108"/>
      <c r="L546" s="108"/>
      <c r="M546" s="108"/>
      <c r="N546" s="108"/>
      <c r="O546" s="108"/>
      <c r="P546" s="108"/>
      <c r="Q546" s="108"/>
      <c r="R546" s="108"/>
      <c r="S546" s="108"/>
      <c r="T546" s="108"/>
      <c r="U546" s="108"/>
      <c r="W546" s="108"/>
      <c r="X546" s="108"/>
    </row>
    <row r="547" spans="1:24" s="124" customFormat="1" ht="14.25" customHeight="1">
      <c r="A547" s="107"/>
      <c r="B547" s="108"/>
      <c r="C547" s="108"/>
      <c r="D547" s="108"/>
      <c r="E547" s="108"/>
      <c r="F547" s="108"/>
      <c r="G547" s="108"/>
      <c r="H547" s="108"/>
      <c r="I547" s="108"/>
      <c r="J547" s="108"/>
      <c r="K547" s="108"/>
      <c r="L547" s="108"/>
      <c r="M547" s="108"/>
      <c r="N547" s="108"/>
      <c r="O547" s="108"/>
      <c r="P547" s="108"/>
      <c r="Q547" s="108"/>
      <c r="R547" s="108"/>
      <c r="S547" s="108"/>
      <c r="T547" s="108"/>
      <c r="U547" s="108"/>
      <c r="W547" s="108"/>
      <c r="X547" s="108"/>
    </row>
    <row r="548" spans="1:24" s="124" customFormat="1" ht="14.25" customHeight="1">
      <c r="A548" s="107"/>
      <c r="B548" s="108"/>
      <c r="C548" s="108"/>
      <c r="D548" s="108"/>
      <c r="E548" s="108"/>
      <c r="F548" s="108"/>
      <c r="G548" s="108"/>
      <c r="H548" s="108"/>
      <c r="I548" s="108"/>
      <c r="J548" s="108"/>
      <c r="K548" s="108"/>
      <c r="L548" s="108"/>
      <c r="M548" s="108"/>
      <c r="N548" s="108"/>
      <c r="O548" s="108"/>
      <c r="P548" s="108"/>
      <c r="Q548" s="108"/>
      <c r="R548" s="108"/>
      <c r="S548" s="108"/>
      <c r="T548" s="108"/>
      <c r="U548" s="108"/>
      <c r="W548" s="108"/>
      <c r="X548" s="108"/>
    </row>
    <row r="549" spans="1:24" s="124" customFormat="1" ht="14.25" customHeight="1">
      <c r="A549" s="107"/>
      <c r="B549" s="108"/>
      <c r="C549" s="108"/>
      <c r="D549" s="108"/>
      <c r="E549" s="108"/>
      <c r="F549" s="108"/>
      <c r="G549" s="108"/>
      <c r="H549" s="108"/>
      <c r="I549" s="108"/>
      <c r="J549" s="108"/>
      <c r="K549" s="108"/>
      <c r="L549" s="108"/>
      <c r="M549" s="108"/>
      <c r="N549" s="108"/>
      <c r="O549" s="108"/>
      <c r="P549" s="108"/>
      <c r="Q549" s="108"/>
      <c r="R549" s="108"/>
      <c r="S549" s="108"/>
      <c r="T549" s="108"/>
      <c r="U549" s="108"/>
      <c r="W549" s="108"/>
      <c r="X549" s="108"/>
    </row>
    <row r="550" spans="1:24" s="124" customFormat="1" ht="14.25" customHeight="1">
      <c r="A550" s="107"/>
      <c r="B550" s="108"/>
      <c r="C550" s="108"/>
      <c r="D550" s="108"/>
      <c r="E550" s="108"/>
      <c r="F550" s="108"/>
      <c r="G550" s="108"/>
      <c r="H550" s="108"/>
      <c r="I550" s="108"/>
      <c r="J550" s="108"/>
      <c r="K550" s="108"/>
      <c r="L550" s="108"/>
      <c r="M550" s="108"/>
      <c r="N550" s="108"/>
      <c r="O550" s="108"/>
      <c r="P550" s="108"/>
      <c r="Q550" s="108"/>
      <c r="R550" s="108"/>
      <c r="S550" s="108"/>
      <c r="T550" s="108"/>
      <c r="U550" s="108"/>
      <c r="W550" s="108"/>
      <c r="X550" s="108"/>
    </row>
    <row r="551" spans="1:24" s="124" customFormat="1" ht="14.25" customHeight="1">
      <c r="A551" s="107"/>
      <c r="B551" s="108"/>
      <c r="C551" s="108"/>
      <c r="D551" s="108"/>
      <c r="E551" s="108"/>
      <c r="F551" s="108"/>
      <c r="G551" s="108"/>
      <c r="H551" s="108"/>
      <c r="I551" s="108"/>
      <c r="J551" s="108"/>
      <c r="K551" s="108"/>
      <c r="L551" s="108"/>
      <c r="M551" s="108"/>
      <c r="N551" s="108"/>
      <c r="O551" s="108"/>
      <c r="P551" s="108"/>
      <c r="Q551" s="108"/>
      <c r="R551" s="108"/>
      <c r="S551" s="108"/>
      <c r="T551" s="108"/>
      <c r="U551" s="108"/>
      <c r="W551" s="108"/>
      <c r="X551" s="108"/>
    </row>
    <row r="552" spans="1:24" s="124" customFormat="1" ht="14.25" customHeight="1">
      <c r="A552" s="107"/>
      <c r="B552" s="108"/>
      <c r="C552" s="108"/>
      <c r="D552" s="108"/>
      <c r="E552" s="108"/>
      <c r="F552" s="108"/>
      <c r="G552" s="108"/>
      <c r="H552" s="108"/>
      <c r="I552" s="108"/>
      <c r="J552" s="108"/>
      <c r="K552" s="108"/>
      <c r="L552" s="108"/>
      <c r="M552" s="108"/>
      <c r="N552" s="108"/>
      <c r="O552" s="108"/>
      <c r="P552" s="108"/>
      <c r="Q552" s="108"/>
      <c r="R552" s="108"/>
      <c r="S552" s="108"/>
      <c r="T552" s="108"/>
      <c r="U552" s="108"/>
      <c r="W552" s="108"/>
      <c r="X552" s="108"/>
    </row>
    <row r="553" spans="1:24" s="124" customFormat="1" ht="14.25" customHeight="1">
      <c r="A553" s="107"/>
      <c r="B553" s="108"/>
      <c r="C553" s="108"/>
      <c r="D553" s="108"/>
      <c r="E553" s="108"/>
      <c r="F553" s="108"/>
      <c r="G553" s="108"/>
      <c r="H553" s="108"/>
      <c r="I553" s="108"/>
      <c r="J553" s="108"/>
      <c r="K553" s="108"/>
      <c r="L553" s="108"/>
      <c r="M553" s="108"/>
      <c r="N553" s="108"/>
      <c r="O553" s="108"/>
      <c r="P553" s="108"/>
      <c r="Q553" s="108"/>
      <c r="R553" s="108"/>
      <c r="S553" s="108"/>
      <c r="T553" s="108"/>
      <c r="U553" s="108"/>
      <c r="W553" s="108"/>
      <c r="X553" s="108"/>
    </row>
    <row r="554" spans="1:24" s="124" customFormat="1" ht="14.25" customHeight="1">
      <c r="A554" s="107"/>
      <c r="B554" s="108"/>
      <c r="C554" s="108"/>
      <c r="D554" s="108"/>
      <c r="E554" s="108"/>
      <c r="F554" s="108"/>
      <c r="G554" s="108"/>
      <c r="H554" s="108"/>
      <c r="I554" s="108"/>
      <c r="J554" s="108"/>
      <c r="K554" s="108"/>
      <c r="L554" s="108"/>
      <c r="M554" s="108"/>
      <c r="N554" s="108"/>
      <c r="O554" s="108"/>
      <c r="P554" s="108"/>
      <c r="Q554" s="108"/>
      <c r="R554" s="108"/>
      <c r="S554" s="108"/>
      <c r="T554" s="108"/>
      <c r="U554" s="108"/>
      <c r="W554" s="108"/>
      <c r="X554" s="108"/>
    </row>
    <row r="555" spans="1:24" s="124" customFormat="1" ht="14.25" customHeight="1">
      <c r="A555" s="107"/>
      <c r="B555" s="108"/>
      <c r="C555" s="108"/>
      <c r="D555" s="108"/>
      <c r="E555" s="108"/>
      <c r="F555" s="108"/>
      <c r="G555" s="108"/>
      <c r="H555" s="108"/>
      <c r="I555" s="108"/>
      <c r="J555" s="108"/>
      <c r="K555" s="108"/>
      <c r="L555" s="108"/>
      <c r="M555" s="108"/>
      <c r="N555" s="108"/>
      <c r="O555" s="108"/>
      <c r="P555" s="108"/>
      <c r="Q555" s="108"/>
      <c r="R555" s="108"/>
      <c r="S555" s="108"/>
      <c r="T555" s="108"/>
      <c r="U555" s="108"/>
      <c r="W555" s="108"/>
      <c r="X555" s="108"/>
    </row>
    <row r="556" spans="1:24" s="124" customFormat="1" ht="14.25" customHeight="1">
      <c r="A556" s="107"/>
      <c r="B556" s="108"/>
      <c r="C556" s="108"/>
      <c r="D556" s="108"/>
      <c r="E556" s="108"/>
      <c r="F556" s="108"/>
      <c r="G556" s="108"/>
      <c r="H556" s="108"/>
      <c r="I556" s="108"/>
      <c r="J556" s="108"/>
      <c r="K556" s="108"/>
      <c r="L556" s="108"/>
      <c r="M556" s="108"/>
      <c r="N556" s="108"/>
      <c r="O556" s="108"/>
      <c r="P556" s="108"/>
      <c r="Q556" s="108"/>
      <c r="R556" s="108"/>
      <c r="S556" s="108"/>
      <c r="T556" s="108"/>
      <c r="U556" s="108"/>
      <c r="W556" s="108"/>
      <c r="X556" s="108"/>
    </row>
    <row r="557" spans="1:24" s="124" customFormat="1" ht="14.25" customHeight="1">
      <c r="A557" s="107"/>
      <c r="B557" s="108"/>
      <c r="C557" s="108"/>
      <c r="D557" s="108"/>
      <c r="E557" s="108"/>
      <c r="F557" s="108"/>
      <c r="G557" s="108"/>
      <c r="H557" s="108"/>
      <c r="I557" s="108"/>
      <c r="J557" s="108"/>
      <c r="K557" s="108"/>
      <c r="L557" s="108"/>
      <c r="M557" s="108"/>
      <c r="N557" s="108"/>
      <c r="O557" s="108"/>
      <c r="P557" s="108"/>
      <c r="Q557" s="108"/>
      <c r="R557" s="108"/>
      <c r="S557" s="108"/>
      <c r="T557" s="108"/>
      <c r="U557" s="108"/>
      <c r="W557" s="108"/>
      <c r="X557" s="108"/>
    </row>
    <row r="558" spans="1:24" s="124" customFormat="1" ht="14.25" customHeight="1">
      <c r="A558" s="107"/>
      <c r="B558" s="108"/>
      <c r="C558" s="108"/>
      <c r="D558" s="108"/>
      <c r="E558" s="108"/>
      <c r="F558" s="108"/>
      <c r="G558" s="108"/>
      <c r="H558" s="108"/>
      <c r="I558" s="108"/>
      <c r="J558" s="108"/>
      <c r="K558" s="108"/>
      <c r="L558" s="108"/>
      <c r="M558" s="108"/>
      <c r="N558" s="108"/>
      <c r="O558" s="108"/>
      <c r="P558" s="108"/>
      <c r="Q558" s="108"/>
      <c r="R558" s="108"/>
      <c r="S558" s="108"/>
      <c r="T558" s="108"/>
      <c r="U558" s="108"/>
      <c r="W558" s="108"/>
      <c r="X558" s="108"/>
    </row>
    <row r="559" spans="1:24" s="124" customFormat="1" ht="14.25" customHeight="1">
      <c r="A559" s="107"/>
      <c r="B559" s="108"/>
      <c r="C559" s="108"/>
      <c r="D559" s="108"/>
      <c r="E559" s="108"/>
      <c r="F559" s="108"/>
      <c r="G559" s="108"/>
      <c r="H559" s="108"/>
      <c r="I559" s="108"/>
      <c r="J559" s="108"/>
      <c r="K559" s="108"/>
      <c r="L559" s="108"/>
      <c r="M559" s="108"/>
      <c r="N559" s="108"/>
      <c r="O559" s="108"/>
      <c r="P559" s="108"/>
      <c r="Q559" s="108"/>
      <c r="R559" s="108"/>
      <c r="S559" s="108"/>
      <c r="T559" s="108"/>
      <c r="U559" s="108"/>
      <c r="W559" s="108"/>
      <c r="X559" s="108"/>
    </row>
    <row r="560" spans="1:24" s="124" customFormat="1" ht="14.25" customHeight="1">
      <c r="A560" s="107"/>
      <c r="B560" s="108"/>
      <c r="C560" s="108"/>
      <c r="D560" s="108"/>
      <c r="E560" s="108"/>
      <c r="F560" s="108"/>
      <c r="G560" s="108"/>
      <c r="H560" s="108"/>
      <c r="I560" s="108"/>
      <c r="J560" s="108"/>
      <c r="K560" s="108"/>
      <c r="L560" s="108"/>
      <c r="M560" s="108"/>
      <c r="N560" s="108"/>
      <c r="O560" s="108"/>
      <c r="P560" s="108"/>
      <c r="Q560" s="108"/>
      <c r="R560" s="108"/>
      <c r="S560" s="108"/>
      <c r="T560" s="108"/>
      <c r="U560" s="108"/>
      <c r="W560" s="108"/>
      <c r="X560" s="108"/>
    </row>
    <row r="561" spans="1:24" s="124" customFormat="1" ht="14.25" customHeight="1">
      <c r="A561" s="107"/>
      <c r="B561" s="108"/>
      <c r="C561" s="108"/>
      <c r="D561" s="108"/>
      <c r="E561" s="108"/>
      <c r="F561" s="108"/>
      <c r="G561" s="108"/>
      <c r="H561" s="108"/>
      <c r="I561" s="108"/>
      <c r="J561" s="108"/>
      <c r="K561" s="108"/>
      <c r="L561" s="108"/>
      <c r="M561" s="108"/>
      <c r="N561" s="108"/>
      <c r="O561" s="108"/>
      <c r="P561" s="108"/>
      <c r="Q561" s="108"/>
      <c r="R561" s="108"/>
      <c r="S561" s="108"/>
      <c r="T561" s="108"/>
      <c r="U561" s="108"/>
      <c r="W561" s="108"/>
      <c r="X561" s="108"/>
    </row>
    <row r="562" spans="1:24" s="124" customFormat="1" ht="14.25" customHeight="1">
      <c r="A562" s="107"/>
      <c r="B562" s="108"/>
      <c r="C562" s="108"/>
      <c r="D562" s="108"/>
      <c r="E562" s="108"/>
      <c r="F562" s="108"/>
      <c r="G562" s="108"/>
      <c r="H562" s="108"/>
      <c r="I562" s="108"/>
      <c r="J562" s="108"/>
      <c r="K562" s="108"/>
      <c r="L562" s="108"/>
      <c r="M562" s="108"/>
      <c r="N562" s="108"/>
      <c r="O562" s="108"/>
      <c r="P562" s="108"/>
      <c r="Q562" s="108"/>
      <c r="R562" s="108"/>
      <c r="S562" s="108"/>
      <c r="T562" s="108"/>
      <c r="U562" s="108"/>
      <c r="W562" s="108"/>
      <c r="X562" s="108"/>
    </row>
    <row r="563" spans="1:24" s="124" customFormat="1" ht="14.25" customHeight="1">
      <c r="A563" s="107"/>
      <c r="B563" s="108"/>
      <c r="C563" s="108"/>
      <c r="D563" s="108"/>
      <c r="E563" s="108"/>
      <c r="F563" s="108"/>
      <c r="G563" s="108"/>
      <c r="H563" s="108"/>
      <c r="I563" s="108"/>
      <c r="J563" s="108"/>
      <c r="K563" s="108"/>
      <c r="L563" s="108"/>
      <c r="M563" s="108"/>
      <c r="N563" s="108"/>
      <c r="O563" s="108"/>
      <c r="P563" s="108"/>
      <c r="Q563" s="108"/>
      <c r="R563" s="108"/>
      <c r="S563" s="108"/>
      <c r="T563" s="108"/>
      <c r="U563" s="108"/>
      <c r="W563" s="108"/>
      <c r="X563" s="108"/>
    </row>
    <row r="564" spans="1:24" s="124" customFormat="1" ht="14.25" customHeight="1">
      <c r="A564" s="107"/>
      <c r="B564" s="108"/>
      <c r="C564" s="108"/>
      <c r="D564" s="108"/>
      <c r="E564" s="108"/>
      <c r="F564" s="108"/>
      <c r="G564" s="108"/>
      <c r="H564" s="108"/>
      <c r="I564" s="108"/>
      <c r="J564" s="108"/>
      <c r="K564" s="108"/>
      <c r="L564" s="108"/>
      <c r="M564" s="108"/>
      <c r="N564" s="108"/>
      <c r="O564" s="108"/>
      <c r="P564" s="108"/>
      <c r="Q564" s="108"/>
      <c r="R564" s="108"/>
      <c r="S564" s="108"/>
      <c r="T564" s="108"/>
      <c r="U564" s="108"/>
      <c r="W564" s="108"/>
      <c r="X564" s="108"/>
    </row>
    <row r="565" spans="1:24" s="124" customFormat="1" ht="14.25" customHeight="1">
      <c r="A565" s="107"/>
      <c r="B565" s="108"/>
      <c r="C565" s="108"/>
      <c r="D565" s="108"/>
      <c r="E565" s="108"/>
      <c r="F565" s="108"/>
      <c r="G565" s="108"/>
      <c r="H565" s="108"/>
      <c r="I565" s="108"/>
      <c r="J565" s="108"/>
      <c r="K565" s="108"/>
      <c r="L565" s="108"/>
      <c r="M565" s="108"/>
      <c r="N565" s="108"/>
      <c r="O565" s="108"/>
      <c r="P565" s="108"/>
      <c r="Q565" s="108"/>
      <c r="R565" s="108"/>
      <c r="S565" s="108"/>
      <c r="T565" s="108"/>
      <c r="U565" s="108"/>
      <c r="W565" s="108"/>
      <c r="X565" s="108"/>
    </row>
    <row r="566" spans="1:24" s="124" customFormat="1" ht="14.25" customHeight="1">
      <c r="A566" s="107"/>
      <c r="B566" s="108"/>
      <c r="C566" s="108"/>
      <c r="D566" s="108"/>
      <c r="E566" s="108"/>
      <c r="F566" s="108"/>
      <c r="G566" s="108"/>
      <c r="H566" s="108"/>
      <c r="I566" s="108"/>
      <c r="J566" s="108"/>
      <c r="K566" s="108"/>
      <c r="L566" s="108"/>
      <c r="M566" s="108"/>
      <c r="N566" s="108"/>
      <c r="O566" s="108"/>
      <c r="P566" s="108"/>
      <c r="Q566" s="108"/>
      <c r="R566" s="108"/>
      <c r="S566" s="108"/>
      <c r="T566" s="108"/>
      <c r="U566" s="108"/>
      <c r="W566" s="108"/>
      <c r="X566" s="108"/>
    </row>
    <row r="567" spans="1:24" s="124" customFormat="1" ht="14.25" customHeight="1">
      <c r="A567" s="107"/>
      <c r="B567" s="108"/>
      <c r="C567" s="108"/>
      <c r="D567" s="108"/>
      <c r="E567" s="108"/>
      <c r="F567" s="108"/>
      <c r="G567" s="108"/>
      <c r="H567" s="108"/>
      <c r="I567" s="108"/>
      <c r="J567" s="108"/>
      <c r="K567" s="108"/>
      <c r="L567" s="108"/>
      <c r="M567" s="108"/>
      <c r="N567" s="108"/>
      <c r="O567" s="108"/>
      <c r="P567" s="108"/>
      <c r="Q567" s="108"/>
      <c r="R567" s="108"/>
      <c r="S567" s="108"/>
      <c r="T567" s="108"/>
      <c r="U567" s="108"/>
      <c r="W567" s="108"/>
      <c r="X567" s="108"/>
    </row>
    <row r="568" spans="1:24" s="124" customFormat="1" ht="14.25" customHeight="1">
      <c r="A568" s="107"/>
      <c r="B568" s="108"/>
      <c r="C568" s="108"/>
      <c r="D568" s="108"/>
      <c r="E568" s="108"/>
      <c r="F568" s="108"/>
      <c r="G568" s="108"/>
      <c r="H568" s="108"/>
      <c r="I568" s="108"/>
      <c r="J568" s="108"/>
      <c r="K568" s="108"/>
      <c r="L568" s="108"/>
      <c r="M568" s="108"/>
      <c r="N568" s="108"/>
      <c r="O568" s="108"/>
      <c r="P568" s="108"/>
      <c r="Q568" s="108"/>
      <c r="R568" s="108"/>
      <c r="S568" s="108"/>
      <c r="T568" s="108"/>
      <c r="U568" s="108"/>
      <c r="W568" s="108"/>
      <c r="X568" s="108"/>
    </row>
    <row r="569" spans="1:24" s="124" customFormat="1" ht="14.25" customHeight="1">
      <c r="A569" s="107"/>
      <c r="B569" s="108"/>
      <c r="C569" s="108"/>
      <c r="D569" s="108"/>
      <c r="E569" s="108"/>
      <c r="F569" s="108"/>
      <c r="G569" s="108"/>
      <c r="H569" s="108"/>
      <c r="I569" s="108"/>
      <c r="J569" s="108"/>
      <c r="K569" s="108"/>
      <c r="L569" s="108"/>
      <c r="M569" s="108"/>
      <c r="N569" s="108"/>
      <c r="O569" s="108"/>
      <c r="P569" s="108"/>
      <c r="Q569" s="108"/>
      <c r="R569" s="108"/>
      <c r="S569" s="108"/>
      <c r="T569" s="108"/>
      <c r="U569" s="108"/>
      <c r="W569" s="108"/>
      <c r="X569" s="108"/>
    </row>
    <row r="570" spans="1:24" s="124" customFormat="1" ht="14.25" customHeight="1">
      <c r="A570" s="107"/>
      <c r="B570" s="108"/>
      <c r="C570" s="108"/>
      <c r="D570" s="108"/>
      <c r="E570" s="108"/>
      <c r="F570" s="108"/>
      <c r="G570" s="108"/>
      <c r="H570" s="108"/>
      <c r="I570" s="108"/>
      <c r="J570" s="108"/>
      <c r="K570" s="108"/>
      <c r="L570" s="108"/>
      <c r="M570" s="108"/>
      <c r="N570" s="108"/>
      <c r="O570" s="108"/>
      <c r="P570" s="108"/>
      <c r="Q570" s="108"/>
      <c r="R570" s="108"/>
      <c r="S570" s="108"/>
      <c r="T570" s="108"/>
      <c r="U570" s="108"/>
      <c r="W570" s="108"/>
      <c r="X570" s="108"/>
    </row>
    <row r="571" spans="1:24" s="124" customFormat="1" ht="14.25" customHeight="1">
      <c r="A571" s="107"/>
      <c r="B571" s="108"/>
      <c r="C571" s="108"/>
      <c r="D571" s="108"/>
      <c r="E571" s="108"/>
      <c r="F571" s="108"/>
      <c r="G571" s="108"/>
      <c r="H571" s="108"/>
      <c r="I571" s="108"/>
      <c r="J571" s="108"/>
      <c r="K571" s="108"/>
      <c r="L571" s="108"/>
      <c r="M571" s="108"/>
      <c r="N571" s="108"/>
      <c r="O571" s="108"/>
      <c r="P571" s="108"/>
      <c r="Q571" s="108"/>
      <c r="R571" s="108"/>
      <c r="S571" s="108"/>
      <c r="T571" s="108"/>
      <c r="U571" s="108"/>
      <c r="W571" s="108"/>
      <c r="X571" s="108"/>
    </row>
    <row r="572" spans="1:24" s="124" customFormat="1" ht="14.25" customHeight="1">
      <c r="A572" s="107"/>
      <c r="B572" s="108"/>
      <c r="C572" s="108"/>
      <c r="D572" s="108"/>
      <c r="E572" s="108"/>
      <c r="F572" s="108"/>
      <c r="G572" s="108"/>
      <c r="H572" s="108"/>
      <c r="I572" s="108"/>
      <c r="J572" s="108"/>
      <c r="K572" s="108"/>
      <c r="L572" s="108"/>
      <c r="M572" s="108"/>
      <c r="N572" s="108"/>
      <c r="O572" s="108"/>
      <c r="P572" s="108"/>
      <c r="Q572" s="108"/>
      <c r="R572" s="108"/>
      <c r="S572" s="108"/>
      <c r="T572" s="108"/>
      <c r="U572" s="108"/>
      <c r="W572" s="108"/>
      <c r="X572" s="108"/>
    </row>
    <row r="573" spans="1:24" s="124" customFormat="1" ht="14.25" customHeight="1">
      <c r="A573" s="107"/>
      <c r="B573" s="108"/>
      <c r="C573" s="108"/>
      <c r="D573" s="108"/>
      <c r="E573" s="108"/>
      <c r="F573" s="108"/>
      <c r="G573" s="108"/>
      <c r="H573" s="108"/>
      <c r="I573" s="108"/>
      <c r="J573" s="108"/>
      <c r="K573" s="108"/>
      <c r="L573" s="108"/>
      <c r="M573" s="108"/>
      <c r="N573" s="108"/>
      <c r="O573" s="108"/>
      <c r="P573" s="108"/>
      <c r="Q573" s="108"/>
      <c r="R573" s="108"/>
      <c r="S573" s="108"/>
      <c r="T573" s="108"/>
      <c r="U573" s="108"/>
      <c r="W573" s="108"/>
      <c r="X573" s="108"/>
    </row>
    <row r="574" spans="1:24" s="124" customFormat="1" ht="14.25" customHeight="1">
      <c r="A574" s="107"/>
      <c r="B574" s="108"/>
      <c r="C574" s="108"/>
      <c r="D574" s="108"/>
      <c r="E574" s="108"/>
      <c r="F574" s="108"/>
      <c r="G574" s="108"/>
      <c r="H574" s="108"/>
      <c r="I574" s="108"/>
      <c r="J574" s="108"/>
      <c r="K574" s="108"/>
      <c r="L574" s="108"/>
      <c r="M574" s="108"/>
      <c r="N574" s="108"/>
      <c r="O574" s="108"/>
      <c r="P574" s="108"/>
      <c r="Q574" s="108"/>
      <c r="R574" s="108"/>
      <c r="S574" s="108"/>
      <c r="T574" s="108"/>
      <c r="U574" s="108"/>
      <c r="W574" s="108"/>
      <c r="X574" s="108"/>
    </row>
    <row r="575" spans="1:24" s="124" customFormat="1" ht="14.25" customHeight="1">
      <c r="A575" s="107"/>
      <c r="B575" s="108"/>
      <c r="C575" s="108"/>
      <c r="D575" s="108"/>
      <c r="E575" s="108"/>
      <c r="F575" s="108"/>
      <c r="G575" s="108"/>
      <c r="H575" s="108"/>
      <c r="I575" s="108"/>
      <c r="J575" s="108"/>
      <c r="K575" s="108"/>
      <c r="L575" s="108"/>
      <c r="M575" s="108"/>
      <c r="N575" s="108"/>
      <c r="O575" s="108"/>
      <c r="P575" s="108"/>
      <c r="Q575" s="108"/>
      <c r="R575" s="108"/>
      <c r="S575" s="108"/>
      <c r="T575" s="108"/>
      <c r="U575" s="108"/>
      <c r="W575" s="108"/>
      <c r="X575" s="108"/>
    </row>
    <row r="576" spans="1:24" s="124" customFormat="1" ht="14.25" customHeight="1">
      <c r="A576" s="107"/>
      <c r="B576" s="108"/>
      <c r="C576" s="108"/>
      <c r="D576" s="108"/>
      <c r="E576" s="108"/>
      <c r="F576" s="108"/>
      <c r="G576" s="108"/>
      <c r="H576" s="108"/>
      <c r="I576" s="108"/>
      <c r="J576" s="108"/>
      <c r="K576" s="108"/>
      <c r="L576" s="108"/>
      <c r="M576" s="108"/>
      <c r="N576" s="108"/>
      <c r="O576" s="108"/>
      <c r="P576" s="108"/>
      <c r="Q576" s="108"/>
      <c r="R576" s="108"/>
      <c r="S576" s="108"/>
      <c r="T576" s="108"/>
      <c r="U576" s="108"/>
      <c r="W576" s="108"/>
      <c r="X576" s="108"/>
    </row>
    <row r="577" spans="1:24" s="124" customFormat="1" ht="14.25" customHeight="1">
      <c r="A577" s="107"/>
      <c r="B577" s="108"/>
      <c r="C577" s="108"/>
      <c r="D577" s="108"/>
      <c r="E577" s="108"/>
      <c r="F577" s="108"/>
      <c r="G577" s="108"/>
      <c r="H577" s="108"/>
      <c r="I577" s="108"/>
      <c r="J577" s="108"/>
      <c r="K577" s="108"/>
      <c r="L577" s="108"/>
      <c r="M577" s="108"/>
      <c r="N577" s="108"/>
      <c r="O577" s="108"/>
      <c r="P577" s="108"/>
      <c r="Q577" s="108"/>
      <c r="R577" s="108"/>
      <c r="S577" s="108"/>
      <c r="T577" s="108"/>
      <c r="U577" s="108"/>
      <c r="W577" s="108"/>
      <c r="X577" s="108"/>
    </row>
    <row r="578" spans="1:24" s="124" customFormat="1" ht="14.25" customHeight="1">
      <c r="A578" s="107"/>
      <c r="B578" s="108"/>
      <c r="C578" s="108"/>
      <c r="D578" s="108"/>
      <c r="E578" s="108"/>
      <c r="F578" s="108"/>
      <c r="G578" s="108"/>
      <c r="H578" s="108"/>
      <c r="I578" s="108"/>
      <c r="J578" s="108"/>
      <c r="K578" s="108"/>
      <c r="L578" s="108"/>
      <c r="M578" s="108"/>
      <c r="N578" s="108"/>
      <c r="O578" s="108"/>
      <c r="P578" s="108"/>
      <c r="Q578" s="108"/>
      <c r="R578" s="108"/>
      <c r="S578" s="108"/>
      <c r="T578" s="108"/>
      <c r="U578" s="108"/>
      <c r="W578" s="108"/>
      <c r="X578" s="108"/>
    </row>
    <row r="579" spans="1:24" s="124" customFormat="1" ht="14.25" customHeight="1">
      <c r="A579" s="107"/>
      <c r="B579" s="108"/>
      <c r="C579" s="108"/>
      <c r="D579" s="108"/>
      <c r="E579" s="108"/>
      <c r="F579" s="108"/>
      <c r="G579" s="108"/>
      <c r="H579" s="108"/>
      <c r="I579" s="108"/>
      <c r="J579" s="108"/>
      <c r="K579" s="108"/>
      <c r="L579" s="108"/>
      <c r="M579" s="108"/>
      <c r="N579" s="108"/>
      <c r="O579" s="108"/>
      <c r="P579" s="108"/>
      <c r="Q579" s="108"/>
      <c r="R579" s="108"/>
      <c r="S579" s="108"/>
      <c r="T579" s="108"/>
      <c r="U579" s="108"/>
      <c r="W579" s="108"/>
      <c r="X579" s="108"/>
    </row>
    <row r="580" spans="1:24" s="124" customFormat="1" ht="14.25" customHeight="1">
      <c r="A580" s="107"/>
      <c r="B580" s="108"/>
      <c r="C580" s="108"/>
      <c r="D580" s="108"/>
      <c r="E580" s="108"/>
      <c r="F580" s="108"/>
      <c r="G580" s="108"/>
      <c r="H580" s="108"/>
      <c r="I580" s="108"/>
      <c r="J580" s="108"/>
      <c r="K580" s="108"/>
      <c r="L580" s="108"/>
      <c r="M580" s="108"/>
      <c r="N580" s="108"/>
      <c r="O580" s="108"/>
      <c r="P580" s="108"/>
      <c r="Q580" s="108"/>
      <c r="R580" s="108"/>
      <c r="S580" s="108"/>
      <c r="T580" s="108"/>
      <c r="U580" s="108"/>
      <c r="W580" s="108"/>
      <c r="X580" s="108"/>
    </row>
    <row r="581" spans="1:24" s="124" customFormat="1" ht="14.25" customHeight="1">
      <c r="A581" s="107"/>
      <c r="B581" s="108"/>
      <c r="C581" s="108"/>
      <c r="D581" s="108"/>
      <c r="E581" s="108"/>
      <c r="F581" s="108"/>
      <c r="G581" s="108"/>
      <c r="H581" s="108"/>
      <c r="I581" s="108"/>
      <c r="J581" s="108"/>
      <c r="K581" s="108"/>
      <c r="L581" s="108"/>
      <c r="M581" s="108"/>
      <c r="N581" s="108"/>
      <c r="O581" s="108"/>
      <c r="P581" s="108"/>
      <c r="Q581" s="108"/>
      <c r="R581" s="108"/>
      <c r="S581" s="108"/>
      <c r="T581" s="108"/>
      <c r="U581" s="108"/>
      <c r="W581" s="108"/>
      <c r="X581" s="108"/>
    </row>
    <row r="582" spans="1:24" s="124" customFormat="1" ht="14.25" customHeight="1">
      <c r="A582" s="107"/>
      <c r="B582" s="108"/>
      <c r="C582" s="108"/>
      <c r="D582" s="108"/>
      <c r="E582" s="108"/>
      <c r="F582" s="108"/>
      <c r="G582" s="108"/>
      <c r="H582" s="108"/>
      <c r="I582" s="108"/>
      <c r="J582" s="108"/>
      <c r="K582" s="108"/>
      <c r="L582" s="108"/>
      <c r="M582" s="108"/>
      <c r="N582" s="108"/>
      <c r="O582" s="108"/>
      <c r="P582" s="108"/>
      <c r="Q582" s="108"/>
      <c r="R582" s="108"/>
      <c r="S582" s="108"/>
      <c r="T582" s="108"/>
      <c r="U582" s="108"/>
      <c r="W582" s="108"/>
      <c r="X582" s="108"/>
    </row>
    <row r="583" spans="1:24" s="124" customFormat="1" ht="14.25" customHeight="1">
      <c r="A583" s="107"/>
      <c r="B583" s="108"/>
      <c r="C583" s="108"/>
      <c r="D583" s="108"/>
      <c r="E583" s="108"/>
      <c r="F583" s="108"/>
      <c r="G583" s="108"/>
      <c r="H583" s="108"/>
      <c r="I583" s="108"/>
      <c r="J583" s="108"/>
      <c r="K583" s="108"/>
      <c r="L583" s="108"/>
      <c r="M583" s="108"/>
      <c r="N583" s="108"/>
      <c r="O583" s="108"/>
      <c r="P583" s="108"/>
      <c r="Q583" s="108"/>
      <c r="R583" s="108"/>
      <c r="S583" s="108"/>
      <c r="T583" s="108"/>
      <c r="U583" s="108"/>
      <c r="W583" s="108"/>
      <c r="X583" s="108"/>
    </row>
    <row r="584" spans="1:24" s="124" customFormat="1" ht="14.25" customHeight="1">
      <c r="A584" s="107"/>
      <c r="B584" s="108"/>
      <c r="C584" s="108"/>
      <c r="D584" s="108"/>
      <c r="E584" s="108"/>
      <c r="F584" s="108"/>
      <c r="G584" s="108"/>
      <c r="H584" s="108"/>
      <c r="I584" s="108"/>
      <c r="J584" s="108"/>
      <c r="K584" s="108"/>
      <c r="L584" s="108"/>
      <c r="M584" s="108"/>
      <c r="N584" s="108"/>
      <c r="O584" s="108"/>
      <c r="P584" s="108"/>
      <c r="Q584" s="108"/>
      <c r="R584" s="108"/>
      <c r="S584" s="108"/>
      <c r="T584" s="108"/>
      <c r="U584" s="108"/>
      <c r="W584" s="108"/>
      <c r="X584" s="108"/>
    </row>
    <row r="585" spans="1:24" s="124" customFormat="1" ht="14.25" customHeight="1">
      <c r="A585" s="107"/>
      <c r="B585" s="108"/>
      <c r="C585" s="108"/>
      <c r="D585" s="108"/>
      <c r="E585" s="108"/>
      <c r="F585" s="108"/>
      <c r="G585" s="108"/>
      <c r="H585" s="108"/>
      <c r="I585" s="108"/>
      <c r="J585" s="108"/>
      <c r="K585" s="108"/>
      <c r="L585" s="108"/>
      <c r="M585" s="108"/>
      <c r="N585" s="108"/>
      <c r="O585" s="108"/>
      <c r="P585" s="108"/>
      <c r="Q585" s="108"/>
      <c r="R585" s="108"/>
      <c r="S585" s="108"/>
      <c r="T585" s="108"/>
      <c r="U585" s="108"/>
      <c r="W585" s="108"/>
      <c r="X585" s="108"/>
    </row>
    <row r="586" spans="1:24" s="124" customFormat="1" ht="14.25" customHeight="1">
      <c r="A586" s="107"/>
      <c r="B586" s="108"/>
      <c r="C586" s="108"/>
      <c r="D586" s="108"/>
      <c r="E586" s="108"/>
      <c r="F586" s="108"/>
      <c r="G586" s="108"/>
      <c r="H586" s="108"/>
      <c r="I586" s="108"/>
      <c r="J586" s="108"/>
      <c r="K586" s="108"/>
      <c r="L586" s="108"/>
      <c r="M586" s="108"/>
      <c r="N586" s="108"/>
      <c r="O586" s="108"/>
      <c r="P586" s="108"/>
      <c r="Q586" s="108"/>
      <c r="R586" s="108"/>
      <c r="S586" s="108"/>
      <c r="T586" s="108"/>
      <c r="U586" s="108"/>
      <c r="W586" s="108"/>
      <c r="X586" s="108"/>
    </row>
    <row r="587" spans="1:24" s="124" customFormat="1" ht="14.25" customHeight="1">
      <c r="A587" s="107"/>
      <c r="B587" s="108"/>
      <c r="C587" s="108"/>
      <c r="D587" s="108"/>
      <c r="E587" s="108"/>
      <c r="F587" s="108"/>
      <c r="G587" s="108"/>
      <c r="H587" s="108"/>
      <c r="I587" s="108"/>
      <c r="J587" s="108"/>
      <c r="K587" s="108"/>
      <c r="L587" s="108"/>
      <c r="M587" s="108"/>
      <c r="N587" s="108"/>
      <c r="O587" s="108"/>
      <c r="P587" s="108"/>
      <c r="Q587" s="108"/>
      <c r="R587" s="108"/>
      <c r="S587" s="108"/>
      <c r="T587" s="108"/>
      <c r="U587" s="108"/>
      <c r="W587" s="108"/>
      <c r="X587" s="108"/>
    </row>
    <row r="588" spans="1:24" s="124" customFormat="1" ht="14.25" customHeight="1">
      <c r="A588" s="107"/>
      <c r="B588" s="108"/>
      <c r="C588" s="108"/>
      <c r="D588" s="108"/>
      <c r="E588" s="108"/>
      <c r="F588" s="108"/>
      <c r="G588" s="108"/>
      <c r="H588" s="108"/>
      <c r="I588" s="108"/>
      <c r="J588" s="108"/>
      <c r="K588" s="108"/>
      <c r="L588" s="108"/>
      <c r="M588" s="108"/>
      <c r="N588" s="108"/>
      <c r="O588" s="108"/>
      <c r="P588" s="108"/>
      <c r="Q588" s="108"/>
      <c r="R588" s="108"/>
      <c r="S588" s="108"/>
      <c r="T588" s="108"/>
      <c r="U588" s="108"/>
      <c r="W588" s="108"/>
      <c r="X588" s="108"/>
    </row>
    <row r="589" spans="1:24" s="124" customFormat="1" ht="14.25" customHeight="1">
      <c r="A589" s="107"/>
      <c r="B589" s="108"/>
      <c r="C589" s="108"/>
      <c r="D589" s="108"/>
      <c r="E589" s="108"/>
      <c r="F589" s="108"/>
      <c r="G589" s="108"/>
      <c r="H589" s="108"/>
      <c r="I589" s="108"/>
      <c r="J589" s="108"/>
      <c r="K589" s="108"/>
      <c r="L589" s="108"/>
      <c r="M589" s="108"/>
      <c r="N589" s="108"/>
      <c r="O589" s="108"/>
      <c r="P589" s="108"/>
      <c r="Q589" s="108"/>
      <c r="R589" s="108"/>
      <c r="S589" s="108"/>
      <c r="T589" s="108"/>
      <c r="U589" s="108"/>
      <c r="W589" s="108"/>
      <c r="X589" s="108"/>
    </row>
    <row r="590" spans="1:24" s="124" customFormat="1" ht="14.25" customHeight="1">
      <c r="A590" s="107"/>
      <c r="B590" s="108"/>
      <c r="C590" s="108"/>
      <c r="D590" s="108"/>
      <c r="E590" s="108"/>
      <c r="F590" s="108"/>
      <c r="G590" s="108"/>
      <c r="H590" s="108"/>
      <c r="I590" s="108"/>
      <c r="J590" s="108"/>
      <c r="K590" s="108"/>
      <c r="L590" s="108"/>
      <c r="M590" s="108"/>
      <c r="N590" s="108"/>
      <c r="O590" s="108"/>
      <c r="P590" s="108"/>
      <c r="Q590" s="108"/>
      <c r="R590" s="108"/>
      <c r="S590" s="108"/>
      <c r="T590" s="108"/>
      <c r="U590" s="108"/>
      <c r="W590" s="108"/>
      <c r="X590" s="108"/>
    </row>
    <row r="591" spans="1:24" s="124" customFormat="1" ht="14.25" customHeight="1">
      <c r="A591" s="107"/>
      <c r="B591" s="108"/>
      <c r="C591" s="108"/>
      <c r="D591" s="108"/>
      <c r="E591" s="108"/>
      <c r="F591" s="108"/>
      <c r="G591" s="108"/>
      <c r="H591" s="108"/>
      <c r="I591" s="108"/>
      <c r="J591" s="108"/>
      <c r="K591" s="108"/>
      <c r="L591" s="108"/>
      <c r="M591" s="108"/>
      <c r="N591" s="108"/>
      <c r="O591" s="108"/>
      <c r="P591" s="108"/>
      <c r="Q591" s="108"/>
      <c r="R591" s="108"/>
      <c r="S591" s="108"/>
      <c r="T591" s="108"/>
      <c r="U591" s="108"/>
      <c r="W591" s="108"/>
      <c r="X591" s="108"/>
    </row>
    <row r="592" spans="1:24" s="124" customFormat="1" ht="14.25" customHeight="1">
      <c r="A592" s="107"/>
      <c r="B592" s="108"/>
      <c r="C592" s="108"/>
      <c r="D592" s="108"/>
      <c r="E592" s="108"/>
      <c r="F592" s="108"/>
      <c r="G592" s="108"/>
      <c r="H592" s="108"/>
      <c r="I592" s="108"/>
      <c r="J592" s="108"/>
      <c r="K592" s="108"/>
      <c r="L592" s="108"/>
      <c r="M592" s="108"/>
      <c r="N592" s="108"/>
      <c r="O592" s="108"/>
      <c r="P592" s="108"/>
      <c r="Q592" s="108"/>
      <c r="R592" s="108"/>
      <c r="S592" s="108"/>
      <c r="T592" s="108"/>
      <c r="U592" s="108"/>
      <c r="W592" s="108"/>
      <c r="X592" s="108"/>
    </row>
    <row r="593" spans="1:24" s="124" customFormat="1" ht="14.25" customHeight="1">
      <c r="A593" s="107"/>
      <c r="B593" s="108"/>
      <c r="C593" s="108"/>
      <c r="D593" s="108"/>
      <c r="E593" s="108"/>
      <c r="F593" s="108"/>
      <c r="G593" s="108"/>
      <c r="H593" s="108"/>
      <c r="I593" s="108"/>
      <c r="J593" s="108"/>
      <c r="K593" s="108"/>
      <c r="L593" s="108"/>
      <c r="M593" s="108"/>
      <c r="N593" s="108"/>
      <c r="O593" s="108"/>
      <c r="P593" s="108"/>
      <c r="Q593" s="108"/>
      <c r="R593" s="108"/>
      <c r="S593" s="108"/>
      <c r="T593" s="108"/>
      <c r="U593" s="108"/>
      <c r="W593" s="108"/>
      <c r="X593" s="108"/>
    </row>
    <row r="594" spans="1:24" s="124" customFormat="1" ht="14.25" customHeight="1">
      <c r="A594" s="107"/>
      <c r="B594" s="108"/>
      <c r="C594" s="108"/>
      <c r="D594" s="108"/>
      <c r="E594" s="108"/>
      <c r="F594" s="108"/>
      <c r="G594" s="108"/>
      <c r="H594" s="108"/>
      <c r="I594" s="108"/>
      <c r="J594" s="108"/>
      <c r="K594" s="108"/>
      <c r="L594" s="108"/>
      <c r="M594" s="108"/>
      <c r="N594" s="108"/>
      <c r="O594" s="108"/>
      <c r="P594" s="108"/>
      <c r="Q594" s="108"/>
      <c r="R594" s="108"/>
      <c r="S594" s="108"/>
      <c r="T594" s="108"/>
      <c r="U594" s="108"/>
      <c r="W594" s="108"/>
      <c r="X594" s="108"/>
    </row>
    <row r="595" spans="1:24" s="124" customFormat="1" ht="14.25" customHeight="1">
      <c r="A595" s="107"/>
      <c r="B595" s="108"/>
      <c r="C595" s="108"/>
      <c r="D595" s="108"/>
      <c r="E595" s="108"/>
      <c r="F595" s="108"/>
      <c r="G595" s="108"/>
      <c r="H595" s="108"/>
      <c r="I595" s="108"/>
      <c r="J595" s="108"/>
      <c r="K595" s="108"/>
      <c r="L595" s="108"/>
      <c r="M595" s="108"/>
      <c r="N595" s="108"/>
      <c r="O595" s="108"/>
      <c r="P595" s="108"/>
      <c r="Q595" s="108"/>
      <c r="R595" s="108"/>
      <c r="S595" s="108"/>
      <c r="T595" s="108"/>
      <c r="U595" s="108"/>
      <c r="W595" s="108"/>
      <c r="X595" s="108"/>
    </row>
    <row r="596" spans="1:24" s="124" customFormat="1" ht="14.25" customHeight="1">
      <c r="A596" s="107"/>
      <c r="B596" s="108"/>
      <c r="C596" s="108"/>
      <c r="D596" s="108"/>
      <c r="E596" s="108"/>
      <c r="F596" s="108"/>
      <c r="G596" s="108"/>
      <c r="H596" s="108"/>
      <c r="I596" s="108"/>
      <c r="J596" s="108"/>
      <c r="K596" s="108"/>
      <c r="L596" s="108"/>
      <c r="M596" s="108"/>
      <c r="N596" s="108"/>
      <c r="O596" s="108"/>
      <c r="P596" s="108"/>
      <c r="Q596" s="108"/>
      <c r="R596" s="108"/>
      <c r="S596" s="108"/>
      <c r="T596" s="108"/>
      <c r="U596" s="108"/>
      <c r="W596" s="108"/>
      <c r="X596" s="108"/>
    </row>
    <row r="597" spans="1:24" s="124" customFormat="1" ht="14.25" customHeight="1">
      <c r="A597" s="107"/>
      <c r="B597" s="108"/>
      <c r="C597" s="108"/>
      <c r="D597" s="108"/>
      <c r="E597" s="108"/>
      <c r="F597" s="108"/>
      <c r="G597" s="108"/>
      <c r="H597" s="108"/>
      <c r="I597" s="108"/>
      <c r="J597" s="108"/>
      <c r="K597" s="108"/>
      <c r="L597" s="108"/>
      <c r="M597" s="108"/>
      <c r="N597" s="108"/>
      <c r="O597" s="108"/>
      <c r="P597" s="108"/>
      <c r="Q597" s="108"/>
      <c r="R597" s="108"/>
      <c r="S597" s="108"/>
      <c r="T597" s="108"/>
      <c r="U597" s="108"/>
      <c r="W597" s="108"/>
      <c r="X597" s="108"/>
    </row>
    <row r="598" spans="1:24" s="124" customFormat="1" ht="14.25" customHeight="1">
      <c r="A598" s="107"/>
      <c r="B598" s="108"/>
      <c r="C598" s="108"/>
      <c r="D598" s="108"/>
      <c r="E598" s="108"/>
      <c r="F598" s="108"/>
      <c r="G598" s="108"/>
      <c r="H598" s="108"/>
      <c r="I598" s="108"/>
      <c r="J598" s="108"/>
      <c r="K598" s="108"/>
      <c r="L598" s="108"/>
      <c r="M598" s="108"/>
      <c r="N598" s="108"/>
      <c r="O598" s="108"/>
      <c r="P598" s="108"/>
      <c r="Q598" s="108"/>
      <c r="R598" s="108"/>
      <c r="S598" s="108"/>
      <c r="T598" s="108"/>
      <c r="U598" s="108"/>
      <c r="W598" s="108"/>
      <c r="X598" s="108"/>
    </row>
    <row r="599" spans="1:24" s="124" customFormat="1" ht="14.25" customHeight="1">
      <c r="A599" s="107"/>
      <c r="B599" s="108"/>
      <c r="C599" s="108"/>
      <c r="D599" s="108"/>
      <c r="E599" s="108"/>
      <c r="F599" s="108"/>
      <c r="G599" s="108"/>
      <c r="H599" s="108"/>
      <c r="I599" s="108"/>
      <c r="J599" s="108"/>
      <c r="K599" s="108"/>
      <c r="L599" s="108"/>
      <c r="M599" s="108"/>
      <c r="N599" s="108"/>
      <c r="O599" s="108"/>
      <c r="P599" s="108"/>
      <c r="Q599" s="108"/>
      <c r="R599" s="108"/>
      <c r="S599" s="108"/>
      <c r="T599" s="108"/>
      <c r="U599" s="108"/>
      <c r="W599" s="108"/>
      <c r="X599" s="108"/>
    </row>
    <row r="600" spans="1:24" s="124" customFormat="1" ht="14.25" customHeight="1">
      <c r="A600" s="107"/>
      <c r="B600" s="108"/>
      <c r="C600" s="108"/>
      <c r="D600" s="108"/>
      <c r="E600" s="108"/>
      <c r="F600" s="108"/>
      <c r="G600" s="108"/>
      <c r="H600" s="108"/>
      <c r="I600" s="108"/>
      <c r="J600" s="108"/>
      <c r="K600" s="108"/>
      <c r="L600" s="108"/>
      <c r="M600" s="108"/>
      <c r="N600" s="108"/>
      <c r="O600" s="108"/>
      <c r="P600" s="108"/>
      <c r="Q600" s="108"/>
      <c r="R600" s="108"/>
      <c r="S600" s="108"/>
      <c r="T600" s="108"/>
      <c r="U600" s="108"/>
      <c r="W600" s="108"/>
      <c r="X600" s="108"/>
    </row>
    <row r="601" spans="1:24" s="124" customFormat="1" ht="14.25" customHeight="1">
      <c r="A601" s="107"/>
      <c r="B601" s="108"/>
      <c r="C601" s="108"/>
      <c r="D601" s="108"/>
      <c r="E601" s="108"/>
      <c r="F601" s="108"/>
      <c r="G601" s="108"/>
      <c r="H601" s="108"/>
      <c r="I601" s="108"/>
      <c r="J601" s="108"/>
      <c r="K601" s="108"/>
      <c r="L601" s="108"/>
      <c r="M601" s="108"/>
      <c r="N601" s="108"/>
      <c r="O601" s="108"/>
      <c r="P601" s="108"/>
      <c r="Q601" s="108"/>
      <c r="R601" s="108"/>
      <c r="S601" s="108"/>
      <c r="T601" s="108"/>
      <c r="U601" s="108"/>
      <c r="W601" s="108"/>
      <c r="X601" s="108"/>
    </row>
    <row r="602" spans="1:24" s="124" customFormat="1" ht="14.25" customHeight="1">
      <c r="A602" s="107"/>
      <c r="B602" s="108"/>
      <c r="C602" s="108"/>
      <c r="D602" s="108"/>
      <c r="E602" s="108"/>
      <c r="F602" s="108"/>
      <c r="G602" s="108"/>
      <c r="H602" s="108"/>
      <c r="I602" s="108"/>
      <c r="J602" s="108"/>
      <c r="K602" s="108"/>
      <c r="L602" s="108"/>
      <c r="M602" s="108"/>
      <c r="N602" s="108"/>
      <c r="O602" s="108"/>
      <c r="P602" s="108"/>
      <c r="Q602" s="108"/>
      <c r="R602" s="108"/>
      <c r="S602" s="108"/>
      <c r="T602" s="108"/>
      <c r="U602" s="108"/>
      <c r="W602" s="108"/>
      <c r="X602" s="108"/>
    </row>
    <row r="603" spans="1:24" s="124" customFormat="1" ht="14.25" customHeight="1">
      <c r="A603" s="107"/>
      <c r="B603" s="108"/>
      <c r="C603" s="108"/>
      <c r="D603" s="108"/>
      <c r="E603" s="108"/>
      <c r="F603" s="108"/>
      <c r="G603" s="108"/>
      <c r="H603" s="108"/>
      <c r="I603" s="108"/>
      <c r="J603" s="108"/>
      <c r="K603" s="108"/>
      <c r="L603" s="108"/>
      <c r="M603" s="108"/>
      <c r="N603" s="108"/>
      <c r="O603" s="108"/>
      <c r="P603" s="108"/>
      <c r="Q603" s="108"/>
      <c r="R603" s="108"/>
      <c r="S603" s="108"/>
      <c r="T603" s="108"/>
      <c r="U603" s="108"/>
      <c r="W603" s="108"/>
      <c r="X603" s="108"/>
    </row>
    <row r="604" spans="1:24" s="124" customFormat="1" ht="14.25" customHeight="1">
      <c r="A604" s="107"/>
      <c r="B604" s="108"/>
      <c r="C604" s="108"/>
      <c r="D604" s="108"/>
      <c r="E604" s="108"/>
      <c r="F604" s="108"/>
      <c r="G604" s="108"/>
      <c r="H604" s="108"/>
      <c r="I604" s="108"/>
      <c r="J604" s="108"/>
      <c r="K604" s="108"/>
      <c r="L604" s="108"/>
      <c r="M604" s="108"/>
      <c r="N604" s="108"/>
      <c r="O604" s="108"/>
      <c r="P604" s="108"/>
      <c r="Q604" s="108"/>
      <c r="R604" s="108"/>
      <c r="S604" s="108"/>
      <c r="T604" s="108"/>
      <c r="U604" s="108"/>
      <c r="W604" s="108"/>
      <c r="X604" s="108"/>
    </row>
    <row r="605" spans="1:24" s="124" customFormat="1" ht="14.25" customHeight="1">
      <c r="A605" s="107"/>
      <c r="B605" s="108"/>
      <c r="C605" s="108"/>
      <c r="D605" s="108"/>
      <c r="E605" s="108"/>
      <c r="F605" s="108"/>
      <c r="G605" s="108"/>
      <c r="H605" s="108"/>
      <c r="I605" s="108"/>
      <c r="J605" s="108"/>
      <c r="K605" s="108"/>
      <c r="L605" s="108"/>
      <c r="M605" s="108"/>
      <c r="N605" s="108"/>
      <c r="O605" s="108"/>
      <c r="P605" s="108"/>
      <c r="Q605" s="108"/>
      <c r="R605" s="108"/>
      <c r="S605" s="108"/>
      <c r="T605" s="108"/>
      <c r="U605" s="108"/>
      <c r="W605" s="108"/>
      <c r="X605" s="108"/>
    </row>
    <row r="606" spans="1:24" s="124" customFormat="1" ht="14.25" customHeight="1">
      <c r="A606" s="107"/>
      <c r="B606" s="108"/>
      <c r="C606" s="108"/>
      <c r="D606" s="108"/>
      <c r="E606" s="108"/>
      <c r="F606" s="108"/>
      <c r="G606" s="108"/>
      <c r="H606" s="108"/>
      <c r="I606" s="108"/>
      <c r="J606" s="108"/>
      <c r="K606" s="108"/>
      <c r="L606" s="108"/>
      <c r="M606" s="108"/>
      <c r="N606" s="108"/>
      <c r="O606" s="108"/>
      <c r="P606" s="108"/>
      <c r="Q606" s="108"/>
      <c r="R606" s="108"/>
      <c r="S606" s="108"/>
      <c r="T606" s="108"/>
      <c r="U606" s="108"/>
      <c r="W606" s="108"/>
      <c r="X606" s="108"/>
    </row>
    <row r="607" spans="1:24" s="124" customFormat="1" ht="14.25" customHeight="1">
      <c r="A607" s="107"/>
      <c r="B607" s="108"/>
      <c r="C607" s="108"/>
      <c r="D607" s="108"/>
      <c r="E607" s="108"/>
      <c r="F607" s="108"/>
      <c r="G607" s="108"/>
      <c r="H607" s="108"/>
      <c r="I607" s="108"/>
      <c r="J607" s="108"/>
      <c r="K607" s="108"/>
      <c r="L607" s="108"/>
      <c r="M607" s="108"/>
      <c r="N607" s="108"/>
      <c r="O607" s="108"/>
      <c r="P607" s="108"/>
      <c r="Q607" s="108"/>
      <c r="R607" s="108"/>
      <c r="S607" s="108"/>
      <c r="T607" s="108"/>
      <c r="U607" s="108"/>
      <c r="W607" s="108"/>
      <c r="X607" s="108"/>
    </row>
    <row r="608" spans="1:24" s="124" customFormat="1" ht="14.25" customHeight="1">
      <c r="A608" s="107"/>
      <c r="B608" s="108"/>
      <c r="C608" s="108"/>
      <c r="D608" s="108"/>
      <c r="E608" s="108"/>
      <c r="F608" s="108"/>
      <c r="G608" s="108"/>
      <c r="H608" s="108"/>
      <c r="I608" s="108"/>
      <c r="J608" s="108"/>
      <c r="K608" s="108"/>
      <c r="L608" s="108"/>
      <c r="M608" s="108"/>
      <c r="N608" s="108"/>
      <c r="O608" s="108"/>
      <c r="P608" s="108"/>
      <c r="Q608" s="108"/>
      <c r="R608" s="108"/>
      <c r="S608" s="108"/>
      <c r="T608" s="108"/>
      <c r="U608" s="108"/>
      <c r="W608" s="108"/>
      <c r="X608" s="108"/>
    </row>
    <row r="609" spans="1:24" s="124" customFormat="1" ht="14.25" customHeight="1">
      <c r="A609" s="107"/>
      <c r="B609" s="108"/>
      <c r="C609" s="108"/>
      <c r="D609" s="108"/>
      <c r="E609" s="108"/>
      <c r="F609" s="108"/>
      <c r="G609" s="108"/>
      <c r="H609" s="108"/>
      <c r="I609" s="108"/>
      <c r="J609" s="108"/>
      <c r="K609" s="108"/>
      <c r="L609" s="108"/>
      <c r="M609" s="108"/>
      <c r="N609" s="108"/>
      <c r="O609" s="108"/>
      <c r="P609" s="108"/>
      <c r="Q609" s="108"/>
      <c r="R609" s="108"/>
      <c r="S609" s="108"/>
      <c r="T609" s="108"/>
      <c r="U609" s="108"/>
      <c r="W609" s="108"/>
      <c r="X609" s="108"/>
    </row>
    <row r="610" spans="1:24" s="124" customFormat="1" ht="14.25" customHeight="1">
      <c r="A610" s="107"/>
      <c r="B610" s="108"/>
      <c r="C610" s="108"/>
      <c r="D610" s="108"/>
      <c r="E610" s="108"/>
      <c r="F610" s="108"/>
      <c r="G610" s="108"/>
      <c r="H610" s="108"/>
      <c r="I610" s="108"/>
      <c r="J610" s="108"/>
      <c r="K610" s="108"/>
      <c r="L610" s="108"/>
      <c r="M610" s="108"/>
      <c r="N610" s="108"/>
      <c r="O610" s="108"/>
      <c r="P610" s="108"/>
      <c r="Q610" s="108"/>
      <c r="R610" s="108"/>
      <c r="S610" s="108"/>
      <c r="T610" s="108"/>
      <c r="U610" s="108"/>
      <c r="W610" s="108"/>
      <c r="X610" s="108"/>
    </row>
    <row r="611" spans="1:24" s="124" customFormat="1" ht="14.25" customHeight="1">
      <c r="A611" s="107"/>
      <c r="B611" s="108"/>
      <c r="C611" s="108"/>
      <c r="D611" s="108"/>
      <c r="E611" s="108"/>
      <c r="F611" s="108"/>
      <c r="G611" s="108"/>
      <c r="H611" s="108"/>
      <c r="I611" s="108"/>
      <c r="J611" s="108"/>
      <c r="K611" s="108"/>
      <c r="L611" s="108"/>
      <c r="M611" s="108"/>
      <c r="N611" s="108"/>
      <c r="O611" s="108"/>
      <c r="P611" s="108"/>
      <c r="Q611" s="108"/>
      <c r="R611" s="108"/>
      <c r="S611" s="108"/>
      <c r="T611" s="108"/>
      <c r="U611" s="108"/>
      <c r="W611" s="108"/>
      <c r="X611" s="108"/>
    </row>
    <row r="612" spans="1:24" s="124" customFormat="1" ht="14.25" customHeight="1">
      <c r="A612" s="107"/>
      <c r="B612" s="108"/>
      <c r="C612" s="108"/>
      <c r="D612" s="108"/>
      <c r="E612" s="108"/>
      <c r="F612" s="108"/>
      <c r="G612" s="108"/>
      <c r="H612" s="108"/>
      <c r="I612" s="108"/>
      <c r="J612" s="108"/>
      <c r="K612" s="108"/>
      <c r="L612" s="108"/>
      <c r="M612" s="108"/>
      <c r="N612" s="108"/>
      <c r="O612" s="108"/>
      <c r="P612" s="108"/>
      <c r="Q612" s="108"/>
      <c r="R612" s="108"/>
      <c r="S612" s="108"/>
      <c r="T612" s="108"/>
      <c r="U612" s="108"/>
      <c r="W612" s="108"/>
      <c r="X612" s="108"/>
    </row>
    <row r="613" spans="1:24" s="124" customFormat="1" ht="14.25" customHeight="1">
      <c r="A613" s="107"/>
      <c r="B613" s="108"/>
      <c r="C613" s="108"/>
      <c r="D613" s="108"/>
      <c r="E613" s="108"/>
      <c r="F613" s="108"/>
      <c r="G613" s="108"/>
      <c r="H613" s="108"/>
      <c r="I613" s="108"/>
      <c r="J613" s="108"/>
      <c r="K613" s="108"/>
      <c r="L613" s="108"/>
      <c r="M613" s="108"/>
      <c r="N613" s="108"/>
      <c r="O613" s="108"/>
      <c r="P613" s="108"/>
      <c r="Q613" s="108"/>
      <c r="R613" s="108"/>
      <c r="S613" s="108"/>
      <c r="T613" s="108"/>
      <c r="U613" s="108"/>
      <c r="W613" s="108"/>
      <c r="X613" s="108"/>
    </row>
    <row r="614" spans="1:24" s="124" customFormat="1" ht="14.25" customHeight="1">
      <c r="A614" s="107"/>
      <c r="B614" s="108"/>
      <c r="C614" s="108"/>
      <c r="D614" s="108"/>
      <c r="E614" s="108"/>
      <c r="F614" s="108"/>
      <c r="G614" s="108"/>
      <c r="H614" s="108"/>
      <c r="I614" s="108"/>
      <c r="J614" s="108"/>
      <c r="K614" s="108"/>
      <c r="L614" s="108"/>
      <c r="M614" s="108"/>
      <c r="N614" s="108"/>
      <c r="O614" s="108"/>
      <c r="P614" s="108"/>
      <c r="Q614" s="108"/>
      <c r="R614" s="108"/>
      <c r="S614" s="108"/>
      <c r="T614" s="108"/>
      <c r="U614" s="108"/>
      <c r="W614" s="108"/>
      <c r="X614" s="108"/>
    </row>
    <row r="615" spans="1:24" s="124" customFormat="1" ht="14.25" customHeight="1">
      <c r="A615" s="107"/>
      <c r="B615" s="108"/>
      <c r="C615" s="108"/>
      <c r="D615" s="108"/>
      <c r="E615" s="108"/>
      <c r="F615" s="108"/>
      <c r="G615" s="108"/>
      <c r="H615" s="108"/>
      <c r="I615" s="108"/>
      <c r="J615" s="108"/>
      <c r="K615" s="108"/>
      <c r="L615" s="108"/>
      <c r="M615" s="108"/>
      <c r="N615" s="108"/>
      <c r="O615" s="108"/>
      <c r="P615" s="108"/>
      <c r="Q615" s="108"/>
      <c r="R615" s="108"/>
      <c r="S615" s="108"/>
      <c r="T615" s="108"/>
      <c r="U615" s="108"/>
      <c r="W615" s="108"/>
      <c r="X615" s="108"/>
    </row>
    <row r="616" spans="1:24" s="124" customFormat="1" ht="14.25" customHeight="1">
      <c r="A616" s="107"/>
      <c r="B616" s="108"/>
      <c r="C616" s="108"/>
      <c r="D616" s="108"/>
      <c r="E616" s="108"/>
      <c r="F616" s="108"/>
      <c r="G616" s="108"/>
      <c r="H616" s="108"/>
      <c r="I616" s="108"/>
      <c r="J616" s="108"/>
      <c r="K616" s="108"/>
      <c r="L616" s="108"/>
      <c r="M616" s="108"/>
      <c r="N616" s="108"/>
      <c r="O616" s="108"/>
      <c r="P616" s="108"/>
      <c r="Q616" s="108"/>
      <c r="R616" s="108"/>
      <c r="S616" s="108"/>
      <c r="T616" s="108"/>
      <c r="U616" s="108"/>
      <c r="W616" s="108"/>
      <c r="X616" s="108"/>
    </row>
    <row r="617" spans="1:24" s="124" customFormat="1" ht="14.25" customHeight="1">
      <c r="A617" s="107"/>
      <c r="B617" s="108"/>
      <c r="C617" s="108"/>
      <c r="D617" s="108"/>
      <c r="E617" s="108"/>
      <c r="F617" s="108"/>
      <c r="G617" s="108"/>
      <c r="H617" s="108"/>
      <c r="I617" s="108"/>
      <c r="J617" s="108"/>
      <c r="K617" s="108"/>
      <c r="L617" s="108"/>
      <c r="M617" s="108"/>
      <c r="N617" s="108"/>
      <c r="O617" s="108"/>
      <c r="P617" s="108"/>
      <c r="Q617" s="108"/>
      <c r="R617" s="108"/>
      <c r="S617" s="108"/>
      <c r="T617" s="108"/>
      <c r="U617" s="108"/>
      <c r="W617" s="108"/>
      <c r="X617" s="108"/>
    </row>
    <row r="618" spans="1:24" s="124" customFormat="1" ht="14.25" customHeight="1">
      <c r="A618" s="107"/>
      <c r="B618" s="108"/>
      <c r="C618" s="108"/>
      <c r="D618" s="108"/>
      <c r="E618" s="108"/>
      <c r="F618" s="108"/>
      <c r="G618" s="108"/>
      <c r="H618" s="108"/>
      <c r="I618" s="108"/>
      <c r="J618" s="108"/>
      <c r="K618" s="108"/>
      <c r="L618" s="108"/>
      <c r="M618" s="108"/>
      <c r="N618" s="108"/>
      <c r="O618" s="108"/>
      <c r="P618" s="108"/>
      <c r="Q618" s="108"/>
      <c r="R618" s="108"/>
      <c r="S618" s="108"/>
      <c r="T618" s="108"/>
      <c r="U618" s="108"/>
      <c r="W618" s="108"/>
      <c r="X618" s="108"/>
    </row>
    <row r="619" spans="1:24" s="124" customFormat="1" ht="14.25" customHeight="1">
      <c r="A619" s="107"/>
      <c r="B619" s="108"/>
      <c r="C619" s="108"/>
      <c r="D619" s="108"/>
      <c r="E619" s="108"/>
      <c r="F619" s="108"/>
      <c r="G619" s="108"/>
      <c r="H619" s="108"/>
      <c r="I619" s="108"/>
      <c r="J619" s="108"/>
      <c r="K619" s="108"/>
      <c r="L619" s="108"/>
      <c r="M619" s="108"/>
      <c r="N619" s="108"/>
      <c r="O619" s="108"/>
      <c r="P619" s="108"/>
      <c r="Q619" s="108"/>
      <c r="R619" s="108"/>
      <c r="S619" s="108"/>
      <c r="T619" s="108"/>
      <c r="U619" s="108"/>
      <c r="W619" s="108"/>
      <c r="X619" s="108"/>
    </row>
    <row r="620" spans="1:24" s="124" customFormat="1" ht="14.25" customHeight="1">
      <c r="A620" s="107"/>
      <c r="B620" s="108"/>
      <c r="C620" s="108"/>
      <c r="D620" s="108"/>
      <c r="E620" s="108"/>
      <c r="F620" s="108"/>
      <c r="G620" s="108"/>
      <c r="H620" s="108"/>
      <c r="I620" s="108"/>
      <c r="J620" s="108"/>
      <c r="K620" s="108"/>
      <c r="L620" s="108"/>
      <c r="M620" s="108"/>
      <c r="N620" s="108"/>
      <c r="O620" s="108"/>
      <c r="P620" s="108"/>
      <c r="Q620" s="108"/>
      <c r="R620" s="108"/>
      <c r="S620" s="108"/>
      <c r="T620" s="108"/>
      <c r="U620" s="108"/>
      <c r="W620" s="108"/>
      <c r="X620" s="108"/>
    </row>
    <row r="621" spans="1:24" s="124" customFormat="1" ht="14.25" customHeight="1">
      <c r="A621" s="107"/>
      <c r="B621" s="108"/>
      <c r="C621" s="108"/>
      <c r="D621" s="108"/>
      <c r="E621" s="108"/>
      <c r="F621" s="108"/>
      <c r="G621" s="108"/>
      <c r="H621" s="108"/>
      <c r="I621" s="108"/>
      <c r="J621" s="108"/>
      <c r="K621" s="108"/>
      <c r="L621" s="108"/>
      <c r="M621" s="108"/>
      <c r="N621" s="108"/>
      <c r="O621" s="108"/>
      <c r="P621" s="108"/>
      <c r="Q621" s="108"/>
      <c r="R621" s="108"/>
      <c r="S621" s="108"/>
      <c r="T621" s="108"/>
      <c r="U621" s="108"/>
      <c r="W621" s="108"/>
      <c r="X621" s="108"/>
    </row>
    <row r="622" spans="1:24" s="124" customFormat="1" ht="14.25" customHeight="1">
      <c r="A622" s="107"/>
      <c r="B622" s="108"/>
      <c r="C622" s="108"/>
      <c r="D622" s="108"/>
      <c r="E622" s="108"/>
      <c r="F622" s="108"/>
      <c r="G622" s="108"/>
      <c r="H622" s="108"/>
      <c r="I622" s="108"/>
      <c r="J622" s="108"/>
      <c r="K622" s="108"/>
      <c r="L622" s="108"/>
      <c r="M622" s="108"/>
      <c r="N622" s="108"/>
      <c r="O622" s="108"/>
      <c r="P622" s="108"/>
      <c r="Q622" s="108"/>
      <c r="R622" s="108"/>
      <c r="S622" s="108"/>
      <c r="T622" s="108"/>
      <c r="U622" s="108"/>
      <c r="W622" s="108"/>
      <c r="X622" s="108"/>
    </row>
    <row r="623" spans="1:24" s="124" customFormat="1" ht="14.25" customHeight="1">
      <c r="A623" s="107"/>
      <c r="B623" s="108"/>
      <c r="C623" s="108"/>
      <c r="D623" s="108"/>
      <c r="E623" s="108"/>
      <c r="F623" s="108"/>
      <c r="G623" s="108"/>
      <c r="H623" s="108"/>
      <c r="I623" s="108"/>
      <c r="J623" s="108"/>
      <c r="K623" s="108"/>
      <c r="L623" s="108"/>
      <c r="M623" s="108"/>
      <c r="N623" s="108"/>
      <c r="O623" s="108"/>
      <c r="P623" s="108"/>
      <c r="Q623" s="108"/>
      <c r="R623" s="108"/>
      <c r="S623" s="108"/>
      <c r="T623" s="108"/>
      <c r="U623" s="108"/>
      <c r="W623" s="108"/>
      <c r="X623" s="108"/>
    </row>
    <row r="624" spans="1:24" s="124" customFormat="1" ht="14.25" customHeight="1">
      <c r="A624" s="107"/>
      <c r="B624" s="108"/>
      <c r="C624" s="108"/>
      <c r="D624" s="108"/>
      <c r="E624" s="108"/>
      <c r="F624" s="108"/>
      <c r="G624" s="108"/>
      <c r="H624" s="108"/>
      <c r="I624" s="108"/>
      <c r="J624" s="108"/>
      <c r="K624" s="108"/>
      <c r="L624" s="108"/>
      <c r="M624" s="108"/>
      <c r="N624" s="108"/>
      <c r="O624" s="108"/>
      <c r="P624" s="108"/>
      <c r="Q624" s="108"/>
      <c r="R624" s="108"/>
      <c r="S624" s="108"/>
      <c r="T624" s="108"/>
      <c r="U624" s="108"/>
      <c r="W624" s="108"/>
      <c r="X624" s="108"/>
    </row>
    <row r="625" spans="1:24" s="124" customFormat="1" ht="14.25" customHeight="1">
      <c r="A625" s="107"/>
      <c r="B625" s="108"/>
      <c r="C625" s="108"/>
      <c r="D625" s="108"/>
      <c r="E625" s="108"/>
      <c r="F625" s="108"/>
      <c r="G625" s="108"/>
      <c r="H625" s="108"/>
      <c r="I625" s="108"/>
      <c r="J625" s="108"/>
      <c r="K625" s="108"/>
      <c r="L625" s="108"/>
      <c r="M625" s="108"/>
      <c r="N625" s="108"/>
      <c r="O625" s="108"/>
      <c r="P625" s="108"/>
      <c r="Q625" s="108"/>
      <c r="R625" s="108"/>
      <c r="S625" s="108"/>
      <c r="T625" s="108"/>
      <c r="U625" s="108"/>
      <c r="W625" s="108"/>
      <c r="X625" s="108"/>
    </row>
    <row r="626" spans="1:24" s="124" customFormat="1" ht="14.25" customHeight="1">
      <c r="A626" s="107"/>
      <c r="B626" s="108"/>
      <c r="C626" s="108"/>
      <c r="D626" s="108"/>
      <c r="E626" s="108"/>
      <c r="F626" s="108"/>
      <c r="G626" s="108"/>
      <c r="H626" s="108"/>
      <c r="I626" s="108"/>
      <c r="J626" s="108"/>
      <c r="K626" s="108"/>
      <c r="L626" s="108"/>
      <c r="M626" s="108"/>
      <c r="N626" s="108"/>
      <c r="O626" s="108"/>
      <c r="P626" s="108"/>
      <c r="Q626" s="108"/>
      <c r="R626" s="108"/>
      <c r="S626" s="108"/>
      <c r="T626" s="108"/>
      <c r="U626" s="108"/>
      <c r="W626" s="108"/>
      <c r="X626" s="108"/>
    </row>
    <row r="627" spans="1:24" s="124" customFormat="1" ht="14.25" customHeight="1">
      <c r="A627" s="107"/>
      <c r="B627" s="108"/>
      <c r="C627" s="108"/>
      <c r="D627" s="108"/>
      <c r="E627" s="108"/>
      <c r="F627" s="108"/>
      <c r="G627" s="108"/>
      <c r="H627" s="108"/>
      <c r="I627" s="108"/>
      <c r="J627" s="108"/>
      <c r="K627" s="108"/>
      <c r="L627" s="108"/>
      <c r="M627" s="108"/>
      <c r="N627" s="108"/>
      <c r="O627" s="108"/>
      <c r="P627" s="108"/>
      <c r="Q627" s="108"/>
      <c r="R627" s="108"/>
      <c r="S627" s="108"/>
      <c r="T627" s="108"/>
      <c r="U627" s="108"/>
      <c r="W627" s="108"/>
      <c r="X627" s="108"/>
    </row>
    <row r="628" spans="1:24" s="124" customFormat="1" ht="14.25" customHeight="1">
      <c r="A628" s="107"/>
      <c r="B628" s="108"/>
      <c r="C628" s="108"/>
      <c r="D628" s="108"/>
      <c r="E628" s="108"/>
      <c r="F628" s="108"/>
      <c r="G628" s="108"/>
      <c r="H628" s="108"/>
      <c r="I628" s="108"/>
      <c r="J628" s="108"/>
      <c r="K628" s="108"/>
      <c r="L628" s="108"/>
      <c r="M628" s="108"/>
      <c r="N628" s="108"/>
      <c r="O628" s="108"/>
      <c r="P628" s="108"/>
      <c r="Q628" s="108"/>
      <c r="R628" s="108"/>
      <c r="S628" s="108"/>
      <c r="T628" s="108"/>
      <c r="U628" s="108"/>
      <c r="W628" s="108"/>
      <c r="X628" s="108"/>
    </row>
    <row r="629" spans="1:24" s="124" customFormat="1" ht="14.25" customHeight="1">
      <c r="A629" s="107"/>
      <c r="B629" s="108"/>
      <c r="C629" s="108"/>
      <c r="D629" s="108"/>
      <c r="E629" s="108"/>
      <c r="F629" s="108"/>
      <c r="G629" s="108"/>
      <c r="H629" s="108"/>
      <c r="I629" s="108"/>
      <c r="J629" s="108"/>
      <c r="K629" s="108"/>
      <c r="L629" s="108"/>
      <c r="M629" s="108"/>
      <c r="N629" s="108"/>
      <c r="O629" s="108"/>
      <c r="P629" s="108"/>
      <c r="Q629" s="108"/>
      <c r="R629" s="108"/>
      <c r="S629" s="108"/>
      <c r="T629" s="108"/>
      <c r="U629" s="108"/>
      <c r="W629" s="108"/>
      <c r="X629" s="108"/>
    </row>
    <row r="630" spans="1:24" s="124" customFormat="1" ht="14.25" customHeight="1">
      <c r="A630" s="107"/>
      <c r="B630" s="108"/>
      <c r="C630" s="108"/>
      <c r="D630" s="108"/>
      <c r="E630" s="108"/>
      <c r="F630" s="108"/>
      <c r="G630" s="108"/>
      <c r="H630" s="108"/>
      <c r="I630" s="108"/>
      <c r="J630" s="108"/>
      <c r="K630" s="108"/>
      <c r="L630" s="108"/>
      <c r="M630" s="108"/>
      <c r="N630" s="108"/>
      <c r="O630" s="108"/>
      <c r="P630" s="108"/>
      <c r="Q630" s="108"/>
      <c r="R630" s="108"/>
      <c r="S630" s="108"/>
      <c r="T630" s="108"/>
      <c r="U630" s="108"/>
      <c r="W630" s="108"/>
      <c r="X630" s="108"/>
    </row>
    <row r="631" spans="1:24" s="124" customFormat="1" ht="14.25" customHeight="1">
      <c r="A631" s="107"/>
      <c r="B631" s="108"/>
      <c r="C631" s="108"/>
      <c r="D631" s="108"/>
      <c r="E631" s="108"/>
      <c r="F631" s="108"/>
      <c r="G631" s="108"/>
      <c r="H631" s="108"/>
      <c r="I631" s="108"/>
      <c r="J631" s="108"/>
      <c r="K631" s="108"/>
      <c r="L631" s="108"/>
      <c r="M631" s="108"/>
      <c r="N631" s="108"/>
      <c r="O631" s="108"/>
      <c r="P631" s="108"/>
      <c r="Q631" s="108"/>
      <c r="R631" s="108"/>
      <c r="S631" s="108"/>
      <c r="T631" s="108"/>
      <c r="U631" s="108"/>
      <c r="W631" s="108"/>
      <c r="X631" s="108"/>
    </row>
    <row r="632" spans="1:24" s="124" customFormat="1" ht="14.25" customHeight="1">
      <c r="A632" s="107"/>
      <c r="B632" s="108"/>
      <c r="C632" s="108"/>
      <c r="D632" s="108"/>
      <c r="E632" s="108"/>
      <c r="F632" s="108"/>
      <c r="G632" s="108"/>
      <c r="H632" s="108"/>
      <c r="I632" s="108"/>
      <c r="J632" s="108"/>
      <c r="K632" s="108"/>
      <c r="L632" s="108"/>
      <c r="M632" s="108"/>
      <c r="N632" s="108"/>
      <c r="O632" s="108"/>
      <c r="P632" s="108"/>
      <c r="Q632" s="108"/>
      <c r="R632" s="108"/>
      <c r="S632" s="108"/>
      <c r="T632" s="108"/>
      <c r="U632" s="108"/>
      <c r="W632" s="108"/>
      <c r="X632" s="108"/>
    </row>
    <row r="633" spans="1:24" s="124" customFormat="1" ht="14.25" customHeight="1">
      <c r="A633" s="107"/>
      <c r="B633" s="108"/>
      <c r="C633" s="108"/>
      <c r="D633" s="108"/>
      <c r="E633" s="108"/>
      <c r="F633" s="108"/>
      <c r="G633" s="108"/>
      <c r="H633" s="108"/>
      <c r="I633" s="108"/>
      <c r="J633" s="108"/>
      <c r="K633" s="108"/>
      <c r="L633" s="108"/>
      <c r="M633" s="108"/>
      <c r="N633" s="108"/>
      <c r="O633" s="108"/>
      <c r="P633" s="108"/>
      <c r="Q633" s="108"/>
      <c r="R633" s="108"/>
      <c r="S633" s="108"/>
      <c r="T633" s="108"/>
      <c r="U633" s="108"/>
      <c r="W633" s="108"/>
      <c r="X633" s="108"/>
    </row>
    <row r="634" spans="1:24" s="124" customFormat="1" ht="14.25" customHeight="1">
      <c r="A634" s="107"/>
      <c r="B634" s="108"/>
      <c r="C634" s="108"/>
      <c r="D634" s="108"/>
      <c r="E634" s="108"/>
      <c r="F634" s="108"/>
      <c r="G634" s="108"/>
      <c r="H634" s="108"/>
      <c r="I634" s="108"/>
      <c r="J634" s="108"/>
      <c r="K634" s="108"/>
      <c r="L634" s="108"/>
      <c r="M634" s="108"/>
      <c r="N634" s="108"/>
      <c r="O634" s="108"/>
      <c r="P634" s="108"/>
      <c r="Q634" s="108"/>
      <c r="R634" s="108"/>
      <c r="S634" s="108"/>
      <c r="T634" s="108"/>
      <c r="U634" s="108"/>
      <c r="W634" s="108"/>
      <c r="X634" s="108"/>
    </row>
    <row r="635" spans="1:24" s="124" customFormat="1" ht="14.25" customHeight="1">
      <c r="A635" s="107"/>
      <c r="B635" s="108"/>
      <c r="C635" s="108"/>
      <c r="D635" s="108"/>
      <c r="E635" s="108"/>
      <c r="F635" s="108"/>
      <c r="G635" s="108"/>
      <c r="H635" s="108"/>
      <c r="I635" s="108"/>
      <c r="J635" s="108"/>
      <c r="K635" s="108"/>
      <c r="L635" s="108"/>
      <c r="M635" s="108"/>
      <c r="N635" s="108"/>
      <c r="O635" s="108"/>
      <c r="P635" s="108"/>
      <c r="Q635" s="108"/>
      <c r="R635" s="108"/>
      <c r="S635" s="108"/>
      <c r="T635" s="108"/>
      <c r="U635" s="108"/>
      <c r="W635" s="108"/>
      <c r="X635" s="108"/>
    </row>
    <row r="636" spans="1:24" s="124" customFormat="1" ht="14.25" customHeight="1">
      <c r="A636" s="107"/>
      <c r="B636" s="108"/>
      <c r="C636" s="108"/>
      <c r="D636" s="108"/>
      <c r="E636" s="108"/>
      <c r="F636" s="108"/>
      <c r="G636" s="108"/>
      <c r="H636" s="108"/>
      <c r="I636" s="108"/>
      <c r="J636" s="108"/>
      <c r="K636" s="108"/>
      <c r="L636" s="108"/>
      <c r="M636" s="108"/>
      <c r="N636" s="108"/>
      <c r="O636" s="108"/>
      <c r="P636" s="108"/>
      <c r="Q636" s="108"/>
      <c r="R636" s="108"/>
      <c r="S636" s="108"/>
      <c r="T636" s="108"/>
      <c r="U636" s="108"/>
      <c r="W636" s="108"/>
      <c r="X636" s="108"/>
    </row>
    <row r="637" spans="1:24" s="124" customFormat="1" ht="14.25" customHeight="1">
      <c r="A637" s="107"/>
      <c r="B637" s="108"/>
      <c r="C637" s="108"/>
      <c r="D637" s="108"/>
      <c r="E637" s="108"/>
      <c r="F637" s="108"/>
      <c r="G637" s="108"/>
      <c r="H637" s="108"/>
      <c r="I637" s="108"/>
      <c r="J637" s="108"/>
      <c r="K637" s="108"/>
      <c r="L637" s="108"/>
      <c r="M637" s="108"/>
      <c r="N637" s="108"/>
      <c r="O637" s="108"/>
      <c r="P637" s="108"/>
      <c r="Q637" s="108"/>
      <c r="R637" s="108"/>
      <c r="S637" s="108"/>
      <c r="T637" s="108"/>
      <c r="U637" s="108"/>
      <c r="W637" s="108"/>
      <c r="X637" s="108"/>
    </row>
    <row r="638" spans="1:24" s="124" customFormat="1" ht="14.25" customHeight="1">
      <c r="A638" s="107"/>
      <c r="B638" s="108"/>
      <c r="C638" s="108"/>
      <c r="D638" s="108"/>
      <c r="E638" s="108"/>
      <c r="F638" s="108"/>
      <c r="G638" s="108"/>
      <c r="H638" s="108"/>
      <c r="I638" s="108"/>
      <c r="J638" s="108"/>
      <c r="K638" s="108"/>
      <c r="L638" s="108"/>
      <c r="M638" s="108"/>
      <c r="N638" s="108"/>
      <c r="O638" s="108"/>
      <c r="P638" s="108"/>
      <c r="Q638" s="108"/>
      <c r="R638" s="108"/>
      <c r="S638" s="108"/>
      <c r="T638" s="108"/>
      <c r="U638" s="108"/>
      <c r="W638" s="108"/>
      <c r="X638" s="108"/>
    </row>
    <row r="639" spans="1:24" s="124" customFormat="1" ht="14.25" customHeight="1">
      <c r="A639" s="107"/>
      <c r="B639" s="108"/>
      <c r="C639" s="108"/>
      <c r="D639" s="108"/>
      <c r="E639" s="108"/>
      <c r="F639" s="108"/>
      <c r="G639" s="108"/>
      <c r="H639" s="108"/>
      <c r="I639" s="108"/>
      <c r="J639" s="108"/>
      <c r="K639" s="108"/>
      <c r="L639" s="108"/>
      <c r="M639" s="108"/>
      <c r="N639" s="108"/>
      <c r="O639" s="108"/>
      <c r="P639" s="108"/>
      <c r="Q639" s="108"/>
      <c r="R639" s="108"/>
      <c r="S639" s="108"/>
      <c r="T639" s="108"/>
      <c r="U639" s="108"/>
      <c r="W639" s="108"/>
      <c r="X639" s="108"/>
    </row>
    <row r="640" spans="1:24" s="124" customFormat="1" ht="14.25" customHeight="1">
      <c r="A640" s="107"/>
      <c r="B640" s="108"/>
      <c r="C640" s="108"/>
      <c r="D640" s="108"/>
      <c r="E640" s="108"/>
      <c r="F640" s="108"/>
      <c r="G640" s="108"/>
      <c r="H640" s="108"/>
      <c r="I640" s="108"/>
      <c r="J640" s="108"/>
      <c r="K640" s="108"/>
      <c r="L640" s="108"/>
      <c r="M640" s="108"/>
      <c r="N640" s="108"/>
      <c r="O640" s="108"/>
      <c r="P640" s="108"/>
      <c r="Q640" s="108"/>
      <c r="R640" s="108"/>
      <c r="S640" s="108"/>
      <c r="T640" s="108"/>
      <c r="U640" s="108"/>
      <c r="W640" s="108"/>
      <c r="X640" s="108"/>
    </row>
    <row r="641" spans="1:24" s="124" customFormat="1" ht="14.25" customHeight="1">
      <c r="A641" s="107"/>
      <c r="B641" s="108"/>
      <c r="C641" s="108"/>
      <c r="D641" s="108"/>
      <c r="E641" s="108"/>
      <c r="F641" s="108"/>
      <c r="G641" s="108"/>
      <c r="H641" s="108"/>
      <c r="I641" s="108"/>
      <c r="J641" s="108"/>
      <c r="K641" s="108"/>
      <c r="L641" s="108"/>
      <c r="M641" s="108"/>
      <c r="N641" s="108"/>
      <c r="O641" s="108"/>
      <c r="P641" s="108"/>
      <c r="Q641" s="108"/>
      <c r="R641" s="108"/>
      <c r="S641" s="108"/>
      <c r="T641" s="108"/>
      <c r="U641" s="108"/>
      <c r="W641" s="108"/>
      <c r="X641" s="108"/>
    </row>
    <row r="642" spans="1:24" s="124" customFormat="1" ht="14.25" customHeight="1">
      <c r="A642" s="107"/>
      <c r="B642" s="108"/>
      <c r="C642" s="108"/>
      <c r="D642" s="108"/>
      <c r="E642" s="108"/>
      <c r="F642" s="108"/>
      <c r="G642" s="108"/>
      <c r="H642" s="108"/>
      <c r="I642" s="108"/>
      <c r="J642" s="108"/>
      <c r="K642" s="108"/>
      <c r="L642" s="108"/>
      <c r="M642" s="108"/>
      <c r="N642" s="108"/>
      <c r="O642" s="108"/>
      <c r="P642" s="108"/>
      <c r="Q642" s="108"/>
      <c r="R642" s="108"/>
      <c r="S642" s="108"/>
      <c r="T642" s="108"/>
      <c r="U642" s="108"/>
      <c r="W642" s="108"/>
      <c r="X642" s="108"/>
    </row>
    <row r="643" spans="1:24" s="124" customFormat="1" ht="14.25" customHeight="1">
      <c r="A643" s="107"/>
      <c r="B643" s="108"/>
      <c r="C643" s="108"/>
      <c r="D643" s="108"/>
      <c r="E643" s="108"/>
      <c r="F643" s="108"/>
      <c r="G643" s="108"/>
      <c r="H643" s="108"/>
      <c r="I643" s="108"/>
      <c r="J643" s="108"/>
      <c r="K643" s="108"/>
      <c r="L643" s="108"/>
      <c r="M643" s="108"/>
      <c r="N643" s="108"/>
      <c r="O643" s="108"/>
      <c r="P643" s="108"/>
      <c r="Q643" s="108"/>
      <c r="R643" s="108"/>
      <c r="S643" s="108"/>
      <c r="T643" s="108"/>
      <c r="U643" s="108"/>
      <c r="W643" s="108"/>
      <c r="X643" s="108"/>
    </row>
    <row r="644" spans="1:24" s="124" customFormat="1" ht="14.25" customHeight="1">
      <c r="A644" s="107"/>
      <c r="B644" s="108"/>
      <c r="C644" s="108"/>
      <c r="D644" s="108"/>
      <c r="E644" s="108"/>
      <c r="F644" s="108"/>
      <c r="G644" s="108"/>
      <c r="H644" s="108"/>
      <c r="I644" s="108"/>
      <c r="J644" s="108"/>
      <c r="K644" s="108"/>
      <c r="L644" s="108"/>
      <c r="M644" s="108"/>
      <c r="N644" s="108"/>
      <c r="O644" s="108"/>
      <c r="P644" s="108"/>
      <c r="Q644" s="108"/>
      <c r="R644" s="108"/>
      <c r="S644" s="108"/>
      <c r="T644" s="108"/>
      <c r="U644" s="108"/>
      <c r="W644" s="108"/>
      <c r="X644" s="108"/>
    </row>
    <row r="645" spans="1:24" s="124" customFormat="1" ht="14.25" customHeight="1">
      <c r="A645" s="107"/>
      <c r="B645" s="108"/>
      <c r="C645" s="108"/>
      <c r="D645" s="108"/>
      <c r="E645" s="108"/>
      <c r="F645" s="108"/>
      <c r="G645" s="108"/>
      <c r="H645" s="108"/>
      <c r="I645" s="108"/>
      <c r="J645" s="108"/>
      <c r="K645" s="108"/>
      <c r="L645" s="108"/>
      <c r="M645" s="108"/>
      <c r="N645" s="108"/>
      <c r="O645" s="108"/>
      <c r="P645" s="108"/>
      <c r="Q645" s="108"/>
      <c r="R645" s="108"/>
      <c r="S645" s="108"/>
      <c r="T645" s="108"/>
      <c r="U645" s="108"/>
      <c r="W645" s="108"/>
      <c r="X645" s="108"/>
    </row>
    <row r="646" spans="1:24" s="124" customFormat="1" ht="14.25" customHeight="1">
      <c r="A646" s="107"/>
      <c r="B646" s="108"/>
      <c r="C646" s="108"/>
      <c r="D646" s="108"/>
      <c r="E646" s="108"/>
      <c r="F646" s="108"/>
      <c r="G646" s="108"/>
      <c r="H646" s="108"/>
      <c r="I646" s="108"/>
      <c r="J646" s="108"/>
      <c r="K646" s="108"/>
      <c r="L646" s="108"/>
      <c r="M646" s="108"/>
      <c r="N646" s="108"/>
      <c r="O646" s="108"/>
      <c r="P646" s="108"/>
      <c r="Q646" s="108"/>
      <c r="R646" s="108"/>
      <c r="S646" s="108"/>
      <c r="T646" s="108"/>
      <c r="U646" s="108"/>
      <c r="W646" s="108"/>
      <c r="X646" s="108"/>
    </row>
    <row r="647" spans="1:24" s="124" customFormat="1" ht="14.25" customHeight="1">
      <c r="A647" s="107"/>
      <c r="B647" s="108"/>
      <c r="C647" s="108"/>
      <c r="D647" s="108"/>
      <c r="E647" s="108"/>
      <c r="F647" s="108"/>
      <c r="G647" s="108"/>
      <c r="H647" s="108"/>
      <c r="I647" s="108"/>
      <c r="J647" s="108"/>
      <c r="K647" s="108"/>
      <c r="L647" s="108"/>
      <c r="M647" s="108"/>
      <c r="N647" s="108"/>
      <c r="O647" s="108"/>
      <c r="P647" s="108"/>
      <c r="Q647" s="108"/>
      <c r="R647" s="108"/>
      <c r="S647" s="108"/>
      <c r="T647" s="108"/>
      <c r="U647" s="108"/>
      <c r="W647" s="108"/>
      <c r="X647" s="108"/>
    </row>
    <row r="648" spans="1:24" s="124" customFormat="1" ht="14.25" customHeight="1">
      <c r="A648" s="107"/>
      <c r="B648" s="108"/>
      <c r="C648" s="108"/>
      <c r="D648" s="108"/>
      <c r="E648" s="108"/>
      <c r="F648" s="108"/>
      <c r="G648" s="108"/>
      <c r="H648" s="108"/>
      <c r="I648" s="108"/>
      <c r="J648" s="108"/>
      <c r="K648" s="108"/>
      <c r="L648" s="108"/>
      <c r="M648" s="108"/>
      <c r="N648" s="108"/>
      <c r="O648" s="108"/>
      <c r="P648" s="108"/>
      <c r="Q648" s="108"/>
      <c r="R648" s="108"/>
      <c r="S648" s="108"/>
      <c r="T648" s="108"/>
      <c r="U648" s="108"/>
      <c r="W648" s="108"/>
      <c r="X648" s="108"/>
    </row>
    <row r="649" spans="1:24" s="124" customFormat="1" ht="14.25" customHeight="1">
      <c r="A649" s="107"/>
      <c r="B649" s="108"/>
      <c r="C649" s="108"/>
      <c r="D649" s="108"/>
      <c r="E649" s="108"/>
      <c r="F649" s="108"/>
      <c r="G649" s="108"/>
      <c r="H649" s="108"/>
      <c r="I649" s="108"/>
      <c r="J649" s="108"/>
      <c r="K649" s="108"/>
      <c r="L649" s="108"/>
      <c r="M649" s="108"/>
      <c r="N649" s="108"/>
      <c r="O649" s="108"/>
      <c r="P649" s="108"/>
      <c r="Q649" s="108"/>
      <c r="R649" s="108"/>
      <c r="S649" s="108"/>
      <c r="T649" s="108"/>
      <c r="U649" s="108"/>
      <c r="W649" s="108"/>
      <c r="X649" s="108"/>
    </row>
    <row r="650" spans="1:24" s="124" customFormat="1" ht="14.25" customHeight="1">
      <c r="A650" s="107"/>
      <c r="B650" s="108"/>
      <c r="C650" s="108"/>
      <c r="D650" s="108"/>
      <c r="E650" s="108"/>
      <c r="F650" s="108"/>
      <c r="G650" s="108"/>
      <c r="H650" s="108"/>
      <c r="I650" s="108"/>
      <c r="J650" s="108"/>
      <c r="K650" s="108"/>
      <c r="L650" s="108"/>
      <c r="M650" s="108"/>
      <c r="N650" s="108"/>
      <c r="O650" s="108"/>
      <c r="P650" s="108"/>
      <c r="Q650" s="108"/>
      <c r="R650" s="108"/>
      <c r="S650" s="108"/>
      <c r="T650" s="108"/>
      <c r="U650" s="108"/>
      <c r="W650" s="108"/>
      <c r="X650" s="108"/>
    </row>
    <row r="651" spans="1:24" s="124" customFormat="1" ht="14.25" customHeight="1">
      <c r="A651" s="107"/>
      <c r="B651" s="108"/>
      <c r="C651" s="108"/>
      <c r="D651" s="108"/>
      <c r="E651" s="108"/>
      <c r="F651" s="108"/>
      <c r="G651" s="108"/>
      <c r="H651" s="108"/>
      <c r="I651" s="108"/>
      <c r="J651" s="108"/>
      <c r="K651" s="108"/>
      <c r="L651" s="108"/>
      <c r="M651" s="108"/>
      <c r="N651" s="108"/>
      <c r="O651" s="108"/>
      <c r="P651" s="108"/>
      <c r="Q651" s="108"/>
      <c r="R651" s="108"/>
      <c r="S651" s="108"/>
      <c r="T651" s="108"/>
      <c r="U651" s="108"/>
      <c r="W651" s="108"/>
      <c r="X651" s="108"/>
    </row>
    <row r="652" spans="1:24" s="124" customFormat="1" ht="14.25" customHeight="1">
      <c r="A652" s="107"/>
      <c r="B652" s="108"/>
      <c r="C652" s="108"/>
      <c r="D652" s="108"/>
      <c r="E652" s="108"/>
      <c r="F652" s="108"/>
      <c r="G652" s="108"/>
      <c r="H652" s="108"/>
      <c r="I652" s="108"/>
      <c r="J652" s="108"/>
      <c r="K652" s="108"/>
      <c r="L652" s="108"/>
      <c r="M652" s="108"/>
      <c r="N652" s="108"/>
      <c r="O652" s="108"/>
      <c r="P652" s="108"/>
      <c r="Q652" s="108"/>
      <c r="R652" s="108"/>
      <c r="S652" s="108"/>
      <c r="T652" s="108"/>
      <c r="U652" s="108"/>
      <c r="W652" s="108"/>
      <c r="X652" s="108"/>
    </row>
    <row r="653" spans="1:24" s="124" customFormat="1" ht="14.25" customHeight="1">
      <c r="A653" s="107"/>
      <c r="B653" s="108"/>
      <c r="C653" s="108"/>
      <c r="D653" s="108"/>
      <c r="E653" s="108"/>
      <c r="F653" s="108"/>
      <c r="G653" s="108"/>
      <c r="H653" s="108"/>
      <c r="I653" s="108"/>
      <c r="J653" s="108"/>
      <c r="K653" s="108"/>
      <c r="L653" s="108"/>
      <c r="M653" s="108"/>
      <c r="N653" s="108"/>
      <c r="O653" s="108"/>
      <c r="P653" s="108"/>
      <c r="Q653" s="108"/>
      <c r="R653" s="108"/>
      <c r="S653" s="108"/>
      <c r="T653" s="108"/>
      <c r="U653" s="108"/>
      <c r="W653" s="108"/>
      <c r="X653" s="108"/>
    </row>
    <row r="654" spans="1:24" s="124" customFormat="1" ht="14.25" customHeight="1">
      <c r="A654" s="107"/>
      <c r="B654" s="108"/>
      <c r="C654" s="108"/>
      <c r="D654" s="108"/>
      <c r="E654" s="108"/>
      <c r="F654" s="108"/>
      <c r="G654" s="108"/>
      <c r="H654" s="108"/>
      <c r="I654" s="108"/>
      <c r="J654" s="108"/>
      <c r="K654" s="108"/>
      <c r="L654" s="108"/>
      <c r="M654" s="108"/>
      <c r="N654" s="108"/>
      <c r="O654" s="108"/>
      <c r="P654" s="108"/>
      <c r="Q654" s="108"/>
      <c r="R654" s="108"/>
      <c r="S654" s="108"/>
      <c r="T654" s="108"/>
      <c r="U654" s="108"/>
      <c r="W654" s="108"/>
      <c r="X654" s="108"/>
    </row>
    <row r="655" spans="1:24" s="124" customFormat="1" ht="14.25" customHeight="1">
      <c r="A655" s="107"/>
      <c r="B655" s="108"/>
      <c r="C655" s="108"/>
      <c r="D655" s="108"/>
      <c r="E655" s="108"/>
      <c r="F655" s="108"/>
      <c r="G655" s="108"/>
      <c r="H655" s="108"/>
      <c r="I655" s="108"/>
      <c r="J655" s="108"/>
      <c r="K655" s="108"/>
      <c r="L655" s="108"/>
      <c r="M655" s="108"/>
      <c r="N655" s="108"/>
      <c r="O655" s="108"/>
      <c r="P655" s="108"/>
      <c r="Q655" s="108"/>
      <c r="R655" s="108"/>
      <c r="S655" s="108"/>
      <c r="T655" s="108"/>
      <c r="U655" s="108"/>
      <c r="W655" s="108"/>
      <c r="X655" s="108"/>
    </row>
    <row r="656" spans="1:24" s="124" customFormat="1" ht="14.25" customHeight="1">
      <c r="A656" s="107"/>
      <c r="B656" s="108"/>
      <c r="C656" s="108"/>
      <c r="D656" s="108"/>
      <c r="E656" s="108"/>
      <c r="F656" s="108"/>
      <c r="G656" s="108"/>
      <c r="H656" s="108"/>
      <c r="I656" s="108"/>
      <c r="J656" s="108"/>
      <c r="K656" s="108"/>
      <c r="L656" s="108"/>
      <c r="M656" s="108"/>
      <c r="N656" s="108"/>
      <c r="O656" s="108"/>
      <c r="P656" s="108"/>
      <c r="Q656" s="108"/>
      <c r="R656" s="108"/>
      <c r="S656" s="108"/>
      <c r="T656" s="108"/>
      <c r="U656" s="108"/>
      <c r="W656" s="108"/>
      <c r="X656" s="108"/>
    </row>
    <row r="657" spans="1:24" s="124" customFormat="1" ht="14.25" customHeight="1">
      <c r="A657" s="107"/>
      <c r="B657" s="108"/>
      <c r="C657" s="108"/>
      <c r="D657" s="108"/>
      <c r="E657" s="108"/>
      <c r="F657" s="108"/>
      <c r="G657" s="108"/>
      <c r="H657" s="108"/>
      <c r="I657" s="108"/>
      <c r="J657" s="108"/>
      <c r="K657" s="108"/>
      <c r="L657" s="108"/>
      <c r="M657" s="108"/>
      <c r="N657" s="108"/>
      <c r="O657" s="108"/>
      <c r="P657" s="108"/>
      <c r="Q657" s="108"/>
      <c r="R657" s="108"/>
      <c r="S657" s="108"/>
      <c r="T657" s="108"/>
      <c r="U657" s="108"/>
      <c r="W657" s="108"/>
      <c r="X657" s="108"/>
    </row>
    <row r="658" spans="1:24" s="124" customFormat="1" ht="14.25" customHeight="1">
      <c r="A658" s="107"/>
      <c r="B658" s="108"/>
      <c r="C658" s="108"/>
      <c r="D658" s="108"/>
      <c r="E658" s="108"/>
      <c r="F658" s="108"/>
      <c r="G658" s="108"/>
      <c r="H658" s="108"/>
      <c r="I658" s="108"/>
      <c r="J658" s="108"/>
      <c r="K658" s="108"/>
      <c r="L658" s="108"/>
      <c r="M658" s="108"/>
      <c r="N658" s="108"/>
      <c r="O658" s="108"/>
      <c r="P658" s="108"/>
      <c r="Q658" s="108"/>
      <c r="R658" s="108"/>
      <c r="S658" s="108"/>
      <c r="T658" s="108"/>
      <c r="U658" s="108"/>
      <c r="W658" s="108"/>
      <c r="X658" s="108"/>
    </row>
    <row r="659" spans="1:24" s="124" customFormat="1" ht="14.25" customHeight="1">
      <c r="A659" s="107"/>
      <c r="B659" s="108"/>
      <c r="C659" s="108"/>
      <c r="D659" s="108"/>
      <c r="E659" s="108"/>
      <c r="F659" s="108"/>
      <c r="G659" s="108"/>
      <c r="H659" s="108"/>
      <c r="I659" s="108"/>
      <c r="J659" s="108"/>
      <c r="K659" s="108"/>
      <c r="L659" s="108"/>
      <c r="M659" s="108"/>
      <c r="N659" s="108"/>
      <c r="O659" s="108"/>
      <c r="P659" s="108"/>
      <c r="Q659" s="108"/>
      <c r="R659" s="108"/>
      <c r="S659" s="108"/>
      <c r="T659" s="108"/>
      <c r="U659" s="108"/>
      <c r="W659" s="108"/>
      <c r="X659" s="108"/>
    </row>
    <row r="660" spans="1:24" s="124" customFormat="1" ht="14.25" customHeight="1">
      <c r="A660" s="107"/>
      <c r="B660" s="108"/>
      <c r="C660" s="108"/>
      <c r="D660" s="108"/>
      <c r="E660" s="108"/>
      <c r="F660" s="108"/>
      <c r="G660" s="108"/>
      <c r="H660" s="108"/>
      <c r="I660" s="108"/>
      <c r="J660" s="108"/>
      <c r="K660" s="108"/>
      <c r="L660" s="108"/>
      <c r="M660" s="108"/>
      <c r="N660" s="108"/>
      <c r="O660" s="108"/>
      <c r="P660" s="108"/>
      <c r="Q660" s="108"/>
      <c r="R660" s="108"/>
      <c r="S660" s="108"/>
      <c r="T660" s="108"/>
      <c r="U660" s="108"/>
      <c r="W660" s="108"/>
      <c r="X660" s="108"/>
    </row>
    <row r="661" spans="1:24" s="124" customFormat="1" ht="14.25" customHeight="1">
      <c r="A661" s="107"/>
      <c r="B661" s="108"/>
      <c r="C661" s="108"/>
      <c r="D661" s="108"/>
      <c r="E661" s="108"/>
      <c r="F661" s="108"/>
      <c r="G661" s="108"/>
      <c r="H661" s="108"/>
      <c r="I661" s="108"/>
      <c r="J661" s="108"/>
      <c r="K661" s="108"/>
      <c r="L661" s="108"/>
      <c r="M661" s="108"/>
      <c r="N661" s="108"/>
      <c r="O661" s="108"/>
      <c r="P661" s="108"/>
      <c r="Q661" s="108"/>
      <c r="R661" s="108"/>
      <c r="S661" s="108"/>
      <c r="T661" s="108"/>
      <c r="U661" s="108"/>
      <c r="W661" s="108"/>
      <c r="X661" s="108"/>
    </row>
    <row r="662" spans="1:24" s="124" customFormat="1" ht="14.25" customHeight="1">
      <c r="A662" s="107"/>
      <c r="B662" s="108"/>
      <c r="C662" s="108"/>
      <c r="D662" s="108"/>
      <c r="E662" s="108"/>
      <c r="F662" s="108"/>
      <c r="G662" s="108"/>
      <c r="H662" s="108"/>
      <c r="I662" s="108"/>
      <c r="J662" s="108"/>
      <c r="K662" s="108"/>
      <c r="L662" s="108"/>
      <c r="M662" s="108"/>
      <c r="N662" s="108"/>
      <c r="O662" s="108"/>
      <c r="P662" s="108"/>
      <c r="Q662" s="108"/>
      <c r="R662" s="108"/>
      <c r="S662" s="108"/>
      <c r="T662" s="108"/>
      <c r="U662" s="108"/>
      <c r="W662" s="108"/>
      <c r="X662" s="108"/>
    </row>
    <row r="663" spans="1:24" s="124" customFormat="1" ht="14.25" customHeight="1">
      <c r="A663" s="107"/>
      <c r="B663" s="108"/>
      <c r="C663" s="108"/>
      <c r="D663" s="108"/>
      <c r="E663" s="108"/>
      <c r="F663" s="108"/>
      <c r="G663" s="108"/>
      <c r="H663" s="108"/>
      <c r="I663" s="108"/>
      <c r="J663" s="108"/>
      <c r="K663" s="108"/>
      <c r="L663" s="108"/>
      <c r="M663" s="108"/>
      <c r="N663" s="108"/>
      <c r="O663" s="108"/>
      <c r="P663" s="108"/>
      <c r="Q663" s="108"/>
      <c r="R663" s="108"/>
      <c r="S663" s="108"/>
      <c r="T663" s="108"/>
      <c r="U663" s="108"/>
      <c r="W663" s="108"/>
      <c r="X663" s="108"/>
    </row>
    <row r="664" spans="1:24" s="124" customFormat="1" ht="14.25" customHeight="1">
      <c r="A664" s="107"/>
      <c r="B664" s="108"/>
      <c r="C664" s="108"/>
      <c r="D664" s="108"/>
      <c r="E664" s="108"/>
      <c r="F664" s="108"/>
      <c r="G664" s="108"/>
      <c r="H664" s="108"/>
      <c r="I664" s="108"/>
      <c r="J664" s="108"/>
      <c r="K664" s="108"/>
      <c r="L664" s="108"/>
      <c r="M664" s="108"/>
      <c r="N664" s="108"/>
      <c r="O664" s="108"/>
      <c r="P664" s="108"/>
      <c r="Q664" s="108"/>
      <c r="R664" s="108"/>
      <c r="S664" s="108"/>
      <c r="T664" s="108"/>
      <c r="U664" s="108"/>
      <c r="W664" s="108"/>
      <c r="X664" s="108"/>
    </row>
    <row r="665" spans="1:24" s="124" customFormat="1" ht="15" customHeight="1">
      <c r="A665" s="107"/>
      <c r="B665" s="108"/>
      <c r="C665" s="108"/>
      <c r="D665" s="108"/>
      <c r="E665" s="108"/>
      <c r="F665" s="108"/>
      <c r="G665" s="108"/>
      <c r="H665" s="108"/>
      <c r="I665" s="108"/>
      <c r="J665" s="108"/>
      <c r="K665" s="108"/>
      <c r="L665" s="108"/>
      <c r="M665" s="108"/>
      <c r="N665" s="108"/>
      <c r="O665" s="108"/>
      <c r="P665" s="108"/>
      <c r="Q665" s="108"/>
      <c r="R665" s="108"/>
      <c r="S665" s="108"/>
      <c r="T665" s="108"/>
      <c r="U665" s="108"/>
      <c r="W665" s="108"/>
      <c r="X665" s="108"/>
    </row>
    <row r="666" spans="1:24" s="124" customFormat="1" ht="14.25" customHeight="1">
      <c r="A666" s="107"/>
      <c r="B666" s="108"/>
      <c r="C666" s="108"/>
      <c r="D666" s="108"/>
      <c r="E666" s="108"/>
      <c r="F666" s="108"/>
      <c r="G666" s="108"/>
      <c r="H666" s="108"/>
      <c r="I666" s="108"/>
      <c r="J666" s="108"/>
      <c r="K666" s="108"/>
      <c r="L666" s="108"/>
      <c r="M666" s="108"/>
      <c r="N666" s="108"/>
      <c r="O666" s="108"/>
      <c r="P666" s="108"/>
      <c r="Q666" s="108"/>
      <c r="R666" s="108"/>
      <c r="S666" s="108"/>
      <c r="T666" s="108"/>
      <c r="U666" s="108"/>
      <c r="W666" s="108"/>
      <c r="X666" s="108"/>
    </row>
    <row r="667" spans="1:24" s="124" customFormat="1" ht="14.25" customHeight="1">
      <c r="A667" s="107"/>
      <c r="B667" s="108"/>
      <c r="C667" s="108"/>
      <c r="D667" s="108"/>
      <c r="E667" s="108"/>
      <c r="F667" s="108"/>
      <c r="G667" s="108"/>
      <c r="H667" s="108"/>
      <c r="I667" s="108"/>
      <c r="J667" s="108"/>
      <c r="K667" s="108"/>
      <c r="L667" s="108"/>
      <c r="M667" s="108"/>
      <c r="N667" s="108"/>
      <c r="O667" s="108"/>
      <c r="P667" s="108"/>
      <c r="Q667" s="108"/>
      <c r="R667" s="108"/>
      <c r="S667" s="108"/>
      <c r="T667" s="108"/>
      <c r="U667" s="108"/>
      <c r="W667" s="108"/>
      <c r="X667" s="108"/>
    </row>
    <row r="668" spans="1:24" s="124" customFormat="1" ht="14.25" customHeight="1">
      <c r="A668" s="107"/>
      <c r="B668" s="108"/>
      <c r="C668" s="108"/>
      <c r="D668" s="108"/>
      <c r="E668" s="108"/>
      <c r="F668" s="108"/>
      <c r="G668" s="108"/>
      <c r="H668" s="108"/>
      <c r="I668" s="108"/>
      <c r="J668" s="108"/>
      <c r="K668" s="108"/>
      <c r="L668" s="108"/>
      <c r="M668" s="108"/>
      <c r="N668" s="108"/>
      <c r="O668" s="108"/>
      <c r="P668" s="108"/>
      <c r="Q668" s="108"/>
      <c r="R668" s="108"/>
      <c r="S668" s="108"/>
      <c r="T668" s="108"/>
      <c r="U668" s="108"/>
      <c r="W668" s="108"/>
      <c r="X668" s="108"/>
    </row>
    <row r="669" spans="1:24" s="124" customFormat="1" ht="14.25" customHeight="1">
      <c r="A669" s="107"/>
      <c r="B669" s="108"/>
      <c r="C669" s="108"/>
      <c r="D669" s="108"/>
      <c r="E669" s="108"/>
      <c r="F669" s="108"/>
      <c r="G669" s="108"/>
      <c r="H669" s="108"/>
      <c r="I669" s="108"/>
      <c r="J669" s="108"/>
      <c r="K669" s="108"/>
      <c r="L669" s="108"/>
      <c r="M669" s="108"/>
      <c r="N669" s="108"/>
      <c r="O669" s="108"/>
      <c r="P669" s="108"/>
      <c r="Q669" s="108"/>
      <c r="R669" s="108"/>
      <c r="S669" s="108"/>
      <c r="T669" s="108"/>
      <c r="U669" s="108"/>
      <c r="W669" s="108"/>
      <c r="X669" s="108"/>
    </row>
    <row r="670" spans="1:24" s="124" customFormat="1" ht="14.25" customHeight="1">
      <c r="A670" s="107"/>
      <c r="B670" s="108"/>
      <c r="C670" s="108"/>
      <c r="D670" s="108"/>
      <c r="E670" s="108"/>
      <c r="F670" s="108"/>
      <c r="G670" s="108"/>
      <c r="H670" s="108"/>
      <c r="I670" s="108"/>
      <c r="J670" s="108"/>
      <c r="K670" s="108"/>
      <c r="L670" s="108"/>
      <c r="M670" s="108"/>
      <c r="N670" s="108"/>
      <c r="O670" s="108"/>
      <c r="P670" s="108"/>
      <c r="Q670" s="108"/>
      <c r="R670" s="108"/>
      <c r="S670" s="108"/>
      <c r="T670" s="108"/>
      <c r="U670" s="108"/>
      <c r="W670" s="108"/>
      <c r="X670" s="108"/>
    </row>
    <row r="671" spans="1:24" s="124" customFormat="1" ht="14.25" customHeight="1">
      <c r="A671" s="107"/>
      <c r="B671" s="108"/>
      <c r="C671" s="108"/>
      <c r="D671" s="108"/>
      <c r="E671" s="108"/>
      <c r="F671" s="108"/>
      <c r="G671" s="108"/>
      <c r="H671" s="108"/>
      <c r="I671" s="108"/>
      <c r="J671" s="108"/>
      <c r="K671" s="108"/>
      <c r="L671" s="108"/>
      <c r="M671" s="108"/>
      <c r="N671" s="108"/>
      <c r="O671" s="108"/>
      <c r="P671" s="108"/>
      <c r="Q671" s="108"/>
      <c r="R671" s="108"/>
      <c r="S671" s="108"/>
      <c r="T671" s="108"/>
      <c r="U671" s="108"/>
      <c r="W671" s="108"/>
      <c r="X671" s="108"/>
    </row>
    <row r="672" spans="1:24" s="124" customFormat="1" ht="14.25" customHeight="1">
      <c r="A672" s="107"/>
      <c r="B672" s="108"/>
      <c r="C672" s="108"/>
      <c r="D672" s="108"/>
      <c r="E672" s="108"/>
      <c r="F672" s="108"/>
      <c r="G672" s="108"/>
      <c r="H672" s="108"/>
      <c r="I672" s="108"/>
      <c r="J672" s="108"/>
      <c r="K672" s="108"/>
      <c r="L672" s="108"/>
      <c r="M672" s="108"/>
      <c r="N672" s="108"/>
      <c r="O672" s="108"/>
      <c r="P672" s="108"/>
      <c r="Q672" s="108"/>
      <c r="R672" s="108"/>
      <c r="S672" s="108"/>
      <c r="T672" s="108"/>
      <c r="U672" s="108"/>
      <c r="W672" s="108"/>
      <c r="X672" s="108"/>
    </row>
    <row r="673" spans="1:24" s="124" customFormat="1" ht="14.25" customHeight="1">
      <c r="A673" s="107"/>
      <c r="B673" s="108"/>
      <c r="C673" s="108"/>
      <c r="D673" s="108"/>
      <c r="E673" s="108"/>
      <c r="F673" s="108"/>
      <c r="G673" s="108"/>
      <c r="H673" s="108"/>
      <c r="I673" s="108"/>
      <c r="J673" s="108"/>
      <c r="K673" s="108"/>
      <c r="L673" s="108"/>
      <c r="M673" s="108"/>
      <c r="N673" s="108"/>
      <c r="O673" s="108"/>
      <c r="P673" s="108"/>
      <c r="Q673" s="108"/>
      <c r="R673" s="108"/>
      <c r="S673" s="108"/>
      <c r="T673" s="108"/>
      <c r="U673" s="108"/>
      <c r="W673" s="108"/>
      <c r="X673" s="108"/>
    </row>
    <row r="674" spans="1:24" s="124" customFormat="1" ht="14.25" customHeight="1">
      <c r="A674" s="107"/>
      <c r="B674" s="108"/>
      <c r="C674" s="108"/>
      <c r="D674" s="108"/>
      <c r="E674" s="108"/>
      <c r="F674" s="108"/>
      <c r="G674" s="108"/>
      <c r="H674" s="108"/>
      <c r="I674" s="108"/>
      <c r="J674" s="108"/>
      <c r="K674" s="108"/>
      <c r="L674" s="108"/>
      <c r="M674" s="108"/>
      <c r="N674" s="108"/>
      <c r="O674" s="108"/>
      <c r="P674" s="108"/>
      <c r="Q674" s="108"/>
      <c r="R674" s="108"/>
      <c r="S674" s="108"/>
      <c r="T674" s="108"/>
      <c r="U674" s="108"/>
      <c r="W674" s="108"/>
      <c r="X674" s="108"/>
    </row>
    <row r="675" spans="1:24" s="124" customFormat="1" ht="14.25" customHeight="1">
      <c r="A675" s="107"/>
      <c r="B675" s="108"/>
      <c r="C675" s="108"/>
      <c r="D675" s="108"/>
      <c r="E675" s="108"/>
      <c r="F675" s="108"/>
      <c r="G675" s="108"/>
      <c r="H675" s="108"/>
      <c r="I675" s="108"/>
      <c r="J675" s="108"/>
      <c r="K675" s="108"/>
      <c r="L675" s="108"/>
      <c r="M675" s="108"/>
      <c r="N675" s="108"/>
      <c r="O675" s="108"/>
      <c r="P675" s="108"/>
      <c r="Q675" s="108"/>
      <c r="R675" s="108"/>
      <c r="S675" s="108"/>
      <c r="T675" s="108"/>
      <c r="U675" s="108"/>
      <c r="W675" s="108"/>
      <c r="X675" s="108"/>
    </row>
    <row r="676" spans="1:24" s="124" customFormat="1" ht="14.25" customHeight="1">
      <c r="A676" s="107"/>
      <c r="B676" s="108"/>
      <c r="C676" s="108"/>
      <c r="D676" s="108"/>
      <c r="E676" s="108"/>
      <c r="F676" s="108"/>
      <c r="G676" s="108"/>
      <c r="H676" s="108"/>
      <c r="I676" s="108"/>
      <c r="J676" s="108"/>
      <c r="K676" s="108"/>
      <c r="L676" s="108"/>
      <c r="M676" s="108"/>
      <c r="N676" s="108"/>
      <c r="O676" s="108"/>
      <c r="P676" s="108"/>
      <c r="Q676" s="108"/>
      <c r="R676" s="108"/>
      <c r="S676" s="108"/>
      <c r="T676" s="108"/>
      <c r="U676" s="108"/>
      <c r="W676" s="108"/>
      <c r="X676" s="108"/>
    </row>
    <row r="677" spans="1:24" s="124" customFormat="1" ht="14.25" customHeight="1">
      <c r="A677" s="107"/>
      <c r="B677" s="108"/>
      <c r="C677" s="108"/>
      <c r="D677" s="108"/>
      <c r="E677" s="108"/>
      <c r="F677" s="108"/>
      <c r="G677" s="108"/>
      <c r="H677" s="108"/>
      <c r="I677" s="108"/>
      <c r="J677" s="108"/>
      <c r="K677" s="108"/>
      <c r="L677" s="108"/>
      <c r="M677" s="108"/>
      <c r="N677" s="108"/>
      <c r="O677" s="108"/>
      <c r="P677" s="108"/>
      <c r="Q677" s="108"/>
      <c r="R677" s="108"/>
      <c r="S677" s="108"/>
      <c r="T677" s="108"/>
      <c r="U677" s="108"/>
      <c r="W677" s="108"/>
      <c r="X677" s="108"/>
    </row>
    <row r="678" spans="1:24" s="124" customFormat="1" ht="14.25" customHeight="1">
      <c r="A678" s="107"/>
      <c r="B678" s="108"/>
      <c r="C678" s="108"/>
      <c r="D678" s="108"/>
      <c r="E678" s="108"/>
      <c r="F678" s="108"/>
      <c r="G678" s="108"/>
      <c r="H678" s="108"/>
      <c r="I678" s="108"/>
      <c r="J678" s="108"/>
      <c r="K678" s="108"/>
      <c r="L678" s="108"/>
      <c r="M678" s="108"/>
      <c r="N678" s="108"/>
      <c r="O678" s="108"/>
      <c r="P678" s="108"/>
      <c r="Q678" s="108"/>
      <c r="R678" s="108"/>
      <c r="S678" s="108"/>
      <c r="T678" s="108"/>
      <c r="U678" s="108"/>
      <c r="W678" s="108"/>
      <c r="X678" s="108"/>
    </row>
    <row r="679" spans="1:24" s="124" customFormat="1" ht="14.25" customHeight="1">
      <c r="A679" s="107"/>
      <c r="B679" s="108"/>
      <c r="C679" s="108"/>
      <c r="D679" s="108"/>
      <c r="E679" s="108"/>
      <c r="F679" s="108"/>
      <c r="G679" s="108"/>
      <c r="H679" s="108"/>
      <c r="I679" s="108"/>
      <c r="J679" s="108"/>
      <c r="K679" s="108"/>
      <c r="L679" s="108"/>
      <c r="M679" s="108"/>
      <c r="N679" s="108"/>
      <c r="O679" s="108"/>
      <c r="P679" s="108"/>
      <c r="Q679" s="108"/>
      <c r="R679" s="108"/>
      <c r="S679" s="108"/>
      <c r="T679" s="108"/>
      <c r="U679" s="108"/>
      <c r="W679" s="108"/>
      <c r="X679" s="108"/>
    </row>
    <row r="680" spans="1:24" s="124" customFormat="1" ht="14.25" customHeight="1">
      <c r="A680" s="107"/>
      <c r="B680" s="108"/>
      <c r="C680" s="108"/>
      <c r="D680" s="108"/>
      <c r="E680" s="108"/>
      <c r="F680" s="108"/>
      <c r="G680" s="108"/>
      <c r="H680" s="108"/>
      <c r="I680" s="108"/>
      <c r="J680" s="108"/>
      <c r="K680" s="108"/>
      <c r="L680" s="108"/>
      <c r="M680" s="108"/>
      <c r="N680" s="108"/>
      <c r="O680" s="108"/>
      <c r="P680" s="108"/>
      <c r="Q680" s="108"/>
      <c r="R680" s="108"/>
      <c r="S680" s="108"/>
      <c r="T680" s="108"/>
      <c r="U680" s="108"/>
      <c r="W680" s="108"/>
      <c r="X680" s="108"/>
    </row>
    <row r="681" spans="1:24">
      <c r="A681" s="107"/>
      <c r="C681" s="108"/>
      <c r="D681" s="108"/>
      <c r="N681" s="108"/>
    </row>
    <row r="682" spans="1:24">
      <c r="A682" s="107"/>
      <c r="C682" s="108"/>
      <c r="D682" s="108"/>
      <c r="N682" s="108"/>
    </row>
    <row r="683" spans="1:24">
      <c r="A683" s="107"/>
      <c r="C683" s="108"/>
      <c r="D683" s="108"/>
      <c r="N683" s="108"/>
    </row>
    <row r="684" spans="1:24">
      <c r="A684" s="107"/>
      <c r="C684" s="108"/>
      <c r="D684" s="108"/>
      <c r="N684" s="108"/>
    </row>
    <row r="685" spans="1:24">
      <c r="A685" s="107"/>
      <c r="C685" s="108"/>
      <c r="D685" s="108"/>
      <c r="N685" s="108"/>
    </row>
    <row r="686" spans="1:24">
      <c r="A686" s="107"/>
      <c r="C686" s="108"/>
      <c r="D686" s="108"/>
      <c r="N686" s="108"/>
    </row>
    <row r="687" spans="1:24">
      <c r="A687" s="107"/>
      <c r="C687" s="108"/>
      <c r="D687" s="108"/>
      <c r="N687" s="108"/>
    </row>
    <row r="688" spans="1:24">
      <c r="A688" s="107"/>
      <c r="C688" s="108"/>
      <c r="D688" s="108"/>
      <c r="N688" s="108"/>
    </row>
    <row r="689" spans="1:14">
      <c r="A689" s="107"/>
      <c r="C689" s="108"/>
      <c r="D689" s="108"/>
      <c r="N689" s="108"/>
    </row>
    <row r="690" spans="1:14">
      <c r="A690" s="107"/>
      <c r="C690" s="108"/>
      <c r="D690" s="108"/>
      <c r="N690" s="108"/>
    </row>
    <row r="691" spans="1:14">
      <c r="A691" s="107"/>
      <c r="C691" s="108"/>
      <c r="D691" s="108"/>
      <c r="N691" s="108"/>
    </row>
    <row r="692" spans="1:14">
      <c r="A692" s="107"/>
      <c r="C692" s="108"/>
      <c r="D692" s="108"/>
      <c r="N692" s="108"/>
    </row>
    <row r="693" spans="1:14">
      <c r="A693" s="107"/>
      <c r="C693" s="108"/>
      <c r="D693" s="108"/>
      <c r="N693" s="108"/>
    </row>
    <row r="694" spans="1:14">
      <c r="A694" s="107"/>
      <c r="C694" s="108"/>
      <c r="D694" s="108"/>
      <c r="N694" s="108"/>
    </row>
    <row r="695" spans="1:14">
      <c r="A695" s="107"/>
      <c r="C695" s="108"/>
      <c r="D695" s="108"/>
      <c r="N695" s="108"/>
    </row>
    <row r="696" spans="1:14">
      <c r="A696" s="107"/>
      <c r="C696" s="108"/>
      <c r="D696" s="108"/>
      <c r="N696" s="108"/>
    </row>
    <row r="697" spans="1:14">
      <c r="A697" s="107"/>
      <c r="C697" s="108"/>
      <c r="D697" s="108"/>
      <c r="N697" s="108"/>
    </row>
    <row r="698" spans="1:14">
      <c r="A698" s="107"/>
      <c r="C698" s="108"/>
      <c r="D698" s="108"/>
      <c r="N698" s="108"/>
    </row>
    <row r="699" spans="1:14">
      <c r="A699" s="107"/>
      <c r="C699" s="108"/>
      <c r="D699" s="108"/>
      <c r="N699" s="108"/>
    </row>
    <row r="700" spans="1:14">
      <c r="A700" s="107"/>
      <c r="C700" s="108"/>
      <c r="D700" s="108"/>
      <c r="N700" s="108"/>
    </row>
    <row r="701" spans="1:14">
      <c r="A701" s="107"/>
      <c r="C701" s="108"/>
      <c r="D701" s="108"/>
      <c r="N701" s="108"/>
    </row>
    <row r="702" spans="1:14">
      <c r="A702" s="107"/>
      <c r="C702" s="108"/>
      <c r="D702" s="108"/>
      <c r="N702" s="108"/>
    </row>
    <row r="703" spans="1:14">
      <c r="A703" s="107"/>
      <c r="C703" s="108"/>
      <c r="D703" s="108"/>
      <c r="N703" s="108"/>
    </row>
    <row r="704" spans="1:14">
      <c r="A704" s="107"/>
      <c r="C704" s="108"/>
      <c r="D704" s="108"/>
      <c r="N704" s="108"/>
    </row>
    <row r="705" spans="1:14">
      <c r="A705" s="107"/>
      <c r="C705" s="108"/>
      <c r="D705" s="108"/>
      <c r="N705" s="108"/>
    </row>
    <row r="706" spans="1:14">
      <c r="A706" s="107"/>
      <c r="C706" s="108"/>
      <c r="D706" s="108"/>
      <c r="N706" s="108"/>
    </row>
    <row r="707" spans="1:14">
      <c r="A707" s="107"/>
      <c r="C707" s="108"/>
      <c r="D707" s="108"/>
      <c r="N707" s="108"/>
    </row>
    <row r="708" spans="1:14">
      <c r="A708" s="107"/>
      <c r="C708" s="108"/>
      <c r="D708" s="108"/>
      <c r="N708" s="108"/>
    </row>
    <row r="709" spans="1:14">
      <c r="A709" s="107"/>
      <c r="C709" s="108"/>
      <c r="D709" s="108"/>
      <c r="N709" s="108"/>
    </row>
    <row r="710" spans="1:14">
      <c r="A710" s="107"/>
      <c r="C710" s="108"/>
      <c r="D710" s="108"/>
      <c r="N710" s="108"/>
    </row>
    <row r="711" spans="1:14">
      <c r="A711" s="107"/>
      <c r="C711" s="108"/>
      <c r="D711" s="108"/>
      <c r="N711" s="108"/>
    </row>
    <row r="712" spans="1:14">
      <c r="A712" s="107"/>
      <c r="C712" s="108"/>
      <c r="D712" s="108"/>
      <c r="N712" s="108"/>
    </row>
    <row r="713" spans="1:14">
      <c r="A713" s="107"/>
      <c r="C713" s="108"/>
      <c r="D713" s="108"/>
      <c r="N713" s="108"/>
    </row>
    <row r="714" spans="1:14">
      <c r="A714" s="107"/>
      <c r="C714" s="108"/>
      <c r="D714" s="108"/>
      <c r="N714" s="108"/>
    </row>
    <row r="715" spans="1:14">
      <c r="A715" s="107"/>
      <c r="C715" s="108"/>
      <c r="D715" s="108"/>
      <c r="N715" s="108"/>
    </row>
    <row r="716" spans="1:14">
      <c r="A716" s="107"/>
      <c r="C716" s="108"/>
      <c r="D716" s="108"/>
      <c r="N716" s="108"/>
    </row>
    <row r="717" spans="1:14">
      <c r="A717" s="107"/>
      <c r="C717" s="108"/>
      <c r="D717" s="108"/>
      <c r="N717" s="108"/>
    </row>
    <row r="718" spans="1:14">
      <c r="A718" s="107"/>
      <c r="C718" s="108"/>
      <c r="D718" s="108"/>
      <c r="N718" s="108"/>
    </row>
    <row r="719" spans="1:14">
      <c r="A719" s="107"/>
      <c r="C719" s="108"/>
      <c r="D719" s="108"/>
      <c r="N719" s="108"/>
    </row>
    <row r="720" spans="1:14">
      <c r="A720" s="107"/>
      <c r="C720" s="108"/>
      <c r="D720" s="108"/>
      <c r="N720" s="108"/>
    </row>
    <row r="721" spans="1:14">
      <c r="A721" s="107"/>
      <c r="C721" s="108"/>
      <c r="D721" s="108"/>
      <c r="N721" s="108"/>
    </row>
    <row r="722" spans="1:14">
      <c r="A722" s="107"/>
      <c r="C722" s="108"/>
      <c r="D722" s="108"/>
      <c r="N722" s="108"/>
    </row>
    <row r="723" spans="1:14">
      <c r="A723" s="107"/>
      <c r="C723" s="108"/>
      <c r="D723" s="108"/>
      <c r="N723" s="108"/>
    </row>
    <row r="724" spans="1:14">
      <c r="A724" s="107"/>
      <c r="C724" s="108"/>
      <c r="D724" s="108"/>
      <c r="N724" s="108"/>
    </row>
    <row r="725" spans="1:14">
      <c r="A725" s="107"/>
      <c r="C725" s="108"/>
      <c r="D725" s="108"/>
      <c r="N725" s="108"/>
    </row>
    <row r="726" spans="1:14">
      <c r="A726" s="107"/>
      <c r="C726" s="108"/>
      <c r="D726" s="108"/>
      <c r="N726" s="108"/>
    </row>
    <row r="727" spans="1:14">
      <c r="A727" s="107"/>
      <c r="C727" s="108"/>
      <c r="D727" s="108"/>
      <c r="N727" s="108"/>
    </row>
    <row r="728" spans="1:14">
      <c r="A728" s="107"/>
      <c r="C728" s="108"/>
      <c r="D728" s="108"/>
      <c r="N728" s="108"/>
    </row>
    <row r="729" spans="1:14">
      <c r="A729" s="107"/>
      <c r="C729" s="108"/>
      <c r="D729" s="108"/>
      <c r="N729" s="108"/>
    </row>
    <row r="730" spans="1:14">
      <c r="A730" s="107"/>
      <c r="C730" s="108"/>
      <c r="D730" s="108"/>
      <c r="N730" s="108"/>
    </row>
    <row r="731" spans="1:14">
      <c r="A731" s="107"/>
      <c r="C731" s="108"/>
      <c r="D731" s="108"/>
      <c r="N731" s="108"/>
    </row>
    <row r="732" spans="1:14">
      <c r="A732" s="107"/>
      <c r="C732" s="108"/>
      <c r="D732" s="108"/>
      <c r="N732" s="108"/>
    </row>
    <row r="733" spans="1:14">
      <c r="A733" s="107"/>
      <c r="C733" s="108"/>
      <c r="D733" s="108"/>
      <c r="N733" s="108"/>
    </row>
    <row r="734" spans="1:14">
      <c r="A734" s="107"/>
      <c r="C734" s="108"/>
      <c r="D734" s="108"/>
      <c r="N734" s="108"/>
    </row>
    <row r="735" spans="1:14">
      <c r="A735" s="107"/>
      <c r="C735" s="108"/>
      <c r="D735" s="108"/>
      <c r="N735" s="108"/>
    </row>
    <row r="736" spans="1:14">
      <c r="A736" s="107"/>
      <c r="C736" s="108"/>
      <c r="D736" s="108"/>
      <c r="N736" s="108"/>
    </row>
    <row r="737" spans="1:14">
      <c r="A737" s="107"/>
      <c r="C737" s="108"/>
      <c r="D737" s="108"/>
      <c r="N737" s="108"/>
    </row>
    <row r="738" spans="1:14">
      <c r="A738" s="107"/>
      <c r="C738" s="108"/>
      <c r="D738" s="108"/>
      <c r="N738" s="108"/>
    </row>
    <row r="739" spans="1:14">
      <c r="A739" s="107"/>
      <c r="C739" s="108"/>
      <c r="D739" s="108"/>
      <c r="N739" s="108"/>
    </row>
    <row r="740" spans="1:14">
      <c r="A740" s="107"/>
      <c r="C740" s="108"/>
      <c r="D740" s="108"/>
      <c r="N740" s="108"/>
    </row>
    <row r="741" spans="1:14">
      <c r="A741" s="107"/>
      <c r="C741" s="108"/>
      <c r="D741" s="108"/>
      <c r="N741" s="108"/>
    </row>
    <row r="742" spans="1:14">
      <c r="A742" s="107"/>
      <c r="C742" s="108"/>
      <c r="D742" s="108"/>
      <c r="N742" s="108"/>
    </row>
    <row r="743" spans="1:14">
      <c r="A743" s="107"/>
      <c r="C743" s="108"/>
      <c r="D743" s="108"/>
      <c r="N743" s="108"/>
    </row>
    <row r="744" spans="1:14">
      <c r="A744" s="107"/>
      <c r="C744" s="108"/>
      <c r="D744" s="108"/>
      <c r="N744" s="108"/>
    </row>
    <row r="745" spans="1:14">
      <c r="A745" s="107"/>
      <c r="C745" s="108"/>
      <c r="D745" s="108"/>
      <c r="N745" s="108"/>
    </row>
    <row r="746" spans="1:14">
      <c r="A746" s="107"/>
      <c r="C746" s="108"/>
      <c r="D746" s="108"/>
      <c r="N746" s="108"/>
    </row>
    <row r="747" spans="1:14">
      <c r="A747" s="107"/>
      <c r="C747" s="108"/>
      <c r="D747" s="108"/>
      <c r="N747" s="108"/>
    </row>
    <row r="748" spans="1:14">
      <c r="A748" s="107"/>
      <c r="C748" s="108"/>
      <c r="D748" s="108"/>
      <c r="N748" s="108"/>
    </row>
    <row r="749" spans="1:14">
      <c r="A749" s="107"/>
      <c r="C749" s="108"/>
      <c r="D749" s="108"/>
      <c r="N749" s="108"/>
    </row>
    <row r="750" spans="1:14">
      <c r="A750" s="107"/>
      <c r="C750" s="108"/>
      <c r="D750" s="108"/>
      <c r="N750" s="108"/>
    </row>
    <row r="751" spans="1:14">
      <c r="A751" s="107"/>
      <c r="C751" s="108"/>
      <c r="D751" s="108"/>
      <c r="N751" s="108"/>
    </row>
    <row r="752" spans="1:14">
      <c r="A752" s="107"/>
      <c r="C752" s="108"/>
      <c r="D752" s="108"/>
      <c r="N752" s="108"/>
    </row>
    <row r="753" spans="1:14">
      <c r="A753" s="107"/>
      <c r="C753" s="108"/>
      <c r="D753" s="108"/>
      <c r="N753" s="108"/>
    </row>
    <row r="754" spans="1:14">
      <c r="A754" s="107"/>
      <c r="C754" s="108"/>
      <c r="D754" s="108"/>
      <c r="N754" s="108"/>
    </row>
    <row r="755" spans="1:14">
      <c r="A755" s="107"/>
      <c r="C755" s="108"/>
      <c r="D755" s="108"/>
      <c r="N755" s="108"/>
    </row>
    <row r="756" spans="1:14">
      <c r="A756" s="107"/>
      <c r="C756" s="108"/>
      <c r="D756" s="108"/>
      <c r="N756" s="108"/>
    </row>
    <row r="757" spans="1:14">
      <c r="A757" s="107"/>
      <c r="C757" s="108"/>
      <c r="D757" s="108"/>
      <c r="N757" s="108"/>
    </row>
    <row r="758" spans="1:14">
      <c r="A758" s="107"/>
      <c r="C758" s="108"/>
      <c r="D758" s="108"/>
      <c r="N758" s="108"/>
    </row>
    <row r="759" spans="1:14">
      <c r="A759" s="107"/>
      <c r="C759" s="108"/>
      <c r="D759" s="108"/>
      <c r="N759" s="108"/>
    </row>
    <row r="760" spans="1:14">
      <c r="A760" s="107"/>
      <c r="C760" s="108"/>
      <c r="D760" s="108"/>
      <c r="N760" s="108"/>
    </row>
    <row r="761" spans="1:14">
      <c r="A761" s="107"/>
      <c r="C761" s="108"/>
      <c r="D761" s="108"/>
      <c r="N761" s="108"/>
    </row>
    <row r="762" spans="1:14">
      <c r="A762" s="107"/>
      <c r="C762" s="108"/>
      <c r="D762" s="108"/>
      <c r="N762" s="108"/>
    </row>
    <row r="763" spans="1:14">
      <c r="A763" s="107"/>
      <c r="C763" s="108"/>
      <c r="D763" s="108"/>
      <c r="N763" s="108"/>
    </row>
    <row r="764" spans="1:14">
      <c r="A764" s="107"/>
      <c r="C764" s="108"/>
      <c r="D764" s="108"/>
      <c r="N764" s="108"/>
    </row>
    <row r="765" spans="1:14">
      <c r="A765" s="107"/>
      <c r="C765" s="108"/>
      <c r="D765" s="108"/>
      <c r="N765" s="108"/>
    </row>
    <row r="766" spans="1:14">
      <c r="A766" s="107"/>
      <c r="C766" s="108"/>
      <c r="D766" s="108"/>
      <c r="N766" s="108"/>
    </row>
    <row r="767" spans="1:14">
      <c r="A767" s="107"/>
      <c r="C767" s="108"/>
      <c r="D767" s="108"/>
      <c r="N767" s="108"/>
    </row>
    <row r="768" spans="1:14">
      <c r="A768" s="107"/>
      <c r="C768" s="108"/>
      <c r="D768" s="108"/>
      <c r="N768" s="108"/>
    </row>
    <row r="769" spans="1:14">
      <c r="A769" s="107"/>
      <c r="C769" s="108"/>
      <c r="D769" s="108"/>
      <c r="N769" s="108"/>
    </row>
    <row r="770" spans="1:14">
      <c r="A770" s="107"/>
      <c r="C770" s="108"/>
      <c r="D770" s="108"/>
      <c r="N770" s="108"/>
    </row>
    <row r="771" spans="1:14">
      <c r="A771" s="107"/>
      <c r="C771" s="108"/>
      <c r="D771" s="108"/>
      <c r="N771" s="108"/>
    </row>
    <row r="772" spans="1:14">
      <c r="A772" s="107"/>
      <c r="C772" s="108"/>
      <c r="D772" s="108"/>
      <c r="N772" s="108"/>
    </row>
    <row r="773" spans="1:14">
      <c r="A773" s="107"/>
      <c r="C773" s="108"/>
      <c r="D773" s="108"/>
      <c r="N773" s="108"/>
    </row>
    <row r="774" spans="1:14">
      <c r="A774" s="107"/>
      <c r="C774" s="108"/>
      <c r="D774" s="108"/>
      <c r="N774" s="108"/>
    </row>
    <row r="775" spans="1:14">
      <c r="A775" s="107"/>
      <c r="C775" s="108"/>
      <c r="D775" s="108"/>
      <c r="N775" s="108"/>
    </row>
    <row r="776" spans="1:14">
      <c r="A776" s="107"/>
      <c r="C776" s="108"/>
      <c r="D776" s="108"/>
      <c r="N776" s="108"/>
    </row>
    <row r="777" spans="1:14">
      <c r="A777" s="107"/>
      <c r="C777" s="108"/>
      <c r="D777" s="108"/>
      <c r="N777" s="108"/>
    </row>
    <row r="778" spans="1:14">
      <c r="A778" s="107"/>
      <c r="C778" s="108"/>
      <c r="D778" s="108"/>
      <c r="N778" s="108"/>
    </row>
    <row r="779" spans="1:14">
      <c r="A779" s="107"/>
      <c r="C779" s="108"/>
      <c r="D779" s="108"/>
      <c r="N779" s="108"/>
    </row>
    <row r="780" spans="1:14">
      <c r="A780" s="107"/>
      <c r="C780" s="108"/>
      <c r="D780" s="108"/>
      <c r="N780" s="108"/>
    </row>
    <row r="781" spans="1:14">
      <c r="A781" s="107"/>
      <c r="C781" s="108"/>
      <c r="D781" s="108"/>
      <c r="N781" s="108"/>
    </row>
    <row r="782" spans="1:14">
      <c r="A782" s="107"/>
      <c r="C782" s="108"/>
      <c r="D782" s="108"/>
      <c r="N782" s="108"/>
    </row>
    <row r="783" spans="1:14">
      <c r="A783" s="107"/>
      <c r="C783" s="108"/>
      <c r="D783" s="108"/>
      <c r="N783" s="108"/>
    </row>
    <row r="784" spans="1:14">
      <c r="A784" s="107"/>
      <c r="C784" s="108"/>
      <c r="D784" s="108"/>
      <c r="N784" s="108"/>
    </row>
    <row r="785" spans="1:14">
      <c r="A785" s="107"/>
      <c r="C785" s="108"/>
      <c r="D785" s="108"/>
      <c r="N785" s="108"/>
    </row>
    <row r="786" spans="1:14">
      <c r="A786" s="107"/>
      <c r="C786" s="108"/>
      <c r="D786" s="108"/>
      <c r="N786" s="108"/>
    </row>
    <row r="787" spans="1:14">
      <c r="A787" s="107"/>
      <c r="C787" s="108"/>
      <c r="D787" s="108"/>
      <c r="N787" s="108"/>
    </row>
    <row r="788" spans="1:14">
      <c r="A788" s="107"/>
      <c r="C788" s="108"/>
      <c r="D788" s="108"/>
      <c r="N788" s="108"/>
    </row>
    <row r="789" spans="1:14">
      <c r="A789" s="107"/>
      <c r="C789" s="108"/>
      <c r="D789" s="108"/>
      <c r="N789" s="108"/>
    </row>
    <row r="790" spans="1:14">
      <c r="A790" s="107"/>
      <c r="C790" s="108"/>
      <c r="D790" s="108"/>
      <c r="N790" s="108"/>
    </row>
    <row r="791" spans="1:14">
      <c r="A791" s="107"/>
      <c r="C791" s="108"/>
      <c r="D791" s="108"/>
      <c r="N791" s="108"/>
    </row>
    <row r="792" spans="1:14">
      <c r="A792" s="107"/>
      <c r="C792" s="108"/>
      <c r="D792" s="108"/>
      <c r="N792" s="108"/>
    </row>
    <row r="793" spans="1:14">
      <c r="A793" s="107"/>
      <c r="C793" s="108"/>
      <c r="D793" s="108"/>
      <c r="N793" s="108"/>
    </row>
    <row r="794" spans="1:14">
      <c r="A794" s="107"/>
      <c r="C794" s="108"/>
      <c r="D794" s="108"/>
      <c r="N794" s="108"/>
    </row>
    <row r="795" spans="1:14">
      <c r="A795" s="107"/>
      <c r="C795" s="108"/>
      <c r="D795" s="108"/>
      <c r="N795" s="108"/>
    </row>
    <row r="796" spans="1:14">
      <c r="A796" s="107"/>
      <c r="C796" s="108"/>
      <c r="D796" s="108"/>
      <c r="N796" s="108"/>
    </row>
    <row r="797" spans="1:14">
      <c r="A797" s="107"/>
      <c r="C797" s="108"/>
      <c r="D797" s="108"/>
      <c r="N797" s="108"/>
    </row>
    <row r="798" spans="1:14">
      <c r="A798" s="107"/>
      <c r="C798" s="108"/>
      <c r="D798" s="108"/>
      <c r="N798" s="108"/>
    </row>
    <row r="799" spans="1:14">
      <c r="A799" s="107"/>
      <c r="C799" s="108"/>
      <c r="D799" s="108"/>
      <c r="N799" s="108"/>
    </row>
    <row r="800" spans="1:14">
      <c r="A800" s="107"/>
      <c r="C800" s="108"/>
      <c r="D800" s="108"/>
      <c r="N800" s="108"/>
    </row>
    <row r="801" spans="1:14">
      <c r="A801" s="107"/>
      <c r="C801" s="108"/>
      <c r="D801" s="108"/>
      <c r="N801" s="108"/>
    </row>
    <row r="802" spans="1:14">
      <c r="A802" s="107"/>
      <c r="C802" s="108"/>
      <c r="D802" s="108"/>
      <c r="N802" s="108"/>
    </row>
    <row r="803" spans="1:14">
      <c r="A803" s="107"/>
      <c r="C803" s="108"/>
      <c r="D803" s="108"/>
      <c r="N803" s="108"/>
    </row>
    <row r="804" spans="1:14">
      <c r="A804" s="107"/>
      <c r="C804" s="108"/>
      <c r="D804" s="108"/>
      <c r="N804" s="108"/>
    </row>
    <row r="805" spans="1:14">
      <c r="A805" s="107"/>
      <c r="C805" s="108"/>
      <c r="D805" s="108"/>
      <c r="N805" s="108"/>
    </row>
    <row r="806" spans="1:14">
      <c r="A806" s="107"/>
      <c r="C806" s="108"/>
      <c r="D806" s="108"/>
      <c r="N806" s="108"/>
    </row>
    <row r="807" spans="1:14">
      <c r="A807" s="107"/>
      <c r="C807" s="108"/>
      <c r="D807" s="108"/>
      <c r="N807" s="108"/>
    </row>
    <row r="808" spans="1:14">
      <c r="A808" s="107"/>
      <c r="C808" s="108"/>
      <c r="D808" s="108"/>
      <c r="N808" s="108"/>
    </row>
    <row r="809" spans="1:14">
      <c r="A809" s="107"/>
      <c r="C809" s="108"/>
      <c r="D809" s="108"/>
      <c r="N809" s="108"/>
    </row>
    <row r="810" spans="1:14">
      <c r="A810" s="107"/>
      <c r="C810" s="108"/>
      <c r="D810" s="108"/>
      <c r="N810" s="108"/>
    </row>
    <row r="811" spans="1:14">
      <c r="A811" s="107"/>
      <c r="C811" s="108"/>
      <c r="D811" s="108"/>
      <c r="N811" s="108"/>
    </row>
    <row r="812" spans="1:14">
      <c r="A812" s="107"/>
      <c r="C812" s="108"/>
      <c r="D812" s="108"/>
      <c r="N812" s="108"/>
    </row>
    <row r="813" spans="1:14">
      <c r="A813" s="107"/>
      <c r="C813" s="108"/>
      <c r="D813" s="108"/>
      <c r="N813" s="108"/>
    </row>
    <row r="814" spans="1:14">
      <c r="A814" s="107"/>
      <c r="C814" s="108"/>
      <c r="D814" s="108"/>
      <c r="N814" s="108"/>
    </row>
    <row r="815" spans="1:14">
      <c r="A815" s="107"/>
      <c r="C815" s="108"/>
      <c r="D815" s="108"/>
      <c r="N815" s="108"/>
    </row>
    <row r="816" spans="1:14">
      <c r="A816" s="107"/>
      <c r="C816" s="108"/>
      <c r="D816" s="108"/>
      <c r="N816" s="108"/>
    </row>
    <row r="817" spans="1:14">
      <c r="A817" s="107"/>
      <c r="C817" s="108"/>
      <c r="D817" s="108"/>
      <c r="N817" s="108"/>
    </row>
    <row r="818" spans="1:14">
      <c r="A818" s="107"/>
      <c r="C818" s="108"/>
      <c r="D818" s="108"/>
      <c r="N818" s="108"/>
    </row>
    <row r="819" spans="1:14">
      <c r="A819" s="107"/>
      <c r="C819" s="108"/>
      <c r="D819" s="108"/>
      <c r="N819" s="108"/>
    </row>
    <row r="820" spans="1:14">
      <c r="A820" s="107"/>
      <c r="C820" s="108"/>
      <c r="D820" s="108"/>
      <c r="N820" s="108"/>
    </row>
    <row r="821" spans="1:14">
      <c r="A821" s="107"/>
      <c r="C821" s="108"/>
      <c r="D821" s="108"/>
      <c r="N821" s="108"/>
    </row>
    <row r="822" spans="1:14">
      <c r="A822" s="107"/>
      <c r="C822" s="108"/>
      <c r="D822" s="108"/>
      <c r="N822" s="108"/>
    </row>
    <row r="823" spans="1:14">
      <c r="A823" s="107"/>
      <c r="C823" s="108"/>
      <c r="D823" s="108"/>
      <c r="N823" s="108"/>
    </row>
    <row r="824" spans="1:14">
      <c r="A824" s="107"/>
      <c r="C824" s="108"/>
      <c r="D824" s="108"/>
      <c r="N824" s="108"/>
    </row>
    <row r="825" spans="1:14">
      <c r="A825" s="107"/>
      <c r="C825" s="108"/>
      <c r="D825" s="108"/>
      <c r="N825" s="108"/>
    </row>
    <row r="826" spans="1:14">
      <c r="A826" s="107"/>
      <c r="C826" s="108"/>
      <c r="D826" s="108"/>
      <c r="N826" s="108"/>
    </row>
    <row r="827" spans="1:14">
      <c r="A827" s="107"/>
      <c r="C827" s="108"/>
      <c r="D827" s="108"/>
      <c r="N827" s="108"/>
    </row>
    <row r="828" spans="1:14">
      <c r="A828" s="107"/>
      <c r="C828" s="108"/>
      <c r="D828" s="108"/>
      <c r="N828" s="108"/>
    </row>
    <row r="829" spans="1:14">
      <c r="A829" s="107"/>
      <c r="C829" s="108"/>
      <c r="D829" s="108"/>
      <c r="N829" s="108"/>
    </row>
    <row r="830" spans="1:14">
      <c r="A830" s="107"/>
      <c r="C830" s="108"/>
      <c r="D830" s="108"/>
      <c r="N830" s="108"/>
    </row>
    <row r="831" spans="1:14">
      <c r="A831" s="107"/>
      <c r="C831" s="108"/>
      <c r="D831" s="108"/>
      <c r="N831" s="108"/>
    </row>
    <row r="832" spans="1:14">
      <c r="A832" s="107"/>
      <c r="C832" s="108"/>
      <c r="D832" s="108"/>
      <c r="N832" s="108"/>
    </row>
    <row r="833" spans="1:14">
      <c r="A833" s="107"/>
      <c r="C833" s="108"/>
      <c r="D833" s="108"/>
      <c r="N833" s="108"/>
    </row>
    <row r="834" spans="1:14">
      <c r="A834" s="107"/>
      <c r="C834" s="108"/>
      <c r="D834" s="108"/>
      <c r="N834" s="108"/>
    </row>
    <row r="835" spans="1:14">
      <c r="A835" s="107"/>
      <c r="C835" s="108"/>
      <c r="D835" s="108"/>
      <c r="N835" s="108"/>
    </row>
    <row r="836" spans="1:14">
      <c r="A836" s="107"/>
      <c r="C836" s="108"/>
      <c r="D836" s="108"/>
      <c r="N836" s="108"/>
    </row>
    <row r="837" spans="1:14">
      <c r="A837" s="107"/>
      <c r="C837" s="108"/>
      <c r="D837" s="108"/>
      <c r="N837" s="108"/>
    </row>
    <row r="838" spans="1:14">
      <c r="A838" s="107"/>
      <c r="C838" s="108"/>
      <c r="D838" s="108"/>
      <c r="N838" s="108"/>
    </row>
    <row r="839" spans="1:14">
      <c r="A839" s="107"/>
      <c r="C839" s="108"/>
      <c r="D839" s="108"/>
      <c r="N839" s="108"/>
    </row>
    <row r="840" spans="1:14">
      <c r="A840" s="107"/>
      <c r="C840" s="108"/>
      <c r="D840" s="108"/>
      <c r="N840" s="108"/>
    </row>
    <row r="841" spans="1:14">
      <c r="A841" s="107"/>
      <c r="C841" s="108"/>
      <c r="D841" s="108"/>
      <c r="N841" s="108"/>
    </row>
    <row r="842" spans="1:14">
      <c r="A842" s="107"/>
      <c r="C842" s="108"/>
      <c r="D842" s="108"/>
      <c r="N842" s="108"/>
    </row>
    <row r="843" spans="1:14">
      <c r="A843" s="107"/>
      <c r="C843" s="108"/>
      <c r="D843" s="108"/>
      <c r="N843" s="108"/>
    </row>
    <row r="844" spans="1:14">
      <c r="A844" s="107"/>
      <c r="C844" s="108"/>
      <c r="D844" s="108"/>
      <c r="N844" s="108"/>
    </row>
    <row r="845" spans="1:14">
      <c r="A845" s="107"/>
      <c r="C845" s="108"/>
      <c r="D845" s="108"/>
      <c r="N845" s="108"/>
    </row>
    <row r="846" spans="1:14">
      <c r="A846" s="107"/>
      <c r="C846" s="108"/>
      <c r="D846" s="108"/>
      <c r="N846" s="108"/>
    </row>
    <row r="847" spans="1:14">
      <c r="A847" s="107"/>
      <c r="C847" s="108"/>
      <c r="D847" s="108"/>
      <c r="N847" s="108"/>
    </row>
    <row r="848" spans="1:14">
      <c r="A848" s="107"/>
      <c r="C848" s="108"/>
      <c r="D848" s="108"/>
      <c r="N848" s="108"/>
    </row>
    <row r="849" spans="1:14">
      <c r="A849" s="107"/>
      <c r="C849" s="108"/>
      <c r="D849" s="108"/>
      <c r="N849" s="108"/>
    </row>
    <row r="850" spans="1:14">
      <c r="A850" s="107"/>
      <c r="C850" s="108"/>
      <c r="D850" s="108"/>
      <c r="N850" s="108"/>
    </row>
    <row r="851" spans="1:14">
      <c r="A851" s="107"/>
      <c r="C851" s="108"/>
      <c r="D851" s="108"/>
      <c r="N851" s="108"/>
    </row>
    <row r="852" spans="1:14">
      <c r="A852" s="107"/>
      <c r="C852" s="108"/>
      <c r="D852" s="108"/>
      <c r="N852" s="108"/>
    </row>
    <row r="853" spans="1:14">
      <c r="A853" s="107"/>
      <c r="C853" s="108"/>
      <c r="D853" s="108"/>
      <c r="N853" s="108"/>
    </row>
    <row r="854" spans="1:14">
      <c r="A854" s="107"/>
      <c r="C854" s="108"/>
      <c r="D854" s="108"/>
      <c r="N854" s="108"/>
    </row>
    <row r="855" spans="1:14">
      <c r="A855" s="107"/>
      <c r="C855" s="108"/>
      <c r="D855" s="108"/>
      <c r="N855" s="108"/>
    </row>
    <row r="856" spans="1:14">
      <c r="A856" s="107"/>
      <c r="C856" s="108"/>
      <c r="D856" s="108"/>
      <c r="N856" s="108"/>
    </row>
    <row r="857" spans="1:14">
      <c r="A857" s="107"/>
      <c r="C857" s="108"/>
      <c r="D857" s="108"/>
      <c r="N857" s="108"/>
    </row>
    <row r="858" spans="1:14">
      <c r="A858" s="107"/>
      <c r="C858" s="108"/>
      <c r="D858" s="108"/>
      <c r="N858" s="108"/>
    </row>
    <row r="859" spans="1:14">
      <c r="A859" s="107"/>
      <c r="C859" s="108"/>
      <c r="D859" s="108"/>
      <c r="N859" s="108"/>
    </row>
    <row r="860" spans="1:14">
      <c r="A860" s="107"/>
      <c r="C860" s="108"/>
      <c r="D860" s="108"/>
      <c r="N860" s="108"/>
    </row>
    <row r="861" spans="1:14">
      <c r="A861" s="107"/>
      <c r="C861" s="108"/>
      <c r="D861" s="108"/>
      <c r="N861" s="108"/>
    </row>
    <row r="862" spans="1:14">
      <c r="A862" s="107"/>
      <c r="C862" s="108"/>
      <c r="D862" s="108"/>
      <c r="N862" s="108"/>
    </row>
    <row r="863" spans="1:14">
      <c r="A863" s="107"/>
      <c r="C863" s="108"/>
      <c r="D863" s="108"/>
      <c r="N863" s="108"/>
    </row>
    <row r="864" spans="1:14">
      <c r="A864" s="107"/>
      <c r="C864" s="108"/>
      <c r="D864" s="108"/>
      <c r="N864" s="108"/>
    </row>
    <row r="865" spans="1:14">
      <c r="A865" s="107"/>
      <c r="C865" s="108"/>
      <c r="D865" s="108"/>
      <c r="N865" s="108"/>
    </row>
    <row r="866" spans="1:14">
      <c r="A866" s="107"/>
      <c r="C866" s="108"/>
      <c r="D866" s="108"/>
      <c r="N866" s="108"/>
    </row>
    <row r="867" spans="1:14">
      <c r="A867" s="107"/>
      <c r="C867" s="108"/>
      <c r="D867" s="108"/>
      <c r="N867" s="108"/>
    </row>
    <row r="868" spans="1:14">
      <c r="A868" s="107"/>
      <c r="C868" s="108"/>
      <c r="D868" s="108"/>
      <c r="N868" s="108"/>
    </row>
    <row r="869" spans="1:14">
      <c r="A869" s="107"/>
      <c r="C869" s="108"/>
      <c r="D869" s="108"/>
      <c r="N869" s="108"/>
    </row>
    <row r="870" spans="1:14">
      <c r="A870" s="107"/>
      <c r="C870" s="108"/>
      <c r="D870" s="108"/>
      <c r="N870" s="108"/>
    </row>
    <row r="871" spans="1:14">
      <c r="A871" s="107"/>
      <c r="C871" s="108"/>
      <c r="D871" s="108"/>
      <c r="N871" s="108"/>
    </row>
    <row r="872" spans="1:14">
      <c r="A872" s="107"/>
      <c r="C872" s="108"/>
      <c r="D872" s="108"/>
      <c r="N872" s="108"/>
    </row>
    <row r="873" spans="1:14">
      <c r="A873" s="107"/>
      <c r="C873" s="108"/>
      <c r="D873" s="108"/>
      <c r="N873" s="108"/>
    </row>
    <row r="874" spans="1:14">
      <c r="A874" s="107"/>
      <c r="C874" s="108"/>
      <c r="D874" s="108"/>
      <c r="N874" s="108"/>
    </row>
    <row r="875" spans="1:14">
      <c r="A875" s="107"/>
      <c r="C875" s="108"/>
      <c r="D875" s="108"/>
      <c r="N875" s="108"/>
    </row>
    <row r="876" spans="1:14">
      <c r="A876" s="107"/>
      <c r="C876" s="108"/>
      <c r="D876" s="108"/>
      <c r="N876" s="108"/>
    </row>
    <row r="877" spans="1:14">
      <c r="A877" s="107"/>
      <c r="C877" s="108"/>
      <c r="D877" s="108"/>
      <c r="N877" s="108"/>
    </row>
    <row r="878" spans="1:14">
      <c r="A878" s="107"/>
      <c r="C878" s="108"/>
      <c r="D878" s="108"/>
      <c r="N878" s="108"/>
    </row>
    <row r="879" spans="1:14">
      <c r="A879" s="107"/>
      <c r="C879" s="108"/>
      <c r="D879" s="108"/>
      <c r="N879" s="108"/>
    </row>
    <row r="880" spans="1:14">
      <c r="A880" s="107"/>
      <c r="C880" s="108"/>
      <c r="D880" s="108"/>
      <c r="N880" s="108"/>
    </row>
    <row r="881" spans="1:14">
      <c r="A881" s="107"/>
      <c r="C881" s="108"/>
      <c r="D881" s="108"/>
      <c r="N881" s="108"/>
    </row>
    <row r="882" spans="1:14">
      <c r="A882" s="107"/>
      <c r="C882" s="108"/>
      <c r="D882" s="108"/>
      <c r="N882" s="108"/>
    </row>
    <row r="883" spans="1:14">
      <c r="A883" s="107"/>
      <c r="C883" s="108"/>
      <c r="D883" s="108"/>
      <c r="N883" s="108"/>
    </row>
    <row r="884" spans="1:14">
      <c r="A884" s="107"/>
      <c r="C884" s="108"/>
      <c r="D884" s="108"/>
      <c r="N884" s="108"/>
    </row>
    <row r="885" spans="1:14">
      <c r="A885" s="107"/>
      <c r="C885" s="108"/>
      <c r="D885" s="108"/>
      <c r="N885" s="108"/>
    </row>
    <row r="886" spans="1:14">
      <c r="A886" s="107"/>
      <c r="C886" s="108"/>
      <c r="D886" s="108"/>
      <c r="N886" s="108"/>
    </row>
    <row r="887" spans="1:14">
      <c r="A887" s="107"/>
      <c r="C887" s="108"/>
      <c r="D887" s="108"/>
      <c r="N887" s="108"/>
    </row>
    <row r="888" spans="1:14">
      <c r="A888" s="107"/>
      <c r="C888" s="108"/>
      <c r="D888" s="108"/>
      <c r="N888" s="108"/>
    </row>
    <row r="889" spans="1:14">
      <c r="A889" s="107"/>
      <c r="C889" s="108"/>
      <c r="D889" s="108"/>
      <c r="N889" s="108"/>
    </row>
    <row r="890" spans="1:14">
      <c r="A890" s="107"/>
      <c r="C890" s="108"/>
      <c r="D890" s="108"/>
      <c r="N890" s="108"/>
    </row>
    <row r="891" spans="1:14">
      <c r="A891" s="107"/>
      <c r="C891" s="108"/>
      <c r="D891" s="108"/>
      <c r="N891" s="108"/>
    </row>
    <row r="892" spans="1:14">
      <c r="A892" s="107"/>
      <c r="C892" s="108"/>
      <c r="D892" s="108"/>
      <c r="N892" s="108"/>
    </row>
    <row r="893" spans="1:14">
      <c r="A893" s="107"/>
      <c r="C893" s="108"/>
      <c r="D893" s="108"/>
      <c r="N893" s="108"/>
    </row>
    <row r="894" spans="1:14">
      <c r="A894" s="107"/>
      <c r="C894" s="108"/>
      <c r="D894" s="108"/>
      <c r="N894" s="108"/>
    </row>
    <row r="895" spans="1:14">
      <c r="A895" s="107"/>
      <c r="C895" s="108"/>
      <c r="D895" s="108"/>
      <c r="N895" s="108"/>
    </row>
    <row r="896" spans="1:14">
      <c r="A896" s="107"/>
      <c r="C896" s="108"/>
      <c r="D896" s="108"/>
      <c r="N896" s="108"/>
    </row>
    <row r="897" spans="1:14">
      <c r="A897" s="107"/>
      <c r="C897" s="108"/>
      <c r="D897" s="108"/>
      <c r="N897" s="108"/>
    </row>
    <row r="898" spans="1:14">
      <c r="A898" s="107"/>
      <c r="C898" s="108"/>
      <c r="D898" s="108"/>
      <c r="N898" s="108"/>
    </row>
    <row r="899" spans="1:14">
      <c r="A899" s="107"/>
      <c r="C899" s="108"/>
      <c r="D899" s="108"/>
      <c r="N899" s="108"/>
    </row>
    <row r="900" spans="1:14">
      <c r="A900" s="107"/>
      <c r="C900" s="108"/>
      <c r="D900" s="108"/>
      <c r="N900" s="108"/>
    </row>
    <row r="901" spans="1:14">
      <c r="A901" s="107"/>
      <c r="C901" s="108"/>
      <c r="D901" s="108"/>
      <c r="N901" s="108"/>
    </row>
    <row r="902" spans="1:14">
      <c r="A902" s="107"/>
      <c r="C902" s="108"/>
      <c r="D902" s="108"/>
      <c r="N902" s="108"/>
    </row>
    <row r="903" spans="1:14">
      <c r="A903" s="107"/>
      <c r="C903" s="108"/>
      <c r="D903" s="108"/>
      <c r="N903" s="108"/>
    </row>
    <row r="904" spans="1:14">
      <c r="A904" s="107"/>
      <c r="C904" s="108"/>
      <c r="D904" s="108"/>
      <c r="N904" s="108"/>
    </row>
    <row r="905" spans="1:14">
      <c r="A905" s="107"/>
      <c r="C905" s="108"/>
      <c r="D905" s="108"/>
      <c r="N905" s="108"/>
    </row>
    <row r="906" spans="1:14">
      <c r="A906" s="107"/>
      <c r="C906" s="108"/>
      <c r="D906" s="108"/>
      <c r="N906" s="108"/>
    </row>
    <row r="907" spans="1:14">
      <c r="A907" s="107"/>
      <c r="C907" s="108"/>
      <c r="D907" s="108"/>
      <c r="N907" s="108"/>
    </row>
    <row r="908" spans="1:14">
      <c r="A908" s="107"/>
      <c r="C908" s="108"/>
      <c r="D908" s="108"/>
      <c r="N908" s="108"/>
    </row>
    <row r="909" spans="1:14">
      <c r="A909" s="107"/>
      <c r="C909" s="108"/>
      <c r="D909" s="108"/>
      <c r="N909" s="108"/>
    </row>
    <row r="910" spans="1:14">
      <c r="A910" s="107"/>
      <c r="C910" s="108"/>
      <c r="D910" s="108"/>
      <c r="N910" s="108"/>
    </row>
    <row r="911" spans="1:14">
      <c r="A911" s="107"/>
      <c r="C911" s="108"/>
      <c r="D911" s="108"/>
      <c r="N911" s="108"/>
    </row>
    <row r="912" spans="1:14">
      <c r="A912" s="107"/>
      <c r="C912" s="108"/>
      <c r="D912" s="108"/>
      <c r="N912" s="108"/>
    </row>
    <row r="913" spans="1:14">
      <c r="A913" s="107"/>
      <c r="C913" s="108"/>
      <c r="D913" s="108"/>
      <c r="N913" s="108"/>
    </row>
    <row r="914" spans="1:14">
      <c r="A914" s="107"/>
      <c r="C914" s="108"/>
      <c r="D914" s="108"/>
      <c r="N914" s="108"/>
    </row>
    <row r="915" spans="1:14">
      <c r="A915" s="107"/>
      <c r="C915" s="108"/>
      <c r="D915" s="108"/>
      <c r="N915" s="108"/>
    </row>
    <row r="916" spans="1:14">
      <c r="A916" s="107"/>
      <c r="C916" s="108"/>
      <c r="D916" s="108"/>
      <c r="N916" s="108"/>
    </row>
    <row r="917" spans="1:14">
      <c r="A917" s="107"/>
      <c r="C917" s="108"/>
      <c r="D917" s="108"/>
      <c r="N917" s="108"/>
    </row>
    <row r="918" spans="1:14">
      <c r="A918" s="107"/>
      <c r="C918" s="108"/>
      <c r="D918" s="108"/>
      <c r="N918" s="108"/>
    </row>
    <row r="919" spans="1:14">
      <c r="A919" s="107"/>
      <c r="C919" s="108"/>
      <c r="D919" s="108"/>
      <c r="N919" s="108"/>
    </row>
    <row r="920" spans="1:14">
      <c r="A920" s="107"/>
      <c r="C920" s="108"/>
      <c r="D920" s="108"/>
      <c r="N920" s="108"/>
    </row>
    <row r="921" spans="1:14">
      <c r="A921" s="107"/>
      <c r="C921" s="108"/>
      <c r="D921" s="108"/>
      <c r="N921" s="108"/>
    </row>
    <row r="922" spans="1:14">
      <c r="A922" s="107"/>
      <c r="C922" s="108"/>
      <c r="D922" s="108"/>
      <c r="N922" s="108"/>
    </row>
    <row r="923" spans="1:14">
      <c r="A923" s="107"/>
      <c r="C923" s="108"/>
      <c r="D923" s="108"/>
      <c r="N923" s="108"/>
    </row>
    <row r="924" spans="1:14">
      <c r="A924" s="107"/>
      <c r="C924" s="108"/>
      <c r="D924" s="108"/>
      <c r="N924" s="108"/>
    </row>
    <row r="925" spans="1:14">
      <c r="A925" s="107"/>
      <c r="C925" s="108"/>
      <c r="D925" s="108"/>
      <c r="N925" s="108"/>
    </row>
    <row r="926" spans="1:14">
      <c r="A926" s="107"/>
      <c r="C926" s="108"/>
      <c r="D926" s="108"/>
      <c r="N926" s="108"/>
    </row>
    <row r="927" spans="1:14">
      <c r="A927" s="107"/>
      <c r="C927" s="108"/>
      <c r="D927" s="108"/>
      <c r="N927" s="108"/>
    </row>
    <row r="928" spans="1:14">
      <c r="A928" s="107"/>
      <c r="C928" s="108"/>
      <c r="D928" s="108"/>
      <c r="N928" s="108"/>
    </row>
    <row r="929" spans="1:14">
      <c r="A929" s="107"/>
      <c r="C929" s="108"/>
      <c r="D929" s="108"/>
      <c r="N929" s="108"/>
    </row>
    <row r="930" spans="1:14">
      <c r="A930" s="107"/>
      <c r="C930" s="108"/>
      <c r="D930" s="108"/>
      <c r="N930" s="108"/>
    </row>
    <row r="931" spans="1:14">
      <c r="A931" s="107"/>
      <c r="C931" s="108"/>
      <c r="D931" s="108"/>
      <c r="N931" s="108"/>
    </row>
    <row r="932" spans="1:14">
      <c r="A932" s="107"/>
      <c r="C932" s="108"/>
      <c r="D932" s="108"/>
      <c r="N932" s="108"/>
    </row>
    <row r="933" spans="1:14">
      <c r="A933" s="107"/>
      <c r="C933" s="108"/>
      <c r="D933" s="108"/>
      <c r="N933" s="108"/>
    </row>
    <row r="934" spans="1:14">
      <c r="A934" s="107"/>
      <c r="C934" s="108"/>
      <c r="D934" s="108"/>
      <c r="N934" s="108"/>
    </row>
    <row r="935" spans="1:14">
      <c r="A935" s="107"/>
      <c r="C935" s="108"/>
      <c r="D935" s="108"/>
      <c r="N935" s="108"/>
    </row>
    <row r="936" spans="1:14">
      <c r="A936" s="107"/>
      <c r="C936" s="108"/>
      <c r="D936" s="108"/>
      <c r="N936" s="108"/>
    </row>
    <row r="937" spans="1:14">
      <c r="A937" s="107"/>
      <c r="C937" s="108"/>
      <c r="D937" s="108"/>
      <c r="N937" s="108"/>
    </row>
    <row r="938" spans="1:14">
      <c r="A938" s="107"/>
      <c r="C938" s="108"/>
      <c r="D938" s="108"/>
      <c r="N938" s="108"/>
    </row>
    <row r="939" spans="1:14">
      <c r="A939" s="107"/>
      <c r="C939" s="108"/>
      <c r="D939" s="108"/>
      <c r="N939" s="108"/>
    </row>
    <row r="940" spans="1:14">
      <c r="A940" s="107"/>
      <c r="C940" s="108"/>
      <c r="D940" s="108"/>
      <c r="N940" s="108"/>
    </row>
    <row r="941" spans="1:14">
      <c r="A941" s="107"/>
      <c r="C941" s="108"/>
      <c r="D941" s="108"/>
      <c r="N941" s="108"/>
    </row>
    <row r="942" spans="1:14">
      <c r="A942" s="107"/>
      <c r="C942" s="108"/>
      <c r="D942" s="108"/>
      <c r="N942" s="108"/>
    </row>
    <row r="943" spans="1:14">
      <c r="A943" s="107"/>
      <c r="C943" s="108"/>
      <c r="D943" s="108"/>
      <c r="N943" s="108"/>
    </row>
    <row r="944" spans="1:14">
      <c r="A944" s="107"/>
      <c r="C944" s="108"/>
      <c r="D944" s="108"/>
      <c r="N944" s="108"/>
    </row>
    <row r="945" spans="1:14">
      <c r="A945" s="107"/>
      <c r="C945" s="108"/>
      <c r="D945" s="108"/>
      <c r="N945" s="108"/>
    </row>
    <row r="946" spans="1:14">
      <c r="A946" s="107"/>
      <c r="C946" s="108"/>
      <c r="D946" s="108"/>
      <c r="N946" s="108"/>
    </row>
    <row r="947" spans="1:14">
      <c r="A947" s="107"/>
      <c r="C947" s="108"/>
      <c r="D947" s="108"/>
      <c r="N947" s="108"/>
    </row>
    <row r="948" spans="1:14">
      <c r="A948" s="107"/>
      <c r="C948" s="108"/>
      <c r="D948" s="108"/>
      <c r="N948" s="108"/>
    </row>
    <row r="949" spans="1:14">
      <c r="A949" s="107"/>
      <c r="C949" s="108"/>
      <c r="D949" s="108"/>
      <c r="N949" s="108"/>
    </row>
    <row r="950" spans="1:14">
      <c r="A950" s="107"/>
      <c r="C950" s="108"/>
      <c r="D950" s="108"/>
      <c r="N950" s="108"/>
    </row>
    <row r="951" spans="1:14">
      <c r="A951" s="107"/>
      <c r="C951" s="108"/>
      <c r="D951" s="108"/>
      <c r="N951" s="108"/>
    </row>
    <row r="952" spans="1:14">
      <c r="A952" s="107"/>
      <c r="C952" s="108"/>
      <c r="D952" s="108"/>
      <c r="N952" s="108"/>
    </row>
    <row r="953" spans="1:14">
      <c r="A953" s="107"/>
      <c r="C953" s="108"/>
      <c r="D953" s="108"/>
      <c r="N953" s="108"/>
    </row>
    <row r="954" spans="1:14">
      <c r="A954" s="107"/>
      <c r="C954" s="108"/>
      <c r="D954" s="108"/>
      <c r="N954" s="108"/>
    </row>
    <row r="955" spans="1:14">
      <c r="A955" s="107"/>
      <c r="C955" s="108"/>
      <c r="D955" s="108"/>
      <c r="N955" s="108"/>
    </row>
    <row r="956" spans="1:14">
      <c r="A956" s="107"/>
      <c r="C956" s="108"/>
      <c r="D956" s="108"/>
      <c r="N956" s="108"/>
    </row>
    <row r="957" spans="1:14">
      <c r="A957" s="107"/>
      <c r="C957" s="108"/>
      <c r="D957" s="108"/>
      <c r="N957" s="108"/>
    </row>
    <row r="958" spans="1:14">
      <c r="A958" s="107"/>
      <c r="C958" s="108"/>
      <c r="D958" s="108"/>
      <c r="N958" s="108"/>
    </row>
    <row r="959" spans="1:14">
      <c r="A959" s="107"/>
      <c r="C959" s="108"/>
      <c r="D959" s="108"/>
      <c r="N959" s="108"/>
    </row>
    <row r="960" spans="1:14">
      <c r="A960" s="107"/>
      <c r="C960" s="108"/>
      <c r="D960" s="108"/>
      <c r="N960" s="108"/>
    </row>
    <row r="961" spans="1:14">
      <c r="A961" s="107"/>
      <c r="C961" s="108"/>
      <c r="D961" s="108"/>
      <c r="N961" s="108"/>
    </row>
    <row r="962" spans="1:14">
      <c r="A962" s="107"/>
      <c r="C962" s="108"/>
      <c r="D962" s="108"/>
      <c r="N962" s="108"/>
    </row>
    <row r="963" spans="1:14">
      <c r="A963" s="107"/>
      <c r="C963" s="108"/>
      <c r="D963" s="108"/>
      <c r="N963" s="108"/>
    </row>
    <row r="964" spans="1:14">
      <c r="A964" s="107"/>
      <c r="C964" s="108"/>
      <c r="D964" s="108"/>
      <c r="N964" s="108"/>
    </row>
    <row r="965" spans="1:14">
      <c r="A965" s="107"/>
      <c r="C965" s="108"/>
      <c r="D965" s="108"/>
      <c r="N965" s="108"/>
    </row>
    <row r="966" spans="1:14">
      <c r="A966" s="107"/>
      <c r="C966" s="108"/>
      <c r="D966" s="108"/>
      <c r="N966" s="108"/>
    </row>
    <row r="967" spans="1:14">
      <c r="A967" s="107"/>
      <c r="C967" s="108"/>
      <c r="D967" s="108"/>
      <c r="N967" s="108"/>
    </row>
    <row r="968" spans="1:14">
      <c r="A968" s="107"/>
      <c r="C968" s="108"/>
      <c r="D968" s="108"/>
      <c r="N968" s="108"/>
    </row>
    <row r="969" spans="1:14">
      <c r="A969" s="107"/>
      <c r="C969" s="108"/>
      <c r="D969" s="108"/>
      <c r="N969" s="108"/>
    </row>
    <row r="970" spans="1:14">
      <c r="A970" s="107"/>
      <c r="C970" s="108"/>
      <c r="D970" s="108"/>
      <c r="N970" s="108"/>
    </row>
    <row r="971" spans="1:14">
      <c r="A971" s="107"/>
      <c r="C971" s="108"/>
      <c r="D971" s="108"/>
      <c r="N971" s="108"/>
    </row>
    <row r="972" spans="1:14">
      <c r="A972" s="107"/>
      <c r="C972" s="108"/>
      <c r="D972" s="108"/>
      <c r="N972" s="108"/>
    </row>
    <row r="973" spans="1:14">
      <c r="A973" s="107"/>
      <c r="C973" s="108"/>
      <c r="D973" s="108"/>
      <c r="N973" s="108"/>
    </row>
    <row r="974" spans="1:14">
      <c r="A974" s="107"/>
      <c r="C974" s="108"/>
      <c r="D974" s="108"/>
      <c r="N974" s="108"/>
    </row>
    <row r="975" spans="1:14">
      <c r="A975" s="107"/>
      <c r="C975" s="108"/>
      <c r="D975" s="108"/>
      <c r="N975" s="108"/>
    </row>
    <row r="976" spans="1:14">
      <c r="A976" s="107"/>
      <c r="C976" s="108"/>
      <c r="D976" s="108"/>
      <c r="N976" s="108"/>
    </row>
    <row r="977" spans="1:14">
      <c r="A977" s="107"/>
      <c r="C977" s="108"/>
      <c r="D977" s="108"/>
      <c r="N977" s="108"/>
    </row>
    <row r="978" spans="1:14">
      <c r="A978" s="107"/>
      <c r="C978" s="108"/>
      <c r="D978" s="108"/>
      <c r="N978" s="108"/>
    </row>
    <row r="979" spans="1:14">
      <c r="A979" s="107"/>
      <c r="C979" s="108"/>
      <c r="D979" s="108"/>
      <c r="N979" s="108"/>
    </row>
    <row r="980" spans="1:14">
      <c r="A980" s="107"/>
      <c r="C980" s="108"/>
      <c r="D980" s="108"/>
      <c r="N980" s="108"/>
    </row>
    <row r="981" spans="1:14">
      <c r="A981" s="107"/>
      <c r="C981" s="108"/>
      <c r="D981" s="108"/>
      <c r="N981" s="108"/>
    </row>
    <row r="982" spans="1:14">
      <c r="A982" s="107"/>
      <c r="C982" s="108"/>
      <c r="D982" s="108"/>
      <c r="N982" s="108"/>
    </row>
    <row r="983" spans="1:14">
      <c r="A983" s="107"/>
      <c r="C983" s="108"/>
      <c r="D983" s="108"/>
      <c r="N983" s="108"/>
    </row>
    <row r="984" spans="1:14">
      <c r="A984" s="107"/>
      <c r="C984" s="108"/>
      <c r="D984" s="108"/>
      <c r="N984" s="108"/>
    </row>
    <row r="985" spans="1:14">
      <c r="A985" s="107"/>
      <c r="C985" s="108"/>
      <c r="D985" s="108"/>
      <c r="N985" s="108"/>
    </row>
    <row r="986" spans="1:14">
      <c r="A986" s="107"/>
      <c r="C986" s="108"/>
      <c r="D986" s="108"/>
      <c r="N986" s="108"/>
    </row>
    <row r="987" spans="1:14">
      <c r="A987" s="107"/>
      <c r="C987" s="108"/>
      <c r="D987" s="108"/>
      <c r="N987" s="108"/>
    </row>
    <row r="988" spans="1:14">
      <c r="A988" s="107"/>
      <c r="C988" s="108"/>
      <c r="D988" s="108"/>
      <c r="N988" s="108"/>
    </row>
    <row r="989" spans="1:14">
      <c r="A989" s="107"/>
      <c r="C989" s="108"/>
      <c r="D989" s="108"/>
      <c r="N989" s="108"/>
    </row>
    <row r="990" spans="1:14">
      <c r="A990" s="107"/>
      <c r="C990" s="108"/>
      <c r="D990" s="108"/>
      <c r="N990" s="108"/>
    </row>
    <row r="991" spans="1:14">
      <c r="A991" s="107"/>
      <c r="C991" s="108"/>
      <c r="D991" s="108"/>
      <c r="N991" s="108"/>
    </row>
    <row r="992" spans="1:14">
      <c r="A992" s="107"/>
      <c r="C992" s="108"/>
      <c r="D992" s="108"/>
      <c r="N992" s="108"/>
    </row>
    <row r="993" spans="1:14">
      <c r="A993" s="107"/>
      <c r="C993" s="108"/>
      <c r="D993" s="108"/>
      <c r="N993" s="108"/>
    </row>
    <row r="994" spans="1:14">
      <c r="A994" s="107"/>
      <c r="C994" s="108"/>
      <c r="D994" s="108"/>
      <c r="N994" s="108"/>
    </row>
    <row r="995" spans="1:14">
      <c r="A995" s="107"/>
      <c r="C995" s="108"/>
      <c r="D995" s="108"/>
      <c r="N995" s="108"/>
    </row>
    <row r="996" spans="1:14">
      <c r="A996" s="107"/>
      <c r="C996" s="108"/>
      <c r="D996" s="108"/>
      <c r="N996" s="108"/>
    </row>
    <row r="997" spans="1:14">
      <c r="A997" s="107"/>
      <c r="C997" s="108"/>
      <c r="D997" s="108"/>
      <c r="N997" s="108"/>
    </row>
    <row r="998" spans="1:14">
      <c r="A998" s="107"/>
      <c r="C998" s="108"/>
      <c r="D998" s="108"/>
      <c r="N998" s="108"/>
    </row>
    <row r="999" spans="1:14">
      <c r="A999" s="107"/>
      <c r="C999" s="108"/>
      <c r="D999" s="108"/>
      <c r="N999" s="108"/>
    </row>
    <row r="1000" spans="1:14">
      <c r="A1000" s="107"/>
      <c r="C1000" s="108"/>
      <c r="D1000" s="108"/>
      <c r="N1000" s="108"/>
    </row>
    <row r="1001" spans="1:14">
      <c r="A1001" s="107"/>
      <c r="C1001" s="108"/>
      <c r="D1001" s="108"/>
      <c r="N1001" s="108"/>
    </row>
    <row r="1002" spans="1:14">
      <c r="A1002" s="107"/>
      <c r="C1002" s="108"/>
      <c r="D1002" s="108"/>
      <c r="N1002" s="108"/>
    </row>
    <row r="1003" spans="1:14">
      <c r="A1003" s="107"/>
      <c r="C1003" s="108"/>
      <c r="D1003" s="108"/>
      <c r="N1003" s="108"/>
    </row>
    <row r="1004" spans="1:14">
      <c r="A1004" s="107"/>
      <c r="C1004" s="108"/>
      <c r="D1004" s="108"/>
      <c r="N1004" s="108"/>
    </row>
    <row r="1005" spans="1:14">
      <c r="A1005" s="107"/>
      <c r="C1005" s="108"/>
      <c r="D1005" s="108"/>
      <c r="N1005" s="108"/>
    </row>
    <row r="1006" spans="1:14">
      <c r="A1006" s="107"/>
      <c r="C1006" s="108"/>
      <c r="D1006" s="108"/>
      <c r="N1006" s="108"/>
    </row>
    <row r="1007" spans="1:14">
      <c r="A1007" s="107"/>
      <c r="C1007" s="108"/>
      <c r="D1007" s="108"/>
      <c r="N1007" s="108"/>
    </row>
    <row r="1008" spans="1:14">
      <c r="A1008" s="107"/>
      <c r="C1008" s="108"/>
      <c r="D1008" s="108"/>
      <c r="N1008" s="108"/>
    </row>
    <row r="1009" spans="1:14">
      <c r="A1009" s="107"/>
      <c r="C1009" s="108"/>
      <c r="D1009" s="108"/>
      <c r="N1009" s="108"/>
    </row>
    <row r="1010" spans="1:14">
      <c r="A1010" s="107"/>
      <c r="C1010" s="108"/>
      <c r="D1010" s="108"/>
      <c r="N1010" s="108"/>
    </row>
    <row r="1011" spans="1:14">
      <c r="A1011" s="107"/>
      <c r="C1011" s="108"/>
      <c r="D1011" s="108"/>
      <c r="N1011" s="108"/>
    </row>
    <row r="1012" spans="1:14">
      <c r="A1012" s="107"/>
      <c r="C1012" s="108"/>
      <c r="D1012" s="108"/>
      <c r="N1012" s="108"/>
    </row>
    <row r="1013" spans="1:14">
      <c r="A1013" s="107"/>
      <c r="C1013" s="108"/>
      <c r="D1013" s="108"/>
      <c r="N1013" s="108"/>
    </row>
    <row r="1014" spans="1:14">
      <c r="A1014" s="107"/>
      <c r="C1014" s="108"/>
      <c r="D1014" s="108"/>
      <c r="N1014" s="108"/>
    </row>
    <row r="1015" spans="1:14">
      <c r="A1015" s="107"/>
      <c r="C1015" s="108"/>
      <c r="D1015" s="108"/>
      <c r="N1015" s="108"/>
    </row>
    <row r="1016" spans="1:14">
      <c r="A1016" s="107"/>
      <c r="C1016" s="108"/>
      <c r="D1016" s="108"/>
      <c r="N1016" s="108"/>
    </row>
    <row r="1017" spans="1:14">
      <c r="A1017" s="107"/>
      <c r="C1017" s="108"/>
      <c r="D1017" s="108"/>
      <c r="N1017" s="108"/>
    </row>
    <row r="1018" spans="1:14">
      <c r="A1018" s="107"/>
      <c r="C1018" s="108"/>
      <c r="D1018" s="108"/>
      <c r="N1018" s="108"/>
    </row>
    <row r="1019" spans="1:14">
      <c r="A1019" s="107"/>
      <c r="C1019" s="108"/>
      <c r="D1019" s="108"/>
      <c r="N1019" s="108"/>
    </row>
    <row r="1020" spans="1:14">
      <c r="A1020" s="107"/>
      <c r="C1020" s="108"/>
      <c r="D1020" s="108"/>
      <c r="N1020" s="108"/>
    </row>
    <row r="1021" spans="1:14">
      <c r="A1021" s="107"/>
      <c r="C1021" s="108"/>
      <c r="D1021" s="108"/>
      <c r="N1021" s="108"/>
    </row>
    <row r="1022" spans="1:14">
      <c r="A1022" s="107"/>
      <c r="C1022" s="108"/>
      <c r="D1022" s="108"/>
      <c r="N1022" s="108"/>
    </row>
    <row r="1023" spans="1:14">
      <c r="A1023" s="107"/>
      <c r="C1023" s="108"/>
      <c r="D1023" s="108"/>
      <c r="N1023" s="108"/>
    </row>
    <row r="1024" spans="1:14">
      <c r="A1024" s="107"/>
      <c r="C1024" s="108"/>
      <c r="D1024" s="108"/>
      <c r="N1024" s="108"/>
    </row>
    <row r="1025" spans="1:14">
      <c r="A1025" s="107"/>
      <c r="C1025" s="108"/>
      <c r="D1025" s="108"/>
      <c r="N1025" s="108"/>
    </row>
    <row r="1026" spans="1:14">
      <c r="A1026" s="107"/>
      <c r="C1026" s="108"/>
      <c r="D1026" s="108"/>
      <c r="N1026" s="108"/>
    </row>
    <row r="1027" spans="1:14">
      <c r="A1027" s="107"/>
      <c r="C1027" s="108"/>
      <c r="D1027" s="108"/>
      <c r="N1027" s="108"/>
    </row>
    <row r="1028" spans="1:14">
      <c r="A1028" s="107"/>
      <c r="C1028" s="108"/>
      <c r="D1028" s="108"/>
      <c r="N1028" s="108"/>
    </row>
    <row r="1029" spans="1:14">
      <c r="A1029" s="107"/>
      <c r="C1029" s="108"/>
      <c r="D1029" s="108"/>
      <c r="N1029" s="108"/>
    </row>
    <row r="1030" spans="1:14">
      <c r="A1030" s="107"/>
      <c r="C1030" s="108"/>
      <c r="D1030" s="108"/>
      <c r="N1030" s="108"/>
    </row>
    <row r="1031" spans="1:14">
      <c r="A1031" s="107"/>
      <c r="C1031" s="108"/>
      <c r="D1031" s="108"/>
      <c r="N1031" s="108"/>
    </row>
    <row r="1032" spans="1:14">
      <c r="A1032" s="107"/>
      <c r="C1032" s="108"/>
      <c r="D1032" s="108"/>
      <c r="N1032" s="108"/>
    </row>
    <row r="1033" spans="1:14">
      <c r="A1033" s="107"/>
      <c r="C1033" s="108"/>
      <c r="D1033" s="108"/>
      <c r="N1033" s="108"/>
    </row>
    <row r="1034" spans="1:14">
      <c r="A1034" s="107"/>
      <c r="C1034" s="108"/>
      <c r="D1034" s="108"/>
      <c r="N1034" s="108"/>
    </row>
    <row r="1035" spans="1:14">
      <c r="A1035" s="107"/>
      <c r="C1035" s="108"/>
      <c r="D1035" s="108"/>
      <c r="N1035" s="108"/>
    </row>
    <row r="1036" spans="1:14">
      <c r="A1036" s="107"/>
      <c r="C1036" s="108"/>
      <c r="D1036" s="108"/>
      <c r="N1036" s="108"/>
    </row>
    <row r="1037" spans="1:14">
      <c r="A1037" s="107"/>
      <c r="C1037" s="108"/>
      <c r="D1037" s="108"/>
      <c r="N1037" s="108"/>
    </row>
    <row r="1038" spans="1:14">
      <c r="A1038" s="107"/>
      <c r="C1038" s="108"/>
      <c r="D1038" s="108"/>
      <c r="N1038" s="108"/>
    </row>
    <row r="1039" spans="1:14">
      <c r="A1039" s="107"/>
      <c r="C1039" s="108"/>
      <c r="D1039" s="108"/>
      <c r="N1039" s="108"/>
    </row>
    <row r="1040" spans="1:14">
      <c r="A1040" s="107"/>
      <c r="C1040" s="108"/>
      <c r="D1040" s="108"/>
      <c r="N1040" s="108"/>
    </row>
    <row r="1041" spans="1:14">
      <c r="A1041" s="107"/>
      <c r="C1041" s="108"/>
      <c r="D1041" s="108"/>
      <c r="N1041" s="108"/>
    </row>
    <row r="1042" spans="1:14">
      <c r="A1042" s="107"/>
      <c r="C1042" s="108"/>
      <c r="D1042" s="108"/>
      <c r="N1042" s="108"/>
    </row>
    <row r="1043" spans="1:14">
      <c r="A1043" s="107"/>
      <c r="C1043" s="108"/>
      <c r="D1043" s="108"/>
      <c r="N1043" s="108"/>
    </row>
    <row r="1044" spans="1:14">
      <c r="A1044" s="107"/>
      <c r="C1044" s="108"/>
      <c r="D1044" s="108"/>
      <c r="N1044" s="108"/>
    </row>
    <row r="1045" spans="1:14">
      <c r="A1045" s="107"/>
      <c r="C1045" s="108"/>
      <c r="D1045" s="108"/>
      <c r="N1045" s="108"/>
    </row>
    <row r="1046" spans="1:14">
      <c r="A1046" s="107"/>
      <c r="C1046" s="108"/>
      <c r="D1046" s="108"/>
      <c r="N1046" s="108"/>
    </row>
    <row r="1047" spans="1:14">
      <c r="A1047" s="107"/>
      <c r="C1047" s="108"/>
      <c r="D1047" s="108"/>
      <c r="N1047" s="108"/>
    </row>
    <row r="1048" spans="1:14">
      <c r="A1048" s="107"/>
      <c r="C1048" s="108"/>
      <c r="D1048" s="108"/>
      <c r="N1048" s="108"/>
    </row>
    <row r="1049" spans="1:14">
      <c r="A1049" s="107"/>
      <c r="C1049" s="108"/>
      <c r="D1049" s="108"/>
      <c r="N1049" s="108"/>
    </row>
    <row r="1050" spans="1:14">
      <c r="A1050" s="107"/>
      <c r="C1050" s="108"/>
      <c r="D1050" s="108"/>
      <c r="N1050" s="108"/>
    </row>
    <row r="1051" spans="1:14">
      <c r="A1051" s="107"/>
      <c r="C1051" s="108"/>
      <c r="D1051" s="108"/>
      <c r="N1051" s="108"/>
    </row>
    <row r="1052" spans="1:14">
      <c r="A1052" s="107"/>
      <c r="C1052" s="108"/>
      <c r="D1052" s="108"/>
      <c r="N1052" s="108"/>
    </row>
    <row r="1053" spans="1:14">
      <c r="A1053" s="107"/>
      <c r="C1053" s="108"/>
      <c r="D1053" s="108"/>
      <c r="N1053" s="108"/>
    </row>
    <row r="1054" spans="1:14">
      <c r="A1054" s="107"/>
      <c r="C1054" s="108"/>
      <c r="D1054" s="108"/>
      <c r="N1054" s="108"/>
    </row>
    <row r="1055" spans="1:14">
      <c r="A1055" s="107"/>
      <c r="C1055" s="108"/>
      <c r="D1055" s="108"/>
      <c r="N1055" s="108"/>
    </row>
    <row r="1056" spans="1:14">
      <c r="A1056" s="107"/>
      <c r="C1056" s="108"/>
      <c r="D1056" s="108"/>
      <c r="N1056" s="108"/>
    </row>
    <row r="1057" spans="1:14">
      <c r="A1057" s="107"/>
      <c r="C1057" s="108"/>
      <c r="D1057" s="108"/>
      <c r="N1057" s="108"/>
    </row>
    <row r="1058" spans="1:14">
      <c r="A1058" s="107"/>
      <c r="C1058" s="108"/>
      <c r="D1058" s="108"/>
      <c r="N1058" s="108"/>
    </row>
    <row r="1059" spans="1:14">
      <c r="A1059" s="107"/>
      <c r="C1059" s="108"/>
      <c r="D1059" s="108"/>
      <c r="N1059" s="108"/>
    </row>
    <row r="1060" spans="1:14">
      <c r="A1060" s="107"/>
      <c r="C1060" s="108"/>
      <c r="D1060" s="108"/>
      <c r="N1060" s="108"/>
    </row>
    <row r="1061" spans="1:14">
      <c r="A1061" s="107"/>
      <c r="C1061" s="108"/>
      <c r="D1061" s="108"/>
      <c r="N1061" s="108"/>
    </row>
    <row r="1062" spans="1:14">
      <c r="A1062" s="107"/>
      <c r="C1062" s="108"/>
      <c r="D1062" s="108"/>
      <c r="N1062" s="108"/>
    </row>
    <row r="1063" spans="1:14">
      <c r="A1063" s="107"/>
      <c r="C1063" s="108"/>
      <c r="D1063" s="108"/>
      <c r="N1063" s="108"/>
    </row>
    <row r="1064" spans="1:14">
      <c r="A1064" s="107"/>
      <c r="C1064" s="108"/>
      <c r="D1064" s="108"/>
      <c r="N1064" s="108"/>
    </row>
    <row r="1065" spans="1:14">
      <c r="A1065" s="107"/>
      <c r="C1065" s="108"/>
      <c r="D1065" s="108"/>
      <c r="N1065" s="108"/>
    </row>
    <row r="1066" spans="1:14">
      <c r="A1066" s="107"/>
      <c r="C1066" s="108"/>
      <c r="D1066" s="108"/>
      <c r="N1066" s="108"/>
    </row>
    <row r="1067" spans="1:14">
      <c r="A1067" s="107"/>
      <c r="C1067" s="108"/>
      <c r="D1067" s="108"/>
      <c r="N1067" s="108"/>
    </row>
    <row r="1068" spans="1:14">
      <c r="A1068" s="107"/>
      <c r="C1068" s="108"/>
      <c r="D1068" s="108"/>
      <c r="N1068" s="108"/>
    </row>
    <row r="1069" spans="1:14">
      <c r="A1069" s="107"/>
      <c r="C1069" s="108"/>
      <c r="D1069" s="108"/>
      <c r="N1069" s="108"/>
    </row>
    <row r="1070" spans="1:14">
      <c r="A1070" s="107"/>
      <c r="C1070" s="108"/>
      <c r="D1070" s="108"/>
      <c r="N1070" s="108"/>
    </row>
    <row r="1071" spans="1:14">
      <c r="A1071" s="107"/>
      <c r="C1071" s="108"/>
      <c r="D1071" s="108"/>
      <c r="N1071" s="108"/>
    </row>
    <row r="1072" spans="1:14">
      <c r="A1072" s="107"/>
      <c r="C1072" s="108"/>
      <c r="D1072" s="108"/>
      <c r="N1072" s="108"/>
    </row>
    <row r="1073" spans="1:14">
      <c r="A1073" s="107"/>
      <c r="C1073" s="108"/>
      <c r="D1073" s="108"/>
      <c r="N1073" s="108"/>
    </row>
    <row r="1074" spans="1:14">
      <c r="A1074" s="107"/>
      <c r="C1074" s="108"/>
      <c r="D1074" s="108"/>
      <c r="N1074" s="108"/>
    </row>
    <row r="1075" spans="1:14">
      <c r="A1075" s="107"/>
      <c r="C1075" s="108"/>
      <c r="D1075" s="108"/>
      <c r="N1075" s="108"/>
    </row>
    <row r="1076" spans="1:14">
      <c r="A1076" s="107"/>
      <c r="C1076" s="108"/>
      <c r="D1076" s="108"/>
      <c r="N1076" s="108"/>
    </row>
    <row r="1077" spans="1:14">
      <c r="A1077" s="107"/>
      <c r="C1077" s="108"/>
      <c r="D1077" s="108"/>
      <c r="N1077" s="108"/>
    </row>
    <row r="1078" spans="1:14">
      <c r="A1078" s="107"/>
      <c r="C1078" s="108"/>
      <c r="D1078" s="108"/>
      <c r="N1078" s="108"/>
    </row>
    <row r="1079" spans="1:14">
      <c r="A1079" s="107"/>
      <c r="C1079" s="108"/>
      <c r="D1079" s="108"/>
      <c r="N1079" s="108"/>
    </row>
    <row r="1080" spans="1:14">
      <c r="A1080" s="107"/>
      <c r="C1080" s="108"/>
      <c r="D1080" s="108"/>
      <c r="N1080" s="108"/>
    </row>
    <row r="1081" spans="1:14">
      <c r="A1081" s="107"/>
      <c r="C1081" s="108"/>
      <c r="D1081" s="108"/>
      <c r="N1081" s="108"/>
    </row>
    <row r="1082" spans="1:14">
      <c r="A1082" s="107"/>
      <c r="C1082" s="108"/>
      <c r="D1082" s="108"/>
      <c r="N1082" s="108"/>
    </row>
    <row r="1083" spans="1:14">
      <c r="A1083" s="107"/>
      <c r="C1083" s="108"/>
      <c r="D1083" s="108"/>
      <c r="N1083" s="108"/>
    </row>
    <row r="1084" spans="1:14">
      <c r="A1084" s="107"/>
      <c r="C1084" s="108"/>
      <c r="D1084" s="108"/>
      <c r="N1084" s="108"/>
    </row>
    <row r="1085" spans="1:14">
      <c r="A1085" s="107"/>
      <c r="C1085" s="108"/>
      <c r="D1085" s="108"/>
      <c r="N1085" s="108"/>
    </row>
    <row r="1086" spans="1:14">
      <c r="A1086" s="107"/>
      <c r="C1086" s="108"/>
      <c r="D1086" s="108"/>
      <c r="N1086" s="108"/>
    </row>
    <row r="1087" spans="1:14">
      <c r="A1087" s="107"/>
      <c r="C1087" s="108"/>
      <c r="D1087" s="108"/>
      <c r="N1087" s="108"/>
    </row>
    <row r="1088" spans="1:14">
      <c r="A1088" s="107"/>
      <c r="C1088" s="108"/>
      <c r="D1088" s="108"/>
      <c r="N1088" s="108"/>
    </row>
    <row r="1089" spans="1:14">
      <c r="A1089" s="107"/>
      <c r="C1089" s="108"/>
      <c r="D1089" s="108"/>
      <c r="N1089" s="108"/>
    </row>
    <row r="1090" spans="1:14">
      <c r="A1090" s="107"/>
      <c r="C1090" s="108"/>
      <c r="D1090" s="108"/>
      <c r="N1090" s="108"/>
    </row>
    <row r="1091" spans="1:14">
      <c r="A1091" s="107"/>
      <c r="C1091" s="108"/>
      <c r="D1091" s="108"/>
      <c r="N1091" s="108"/>
    </row>
    <row r="1092" spans="1:14">
      <c r="A1092" s="107"/>
      <c r="C1092" s="108"/>
      <c r="D1092" s="108"/>
      <c r="N1092" s="108"/>
    </row>
    <row r="1093" spans="1:14">
      <c r="A1093" s="107"/>
      <c r="C1093" s="108"/>
      <c r="D1093" s="108"/>
      <c r="N1093" s="108"/>
    </row>
    <row r="1094" spans="1:14">
      <c r="A1094" s="107"/>
      <c r="C1094" s="108"/>
      <c r="D1094" s="108"/>
      <c r="N1094" s="108"/>
    </row>
    <row r="1095" spans="1:14">
      <c r="A1095" s="107"/>
      <c r="C1095" s="108"/>
      <c r="D1095" s="108"/>
      <c r="N1095" s="108"/>
    </row>
    <row r="1096" spans="1:14">
      <c r="A1096" s="107"/>
      <c r="C1096" s="108"/>
      <c r="D1096" s="108"/>
      <c r="N1096" s="108"/>
    </row>
    <row r="1097" spans="1:14">
      <c r="A1097" s="107"/>
      <c r="C1097" s="108"/>
      <c r="D1097" s="108"/>
      <c r="N1097" s="108"/>
    </row>
    <row r="1098" spans="1:14">
      <c r="A1098" s="107"/>
      <c r="C1098" s="108"/>
      <c r="D1098" s="108"/>
      <c r="N1098" s="108"/>
    </row>
    <row r="1099" spans="1:14">
      <c r="A1099" s="107"/>
      <c r="C1099" s="108"/>
      <c r="D1099" s="108"/>
      <c r="N1099" s="108"/>
    </row>
    <row r="1100" spans="1:14">
      <c r="A1100" s="107"/>
      <c r="C1100" s="108"/>
      <c r="D1100" s="108"/>
      <c r="N1100" s="108"/>
    </row>
    <row r="1101" spans="1:14">
      <c r="A1101" s="107"/>
      <c r="C1101" s="108"/>
      <c r="D1101" s="108"/>
      <c r="N1101" s="108"/>
    </row>
    <row r="1102" spans="1:14">
      <c r="A1102" s="107"/>
      <c r="C1102" s="108"/>
      <c r="D1102" s="108"/>
      <c r="N1102" s="108"/>
    </row>
    <row r="1103" spans="1:14">
      <c r="A1103" s="107"/>
      <c r="C1103" s="108"/>
      <c r="D1103" s="108"/>
      <c r="N1103" s="108"/>
    </row>
    <row r="1104" spans="1:14">
      <c r="A1104" s="107"/>
      <c r="C1104" s="108"/>
      <c r="D1104" s="108"/>
      <c r="N1104" s="108"/>
    </row>
    <row r="1105" spans="1:14">
      <c r="A1105" s="107"/>
      <c r="C1105" s="108"/>
      <c r="D1105" s="108"/>
      <c r="N1105" s="108"/>
    </row>
    <row r="1106" spans="1:14">
      <c r="A1106" s="107"/>
      <c r="C1106" s="108"/>
      <c r="D1106" s="108"/>
      <c r="N1106" s="108"/>
    </row>
    <row r="1107" spans="1:14">
      <c r="A1107" s="107"/>
      <c r="C1107" s="108"/>
      <c r="D1107" s="108"/>
      <c r="N1107" s="108"/>
    </row>
    <row r="1108" spans="1:14">
      <c r="A1108" s="107"/>
      <c r="C1108" s="108"/>
      <c r="D1108" s="108"/>
      <c r="N1108" s="108"/>
    </row>
    <row r="1109" spans="1:14">
      <c r="A1109" s="107"/>
      <c r="C1109" s="108"/>
      <c r="D1109" s="108"/>
      <c r="N1109" s="108"/>
    </row>
    <row r="1110" spans="1:14">
      <c r="A1110" s="107"/>
      <c r="C1110" s="108"/>
      <c r="D1110" s="108"/>
      <c r="N1110" s="108"/>
    </row>
    <row r="1111" spans="1:14">
      <c r="A1111" s="107"/>
      <c r="C1111" s="108"/>
      <c r="D1111" s="108"/>
      <c r="N1111" s="108"/>
    </row>
    <row r="1112" spans="1:14">
      <c r="A1112" s="107"/>
      <c r="C1112" s="108"/>
      <c r="D1112" s="108"/>
      <c r="N1112" s="108"/>
    </row>
    <row r="1113" spans="1:14">
      <c r="A1113" s="107"/>
      <c r="C1113" s="108"/>
      <c r="D1113" s="108"/>
      <c r="N1113" s="108"/>
    </row>
    <row r="1114" spans="1:14">
      <c r="A1114" s="107"/>
      <c r="C1114" s="108"/>
      <c r="D1114" s="108"/>
      <c r="N1114" s="108"/>
    </row>
    <row r="1115" spans="1:14">
      <c r="A1115" s="107"/>
      <c r="C1115" s="108"/>
      <c r="D1115" s="108"/>
      <c r="N1115" s="108"/>
    </row>
    <row r="1116" spans="1:14">
      <c r="A1116" s="107"/>
      <c r="C1116" s="108"/>
      <c r="D1116" s="108"/>
      <c r="N1116" s="108"/>
    </row>
    <row r="1117" spans="1:14">
      <c r="A1117" s="107"/>
      <c r="C1117" s="108"/>
      <c r="D1117" s="108"/>
      <c r="N1117" s="108"/>
    </row>
    <row r="1118" spans="1:14">
      <c r="A1118" s="107"/>
      <c r="C1118" s="108"/>
      <c r="D1118" s="108"/>
      <c r="N1118" s="108"/>
    </row>
    <row r="1119" spans="1:14">
      <c r="A1119" s="107"/>
      <c r="C1119" s="108"/>
      <c r="D1119" s="108"/>
      <c r="N1119" s="108"/>
    </row>
    <row r="1120" spans="1:14">
      <c r="A1120" s="107"/>
      <c r="C1120" s="108"/>
      <c r="D1120" s="108"/>
      <c r="N1120" s="108"/>
    </row>
    <row r="1121" spans="1:14">
      <c r="A1121" s="107"/>
      <c r="C1121" s="108"/>
      <c r="D1121" s="108"/>
      <c r="N1121" s="108"/>
    </row>
    <row r="1122" spans="1:14">
      <c r="A1122" s="107"/>
      <c r="C1122" s="108"/>
      <c r="D1122" s="108"/>
      <c r="N1122" s="108"/>
    </row>
    <row r="1123" spans="1:14">
      <c r="A1123" s="107"/>
      <c r="C1123" s="108"/>
      <c r="D1123" s="108"/>
      <c r="N1123" s="108"/>
    </row>
    <row r="1124" spans="1:14">
      <c r="A1124" s="107"/>
      <c r="C1124" s="108"/>
      <c r="D1124" s="108"/>
      <c r="N1124" s="108"/>
    </row>
    <row r="1125" spans="1:14">
      <c r="A1125" s="107"/>
      <c r="C1125" s="108"/>
      <c r="D1125" s="108"/>
      <c r="N1125" s="108"/>
    </row>
    <row r="1126" spans="1:14">
      <c r="A1126" s="107"/>
      <c r="C1126" s="108"/>
      <c r="D1126" s="108"/>
      <c r="N1126" s="108"/>
    </row>
    <row r="1127" spans="1:14">
      <c r="A1127" s="107"/>
      <c r="C1127" s="108"/>
      <c r="D1127" s="108"/>
      <c r="N1127" s="108"/>
    </row>
    <row r="1128" spans="1:14">
      <c r="A1128" s="107"/>
      <c r="C1128" s="108"/>
      <c r="D1128" s="108"/>
      <c r="N1128" s="108"/>
    </row>
    <row r="1129" spans="1:14">
      <c r="A1129" s="107"/>
      <c r="C1129" s="108"/>
      <c r="D1129" s="108"/>
      <c r="N1129" s="108"/>
    </row>
    <row r="1130" spans="1:14">
      <c r="A1130" s="107"/>
      <c r="C1130" s="108"/>
      <c r="D1130" s="108"/>
      <c r="N1130" s="108"/>
    </row>
    <row r="1131" spans="1:14">
      <c r="A1131" s="107"/>
      <c r="C1131" s="108"/>
      <c r="D1131" s="108"/>
      <c r="N1131" s="108"/>
    </row>
    <row r="1132" spans="1:14">
      <c r="A1132" s="107"/>
      <c r="C1132" s="108"/>
      <c r="D1132" s="108"/>
      <c r="N1132" s="108"/>
    </row>
    <row r="1133" spans="1:14">
      <c r="A1133" s="107"/>
      <c r="C1133" s="108"/>
      <c r="D1133" s="108"/>
      <c r="N1133" s="108"/>
    </row>
    <row r="1134" spans="1:14">
      <c r="A1134" s="107"/>
      <c r="C1134" s="108"/>
      <c r="D1134" s="108"/>
      <c r="N1134" s="108"/>
    </row>
    <row r="1135" spans="1:14">
      <c r="A1135" s="107"/>
      <c r="C1135" s="108"/>
      <c r="D1135" s="108"/>
      <c r="N1135" s="108"/>
    </row>
    <row r="1136" spans="1:14">
      <c r="A1136" s="107"/>
      <c r="C1136" s="108"/>
      <c r="D1136" s="108"/>
      <c r="N1136" s="108"/>
    </row>
    <row r="1137" spans="1:14">
      <c r="A1137" s="107"/>
      <c r="C1137" s="108"/>
      <c r="D1137" s="108"/>
      <c r="N1137" s="108"/>
    </row>
    <row r="1138" spans="1:14">
      <c r="A1138" s="107"/>
      <c r="C1138" s="108"/>
      <c r="D1138" s="108"/>
      <c r="N1138" s="108"/>
    </row>
    <row r="1139" spans="1:14">
      <c r="A1139" s="107"/>
      <c r="C1139" s="108"/>
      <c r="D1139" s="108"/>
      <c r="N1139" s="108"/>
    </row>
    <row r="1140" spans="1:14">
      <c r="A1140" s="107"/>
      <c r="C1140" s="108"/>
      <c r="D1140" s="108"/>
      <c r="N1140" s="108"/>
    </row>
    <row r="1141" spans="1:14">
      <c r="A1141" s="107"/>
      <c r="C1141" s="108"/>
      <c r="D1141" s="108"/>
      <c r="N1141" s="108"/>
    </row>
    <row r="1142" spans="1:14">
      <c r="A1142" s="107"/>
      <c r="C1142" s="108"/>
      <c r="D1142" s="108"/>
      <c r="N1142" s="108"/>
    </row>
    <row r="1143" spans="1:14">
      <c r="A1143" s="107"/>
      <c r="C1143" s="108"/>
      <c r="D1143" s="108"/>
      <c r="N1143" s="108"/>
    </row>
    <row r="1144" spans="1:14">
      <c r="A1144" s="107"/>
      <c r="C1144" s="108"/>
      <c r="D1144" s="108"/>
      <c r="N1144" s="108"/>
    </row>
    <row r="1145" spans="1:14">
      <c r="A1145" s="107"/>
      <c r="C1145" s="108"/>
      <c r="D1145" s="108"/>
      <c r="N1145" s="108"/>
    </row>
    <row r="1146" spans="1:14">
      <c r="A1146" s="107"/>
      <c r="C1146" s="108"/>
      <c r="D1146" s="108"/>
      <c r="N1146" s="108"/>
    </row>
    <row r="1147" spans="1:14">
      <c r="A1147" s="107"/>
      <c r="C1147" s="108"/>
      <c r="D1147" s="108"/>
      <c r="N1147" s="108"/>
    </row>
    <row r="1148" spans="1:14">
      <c r="A1148" s="107"/>
      <c r="C1148" s="108"/>
      <c r="D1148" s="108"/>
      <c r="N1148" s="108"/>
    </row>
    <row r="1149" spans="1:14">
      <c r="A1149" s="107"/>
      <c r="C1149" s="108"/>
      <c r="D1149" s="108"/>
      <c r="N1149" s="108"/>
    </row>
    <row r="1150" spans="1:14">
      <c r="A1150" s="107"/>
      <c r="C1150" s="108"/>
      <c r="D1150" s="108"/>
      <c r="N1150" s="108"/>
    </row>
    <row r="1151" spans="1:14">
      <c r="A1151" s="107"/>
      <c r="C1151" s="108"/>
      <c r="D1151" s="108"/>
      <c r="N1151" s="108"/>
    </row>
    <row r="1152" spans="1:14">
      <c r="A1152" s="107"/>
      <c r="C1152" s="108"/>
      <c r="D1152" s="108"/>
      <c r="N1152" s="108"/>
    </row>
    <row r="1153" spans="1:14">
      <c r="A1153" s="107"/>
      <c r="C1153" s="108"/>
      <c r="D1153" s="108"/>
      <c r="N1153" s="108"/>
    </row>
    <row r="1154" spans="1:14">
      <c r="A1154" s="107"/>
      <c r="C1154" s="108"/>
      <c r="D1154" s="108"/>
      <c r="N1154" s="108"/>
    </row>
    <row r="1155" spans="1:14">
      <c r="A1155" s="107"/>
      <c r="C1155" s="108"/>
      <c r="D1155" s="108"/>
      <c r="N1155" s="108"/>
    </row>
    <row r="1156" spans="1:14">
      <c r="A1156" s="107"/>
      <c r="C1156" s="108"/>
      <c r="D1156" s="108"/>
      <c r="N1156" s="108"/>
    </row>
    <row r="1157" spans="1:14">
      <c r="A1157" s="107"/>
      <c r="C1157" s="108"/>
      <c r="D1157" s="108"/>
      <c r="N1157" s="108"/>
    </row>
    <row r="1158" spans="1:14">
      <c r="A1158" s="107"/>
      <c r="C1158" s="108"/>
      <c r="D1158" s="108"/>
      <c r="N1158" s="108"/>
    </row>
    <row r="1159" spans="1:14">
      <c r="A1159" s="107"/>
      <c r="C1159" s="108"/>
      <c r="D1159" s="108"/>
      <c r="N1159" s="108"/>
    </row>
    <row r="1160" spans="1:14">
      <c r="A1160" s="107"/>
      <c r="C1160" s="108"/>
      <c r="D1160" s="108"/>
      <c r="N1160" s="108"/>
    </row>
    <row r="1161" spans="1:14">
      <c r="A1161" s="107"/>
      <c r="C1161" s="108"/>
      <c r="D1161" s="108"/>
      <c r="N1161" s="108"/>
    </row>
    <row r="1162" spans="1:14">
      <c r="A1162" s="107"/>
      <c r="C1162" s="108"/>
      <c r="D1162" s="108"/>
      <c r="N1162" s="108"/>
    </row>
    <row r="1163" spans="1:14">
      <c r="A1163" s="107"/>
      <c r="C1163" s="108"/>
      <c r="D1163" s="108"/>
      <c r="N1163" s="108"/>
    </row>
    <row r="1164" spans="1:14">
      <c r="A1164" s="107"/>
      <c r="C1164" s="108"/>
      <c r="D1164" s="108"/>
      <c r="N1164" s="108"/>
    </row>
    <row r="1165" spans="1:14">
      <c r="A1165" s="107"/>
      <c r="C1165" s="108"/>
      <c r="D1165" s="108"/>
      <c r="N1165" s="108"/>
    </row>
    <row r="1166" spans="1:14">
      <c r="A1166" s="107"/>
      <c r="C1166" s="108"/>
      <c r="D1166" s="108"/>
      <c r="N1166" s="108"/>
    </row>
    <row r="1167" spans="1:14">
      <c r="A1167" s="107"/>
      <c r="C1167" s="108"/>
      <c r="D1167" s="108"/>
      <c r="N1167" s="108"/>
    </row>
    <row r="1168" spans="1:14">
      <c r="A1168" s="107"/>
      <c r="C1168" s="108"/>
      <c r="D1168" s="108"/>
      <c r="N1168" s="108"/>
    </row>
    <row r="1169" spans="1:14">
      <c r="A1169" s="107"/>
      <c r="C1169" s="108"/>
      <c r="D1169" s="108"/>
      <c r="N1169" s="108"/>
    </row>
    <row r="1170" spans="1:14">
      <c r="A1170" s="107"/>
      <c r="C1170" s="108"/>
      <c r="D1170" s="108"/>
      <c r="N1170" s="108"/>
    </row>
    <row r="1171" spans="1:14">
      <c r="A1171" s="107"/>
      <c r="C1171" s="108"/>
      <c r="D1171" s="108"/>
      <c r="N1171" s="108"/>
    </row>
    <row r="1172" spans="1:14">
      <c r="A1172" s="107"/>
      <c r="C1172" s="108"/>
      <c r="D1172" s="108"/>
      <c r="N1172" s="108"/>
    </row>
    <row r="1173" spans="1:14">
      <c r="A1173" s="107"/>
      <c r="C1173" s="108"/>
      <c r="D1173" s="108"/>
      <c r="N1173" s="108"/>
    </row>
    <row r="1174" spans="1:14">
      <c r="A1174" s="107"/>
      <c r="C1174" s="108"/>
      <c r="D1174" s="108"/>
      <c r="N1174" s="108"/>
    </row>
    <row r="1175" spans="1:14">
      <c r="A1175" s="107"/>
      <c r="C1175" s="108"/>
      <c r="D1175" s="108"/>
      <c r="N1175" s="108"/>
    </row>
    <row r="1176" spans="1:14">
      <c r="A1176" s="107"/>
      <c r="C1176" s="108"/>
      <c r="D1176" s="108"/>
      <c r="N1176" s="108"/>
    </row>
    <row r="1177" spans="1:14">
      <c r="A1177" s="107"/>
      <c r="C1177" s="108"/>
      <c r="D1177" s="108"/>
      <c r="N1177" s="108"/>
    </row>
    <row r="1178" spans="1:14">
      <c r="A1178" s="107"/>
      <c r="C1178" s="108"/>
      <c r="D1178" s="108"/>
      <c r="N1178" s="108"/>
    </row>
    <row r="1179" spans="1:14">
      <c r="A1179" s="107"/>
      <c r="C1179" s="108"/>
      <c r="D1179" s="108"/>
      <c r="N1179" s="108"/>
    </row>
    <row r="1180" spans="1:14">
      <c r="A1180" s="107"/>
      <c r="C1180" s="108"/>
      <c r="D1180" s="108"/>
      <c r="N1180" s="108"/>
    </row>
    <row r="1181" spans="1:14">
      <c r="A1181" s="107"/>
      <c r="C1181" s="108"/>
      <c r="D1181" s="108"/>
      <c r="N1181" s="108"/>
    </row>
    <row r="1182" spans="1:14">
      <c r="A1182" s="107"/>
      <c r="C1182" s="108"/>
      <c r="D1182" s="108"/>
      <c r="N1182" s="108"/>
    </row>
    <row r="1183" spans="1:14">
      <c r="A1183" s="107"/>
      <c r="C1183" s="108"/>
      <c r="D1183" s="108"/>
      <c r="N1183" s="108"/>
    </row>
    <row r="1184" spans="1:14">
      <c r="A1184" s="107"/>
      <c r="C1184" s="108"/>
      <c r="D1184" s="108"/>
      <c r="N1184" s="108"/>
    </row>
    <row r="1185" spans="1:14">
      <c r="A1185" s="107"/>
      <c r="C1185" s="108"/>
      <c r="D1185" s="108"/>
      <c r="N1185" s="108"/>
    </row>
    <row r="1186" spans="1:14">
      <c r="A1186" s="107"/>
      <c r="C1186" s="108"/>
      <c r="D1186" s="108"/>
      <c r="N1186" s="108"/>
    </row>
    <row r="1187" spans="1:14">
      <c r="A1187" s="107"/>
      <c r="C1187" s="108"/>
      <c r="D1187" s="108"/>
      <c r="N1187" s="108"/>
    </row>
    <row r="1188" spans="1:14">
      <c r="A1188" s="107"/>
      <c r="C1188" s="108"/>
      <c r="D1188" s="108"/>
      <c r="N1188" s="108"/>
    </row>
    <row r="1189" spans="1:14">
      <c r="A1189" s="107"/>
      <c r="C1189" s="108"/>
      <c r="D1189" s="108"/>
      <c r="N1189" s="108"/>
    </row>
    <row r="1190" spans="1:14">
      <c r="A1190" s="107"/>
      <c r="C1190" s="108"/>
      <c r="D1190" s="108"/>
      <c r="N1190" s="108"/>
    </row>
    <row r="1191" spans="1:14">
      <c r="A1191" s="107"/>
      <c r="C1191" s="108"/>
      <c r="D1191" s="108"/>
      <c r="N1191" s="108"/>
    </row>
    <row r="1192" spans="1:14">
      <c r="A1192" s="107"/>
      <c r="C1192" s="108"/>
      <c r="D1192" s="108"/>
      <c r="N1192" s="108"/>
    </row>
    <row r="1193" spans="1:14">
      <c r="A1193" s="107"/>
      <c r="C1193" s="108"/>
      <c r="D1193" s="108"/>
      <c r="N1193" s="108"/>
    </row>
    <row r="1194" spans="1:14">
      <c r="A1194" s="107"/>
      <c r="C1194" s="108"/>
      <c r="D1194" s="108"/>
      <c r="N1194" s="108"/>
    </row>
    <row r="1195" spans="1:14">
      <c r="A1195" s="107"/>
      <c r="C1195" s="108"/>
      <c r="D1195" s="108"/>
      <c r="N1195" s="108"/>
    </row>
    <row r="1196" spans="1:14">
      <c r="A1196" s="107"/>
      <c r="C1196" s="108"/>
      <c r="D1196" s="108"/>
      <c r="N1196" s="108"/>
    </row>
    <row r="1197" spans="1:14">
      <c r="A1197" s="107"/>
      <c r="C1197" s="108"/>
      <c r="D1197" s="108"/>
      <c r="N1197" s="108"/>
    </row>
    <row r="1198" spans="1:14">
      <c r="A1198" s="107"/>
      <c r="C1198" s="108"/>
      <c r="D1198" s="108"/>
      <c r="N1198" s="108"/>
    </row>
    <row r="1199" spans="1:14">
      <c r="A1199" s="107"/>
      <c r="C1199" s="108"/>
      <c r="D1199" s="108"/>
      <c r="N1199" s="108"/>
    </row>
    <row r="1200" spans="1:14">
      <c r="A1200" s="107"/>
      <c r="C1200" s="108"/>
      <c r="D1200" s="108"/>
      <c r="N1200" s="108"/>
    </row>
    <row r="1201" spans="1:14">
      <c r="A1201" s="107"/>
      <c r="C1201" s="108"/>
      <c r="D1201" s="108"/>
      <c r="N1201" s="108"/>
    </row>
    <row r="1202" spans="1:14">
      <c r="A1202" s="107"/>
      <c r="C1202" s="108"/>
      <c r="D1202" s="108"/>
      <c r="N1202" s="108"/>
    </row>
    <row r="1203" spans="1:14">
      <c r="A1203" s="107"/>
      <c r="C1203" s="108"/>
      <c r="D1203" s="108"/>
      <c r="N1203" s="108"/>
    </row>
    <row r="1204" spans="1:14">
      <c r="A1204" s="107"/>
      <c r="C1204" s="108"/>
      <c r="D1204" s="108"/>
      <c r="N1204" s="108"/>
    </row>
    <row r="1205" spans="1:14">
      <c r="A1205" s="107"/>
      <c r="C1205" s="108"/>
      <c r="D1205" s="108"/>
      <c r="N1205" s="108"/>
    </row>
    <row r="1206" spans="1:14">
      <c r="A1206" s="107"/>
      <c r="C1206" s="108"/>
      <c r="D1206" s="108"/>
      <c r="N1206" s="108"/>
    </row>
    <row r="1207" spans="1:14">
      <c r="A1207" s="107"/>
      <c r="C1207" s="108"/>
      <c r="D1207" s="108"/>
      <c r="N1207" s="108"/>
    </row>
    <row r="1208" spans="1:14">
      <c r="A1208" s="107"/>
      <c r="C1208" s="108"/>
      <c r="D1208" s="108"/>
      <c r="N1208" s="108"/>
    </row>
    <row r="1209" spans="1:14">
      <c r="A1209" s="107"/>
      <c r="C1209" s="108"/>
      <c r="D1209" s="108"/>
      <c r="N1209" s="108"/>
    </row>
    <row r="1210" spans="1:14">
      <c r="A1210" s="107"/>
      <c r="C1210" s="108"/>
      <c r="D1210" s="108"/>
      <c r="N1210" s="108"/>
    </row>
    <row r="1211" spans="1:14">
      <c r="A1211" s="107"/>
      <c r="C1211" s="108"/>
      <c r="D1211" s="108"/>
      <c r="N1211" s="108"/>
    </row>
    <row r="1212" spans="1:14">
      <c r="A1212" s="107"/>
      <c r="C1212" s="108"/>
      <c r="D1212" s="108"/>
      <c r="N1212" s="108"/>
    </row>
    <row r="1213" spans="1:14">
      <c r="A1213" s="107"/>
      <c r="C1213" s="108"/>
      <c r="D1213" s="108"/>
      <c r="N1213" s="108"/>
    </row>
    <row r="1214" spans="1:14">
      <c r="A1214" s="107"/>
      <c r="C1214" s="108"/>
      <c r="D1214" s="108"/>
      <c r="N1214" s="108"/>
    </row>
    <row r="1215" spans="1:14">
      <c r="A1215" s="107"/>
      <c r="C1215" s="108"/>
      <c r="D1215" s="108"/>
      <c r="N1215" s="108"/>
    </row>
    <row r="1216" spans="1:14">
      <c r="A1216" s="107"/>
      <c r="C1216" s="108"/>
      <c r="D1216" s="108"/>
      <c r="N1216" s="108"/>
    </row>
    <row r="1217" spans="1:14">
      <c r="A1217" s="107"/>
      <c r="C1217" s="108"/>
      <c r="D1217" s="108"/>
      <c r="N1217" s="108"/>
    </row>
    <row r="1218" spans="1:14">
      <c r="A1218" s="107"/>
      <c r="C1218" s="108"/>
      <c r="D1218" s="108"/>
      <c r="N1218" s="108"/>
    </row>
    <row r="1219" spans="1:14">
      <c r="A1219" s="107"/>
      <c r="C1219" s="108"/>
      <c r="D1219" s="108"/>
      <c r="N1219" s="108"/>
    </row>
    <row r="1220" spans="1:14">
      <c r="A1220" s="107"/>
      <c r="C1220" s="108"/>
      <c r="D1220" s="108"/>
      <c r="N1220" s="108"/>
    </row>
    <row r="1221" spans="1:14">
      <c r="A1221" s="107"/>
      <c r="C1221" s="108"/>
      <c r="D1221" s="108"/>
      <c r="N1221" s="108"/>
    </row>
    <row r="1222" spans="1:14">
      <c r="A1222" s="107"/>
      <c r="C1222" s="108"/>
      <c r="D1222" s="108"/>
      <c r="N1222" s="108"/>
    </row>
    <row r="1223" spans="1:14">
      <c r="A1223" s="107"/>
      <c r="C1223" s="108"/>
      <c r="D1223" s="108"/>
      <c r="N1223" s="108"/>
    </row>
    <row r="1224" spans="1:14">
      <c r="A1224" s="107"/>
      <c r="C1224" s="108"/>
      <c r="D1224" s="108"/>
      <c r="N1224" s="108"/>
    </row>
    <row r="1225" spans="1:14">
      <c r="A1225" s="107"/>
      <c r="C1225" s="108"/>
      <c r="D1225" s="108"/>
      <c r="N1225" s="108"/>
    </row>
    <row r="1226" spans="1:14">
      <c r="A1226" s="107"/>
      <c r="C1226" s="108"/>
      <c r="D1226" s="108"/>
      <c r="N1226" s="108"/>
    </row>
    <row r="1227" spans="1:14">
      <c r="A1227" s="107"/>
      <c r="C1227" s="108"/>
      <c r="D1227" s="108"/>
      <c r="N1227" s="108"/>
    </row>
    <row r="1228" spans="1:14">
      <c r="A1228" s="107"/>
      <c r="C1228" s="108"/>
      <c r="D1228" s="108"/>
      <c r="N1228" s="108"/>
    </row>
    <row r="1229" spans="1:14">
      <c r="A1229" s="107"/>
      <c r="C1229" s="108"/>
      <c r="D1229" s="108"/>
      <c r="N1229" s="108"/>
    </row>
    <row r="1230" spans="1:14">
      <c r="A1230" s="107"/>
      <c r="C1230" s="108"/>
      <c r="D1230" s="108"/>
      <c r="N1230" s="108"/>
    </row>
    <row r="1231" spans="1:14">
      <c r="A1231" s="107"/>
      <c r="C1231" s="108"/>
      <c r="D1231" s="108"/>
      <c r="N1231" s="108"/>
    </row>
    <row r="1232" spans="1:14">
      <c r="A1232" s="107"/>
      <c r="C1232" s="108"/>
      <c r="D1232" s="108"/>
      <c r="N1232" s="108"/>
    </row>
    <row r="1233" spans="1:14">
      <c r="A1233" s="107"/>
      <c r="C1233" s="108"/>
      <c r="D1233" s="108"/>
      <c r="N1233" s="108"/>
    </row>
    <row r="1234" spans="1:14">
      <c r="A1234" s="107"/>
      <c r="C1234" s="108"/>
      <c r="D1234" s="108"/>
      <c r="N1234" s="108"/>
    </row>
    <row r="1235" spans="1:14">
      <c r="A1235" s="107"/>
      <c r="C1235" s="108"/>
      <c r="D1235" s="108"/>
      <c r="N1235" s="108"/>
    </row>
    <row r="1236" spans="1:14">
      <c r="A1236" s="107"/>
      <c r="C1236" s="108"/>
      <c r="D1236" s="108"/>
      <c r="N1236" s="108"/>
    </row>
    <row r="1237" spans="1:14">
      <c r="A1237" s="107"/>
      <c r="C1237" s="108"/>
      <c r="D1237" s="108"/>
      <c r="N1237" s="108"/>
    </row>
    <row r="1238" spans="1:14">
      <c r="A1238" s="107"/>
      <c r="C1238" s="108"/>
      <c r="D1238" s="108"/>
      <c r="N1238" s="108"/>
    </row>
    <row r="1239" spans="1:14">
      <c r="A1239" s="107"/>
      <c r="C1239" s="108"/>
      <c r="D1239" s="108"/>
      <c r="N1239" s="108"/>
    </row>
    <row r="1240" spans="1:14">
      <c r="A1240" s="107"/>
      <c r="C1240" s="108"/>
      <c r="D1240" s="108"/>
      <c r="N1240" s="108"/>
    </row>
    <row r="1241" spans="1:14">
      <c r="A1241" s="107"/>
      <c r="C1241" s="108"/>
      <c r="D1241" s="108"/>
      <c r="N1241" s="108"/>
    </row>
    <row r="1242" spans="1:14">
      <c r="A1242" s="107"/>
      <c r="C1242" s="108"/>
      <c r="D1242" s="108"/>
      <c r="N1242" s="108"/>
    </row>
    <row r="1243" spans="1:14">
      <c r="A1243" s="107"/>
      <c r="C1243" s="108"/>
      <c r="D1243" s="108"/>
      <c r="N1243" s="108"/>
    </row>
    <row r="1244" spans="1:14">
      <c r="A1244" s="107"/>
      <c r="C1244" s="108"/>
      <c r="D1244" s="108"/>
      <c r="N1244" s="108"/>
    </row>
    <row r="1245" spans="1:14">
      <c r="A1245" s="107"/>
      <c r="C1245" s="108"/>
      <c r="D1245" s="108"/>
      <c r="N1245" s="108"/>
    </row>
    <row r="1246" spans="1:14">
      <c r="A1246" s="107"/>
      <c r="C1246" s="108"/>
      <c r="D1246" s="108"/>
      <c r="N1246" s="108"/>
    </row>
    <row r="1247" spans="1:14">
      <c r="A1247" s="107"/>
      <c r="C1247" s="108"/>
      <c r="D1247" s="108"/>
      <c r="N1247" s="108"/>
    </row>
    <row r="1248" spans="1:14">
      <c r="A1248" s="107"/>
      <c r="C1248" s="108"/>
      <c r="D1248" s="108"/>
      <c r="N1248" s="108"/>
    </row>
    <row r="1249" spans="1:14">
      <c r="A1249" s="107"/>
      <c r="C1249" s="108"/>
      <c r="D1249" s="108"/>
      <c r="N1249" s="108"/>
    </row>
    <row r="1250" spans="1:14">
      <c r="A1250" s="107"/>
      <c r="C1250" s="108"/>
      <c r="D1250" s="108"/>
      <c r="N1250" s="108"/>
    </row>
    <row r="1251" spans="1:14">
      <c r="A1251" s="107"/>
      <c r="C1251" s="108"/>
      <c r="D1251" s="108"/>
      <c r="N1251" s="108"/>
    </row>
    <row r="1252" spans="1:14">
      <c r="A1252" s="107"/>
      <c r="C1252" s="108"/>
      <c r="D1252" s="108"/>
      <c r="N1252" s="108"/>
    </row>
    <row r="1253" spans="1:14">
      <c r="A1253" s="107"/>
      <c r="C1253" s="108"/>
      <c r="D1253" s="108"/>
      <c r="N1253" s="108"/>
    </row>
    <row r="1254" spans="1:14">
      <c r="A1254" s="107"/>
      <c r="C1254" s="108"/>
      <c r="D1254" s="108"/>
      <c r="N1254" s="108"/>
    </row>
    <row r="1255" spans="1:14">
      <c r="A1255" s="107"/>
      <c r="C1255" s="108"/>
      <c r="D1255" s="108"/>
      <c r="N1255" s="108"/>
    </row>
    <row r="1256" spans="1:14">
      <c r="A1256" s="107"/>
      <c r="C1256" s="108"/>
      <c r="D1256" s="108"/>
      <c r="N1256" s="108"/>
    </row>
    <row r="1257" spans="1:14">
      <c r="A1257" s="107"/>
      <c r="C1257" s="108"/>
      <c r="D1257" s="108"/>
      <c r="N1257" s="108"/>
    </row>
    <row r="1258" spans="1:14">
      <c r="A1258" s="107"/>
      <c r="C1258" s="108"/>
      <c r="D1258" s="108"/>
      <c r="N1258" s="108"/>
    </row>
    <row r="1259" spans="1:14">
      <c r="A1259" s="107"/>
      <c r="C1259" s="108"/>
      <c r="D1259" s="108"/>
      <c r="N1259" s="108"/>
    </row>
    <row r="1260" spans="1:14">
      <c r="A1260" s="107"/>
      <c r="C1260" s="108"/>
      <c r="D1260" s="108"/>
      <c r="N1260" s="108"/>
    </row>
    <row r="1261" spans="1:14">
      <c r="A1261" s="107"/>
      <c r="C1261" s="108"/>
      <c r="D1261" s="108"/>
      <c r="N1261" s="108"/>
    </row>
    <row r="1262" spans="1:14">
      <c r="A1262" s="107"/>
      <c r="C1262" s="108"/>
      <c r="D1262" s="108"/>
      <c r="N1262" s="108"/>
    </row>
    <row r="1263" spans="1:14">
      <c r="A1263" s="107"/>
      <c r="C1263" s="108"/>
      <c r="D1263" s="108"/>
      <c r="N1263" s="108"/>
    </row>
    <row r="1264" spans="1:14">
      <c r="A1264" s="107"/>
      <c r="C1264" s="108"/>
      <c r="D1264" s="108"/>
      <c r="N1264" s="108"/>
    </row>
    <row r="1265" spans="1:14">
      <c r="A1265" s="107"/>
      <c r="C1265" s="108"/>
      <c r="D1265" s="108"/>
      <c r="N1265" s="108"/>
    </row>
    <row r="1266" spans="1:14">
      <c r="A1266" s="107"/>
      <c r="C1266" s="108"/>
      <c r="D1266" s="108"/>
      <c r="N1266" s="108"/>
    </row>
    <row r="1267" spans="1:14">
      <c r="A1267" s="107"/>
      <c r="C1267" s="108"/>
      <c r="D1267" s="108"/>
      <c r="N1267" s="108"/>
    </row>
    <row r="1268" spans="1:14">
      <c r="A1268" s="107"/>
      <c r="C1268" s="108"/>
      <c r="D1268" s="108"/>
      <c r="N1268" s="108"/>
    </row>
    <row r="1269" spans="1:14">
      <c r="A1269" s="107"/>
      <c r="C1269" s="108"/>
      <c r="D1269" s="108"/>
      <c r="N1269" s="108"/>
    </row>
    <row r="1270" spans="1:14">
      <c r="A1270" s="107"/>
      <c r="C1270" s="108"/>
      <c r="D1270" s="108"/>
      <c r="N1270" s="108"/>
    </row>
    <row r="1271" spans="1:14">
      <c r="A1271" s="107"/>
      <c r="C1271" s="108"/>
      <c r="D1271" s="108"/>
      <c r="N1271" s="108"/>
    </row>
    <row r="1272" spans="1:14">
      <c r="A1272" s="107"/>
      <c r="C1272" s="108"/>
      <c r="D1272" s="108"/>
      <c r="N1272" s="108"/>
    </row>
    <row r="1273" spans="1:14">
      <c r="A1273" s="107"/>
      <c r="C1273" s="108"/>
      <c r="D1273" s="108"/>
      <c r="N1273" s="108"/>
    </row>
    <row r="1274" spans="1:14">
      <c r="A1274" s="107"/>
      <c r="C1274" s="108"/>
      <c r="D1274" s="108"/>
      <c r="N1274" s="108"/>
    </row>
    <row r="1275" spans="1:14">
      <c r="A1275" s="107"/>
      <c r="C1275" s="108"/>
      <c r="D1275" s="108"/>
      <c r="N1275" s="108"/>
    </row>
    <row r="1276" spans="1:14">
      <c r="A1276" s="107"/>
      <c r="C1276" s="108"/>
      <c r="D1276" s="108"/>
      <c r="N1276" s="108"/>
    </row>
    <row r="1277" spans="1:14">
      <c r="A1277" s="107"/>
      <c r="C1277" s="108"/>
      <c r="D1277" s="108"/>
      <c r="N1277" s="108"/>
    </row>
    <row r="1278" spans="1:14">
      <c r="A1278" s="107"/>
      <c r="C1278" s="108"/>
      <c r="D1278" s="108"/>
      <c r="N1278" s="108"/>
    </row>
    <row r="1279" spans="1:14">
      <c r="A1279" s="107"/>
      <c r="C1279" s="108"/>
      <c r="D1279" s="108"/>
      <c r="N1279" s="108"/>
    </row>
    <row r="1280" spans="1:14">
      <c r="A1280" s="107"/>
      <c r="C1280" s="108"/>
      <c r="D1280" s="108"/>
      <c r="N1280" s="108"/>
    </row>
    <row r="1281" spans="1:14">
      <c r="A1281" s="107"/>
      <c r="C1281" s="108"/>
      <c r="D1281" s="108"/>
      <c r="N1281" s="108"/>
    </row>
    <row r="1282" spans="1:14">
      <c r="A1282" s="107"/>
      <c r="C1282" s="108"/>
      <c r="D1282" s="108"/>
      <c r="N1282" s="108"/>
    </row>
    <row r="1283" spans="1:14">
      <c r="A1283" s="107"/>
      <c r="C1283" s="108"/>
      <c r="D1283" s="108"/>
      <c r="N1283" s="108"/>
    </row>
    <row r="1284" spans="1:14">
      <c r="A1284" s="107"/>
      <c r="C1284" s="108"/>
      <c r="D1284" s="108"/>
      <c r="N1284" s="108"/>
    </row>
    <row r="1285" spans="1:14">
      <c r="A1285" s="107"/>
      <c r="C1285" s="108"/>
      <c r="D1285" s="108"/>
      <c r="N1285" s="108"/>
    </row>
    <row r="1286" spans="1:14">
      <c r="A1286" s="107"/>
      <c r="C1286" s="108"/>
      <c r="D1286" s="108"/>
      <c r="N1286" s="108"/>
    </row>
    <row r="1287" spans="1:14">
      <c r="A1287" s="107"/>
      <c r="C1287" s="108"/>
      <c r="D1287" s="108"/>
      <c r="N1287" s="108"/>
    </row>
    <row r="1288" spans="1:14">
      <c r="A1288" s="107"/>
      <c r="C1288" s="108"/>
      <c r="D1288" s="108"/>
      <c r="N1288" s="108"/>
    </row>
    <row r="1289" spans="1:14">
      <c r="A1289" s="107"/>
      <c r="C1289" s="108"/>
      <c r="D1289" s="108"/>
      <c r="N1289" s="108"/>
    </row>
    <row r="1290" spans="1:14">
      <c r="A1290" s="107"/>
      <c r="C1290" s="108"/>
      <c r="D1290" s="108"/>
      <c r="N1290" s="108"/>
    </row>
    <row r="1291" spans="1:14">
      <c r="A1291" s="107"/>
      <c r="C1291" s="108"/>
      <c r="D1291" s="108"/>
      <c r="N1291" s="108"/>
    </row>
    <row r="1292" spans="1:14">
      <c r="A1292" s="107"/>
      <c r="C1292" s="108"/>
      <c r="D1292" s="108"/>
      <c r="N1292" s="108"/>
    </row>
    <row r="1293" spans="1:14">
      <c r="A1293" s="107"/>
      <c r="C1293" s="108"/>
      <c r="D1293" s="108"/>
      <c r="N1293" s="108"/>
    </row>
    <row r="1294" spans="1:14">
      <c r="A1294" s="107"/>
      <c r="C1294" s="108"/>
      <c r="D1294" s="108"/>
      <c r="N1294" s="108"/>
    </row>
    <row r="1295" spans="1:14">
      <c r="A1295" s="107"/>
      <c r="C1295" s="108"/>
      <c r="D1295" s="108"/>
      <c r="N1295" s="108"/>
    </row>
    <row r="1296" spans="1:14">
      <c r="A1296" s="107"/>
      <c r="C1296" s="108"/>
      <c r="D1296" s="108"/>
      <c r="N1296" s="108"/>
    </row>
    <row r="1297" spans="1:14">
      <c r="A1297" s="107"/>
      <c r="C1297" s="108"/>
      <c r="D1297" s="108"/>
      <c r="N1297" s="108"/>
    </row>
    <row r="1298" spans="1:14">
      <c r="A1298" s="107"/>
      <c r="C1298" s="108"/>
      <c r="D1298" s="108"/>
      <c r="N1298" s="108"/>
    </row>
    <row r="1299" spans="1:14">
      <c r="A1299" s="107"/>
      <c r="C1299" s="108"/>
      <c r="D1299" s="108"/>
      <c r="N1299" s="108"/>
    </row>
    <row r="1300" spans="1:14">
      <c r="A1300" s="107"/>
      <c r="C1300" s="108"/>
      <c r="D1300" s="108"/>
      <c r="N1300" s="108"/>
    </row>
    <row r="1301" spans="1:14">
      <c r="A1301" s="107"/>
      <c r="C1301" s="108"/>
      <c r="D1301" s="108"/>
      <c r="N1301" s="108"/>
    </row>
    <row r="1302" spans="1:14">
      <c r="A1302" s="107"/>
      <c r="C1302" s="108"/>
      <c r="D1302" s="108"/>
      <c r="N1302" s="108"/>
    </row>
    <row r="1303" spans="1:14">
      <c r="A1303" s="107"/>
      <c r="C1303" s="108"/>
      <c r="D1303" s="108"/>
      <c r="N1303" s="108"/>
    </row>
    <row r="1304" spans="1:14">
      <c r="A1304" s="107"/>
      <c r="C1304" s="108"/>
      <c r="D1304" s="108"/>
      <c r="N1304" s="108"/>
    </row>
    <row r="1305" spans="1:14">
      <c r="A1305" s="107"/>
      <c r="C1305" s="108"/>
      <c r="D1305" s="108"/>
      <c r="N1305" s="108"/>
    </row>
    <row r="1306" spans="1:14">
      <c r="A1306" s="107"/>
      <c r="C1306" s="108"/>
      <c r="D1306" s="108"/>
      <c r="N1306" s="108"/>
    </row>
    <row r="1307" spans="1:14">
      <c r="A1307" s="107"/>
      <c r="C1307" s="108"/>
      <c r="D1307" s="108"/>
      <c r="N1307" s="108"/>
    </row>
    <row r="1308" spans="1:14">
      <c r="A1308" s="107"/>
      <c r="C1308" s="108"/>
      <c r="D1308" s="108"/>
      <c r="N1308" s="108"/>
    </row>
    <row r="1309" spans="1:14">
      <c r="A1309" s="107"/>
      <c r="C1309" s="108"/>
      <c r="D1309" s="108"/>
      <c r="N1309" s="108"/>
    </row>
    <row r="1310" spans="1:14">
      <c r="A1310" s="107"/>
      <c r="C1310" s="108"/>
      <c r="D1310" s="108"/>
      <c r="N1310" s="108"/>
    </row>
    <row r="1311" spans="1:14">
      <c r="A1311" s="107"/>
      <c r="C1311" s="108"/>
      <c r="D1311" s="108"/>
      <c r="N1311" s="108"/>
    </row>
    <row r="1312" spans="1:14">
      <c r="A1312" s="107"/>
      <c r="C1312" s="108"/>
      <c r="D1312" s="108"/>
      <c r="N1312" s="108"/>
    </row>
    <row r="1313" spans="1:14">
      <c r="A1313" s="107"/>
      <c r="C1313" s="108"/>
      <c r="D1313" s="108"/>
      <c r="N1313" s="108"/>
    </row>
    <row r="1314" spans="1:14">
      <c r="A1314" s="107"/>
      <c r="C1314" s="108"/>
      <c r="D1314" s="108"/>
      <c r="N1314" s="108"/>
    </row>
    <row r="1315" spans="1:14">
      <c r="A1315" s="107"/>
      <c r="C1315" s="108"/>
      <c r="D1315" s="108"/>
      <c r="N1315" s="108"/>
    </row>
    <row r="1316" spans="1:14">
      <c r="A1316" s="107"/>
      <c r="C1316" s="108"/>
      <c r="D1316" s="108"/>
      <c r="N1316" s="108"/>
    </row>
    <row r="1317" spans="1:14">
      <c r="A1317" s="107"/>
      <c r="C1317" s="108"/>
      <c r="D1317" s="108"/>
      <c r="N1317" s="108"/>
    </row>
    <row r="1318" spans="1:14">
      <c r="A1318" s="107"/>
      <c r="C1318" s="108"/>
      <c r="D1318" s="108"/>
      <c r="N1318" s="108"/>
    </row>
    <row r="1319" spans="1:14">
      <c r="A1319" s="107"/>
      <c r="C1319" s="108"/>
      <c r="D1319" s="108"/>
      <c r="N1319" s="108"/>
    </row>
    <row r="1320" spans="1:14">
      <c r="A1320" s="107"/>
      <c r="C1320" s="108"/>
      <c r="D1320" s="108"/>
      <c r="N1320" s="108"/>
    </row>
    <row r="1321" spans="1:14">
      <c r="A1321" s="107"/>
      <c r="C1321" s="108"/>
      <c r="D1321" s="108"/>
      <c r="N1321" s="108"/>
    </row>
    <row r="1322" spans="1:14">
      <c r="A1322" s="107"/>
      <c r="C1322" s="108"/>
      <c r="D1322" s="108"/>
      <c r="N1322" s="108"/>
    </row>
    <row r="1323" spans="1:14">
      <c r="A1323" s="107"/>
      <c r="C1323" s="108"/>
      <c r="D1323" s="108"/>
      <c r="N1323" s="108"/>
    </row>
    <row r="1324" spans="1:14">
      <c r="A1324" s="107"/>
      <c r="C1324" s="108"/>
      <c r="D1324" s="108"/>
      <c r="N1324" s="108"/>
    </row>
    <row r="1325" spans="1:14">
      <c r="A1325" s="107"/>
      <c r="C1325" s="108"/>
      <c r="D1325" s="108"/>
      <c r="N1325" s="108"/>
    </row>
    <row r="1326" spans="1:14">
      <c r="A1326" s="107"/>
      <c r="C1326" s="108"/>
      <c r="D1326" s="108"/>
      <c r="N1326" s="108"/>
    </row>
    <row r="1327" spans="1:14">
      <c r="A1327" s="107"/>
      <c r="C1327" s="108"/>
      <c r="D1327" s="108"/>
      <c r="N1327" s="108"/>
    </row>
    <row r="1328" spans="1:14">
      <c r="A1328" s="107"/>
      <c r="C1328" s="108"/>
      <c r="D1328" s="108"/>
      <c r="N1328" s="108"/>
    </row>
    <row r="1329" spans="1:14">
      <c r="A1329" s="107"/>
      <c r="C1329" s="108"/>
      <c r="D1329" s="108"/>
      <c r="N1329" s="108"/>
    </row>
    <row r="1330" spans="1:14">
      <c r="A1330" s="107"/>
      <c r="C1330" s="108"/>
      <c r="D1330" s="108"/>
      <c r="N1330" s="108"/>
    </row>
    <row r="1331" spans="1:14">
      <c r="A1331" s="107"/>
      <c r="C1331" s="108"/>
      <c r="D1331" s="108"/>
      <c r="N1331" s="108"/>
    </row>
    <row r="1332" spans="1:14">
      <c r="A1332" s="107"/>
      <c r="C1332" s="108"/>
      <c r="D1332" s="108"/>
      <c r="N1332" s="108"/>
    </row>
    <row r="1333" spans="1:14">
      <c r="A1333" s="107"/>
      <c r="C1333" s="108"/>
      <c r="D1333" s="108"/>
      <c r="N1333" s="108"/>
    </row>
    <row r="1334" spans="1:14">
      <c r="A1334" s="107"/>
      <c r="C1334" s="108"/>
      <c r="D1334" s="108"/>
      <c r="N1334" s="108"/>
    </row>
    <row r="1335" spans="1:14">
      <c r="A1335" s="107"/>
      <c r="C1335" s="108"/>
      <c r="D1335" s="108"/>
      <c r="N1335" s="108"/>
    </row>
    <row r="1336" spans="1:14">
      <c r="A1336" s="107"/>
      <c r="C1336" s="108"/>
      <c r="D1336" s="108"/>
      <c r="N1336" s="108"/>
    </row>
    <row r="1337" spans="1:14">
      <c r="A1337" s="107"/>
      <c r="C1337" s="108"/>
      <c r="D1337" s="108"/>
      <c r="N1337" s="108"/>
    </row>
    <row r="1338" spans="1:14">
      <c r="A1338" s="107"/>
      <c r="C1338" s="108"/>
      <c r="D1338" s="108"/>
      <c r="N1338" s="108"/>
    </row>
    <row r="1339" spans="1:14">
      <c r="A1339" s="107"/>
      <c r="C1339" s="108"/>
      <c r="D1339" s="108"/>
      <c r="N1339" s="108"/>
    </row>
    <row r="1340" spans="1:14">
      <c r="A1340" s="107"/>
      <c r="C1340" s="108"/>
      <c r="D1340" s="108"/>
      <c r="N1340" s="108"/>
    </row>
    <row r="1341" spans="1:14">
      <c r="A1341" s="107"/>
      <c r="C1341" s="108"/>
      <c r="D1341" s="108"/>
      <c r="N1341" s="108"/>
    </row>
    <row r="1342" spans="1:14">
      <c r="A1342" s="107"/>
      <c r="C1342" s="108"/>
      <c r="D1342" s="108"/>
      <c r="N1342" s="108"/>
    </row>
    <row r="1343" spans="1:14">
      <c r="A1343" s="107"/>
      <c r="C1343" s="108"/>
      <c r="D1343" s="108"/>
      <c r="N1343" s="108"/>
    </row>
    <row r="1344" spans="1:14">
      <c r="A1344" s="107"/>
      <c r="C1344" s="108"/>
      <c r="D1344" s="108"/>
      <c r="N1344" s="108"/>
    </row>
    <row r="1345" spans="1:14">
      <c r="A1345" s="107"/>
      <c r="C1345" s="108"/>
      <c r="D1345" s="108"/>
      <c r="N1345" s="108"/>
    </row>
    <row r="1346" spans="1:14">
      <c r="A1346" s="107"/>
      <c r="C1346" s="108"/>
      <c r="D1346" s="108"/>
      <c r="N1346" s="108"/>
    </row>
    <row r="1347" spans="1:14">
      <c r="A1347" s="107"/>
      <c r="C1347" s="108"/>
      <c r="D1347" s="108"/>
      <c r="N1347" s="108"/>
    </row>
    <row r="1348" spans="1:14">
      <c r="A1348" s="107"/>
      <c r="C1348" s="108"/>
      <c r="D1348" s="108"/>
      <c r="N1348" s="108"/>
    </row>
    <row r="1349" spans="1:14">
      <c r="A1349" s="107"/>
      <c r="C1349" s="108"/>
      <c r="D1349" s="108"/>
      <c r="N1349" s="108"/>
    </row>
    <row r="1350" spans="1:14">
      <c r="A1350" s="107"/>
      <c r="C1350" s="108"/>
      <c r="D1350" s="108"/>
      <c r="N1350" s="108"/>
    </row>
    <row r="1351" spans="1:14">
      <c r="A1351" s="107"/>
      <c r="C1351" s="108"/>
      <c r="D1351" s="108"/>
      <c r="N1351" s="108"/>
    </row>
    <row r="1352" spans="1:14">
      <c r="A1352" s="107"/>
      <c r="C1352" s="108"/>
      <c r="D1352" s="108"/>
      <c r="N1352" s="108"/>
    </row>
    <row r="1353" spans="1:14">
      <c r="A1353" s="107"/>
      <c r="C1353" s="108"/>
      <c r="D1353" s="108"/>
      <c r="N1353" s="108"/>
    </row>
    <row r="1354" spans="1:14">
      <c r="A1354" s="107"/>
      <c r="C1354" s="108"/>
      <c r="D1354" s="108"/>
      <c r="N1354" s="108"/>
    </row>
    <row r="1355" spans="1:14">
      <c r="A1355" s="107"/>
      <c r="C1355" s="108"/>
      <c r="D1355" s="108"/>
      <c r="N1355" s="108"/>
    </row>
    <row r="1356" spans="1:14">
      <c r="A1356" s="107"/>
      <c r="C1356" s="108"/>
      <c r="D1356" s="108"/>
      <c r="N1356" s="108"/>
    </row>
    <row r="1357" spans="1:14">
      <c r="A1357" s="107"/>
      <c r="C1357" s="108"/>
      <c r="D1357" s="108"/>
      <c r="N1357" s="108"/>
    </row>
    <row r="1358" spans="1:14">
      <c r="A1358" s="107"/>
      <c r="C1358" s="108"/>
      <c r="D1358" s="108"/>
      <c r="N1358" s="108"/>
    </row>
    <row r="1359" spans="1:14">
      <c r="A1359" s="107"/>
      <c r="C1359" s="108"/>
      <c r="D1359" s="108"/>
      <c r="N1359" s="108"/>
    </row>
    <row r="1360" spans="1:14">
      <c r="A1360" s="107"/>
      <c r="C1360" s="108"/>
      <c r="D1360" s="108"/>
      <c r="N1360" s="108"/>
    </row>
    <row r="1361" spans="1:14">
      <c r="A1361" s="107"/>
      <c r="C1361" s="108"/>
      <c r="D1361" s="108"/>
      <c r="N1361" s="108"/>
    </row>
    <row r="1362" spans="1:14">
      <c r="A1362" s="107"/>
      <c r="C1362" s="108"/>
      <c r="D1362" s="108"/>
      <c r="N1362" s="108"/>
    </row>
    <row r="1363" spans="1:14">
      <c r="A1363" s="107"/>
      <c r="C1363" s="108"/>
      <c r="D1363" s="108"/>
      <c r="N1363" s="108"/>
    </row>
    <row r="1364" spans="1:14">
      <c r="A1364" s="107"/>
      <c r="C1364" s="108"/>
      <c r="D1364" s="108"/>
      <c r="N1364" s="108"/>
    </row>
    <row r="1365" spans="1:14">
      <c r="A1365" s="107"/>
      <c r="C1365" s="108"/>
      <c r="D1365" s="108"/>
      <c r="N1365" s="108"/>
    </row>
    <row r="1366" spans="1:14">
      <c r="A1366" s="107"/>
      <c r="C1366" s="108"/>
      <c r="D1366" s="108"/>
      <c r="N1366" s="108"/>
    </row>
    <row r="1367" spans="1:14">
      <c r="A1367" s="107"/>
      <c r="C1367" s="108"/>
      <c r="D1367" s="108"/>
      <c r="N1367" s="108"/>
    </row>
    <row r="1368" spans="1:14">
      <c r="A1368" s="107"/>
      <c r="C1368" s="108"/>
      <c r="D1368" s="108"/>
      <c r="N1368" s="108"/>
    </row>
    <row r="1369" spans="1:14">
      <c r="A1369" s="107"/>
      <c r="C1369" s="108"/>
      <c r="D1369" s="108"/>
      <c r="N1369" s="108"/>
    </row>
    <row r="1370" spans="1:14">
      <c r="A1370" s="107"/>
      <c r="C1370" s="108"/>
      <c r="D1370" s="108"/>
      <c r="N1370" s="108"/>
    </row>
    <row r="1371" spans="1:14">
      <c r="A1371" s="107"/>
      <c r="C1371" s="108"/>
      <c r="D1371" s="108"/>
      <c r="N1371" s="108"/>
    </row>
    <row r="1372" spans="1:14">
      <c r="A1372" s="107"/>
      <c r="C1372" s="108"/>
      <c r="D1372" s="108"/>
      <c r="N1372" s="108"/>
    </row>
    <row r="1373" spans="1:14">
      <c r="A1373" s="107"/>
      <c r="C1373" s="108"/>
      <c r="D1373" s="108"/>
      <c r="N1373" s="108"/>
    </row>
    <row r="1374" spans="1:14">
      <c r="A1374" s="107"/>
      <c r="C1374" s="108"/>
      <c r="D1374" s="108"/>
      <c r="N1374" s="108"/>
    </row>
    <row r="1375" spans="1:14">
      <c r="A1375" s="107"/>
      <c r="C1375" s="108"/>
      <c r="D1375" s="108"/>
      <c r="N1375" s="108"/>
    </row>
    <row r="1376" spans="1:14">
      <c r="A1376" s="107"/>
      <c r="C1376" s="108"/>
      <c r="D1376" s="108"/>
      <c r="N1376" s="108"/>
    </row>
    <row r="1377" spans="1:14">
      <c r="A1377" s="107"/>
      <c r="C1377" s="108"/>
      <c r="D1377" s="108"/>
      <c r="N1377" s="108"/>
    </row>
    <row r="1378" spans="1:14">
      <c r="A1378" s="107"/>
      <c r="C1378" s="108"/>
      <c r="D1378" s="108"/>
      <c r="N1378" s="108"/>
    </row>
    <row r="1379" spans="1:14">
      <c r="A1379" s="107"/>
      <c r="C1379" s="108"/>
      <c r="D1379" s="108"/>
      <c r="N1379" s="108"/>
    </row>
    <row r="1380" spans="1:14">
      <c r="A1380" s="107"/>
      <c r="C1380" s="108"/>
      <c r="D1380" s="108"/>
      <c r="N1380" s="108"/>
    </row>
    <row r="1381" spans="1:14">
      <c r="A1381" s="107"/>
      <c r="C1381" s="108"/>
      <c r="D1381" s="108"/>
      <c r="N1381" s="108"/>
    </row>
    <row r="1382" spans="1:14">
      <c r="A1382" s="107"/>
      <c r="C1382" s="108"/>
      <c r="D1382" s="108"/>
      <c r="N1382" s="108"/>
    </row>
    <row r="1383" spans="1:14">
      <c r="A1383" s="107"/>
      <c r="C1383" s="108"/>
      <c r="D1383" s="108"/>
      <c r="N1383" s="108"/>
    </row>
    <row r="1384" spans="1:14">
      <c r="A1384" s="107"/>
      <c r="C1384" s="108"/>
      <c r="D1384" s="108"/>
      <c r="N1384" s="108"/>
    </row>
    <row r="1385" spans="1:14">
      <c r="A1385" s="107"/>
      <c r="C1385" s="108"/>
      <c r="D1385" s="108"/>
      <c r="N1385" s="108"/>
    </row>
    <row r="1386" spans="1:14">
      <c r="A1386" s="107"/>
      <c r="C1386" s="108"/>
      <c r="D1386" s="108"/>
      <c r="N1386" s="108"/>
    </row>
    <row r="1387" spans="1:14">
      <c r="A1387" s="107"/>
      <c r="C1387" s="108"/>
      <c r="D1387" s="108"/>
      <c r="N1387" s="108"/>
    </row>
    <row r="1388" spans="1:14">
      <c r="A1388" s="107"/>
      <c r="C1388" s="108"/>
      <c r="D1388" s="108"/>
      <c r="N1388" s="108"/>
    </row>
    <row r="1389" spans="1:14">
      <c r="A1389" s="107"/>
      <c r="C1389" s="108"/>
      <c r="D1389" s="108"/>
      <c r="N1389" s="108"/>
    </row>
    <row r="1390" spans="1:14">
      <c r="A1390" s="107"/>
      <c r="C1390" s="108"/>
      <c r="D1390" s="108"/>
      <c r="N1390" s="108"/>
    </row>
    <row r="1391" spans="1:14">
      <c r="A1391" s="107"/>
      <c r="C1391" s="108"/>
      <c r="D1391" s="108"/>
      <c r="N1391" s="108"/>
    </row>
    <row r="1392" spans="1:14">
      <c r="A1392" s="107"/>
      <c r="C1392" s="108"/>
      <c r="D1392" s="108"/>
      <c r="N1392" s="108"/>
    </row>
    <row r="1393" spans="1:14">
      <c r="A1393" s="107"/>
      <c r="C1393" s="108"/>
      <c r="D1393" s="108"/>
      <c r="N1393" s="108"/>
    </row>
    <row r="1394" spans="1:14">
      <c r="A1394" s="107"/>
      <c r="C1394" s="108"/>
      <c r="D1394" s="108"/>
      <c r="N1394" s="108"/>
    </row>
    <row r="1395" spans="1:14">
      <c r="A1395" s="107"/>
      <c r="C1395" s="108"/>
      <c r="D1395" s="108"/>
      <c r="N1395" s="108"/>
    </row>
    <row r="1396" spans="1:14">
      <c r="A1396" s="107"/>
      <c r="C1396" s="108"/>
      <c r="D1396" s="108"/>
      <c r="N1396" s="108"/>
    </row>
    <row r="1397" spans="1:14">
      <c r="A1397" s="107"/>
      <c r="C1397" s="108"/>
      <c r="D1397" s="108"/>
      <c r="N1397" s="108"/>
    </row>
    <row r="1398" spans="1:14">
      <c r="A1398" s="107"/>
      <c r="C1398" s="108"/>
      <c r="D1398" s="108"/>
      <c r="N1398" s="108"/>
    </row>
    <row r="1399" spans="1:14">
      <c r="A1399" s="107"/>
      <c r="C1399" s="108"/>
      <c r="D1399" s="108"/>
      <c r="N1399" s="108"/>
    </row>
    <row r="1400" spans="1:14">
      <c r="A1400" s="107"/>
      <c r="C1400" s="108"/>
      <c r="D1400" s="108"/>
      <c r="N1400" s="108"/>
    </row>
    <row r="1401" spans="1:14">
      <c r="A1401" s="107"/>
      <c r="C1401" s="108"/>
      <c r="D1401" s="108"/>
      <c r="N1401" s="108"/>
    </row>
    <row r="1402" spans="1:14">
      <c r="A1402" s="107"/>
      <c r="C1402" s="108"/>
      <c r="D1402" s="108"/>
      <c r="N1402" s="108"/>
    </row>
    <row r="1403" spans="1:14">
      <c r="A1403" s="107"/>
      <c r="C1403" s="108"/>
      <c r="D1403" s="108"/>
      <c r="N1403" s="108"/>
    </row>
    <row r="1404" spans="1:14">
      <c r="A1404" s="107"/>
      <c r="C1404" s="108"/>
      <c r="D1404" s="108"/>
      <c r="N1404" s="108"/>
    </row>
    <row r="1405" spans="1:14">
      <c r="A1405" s="107"/>
      <c r="C1405" s="108"/>
      <c r="D1405" s="108"/>
      <c r="N1405" s="108"/>
    </row>
    <row r="1406" spans="1:14">
      <c r="A1406" s="107"/>
      <c r="C1406" s="108"/>
      <c r="D1406" s="108"/>
      <c r="N1406" s="108"/>
    </row>
    <row r="1407" spans="1:14">
      <c r="A1407" s="107"/>
      <c r="C1407" s="108"/>
      <c r="D1407" s="108"/>
      <c r="N1407" s="108"/>
    </row>
    <row r="1408" spans="1:14">
      <c r="A1408" s="107"/>
      <c r="C1408" s="108"/>
      <c r="D1408" s="108"/>
      <c r="N1408" s="108"/>
    </row>
    <row r="1409" spans="1:14">
      <c r="A1409" s="107"/>
      <c r="C1409" s="108"/>
      <c r="D1409" s="108"/>
      <c r="N1409" s="108"/>
    </row>
    <row r="1410" spans="1:14">
      <c r="A1410" s="107"/>
      <c r="C1410" s="108"/>
      <c r="D1410" s="108"/>
      <c r="N1410" s="108"/>
    </row>
    <row r="1411" spans="1:14">
      <c r="A1411" s="107"/>
      <c r="C1411" s="108"/>
      <c r="D1411" s="108"/>
      <c r="N1411" s="108"/>
    </row>
    <row r="1412" spans="1:14">
      <c r="A1412" s="107"/>
      <c r="C1412" s="108"/>
      <c r="D1412" s="108"/>
      <c r="N1412" s="108"/>
    </row>
    <row r="1413" spans="1:14">
      <c r="A1413" s="107"/>
      <c r="C1413" s="108"/>
      <c r="D1413" s="108"/>
      <c r="N1413" s="108"/>
    </row>
    <row r="1414" spans="1:14">
      <c r="A1414" s="107"/>
      <c r="C1414" s="108"/>
      <c r="D1414" s="108"/>
      <c r="N1414" s="108"/>
    </row>
    <row r="1415" spans="1:14">
      <c r="A1415" s="107"/>
      <c r="C1415" s="108"/>
      <c r="D1415" s="108"/>
      <c r="N1415" s="108"/>
    </row>
    <row r="1416" spans="1:14">
      <c r="A1416" s="107"/>
      <c r="C1416" s="108"/>
      <c r="D1416" s="108"/>
      <c r="N1416" s="108"/>
    </row>
    <row r="1417" spans="1:14">
      <c r="A1417" s="107"/>
      <c r="C1417" s="108"/>
      <c r="D1417" s="108"/>
      <c r="N1417" s="108"/>
    </row>
    <row r="1418" spans="1:14">
      <c r="A1418" s="107"/>
      <c r="C1418" s="108"/>
      <c r="D1418" s="108"/>
      <c r="N1418" s="108"/>
    </row>
    <row r="1419" spans="1:14">
      <c r="A1419" s="107"/>
      <c r="C1419" s="108"/>
      <c r="D1419" s="108"/>
      <c r="N1419" s="108"/>
    </row>
    <row r="1420" spans="1:14">
      <c r="A1420" s="107"/>
      <c r="C1420" s="108"/>
      <c r="D1420" s="108"/>
      <c r="N1420" s="108"/>
    </row>
    <row r="1421" spans="1:14">
      <c r="A1421" s="107"/>
      <c r="C1421" s="108"/>
      <c r="D1421" s="108"/>
      <c r="N1421" s="108"/>
    </row>
    <row r="1422" spans="1:14">
      <c r="A1422" s="107"/>
      <c r="C1422" s="108"/>
      <c r="D1422" s="108"/>
      <c r="N1422" s="108"/>
    </row>
    <row r="1423" spans="1:14">
      <c r="A1423" s="107"/>
      <c r="C1423" s="108"/>
      <c r="D1423" s="108"/>
      <c r="N1423" s="108"/>
    </row>
    <row r="1424" spans="1:14">
      <c r="A1424" s="107"/>
      <c r="C1424" s="108"/>
      <c r="D1424" s="108"/>
      <c r="N1424" s="108"/>
    </row>
    <row r="1425" spans="1:14">
      <c r="A1425" s="107"/>
      <c r="C1425" s="108"/>
      <c r="D1425" s="108"/>
      <c r="N1425" s="108"/>
    </row>
    <row r="1426" spans="1:14">
      <c r="A1426" s="107"/>
      <c r="C1426" s="108"/>
      <c r="D1426" s="108"/>
      <c r="N1426" s="108"/>
    </row>
    <row r="1427" spans="1:14">
      <c r="A1427" s="107"/>
      <c r="C1427" s="108"/>
      <c r="D1427" s="108"/>
      <c r="N1427" s="108"/>
    </row>
    <row r="1428" spans="1:14">
      <c r="A1428" s="107"/>
      <c r="C1428" s="108"/>
      <c r="D1428" s="108"/>
      <c r="N1428" s="108"/>
    </row>
    <row r="1429" spans="1:14">
      <c r="A1429" s="107"/>
      <c r="C1429" s="108"/>
      <c r="D1429" s="108"/>
      <c r="N1429" s="108"/>
    </row>
    <row r="1430" spans="1:14">
      <c r="A1430" s="107"/>
      <c r="C1430" s="108"/>
      <c r="D1430" s="108"/>
      <c r="N1430" s="108"/>
    </row>
    <row r="1431" spans="1:14">
      <c r="A1431" s="107"/>
      <c r="C1431" s="108"/>
      <c r="D1431" s="108"/>
      <c r="N1431" s="108"/>
    </row>
    <row r="1432" spans="1:14">
      <c r="A1432" s="107"/>
      <c r="C1432" s="108"/>
      <c r="D1432" s="108"/>
      <c r="N1432" s="108"/>
    </row>
    <row r="1433" spans="1:14">
      <c r="A1433" s="107"/>
      <c r="C1433" s="108"/>
      <c r="D1433" s="108"/>
      <c r="N1433" s="108"/>
    </row>
    <row r="1434" spans="1:14">
      <c r="A1434" s="107"/>
      <c r="C1434" s="108"/>
      <c r="D1434" s="108"/>
      <c r="N1434" s="108"/>
    </row>
    <row r="1435" spans="1:14">
      <c r="A1435" s="107"/>
      <c r="C1435" s="108"/>
      <c r="D1435" s="108"/>
      <c r="N1435" s="108"/>
    </row>
    <row r="1436" spans="1:14">
      <c r="A1436" s="107"/>
      <c r="C1436" s="108"/>
      <c r="D1436" s="108"/>
      <c r="N1436" s="108"/>
    </row>
    <row r="1437" spans="1:14">
      <c r="A1437" s="107"/>
      <c r="C1437" s="108"/>
      <c r="D1437" s="108"/>
      <c r="N1437" s="108"/>
    </row>
    <row r="1438" spans="1:14">
      <c r="A1438" s="107"/>
      <c r="C1438" s="108"/>
      <c r="D1438" s="108"/>
      <c r="N1438" s="108"/>
    </row>
    <row r="1439" spans="1:14">
      <c r="A1439" s="107"/>
      <c r="C1439" s="108"/>
      <c r="D1439" s="108"/>
      <c r="N1439" s="108"/>
    </row>
    <row r="1440" spans="1:14">
      <c r="A1440" s="107"/>
      <c r="C1440" s="108"/>
      <c r="D1440" s="108"/>
      <c r="N1440" s="108"/>
    </row>
    <row r="1441" spans="1:14">
      <c r="A1441" s="107"/>
      <c r="C1441" s="108"/>
      <c r="D1441" s="108"/>
      <c r="N1441" s="108"/>
    </row>
    <row r="1442" spans="1:14">
      <c r="A1442" s="107"/>
      <c r="C1442" s="108"/>
      <c r="D1442" s="108"/>
      <c r="N1442" s="108"/>
    </row>
    <row r="1443" spans="1:14">
      <c r="A1443" s="107"/>
      <c r="C1443" s="108"/>
      <c r="D1443" s="108"/>
      <c r="N1443" s="108"/>
    </row>
    <row r="1444" spans="1:14">
      <c r="A1444" s="107"/>
      <c r="C1444" s="108"/>
      <c r="D1444" s="108"/>
      <c r="N1444" s="108"/>
    </row>
    <row r="1445" spans="1:14">
      <c r="A1445" s="107"/>
      <c r="C1445" s="108"/>
      <c r="D1445" s="108"/>
      <c r="N1445" s="108"/>
    </row>
    <row r="1446" spans="1:14">
      <c r="A1446" s="107"/>
      <c r="C1446" s="108"/>
      <c r="D1446" s="108"/>
      <c r="N1446" s="108"/>
    </row>
    <row r="1447" spans="1:14">
      <c r="A1447" s="107"/>
      <c r="C1447" s="108"/>
      <c r="D1447" s="108"/>
      <c r="N1447" s="108"/>
    </row>
    <row r="1448" spans="1:14">
      <c r="A1448" s="107"/>
      <c r="C1448" s="108"/>
      <c r="D1448" s="108"/>
      <c r="N1448" s="108"/>
    </row>
    <row r="1449" spans="1:14">
      <c r="A1449" s="107"/>
      <c r="C1449" s="108"/>
      <c r="D1449" s="108"/>
      <c r="N1449" s="108"/>
    </row>
    <row r="1450" spans="1:14">
      <c r="A1450" s="107"/>
      <c r="C1450" s="108"/>
      <c r="D1450" s="108"/>
      <c r="N1450" s="108"/>
    </row>
    <row r="1451" spans="1:14">
      <c r="A1451" s="107"/>
      <c r="C1451" s="108"/>
      <c r="D1451" s="108"/>
      <c r="N1451" s="108"/>
    </row>
    <row r="1452" spans="1:14">
      <c r="A1452" s="107"/>
      <c r="C1452" s="108"/>
      <c r="D1452" s="108"/>
      <c r="N1452" s="108"/>
    </row>
    <row r="1453" spans="1:14">
      <c r="A1453" s="107"/>
      <c r="C1453" s="108"/>
      <c r="D1453" s="108"/>
      <c r="N1453" s="108"/>
    </row>
    <row r="1454" spans="1:14">
      <c r="A1454" s="107"/>
      <c r="C1454" s="108"/>
      <c r="D1454" s="108"/>
      <c r="N1454" s="108"/>
    </row>
    <row r="1455" spans="1:14">
      <c r="A1455" s="107"/>
      <c r="C1455" s="108"/>
      <c r="D1455" s="108"/>
      <c r="N1455" s="108"/>
    </row>
    <row r="1456" spans="1:14">
      <c r="A1456" s="107"/>
      <c r="C1456" s="108"/>
      <c r="D1456" s="108"/>
      <c r="N1456" s="108"/>
    </row>
    <row r="1457" spans="1:14">
      <c r="A1457" s="107"/>
      <c r="C1457" s="108"/>
      <c r="D1457" s="108"/>
      <c r="N1457" s="108"/>
    </row>
    <row r="1458" spans="1:14">
      <c r="A1458" s="107"/>
      <c r="C1458" s="108"/>
      <c r="D1458" s="108"/>
      <c r="N1458" s="108"/>
    </row>
    <row r="1459" spans="1:14">
      <c r="A1459" s="107"/>
      <c r="C1459" s="108"/>
      <c r="D1459" s="108"/>
      <c r="N1459" s="108"/>
    </row>
    <row r="1460" spans="1:14">
      <c r="A1460" s="107"/>
      <c r="C1460" s="108"/>
      <c r="D1460" s="108"/>
      <c r="N1460" s="108"/>
    </row>
    <row r="1461" spans="1:14">
      <c r="A1461" s="107"/>
      <c r="C1461" s="108"/>
      <c r="D1461" s="108"/>
      <c r="N1461" s="108"/>
    </row>
    <row r="1462" spans="1:14">
      <c r="A1462" s="107"/>
      <c r="C1462" s="108"/>
      <c r="D1462" s="108"/>
      <c r="N1462" s="108"/>
    </row>
    <row r="1463" spans="1:14">
      <c r="A1463" s="107"/>
      <c r="C1463" s="108"/>
      <c r="D1463" s="108"/>
      <c r="N1463" s="108"/>
    </row>
    <row r="1464" spans="1:14">
      <c r="A1464" s="107"/>
      <c r="C1464" s="108"/>
      <c r="D1464" s="108"/>
      <c r="N1464" s="108"/>
    </row>
    <row r="1465" spans="1:14">
      <c r="A1465" s="107"/>
      <c r="C1465" s="108"/>
      <c r="D1465" s="108"/>
      <c r="N1465" s="108"/>
    </row>
    <row r="1466" spans="1:14">
      <c r="A1466" s="107"/>
      <c r="C1466" s="108"/>
      <c r="D1466" s="108"/>
      <c r="N1466" s="108"/>
    </row>
    <row r="1467" spans="1:14">
      <c r="A1467" s="107"/>
      <c r="C1467" s="108"/>
      <c r="D1467" s="108"/>
      <c r="N1467" s="108"/>
    </row>
    <row r="1468" spans="1:14">
      <c r="A1468" s="107"/>
      <c r="C1468" s="108"/>
      <c r="D1468" s="108"/>
      <c r="N1468" s="108"/>
    </row>
    <row r="1469" spans="1:14">
      <c r="A1469" s="107"/>
      <c r="C1469" s="108"/>
      <c r="D1469" s="108"/>
      <c r="N1469" s="108"/>
    </row>
    <row r="1470" spans="1:14">
      <c r="A1470" s="107"/>
      <c r="C1470" s="108"/>
      <c r="D1470" s="108"/>
      <c r="N1470" s="108"/>
    </row>
    <row r="1471" spans="1:14">
      <c r="A1471" s="107"/>
      <c r="C1471" s="108"/>
      <c r="D1471" s="108"/>
      <c r="N1471" s="108"/>
    </row>
    <row r="1472" spans="1:14">
      <c r="A1472" s="107"/>
      <c r="C1472" s="108"/>
      <c r="D1472" s="108"/>
      <c r="N1472" s="108"/>
    </row>
    <row r="1473" spans="1:14">
      <c r="A1473" s="107"/>
      <c r="C1473" s="108"/>
      <c r="D1473" s="108"/>
      <c r="N1473" s="108"/>
    </row>
    <row r="1474" spans="1:14">
      <c r="A1474" s="107"/>
      <c r="C1474" s="108"/>
      <c r="D1474" s="108"/>
      <c r="N1474" s="108"/>
    </row>
    <row r="1475" spans="1:14">
      <c r="A1475" s="107"/>
      <c r="C1475" s="108"/>
      <c r="D1475" s="108"/>
      <c r="N1475" s="108"/>
    </row>
    <row r="1476" spans="1:14">
      <c r="A1476" s="107"/>
      <c r="C1476" s="108"/>
      <c r="D1476" s="108"/>
      <c r="N1476" s="108"/>
    </row>
    <row r="1477" spans="1:14">
      <c r="A1477" s="107"/>
      <c r="C1477" s="108"/>
      <c r="D1477" s="108"/>
      <c r="N1477" s="108"/>
    </row>
    <row r="1478" spans="1:14">
      <c r="A1478" s="107"/>
      <c r="C1478" s="108"/>
      <c r="D1478" s="108"/>
      <c r="N1478" s="108"/>
    </row>
    <row r="1479" spans="1:14">
      <c r="A1479" s="107"/>
      <c r="C1479" s="108"/>
      <c r="D1479" s="108"/>
      <c r="N1479" s="108"/>
    </row>
    <row r="1480" spans="1:14">
      <c r="A1480" s="107"/>
      <c r="C1480" s="108"/>
      <c r="D1480" s="108"/>
      <c r="N1480" s="108"/>
    </row>
    <row r="1481" spans="1:14">
      <c r="A1481" s="107"/>
      <c r="C1481" s="108"/>
      <c r="D1481" s="108"/>
      <c r="N1481" s="108"/>
    </row>
    <row r="1482" spans="1:14">
      <c r="A1482" s="107"/>
      <c r="C1482" s="108"/>
      <c r="D1482" s="108"/>
      <c r="N1482" s="108"/>
    </row>
    <row r="1483" spans="1:14">
      <c r="A1483" s="107"/>
      <c r="C1483" s="108"/>
      <c r="D1483" s="108"/>
      <c r="N1483" s="108"/>
    </row>
    <row r="1484" spans="1:14">
      <c r="A1484" s="107"/>
      <c r="C1484" s="108"/>
      <c r="D1484" s="108"/>
      <c r="N1484" s="108"/>
    </row>
    <row r="1485" spans="1:14">
      <c r="A1485" s="107"/>
      <c r="C1485" s="108"/>
      <c r="D1485" s="108"/>
      <c r="N1485" s="108"/>
    </row>
    <row r="1486" spans="1:14">
      <c r="A1486" s="107"/>
      <c r="C1486" s="108"/>
      <c r="D1486" s="108"/>
      <c r="N1486" s="108"/>
    </row>
    <row r="1487" spans="1:14">
      <c r="A1487" s="107"/>
      <c r="C1487" s="108"/>
      <c r="D1487" s="108"/>
      <c r="N1487" s="108"/>
    </row>
    <row r="1488" spans="1:14">
      <c r="A1488" s="107"/>
      <c r="C1488" s="108"/>
      <c r="D1488" s="108"/>
      <c r="N1488" s="108"/>
    </row>
    <row r="1489" spans="1:14">
      <c r="A1489" s="107"/>
      <c r="C1489" s="108"/>
      <c r="D1489" s="108"/>
      <c r="N1489" s="108"/>
    </row>
    <row r="1490" spans="1:14">
      <c r="A1490" s="107"/>
      <c r="C1490" s="108"/>
      <c r="D1490" s="108"/>
      <c r="N1490" s="108"/>
    </row>
    <row r="1491" spans="1:14">
      <c r="A1491" s="107"/>
      <c r="C1491" s="108"/>
      <c r="D1491" s="108"/>
      <c r="N1491" s="108"/>
    </row>
    <row r="1492" spans="1:14">
      <c r="A1492" s="107"/>
      <c r="C1492" s="108"/>
      <c r="D1492" s="108"/>
      <c r="N1492" s="108"/>
    </row>
    <row r="1493" spans="1:14">
      <c r="A1493" s="107"/>
      <c r="C1493" s="108"/>
      <c r="D1493" s="108"/>
      <c r="N1493" s="108"/>
    </row>
    <row r="1494" spans="1:14">
      <c r="A1494" s="107"/>
      <c r="C1494" s="108"/>
      <c r="D1494" s="108"/>
      <c r="N1494" s="108"/>
    </row>
    <row r="1495" spans="1:14">
      <c r="A1495" s="107"/>
      <c r="C1495" s="108"/>
      <c r="D1495" s="108"/>
      <c r="N1495" s="108"/>
    </row>
    <row r="1496" spans="1:14">
      <c r="A1496" s="107"/>
      <c r="C1496" s="108"/>
      <c r="D1496" s="108"/>
      <c r="N1496" s="108"/>
    </row>
    <row r="1497" spans="1:14">
      <c r="A1497" s="107"/>
      <c r="C1497" s="108"/>
      <c r="D1497" s="108"/>
      <c r="N1497" s="108"/>
    </row>
    <row r="1498" spans="1:14">
      <c r="A1498" s="107"/>
      <c r="C1498" s="108"/>
      <c r="D1498" s="108"/>
      <c r="N1498" s="108"/>
    </row>
    <row r="1499" spans="1:14">
      <c r="A1499" s="107"/>
      <c r="C1499" s="108"/>
      <c r="D1499" s="108"/>
      <c r="N1499" s="108"/>
    </row>
    <row r="1500" spans="1:14">
      <c r="A1500" s="107"/>
      <c r="C1500" s="108"/>
      <c r="D1500" s="108"/>
      <c r="N1500" s="108"/>
    </row>
    <row r="1501" spans="1:14">
      <c r="A1501" s="107"/>
      <c r="C1501" s="108"/>
      <c r="D1501" s="108"/>
      <c r="N1501" s="108"/>
    </row>
    <row r="1502" spans="1:14">
      <c r="A1502" s="107"/>
      <c r="C1502" s="108"/>
      <c r="D1502" s="108"/>
      <c r="N1502" s="108"/>
    </row>
    <row r="1503" spans="1:14">
      <c r="A1503" s="107"/>
      <c r="C1503" s="108"/>
      <c r="D1503" s="108"/>
      <c r="N1503" s="108"/>
    </row>
    <row r="1504" spans="1:14">
      <c r="A1504" s="107"/>
      <c r="C1504" s="108"/>
      <c r="D1504" s="108"/>
      <c r="N1504" s="108"/>
    </row>
    <row r="1505" spans="1:14">
      <c r="A1505" s="107"/>
      <c r="C1505" s="108"/>
      <c r="D1505" s="108"/>
      <c r="N1505" s="108"/>
    </row>
    <row r="1506" spans="1:14">
      <c r="A1506" s="107"/>
      <c r="C1506" s="108"/>
      <c r="D1506" s="108"/>
      <c r="N1506" s="108"/>
    </row>
    <row r="1507" spans="1:14">
      <c r="A1507" s="107"/>
      <c r="C1507" s="108"/>
      <c r="D1507" s="108"/>
      <c r="N1507" s="108"/>
    </row>
    <row r="1508" spans="1:14">
      <c r="A1508" s="107"/>
      <c r="C1508" s="108"/>
      <c r="D1508" s="108"/>
      <c r="N1508" s="108"/>
    </row>
    <row r="1509" spans="1:14">
      <c r="A1509" s="107"/>
      <c r="C1509" s="108"/>
      <c r="D1509" s="108"/>
      <c r="N1509" s="108"/>
    </row>
    <row r="1510" spans="1:14">
      <c r="A1510" s="107"/>
      <c r="C1510" s="108"/>
      <c r="D1510" s="108"/>
      <c r="N1510" s="108"/>
    </row>
    <row r="1511" spans="1:14">
      <c r="A1511" s="107"/>
      <c r="C1511" s="108"/>
      <c r="D1511" s="108"/>
      <c r="N1511" s="108"/>
    </row>
    <row r="1512" spans="1:14">
      <c r="A1512" s="107"/>
      <c r="C1512" s="108"/>
      <c r="D1512" s="108"/>
      <c r="N1512" s="108"/>
    </row>
    <row r="1513" spans="1:14">
      <c r="A1513" s="107"/>
      <c r="C1513" s="108"/>
      <c r="D1513" s="108"/>
      <c r="N1513" s="108"/>
    </row>
    <row r="1514" spans="1:14">
      <c r="A1514" s="107"/>
      <c r="C1514" s="108"/>
      <c r="D1514" s="108"/>
      <c r="N1514" s="108"/>
    </row>
    <row r="1515" spans="1:14">
      <c r="A1515" s="107"/>
      <c r="C1515" s="108"/>
      <c r="D1515" s="108"/>
      <c r="N1515" s="108"/>
    </row>
    <row r="1516" spans="1:14">
      <c r="A1516" s="107"/>
      <c r="C1516" s="108"/>
      <c r="D1516" s="108"/>
      <c r="N1516" s="108"/>
    </row>
    <row r="1517" spans="1:14">
      <c r="A1517" s="107"/>
      <c r="C1517" s="108"/>
      <c r="D1517" s="108"/>
      <c r="N1517" s="108"/>
    </row>
    <row r="1518" spans="1:14">
      <c r="A1518" s="107"/>
      <c r="C1518" s="108"/>
      <c r="D1518" s="108"/>
      <c r="N1518" s="108"/>
    </row>
    <row r="1519" spans="1:14">
      <c r="A1519" s="107"/>
      <c r="C1519" s="108"/>
      <c r="D1519" s="108"/>
      <c r="N1519" s="108"/>
    </row>
    <row r="1520" spans="1:14">
      <c r="A1520" s="107"/>
      <c r="C1520" s="108"/>
      <c r="D1520" s="108"/>
      <c r="N1520" s="108"/>
    </row>
    <row r="1521" spans="1:14">
      <c r="A1521" s="107"/>
      <c r="C1521" s="108"/>
      <c r="D1521" s="108"/>
      <c r="N1521" s="108"/>
    </row>
    <row r="1522" spans="1:14">
      <c r="A1522" s="107"/>
      <c r="C1522" s="108"/>
      <c r="D1522" s="108"/>
      <c r="N1522" s="108"/>
    </row>
    <row r="1523" spans="1:14">
      <c r="A1523" s="107"/>
      <c r="C1523" s="108"/>
      <c r="D1523" s="108"/>
      <c r="N1523" s="108"/>
    </row>
    <row r="1524" spans="1:14">
      <c r="A1524" s="107"/>
      <c r="C1524" s="108"/>
      <c r="D1524" s="108"/>
      <c r="N1524" s="108"/>
    </row>
    <row r="1525" spans="1:14">
      <c r="A1525" s="107"/>
      <c r="C1525" s="108"/>
      <c r="D1525" s="108"/>
      <c r="N1525" s="108"/>
    </row>
    <row r="1526" spans="1:14">
      <c r="A1526" s="107"/>
      <c r="C1526" s="108"/>
      <c r="D1526" s="108"/>
      <c r="N1526" s="108"/>
    </row>
    <row r="1527" spans="1:14">
      <c r="A1527" s="107"/>
      <c r="C1527" s="108"/>
      <c r="D1527" s="108"/>
      <c r="N1527" s="108"/>
    </row>
    <row r="1528" spans="1:14">
      <c r="A1528" s="107"/>
      <c r="C1528" s="108"/>
      <c r="D1528" s="108"/>
      <c r="N1528" s="108"/>
    </row>
    <row r="1529" spans="1:14">
      <c r="A1529" s="107"/>
      <c r="C1529" s="108"/>
      <c r="D1529" s="108"/>
      <c r="N1529" s="108"/>
    </row>
    <row r="1530" spans="1:14">
      <c r="A1530" s="107"/>
      <c r="C1530" s="108"/>
      <c r="D1530" s="108"/>
      <c r="N1530" s="108"/>
    </row>
    <row r="1531" spans="1:14">
      <c r="A1531" s="107"/>
      <c r="C1531" s="108"/>
      <c r="D1531" s="108"/>
      <c r="N1531" s="108"/>
    </row>
    <row r="1532" spans="1:14">
      <c r="A1532" s="107"/>
      <c r="C1532" s="108"/>
      <c r="D1532" s="108"/>
      <c r="N1532" s="108"/>
    </row>
    <row r="1533" spans="1:14">
      <c r="A1533" s="107"/>
      <c r="C1533" s="108"/>
      <c r="D1533" s="108"/>
      <c r="N1533" s="108"/>
    </row>
    <row r="1534" spans="1:14">
      <c r="A1534" s="107"/>
      <c r="C1534" s="108"/>
      <c r="D1534" s="108"/>
      <c r="N1534" s="108"/>
    </row>
    <row r="1535" spans="1:14">
      <c r="A1535" s="107"/>
      <c r="C1535" s="108"/>
      <c r="D1535" s="108"/>
      <c r="N1535" s="108"/>
    </row>
    <row r="1536" spans="1:14">
      <c r="A1536" s="107"/>
      <c r="C1536" s="108"/>
      <c r="D1536" s="108"/>
      <c r="N1536" s="108"/>
    </row>
    <row r="1537" spans="1:14">
      <c r="A1537" s="107"/>
      <c r="C1537" s="108"/>
      <c r="D1537" s="108"/>
      <c r="N1537" s="108"/>
    </row>
    <row r="1538" spans="1:14">
      <c r="A1538" s="107"/>
      <c r="C1538" s="108"/>
      <c r="D1538" s="108"/>
      <c r="N1538" s="108"/>
    </row>
    <row r="1539" spans="1:14">
      <c r="A1539" s="107"/>
      <c r="C1539" s="108"/>
      <c r="D1539" s="108"/>
      <c r="N1539" s="108"/>
    </row>
    <row r="1540" spans="1:14">
      <c r="A1540" s="107"/>
      <c r="C1540" s="108"/>
      <c r="D1540" s="108"/>
      <c r="N1540" s="108"/>
    </row>
    <row r="1541" spans="1:14">
      <c r="A1541" s="107"/>
      <c r="C1541" s="108"/>
      <c r="D1541" s="108"/>
      <c r="N1541" s="108"/>
    </row>
    <row r="1542" spans="1:14">
      <c r="A1542" s="107"/>
      <c r="C1542" s="108"/>
      <c r="D1542" s="108"/>
      <c r="N1542" s="108"/>
    </row>
    <row r="1543" spans="1:14">
      <c r="A1543" s="107"/>
      <c r="C1543" s="108"/>
      <c r="D1543" s="108"/>
      <c r="N1543" s="108"/>
    </row>
    <row r="1544" spans="1:14">
      <c r="A1544" s="107"/>
      <c r="C1544" s="108"/>
      <c r="D1544" s="108"/>
      <c r="N1544" s="108"/>
    </row>
    <row r="1545" spans="1:14">
      <c r="A1545" s="107"/>
      <c r="C1545" s="108"/>
      <c r="D1545" s="108"/>
      <c r="N1545" s="108"/>
    </row>
    <row r="1546" spans="1:14">
      <c r="A1546" s="107"/>
      <c r="C1546" s="108"/>
      <c r="D1546" s="108"/>
      <c r="N1546" s="108"/>
    </row>
    <row r="1547" spans="1:14">
      <c r="A1547" s="107"/>
      <c r="C1547" s="108"/>
      <c r="D1547" s="108"/>
      <c r="N1547" s="108"/>
    </row>
    <row r="1548" spans="1:14">
      <c r="A1548" s="107"/>
      <c r="C1548" s="108"/>
      <c r="D1548" s="108"/>
      <c r="N1548" s="108"/>
    </row>
    <row r="1549" spans="1:14">
      <c r="A1549" s="107"/>
      <c r="C1549" s="108"/>
      <c r="D1549" s="108"/>
      <c r="N1549" s="108"/>
    </row>
    <row r="1550" spans="1:14">
      <c r="A1550" s="107"/>
      <c r="C1550" s="108"/>
      <c r="D1550" s="108"/>
      <c r="N1550" s="108"/>
    </row>
    <row r="1551" spans="1:14">
      <c r="A1551" s="107"/>
      <c r="C1551" s="108"/>
      <c r="D1551" s="108"/>
      <c r="N1551" s="108"/>
    </row>
    <row r="1552" spans="1:14">
      <c r="A1552" s="107"/>
      <c r="C1552" s="108"/>
      <c r="D1552" s="108"/>
      <c r="N1552" s="108"/>
    </row>
    <row r="1553" spans="1:14">
      <c r="A1553" s="107"/>
      <c r="C1553" s="108"/>
      <c r="D1553" s="108"/>
      <c r="N1553" s="108"/>
    </row>
    <row r="1554" spans="1:14">
      <c r="A1554" s="107"/>
      <c r="C1554" s="108"/>
      <c r="D1554" s="108"/>
      <c r="N1554" s="108"/>
    </row>
    <row r="1555" spans="1:14">
      <c r="A1555" s="107"/>
      <c r="C1555" s="108"/>
      <c r="D1555" s="108"/>
      <c r="N1555" s="108"/>
    </row>
    <row r="1556" spans="1:14">
      <c r="A1556" s="107"/>
      <c r="C1556" s="108"/>
      <c r="D1556" s="108"/>
      <c r="N1556" s="108"/>
    </row>
    <row r="1557" spans="1:14">
      <c r="A1557" s="107"/>
      <c r="C1557" s="108"/>
      <c r="D1557" s="108"/>
      <c r="N1557" s="108"/>
    </row>
    <row r="1558" spans="1:14">
      <c r="A1558" s="107"/>
      <c r="C1558" s="108"/>
      <c r="D1558" s="108"/>
      <c r="N1558" s="108"/>
    </row>
    <row r="1559" spans="1:14">
      <c r="A1559" s="107"/>
      <c r="C1559" s="108"/>
      <c r="D1559" s="108"/>
      <c r="N1559" s="108"/>
    </row>
    <row r="1560" spans="1:14">
      <c r="A1560" s="107"/>
      <c r="C1560" s="108"/>
      <c r="D1560" s="108"/>
      <c r="N1560" s="108"/>
    </row>
    <row r="1561" spans="1:14">
      <c r="A1561" s="107"/>
      <c r="C1561" s="108"/>
      <c r="D1561" s="108"/>
      <c r="N1561" s="108"/>
    </row>
    <row r="1562" spans="1:14">
      <c r="A1562" s="107"/>
      <c r="C1562" s="108"/>
      <c r="D1562" s="108"/>
      <c r="N1562" s="108"/>
    </row>
    <row r="1563" spans="1:14">
      <c r="A1563" s="107"/>
      <c r="C1563" s="108"/>
      <c r="D1563" s="108"/>
      <c r="N1563" s="108"/>
    </row>
    <row r="1564" spans="1:14">
      <c r="A1564" s="107"/>
      <c r="C1564" s="108"/>
      <c r="D1564" s="108"/>
      <c r="N1564" s="108"/>
    </row>
    <row r="1565" spans="1:14">
      <c r="A1565" s="107"/>
      <c r="C1565" s="108"/>
      <c r="D1565" s="108"/>
      <c r="N1565" s="108"/>
    </row>
    <row r="1566" spans="1:14">
      <c r="A1566" s="107"/>
      <c r="C1566" s="108"/>
      <c r="D1566" s="108"/>
      <c r="N1566" s="108"/>
    </row>
    <row r="1567" spans="1:14">
      <c r="A1567" s="107"/>
      <c r="C1567" s="108"/>
      <c r="D1567" s="108"/>
      <c r="N1567" s="108"/>
    </row>
    <row r="1568" spans="1:14">
      <c r="A1568" s="107"/>
      <c r="C1568" s="108"/>
      <c r="D1568" s="108"/>
      <c r="N1568" s="108"/>
    </row>
    <row r="1569" spans="1:14">
      <c r="A1569" s="107"/>
      <c r="C1569" s="108"/>
      <c r="D1569" s="108"/>
      <c r="N1569" s="108"/>
    </row>
    <row r="1570" spans="1:14">
      <c r="A1570" s="107"/>
      <c r="C1570" s="108"/>
      <c r="D1570" s="108"/>
      <c r="N1570" s="108"/>
    </row>
    <row r="1571" spans="1:14">
      <c r="A1571" s="107"/>
      <c r="C1571" s="108"/>
      <c r="D1571" s="108"/>
      <c r="N1571" s="108"/>
    </row>
    <row r="1572" spans="1:14">
      <c r="A1572" s="107"/>
      <c r="C1572" s="108"/>
      <c r="D1572" s="108"/>
      <c r="N1572" s="108"/>
    </row>
    <row r="1573" spans="1:14">
      <c r="A1573" s="107"/>
      <c r="C1573" s="108"/>
      <c r="D1573" s="108"/>
      <c r="N1573" s="108"/>
    </row>
    <row r="1574" spans="1:14">
      <c r="A1574" s="107"/>
      <c r="C1574" s="108"/>
      <c r="D1574" s="108"/>
      <c r="N1574" s="108"/>
    </row>
    <row r="1575" spans="1:14">
      <c r="A1575" s="107"/>
      <c r="C1575" s="108"/>
      <c r="D1575" s="108"/>
      <c r="N1575" s="108"/>
    </row>
    <row r="1576" spans="1:14">
      <c r="A1576" s="107"/>
      <c r="C1576" s="108"/>
      <c r="D1576" s="108"/>
      <c r="N1576" s="108"/>
    </row>
    <row r="1577" spans="1:14">
      <c r="A1577" s="107"/>
      <c r="C1577" s="108"/>
      <c r="D1577" s="108"/>
      <c r="N1577" s="108"/>
    </row>
    <row r="1578" spans="1:14">
      <c r="A1578" s="107"/>
      <c r="C1578" s="108"/>
      <c r="D1578" s="108"/>
      <c r="N1578" s="108"/>
    </row>
    <row r="1579" spans="1:14">
      <c r="A1579" s="107"/>
      <c r="C1579" s="108"/>
      <c r="D1579" s="108"/>
      <c r="N1579" s="108"/>
    </row>
    <row r="1580" spans="1:14">
      <c r="A1580" s="107"/>
      <c r="C1580" s="108"/>
      <c r="D1580" s="108"/>
      <c r="N1580" s="108"/>
    </row>
    <row r="1581" spans="1:14">
      <c r="A1581" s="107"/>
      <c r="C1581" s="108"/>
      <c r="D1581" s="108"/>
      <c r="N1581" s="108"/>
    </row>
    <row r="1582" spans="1:14">
      <c r="A1582" s="107"/>
      <c r="C1582" s="108"/>
      <c r="D1582" s="108"/>
      <c r="N1582" s="108"/>
    </row>
    <row r="1583" spans="1:14">
      <c r="A1583" s="107"/>
      <c r="C1583" s="108"/>
      <c r="D1583" s="108"/>
      <c r="N1583" s="108"/>
    </row>
    <row r="1584" spans="1:14">
      <c r="A1584" s="107"/>
      <c r="C1584" s="108"/>
      <c r="D1584" s="108"/>
      <c r="N1584" s="108"/>
    </row>
    <row r="1585" spans="1:14">
      <c r="A1585" s="107"/>
      <c r="C1585" s="108"/>
      <c r="D1585" s="108"/>
      <c r="N1585" s="108"/>
    </row>
    <row r="1586" spans="1:14">
      <c r="A1586" s="107"/>
      <c r="C1586" s="108"/>
      <c r="D1586" s="108"/>
      <c r="N1586" s="108"/>
    </row>
    <row r="1587" spans="1:14">
      <c r="A1587" s="107"/>
      <c r="C1587" s="108"/>
      <c r="D1587" s="108"/>
      <c r="N1587" s="108"/>
    </row>
    <row r="1588" spans="1:14">
      <c r="A1588" s="107"/>
      <c r="C1588" s="108"/>
      <c r="D1588" s="108"/>
      <c r="N1588" s="108"/>
    </row>
    <row r="1589" spans="1:14">
      <c r="A1589" s="107"/>
      <c r="C1589" s="108"/>
      <c r="D1589" s="108"/>
      <c r="N1589" s="108"/>
    </row>
    <row r="1590" spans="1:14">
      <c r="A1590" s="107"/>
      <c r="C1590" s="108"/>
      <c r="D1590" s="108"/>
      <c r="N1590" s="108"/>
    </row>
    <row r="1591" spans="1:14">
      <c r="A1591" s="107"/>
      <c r="C1591" s="108"/>
      <c r="D1591" s="108"/>
      <c r="N1591" s="108"/>
    </row>
    <row r="1592" spans="1:14">
      <c r="A1592" s="107"/>
      <c r="C1592" s="108"/>
      <c r="D1592" s="108"/>
      <c r="N1592" s="108"/>
    </row>
    <row r="1593" spans="1:14">
      <c r="A1593" s="107"/>
      <c r="C1593" s="108"/>
      <c r="D1593" s="108"/>
      <c r="N1593" s="108"/>
    </row>
    <row r="1594" spans="1:14">
      <c r="A1594" s="107"/>
      <c r="C1594" s="108"/>
      <c r="D1594" s="108"/>
      <c r="N1594" s="108"/>
    </row>
    <row r="1595" spans="1:14">
      <c r="A1595" s="107"/>
      <c r="C1595" s="108"/>
      <c r="D1595" s="108"/>
      <c r="N1595" s="108"/>
    </row>
    <row r="1596" spans="1:14">
      <c r="A1596" s="107"/>
      <c r="C1596" s="108"/>
      <c r="D1596" s="108"/>
      <c r="N1596" s="108"/>
    </row>
    <row r="1597" spans="1:14">
      <c r="A1597" s="107"/>
      <c r="C1597" s="108"/>
      <c r="D1597" s="108"/>
      <c r="N1597" s="108"/>
    </row>
    <row r="1598" spans="1:14">
      <c r="A1598" s="107"/>
      <c r="C1598" s="108"/>
      <c r="D1598" s="108"/>
      <c r="N1598" s="108"/>
    </row>
    <row r="1599" spans="1:14">
      <c r="A1599" s="107"/>
      <c r="C1599" s="108"/>
      <c r="D1599" s="108"/>
      <c r="N1599" s="108"/>
    </row>
    <row r="1600" spans="1:14">
      <c r="A1600" s="107"/>
      <c r="C1600" s="108"/>
      <c r="D1600" s="108"/>
      <c r="N1600" s="108"/>
    </row>
    <row r="1601" spans="1:14">
      <c r="A1601" s="107"/>
      <c r="C1601" s="108"/>
      <c r="D1601" s="108"/>
      <c r="N1601" s="108"/>
    </row>
    <row r="1602" spans="1:14">
      <c r="A1602" s="107"/>
      <c r="C1602" s="108"/>
      <c r="D1602" s="108"/>
      <c r="N1602" s="108"/>
    </row>
    <row r="1603" spans="1:14">
      <c r="A1603" s="107"/>
      <c r="C1603" s="108"/>
      <c r="D1603" s="108"/>
      <c r="N1603" s="108"/>
    </row>
    <row r="1604" spans="1:14">
      <c r="A1604" s="107"/>
      <c r="C1604" s="108"/>
      <c r="D1604" s="108"/>
      <c r="N1604" s="108"/>
    </row>
    <row r="1605" spans="1:14">
      <c r="A1605" s="107"/>
      <c r="C1605" s="108"/>
      <c r="D1605" s="108"/>
      <c r="N1605" s="108"/>
    </row>
    <row r="1606" spans="1:14">
      <c r="A1606" s="107"/>
      <c r="C1606" s="108"/>
      <c r="D1606" s="108"/>
      <c r="N1606" s="108"/>
    </row>
    <row r="1607" spans="1:14">
      <c r="A1607" s="107"/>
      <c r="C1607" s="108"/>
      <c r="D1607" s="108"/>
      <c r="N1607" s="108"/>
    </row>
    <row r="1608" spans="1:14">
      <c r="A1608" s="107"/>
      <c r="C1608" s="108"/>
      <c r="D1608" s="108"/>
      <c r="N1608" s="108"/>
    </row>
    <row r="1609" spans="1:14">
      <c r="A1609" s="107"/>
      <c r="C1609" s="108"/>
      <c r="D1609" s="108"/>
      <c r="N1609" s="108"/>
    </row>
    <row r="1610" spans="1:14">
      <c r="A1610" s="107"/>
      <c r="C1610" s="108"/>
      <c r="D1610" s="108"/>
      <c r="N1610" s="108"/>
    </row>
    <row r="1611" spans="1:14">
      <c r="A1611" s="107"/>
      <c r="C1611" s="108"/>
      <c r="D1611" s="108"/>
      <c r="N1611" s="108"/>
    </row>
    <row r="1612" spans="1:14">
      <c r="A1612" s="107"/>
      <c r="C1612" s="108"/>
      <c r="D1612" s="108"/>
      <c r="N1612" s="108"/>
    </row>
    <row r="1613" spans="1:14">
      <c r="A1613" s="107"/>
      <c r="C1613" s="108"/>
      <c r="D1613" s="108"/>
      <c r="N1613" s="108"/>
    </row>
    <row r="1614" spans="1:14">
      <c r="A1614" s="107"/>
      <c r="C1614" s="108"/>
      <c r="D1614" s="108"/>
      <c r="N1614" s="108"/>
    </row>
    <row r="1615" spans="1:14">
      <c r="A1615" s="107"/>
      <c r="C1615" s="108"/>
      <c r="D1615" s="108"/>
      <c r="N1615" s="108"/>
    </row>
    <row r="1616" spans="1:14">
      <c r="A1616" s="107"/>
      <c r="C1616" s="108"/>
      <c r="D1616" s="108"/>
      <c r="N1616" s="108"/>
    </row>
    <row r="1617" spans="1:14">
      <c r="A1617" s="107"/>
      <c r="C1617" s="108"/>
      <c r="D1617" s="108"/>
      <c r="N1617" s="108"/>
    </row>
    <row r="1618" spans="1:14">
      <c r="A1618" s="107"/>
      <c r="C1618" s="108"/>
      <c r="D1618" s="108"/>
      <c r="N1618" s="108"/>
    </row>
    <row r="1619" spans="1:14">
      <c r="A1619" s="107"/>
      <c r="C1619" s="108"/>
      <c r="D1619" s="108"/>
      <c r="N1619" s="108"/>
    </row>
    <row r="1620" spans="1:14">
      <c r="A1620" s="107"/>
      <c r="C1620" s="108"/>
      <c r="D1620" s="108"/>
      <c r="N1620" s="108"/>
    </row>
    <row r="1621" spans="1:14">
      <c r="A1621" s="107"/>
      <c r="C1621" s="108"/>
      <c r="D1621" s="108"/>
      <c r="N1621" s="108"/>
    </row>
    <row r="1622" spans="1:14">
      <c r="A1622" s="107"/>
      <c r="C1622" s="108"/>
      <c r="D1622" s="108"/>
      <c r="N1622" s="108"/>
    </row>
    <row r="1623" spans="1:14">
      <c r="A1623" s="107"/>
      <c r="C1623" s="108"/>
      <c r="D1623" s="108"/>
      <c r="N1623" s="108"/>
    </row>
    <row r="1624" spans="1:14">
      <c r="A1624" s="107"/>
      <c r="C1624" s="108"/>
      <c r="D1624" s="108"/>
      <c r="N1624" s="108"/>
    </row>
    <row r="1625" spans="1:14">
      <c r="A1625" s="107"/>
      <c r="C1625" s="108"/>
      <c r="D1625" s="108"/>
      <c r="N1625" s="108"/>
    </row>
    <row r="1626" spans="1:14">
      <c r="A1626" s="107"/>
      <c r="C1626" s="108"/>
      <c r="D1626" s="108"/>
      <c r="N1626" s="108"/>
    </row>
    <row r="1627" spans="1:14">
      <c r="A1627" s="107"/>
      <c r="C1627" s="108"/>
      <c r="D1627" s="108"/>
      <c r="N1627" s="108"/>
    </row>
    <row r="1628" spans="1:14">
      <c r="A1628" s="107"/>
      <c r="C1628" s="108"/>
      <c r="D1628" s="108"/>
      <c r="N1628" s="108"/>
    </row>
    <row r="1629" spans="1:14">
      <c r="A1629" s="107"/>
      <c r="C1629" s="108"/>
      <c r="D1629" s="108"/>
      <c r="N1629" s="108"/>
    </row>
    <row r="1630" spans="1:14">
      <c r="A1630" s="107"/>
      <c r="C1630" s="108"/>
      <c r="D1630" s="108"/>
      <c r="N1630" s="108"/>
    </row>
    <row r="1631" spans="1:14">
      <c r="A1631" s="107"/>
      <c r="C1631" s="108"/>
      <c r="D1631" s="108"/>
      <c r="N1631" s="108"/>
    </row>
    <row r="1632" spans="1:14">
      <c r="A1632" s="107"/>
      <c r="C1632" s="108"/>
      <c r="D1632" s="108"/>
      <c r="N1632" s="108"/>
    </row>
    <row r="1633" spans="1:14">
      <c r="A1633" s="107"/>
      <c r="C1633" s="108"/>
      <c r="D1633" s="108"/>
      <c r="N1633" s="108"/>
    </row>
    <row r="1634" spans="1:14">
      <c r="A1634" s="107"/>
      <c r="C1634" s="108"/>
      <c r="D1634" s="108"/>
      <c r="N1634" s="108"/>
    </row>
    <row r="1635" spans="1:14">
      <c r="A1635" s="107"/>
      <c r="C1635" s="108"/>
      <c r="D1635" s="108"/>
      <c r="N1635" s="108"/>
    </row>
    <row r="1636" spans="1:14">
      <c r="A1636" s="107"/>
      <c r="C1636" s="108"/>
      <c r="D1636" s="108"/>
      <c r="N1636" s="108"/>
    </row>
    <row r="1637" spans="1:14">
      <c r="A1637" s="107"/>
      <c r="C1637" s="108"/>
      <c r="D1637" s="108"/>
      <c r="N1637" s="108"/>
    </row>
    <row r="1638" spans="1:14">
      <c r="A1638" s="107"/>
      <c r="C1638" s="108"/>
      <c r="D1638" s="108"/>
      <c r="N1638" s="108"/>
    </row>
    <row r="1639" spans="1:14">
      <c r="A1639" s="107"/>
      <c r="C1639" s="108"/>
      <c r="D1639" s="108"/>
      <c r="N1639" s="108"/>
    </row>
    <row r="1640" spans="1:14">
      <c r="A1640" s="107"/>
      <c r="C1640" s="108"/>
      <c r="D1640" s="108"/>
      <c r="N1640" s="108"/>
    </row>
    <row r="1641" spans="1:14">
      <c r="A1641" s="107"/>
      <c r="C1641" s="108"/>
      <c r="D1641" s="108"/>
      <c r="N1641" s="108"/>
    </row>
    <row r="1642" spans="1:14">
      <c r="A1642" s="107"/>
      <c r="C1642" s="108"/>
      <c r="D1642" s="108"/>
      <c r="N1642" s="108"/>
    </row>
    <row r="1643" spans="1:14">
      <c r="A1643" s="107"/>
      <c r="C1643" s="108"/>
      <c r="D1643" s="108"/>
      <c r="N1643" s="108"/>
    </row>
    <row r="1644" spans="1:14">
      <c r="A1644" s="107"/>
      <c r="C1644" s="108"/>
      <c r="D1644" s="108"/>
      <c r="N1644" s="108"/>
    </row>
    <row r="1645" spans="1:14">
      <c r="A1645" s="107"/>
      <c r="C1645" s="108"/>
      <c r="D1645" s="108"/>
      <c r="N1645" s="108"/>
    </row>
    <row r="1646" spans="1:14">
      <c r="A1646" s="107"/>
      <c r="C1646" s="108"/>
      <c r="D1646" s="108"/>
      <c r="N1646" s="108"/>
    </row>
    <row r="1647" spans="1:14">
      <c r="A1647" s="107"/>
      <c r="C1647" s="108"/>
      <c r="D1647" s="108"/>
      <c r="N1647" s="108"/>
    </row>
    <row r="1648" spans="1:14">
      <c r="A1648" s="107"/>
      <c r="C1648" s="108"/>
      <c r="D1648" s="108"/>
      <c r="N1648" s="108"/>
    </row>
    <row r="1649" spans="1:14">
      <c r="A1649" s="107"/>
      <c r="C1649" s="108"/>
      <c r="D1649" s="108"/>
      <c r="N1649" s="108"/>
    </row>
    <row r="1650" spans="1:14">
      <c r="A1650" s="107"/>
      <c r="C1650" s="108"/>
      <c r="D1650" s="108"/>
      <c r="N1650" s="108"/>
    </row>
    <row r="1651" spans="1:14">
      <c r="A1651" s="107"/>
      <c r="C1651" s="108"/>
      <c r="D1651" s="108"/>
      <c r="N1651" s="108"/>
    </row>
    <row r="1652" spans="1:14">
      <c r="A1652" s="107"/>
      <c r="C1652" s="108"/>
      <c r="D1652" s="108"/>
      <c r="N1652" s="108"/>
    </row>
    <row r="1653" spans="1:14">
      <c r="A1653" s="107"/>
      <c r="C1653" s="108"/>
      <c r="D1653" s="108"/>
      <c r="N1653" s="108"/>
    </row>
    <row r="1654" spans="1:14">
      <c r="A1654" s="107"/>
      <c r="C1654" s="108"/>
      <c r="D1654" s="108"/>
      <c r="N1654" s="108"/>
    </row>
    <row r="1655" spans="1:14">
      <c r="A1655" s="107"/>
      <c r="C1655" s="108"/>
      <c r="D1655" s="108"/>
      <c r="N1655" s="108"/>
    </row>
    <row r="1656" spans="1:14">
      <c r="A1656" s="107"/>
      <c r="C1656" s="108"/>
      <c r="D1656" s="108"/>
      <c r="N1656" s="108"/>
    </row>
    <row r="1657" spans="1:14">
      <c r="A1657" s="107"/>
      <c r="C1657" s="108"/>
      <c r="D1657" s="108"/>
      <c r="N1657" s="108"/>
    </row>
    <row r="1658" spans="1:14">
      <c r="A1658" s="107"/>
      <c r="C1658" s="108"/>
      <c r="D1658" s="108"/>
      <c r="N1658" s="108"/>
    </row>
    <row r="1659" spans="1:14">
      <c r="A1659" s="107"/>
      <c r="C1659" s="108"/>
      <c r="D1659" s="108"/>
      <c r="N1659" s="108"/>
    </row>
    <row r="1660" spans="1:14">
      <c r="A1660" s="107"/>
      <c r="C1660" s="108"/>
      <c r="D1660" s="108"/>
      <c r="N1660" s="108"/>
    </row>
    <row r="1661" spans="1:14">
      <c r="A1661" s="107"/>
      <c r="C1661" s="108"/>
      <c r="D1661" s="108"/>
      <c r="N1661" s="108"/>
    </row>
    <row r="1662" spans="1:14">
      <c r="A1662" s="107"/>
      <c r="C1662" s="108"/>
      <c r="D1662" s="108"/>
      <c r="N1662" s="108"/>
    </row>
    <row r="1663" spans="1:14">
      <c r="A1663" s="107"/>
      <c r="C1663" s="108"/>
      <c r="D1663" s="108"/>
      <c r="N1663" s="108"/>
    </row>
    <row r="1664" spans="1:14">
      <c r="A1664" s="107"/>
      <c r="C1664" s="108"/>
      <c r="D1664" s="108"/>
      <c r="N1664" s="108"/>
    </row>
    <row r="1665" spans="1:14">
      <c r="A1665" s="107"/>
      <c r="C1665" s="108"/>
      <c r="D1665" s="108"/>
      <c r="N1665" s="108"/>
    </row>
    <row r="1666" spans="1:14">
      <c r="A1666" s="107"/>
      <c r="C1666" s="108"/>
      <c r="D1666" s="108"/>
      <c r="N1666" s="108"/>
    </row>
    <row r="1667" spans="1:14">
      <c r="A1667" s="107"/>
      <c r="C1667" s="108"/>
      <c r="D1667" s="108"/>
      <c r="N1667" s="108"/>
    </row>
    <row r="1668" spans="1:14">
      <c r="A1668" s="107"/>
      <c r="C1668" s="108"/>
      <c r="D1668" s="108"/>
      <c r="N1668" s="108"/>
    </row>
    <row r="1669" spans="1:14">
      <c r="A1669" s="107"/>
      <c r="C1669" s="108"/>
      <c r="D1669" s="108"/>
      <c r="N1669" s="108"/>
    </row>
    <row r="1670" spans="1:14">
      <c r="A1670" s="107"/>
      <c r="C1670" s="108"/>
      <c r="D1670" s="108"/>
      <c r="N1670" s="108"/>
    </row>
    <row r="1671" spans="1:14">
      <c r="A1671" s="107"/>
      <c r="C1671" s="108"/>
      <c r="D1671" s="108"/>
      <c r="N1671" s="108"/>
    </row>
    <row r="1672" spans="1:14">
      <c r="A1672" s="107"/>
      <c r="C1672" s="108"/>
      <c r="D1672" s="108"/>
      <c r="N1672" s="108"/>
    </row>
    <row r="1673" spans="1:14">
      <c r="A1673" s="107"/>
      <c r="C1673" s="108"/>
      <c r="D1673" s="108"/>
      <c r="N1673" s="108"/>
    </row>
    <row r="1674" spans="1:14">
      <c r="A1674" s="107"/>
      <c r="C1674" s="108"/>
      <c r="D1674" s="108"/>
      <c r="N1674" s="108"/>
    </row>
    <row r="1675" spans="1:14">
      <c r="A1675" s="107"/>
      <c r="C1675" s="108"/>
      <c r="D1675" s="108"/>
      <c r="N1675" s="108"/>
    </row>
    <row r="1676" spans="1:14">
      <c r="A1676" s="107"/>
      <c r="C1676" s="108"/>
      <c r="D1676" s="108"/>
      <c r="N1676" s="108"/>
    </row>
    <row r="1677" spans="1:14">
      <c r="A1677" s="107"/>
      <c r="C1677" s="108"/>
      <c r="D1677" s="108"/>
      <c r="N1677" s="108"/>
    </row>
    <row r="1678" spans="1:14">
      <c r="A1678" s="107"/>
      <c r="C1678" s="108"/>
      <c r="D1678" s="108"/>
      <c r="N1678" s="108"/>
    </row>
    <row r="1679" spans="1:14">
      <c r="A1679" s="107"/>
      <c r="C1679" s="108"/>
      <c r="D1679" s="108"/>
      <c r="N1679" s="108"/>
    </row>
    <row r="1680" spans="1:14">
      <c r="A1680" s="107"/>
      <c r="C1680" s="108"/>
      <c r="D1680" s="108"/>
      <c r="N1680" s="108"/>
    </row>
    <row r="1681" spans="1:14">
      <c r="A1681" s="107"/>
      <c r="C1681" s="108"/>
      <c r="D1681" s="108"/>
      <c r="N1681" s="108"/>
    </row>
    <row r="1682" spans="1:14">
      <c r="A1682" s="107"/>
      <c r="C1682" s="108"/>
      <c r="D1682" s="108"/>
      <c r="N1682" s="108"/>
    </row>
    <row r="1683" spans="1:14">
      <c r="A1683" s="107"/>
      <c r="C1683" s="108"/>
      <c r="D1683" s="108"/>
      <c r="N1683" s="108"/>
    </row>
    <row r="1684" spans="1:14">
      <c r="A1684" s="107"/>
      <c r="C1684" s="108"/>
      <c r="D1684" s="108"/>
      <c r="N1684" s="108"/>
    </row>
    <row r="1685" spans="1:14">
      <c r="A1685" s="107"/>
      <c r="C1685" s="108"/>
      <c r="D1685" s="108"/>
      <c r="N1685" s="108"/>
    </row>
    <row r="1686" spans="1:14">
      <c r="A1686" s="107"/>
      <c r="C1686" s="108"/>
      <c r="D1686" s="108"/>
      <c r="N1686" s="108"/>
    </row>
    <row r="1687" spans="1:14">
      <c r="A1687" s="107"/>
      <c r="C1687" s="108"/>
      <c r="D1687" s="108"/>
      <c r="N1687" s="108"/>
    </row>
    <row r="1688" spans="1:14">
      <c r="A1688" s="107"/>
      <c r="C1688" s="108"/>
      <c r="D1688" s="108"/>
      <c r="N1688" s="108"/>
    </row>
    <row r="1689" spans="1:14">
      <c r="A1689" s="107"/>
      <c r="C1689" s="108"/>
      <c r="D1689" s="108"/>
      <c r="N1689" s="108"/>
    </row>
    <row r="1690" spans="1:14">
      <c r="A1690" s="107"/>
      <c r="C1690" s="108"/>
      <c r="D1690" s="108"/>
      <c r="N1690" s="108"/>
    </row>
    <row r="1691" spans="1:14">
      <c r="A1691" s="107"/>
      <c r="C1691" s="108"/>
      <c r="D1691" s="108"/>
      <c r="N1691" s="108"/>
    </row>
    <row r="1692" spans="1:14">
      <c r="A1692" s="107"/>
      <c r="C1692" s="108"/>
      <c r="D1692" s="108"/>
      <c r="N1692" s="108"/>
    </row>
    <row r="1693" spans="1:14">
      <c r="A1693" s="107"/>
      <c r="C1693" s="108"/>
      <c r="D1693" s="108"/>
      <c r="N1693" s="108"/>
    </row>
    <row r="1694" spans="1:14">
      <c r="A1694" s="107"/>
      <c r="C1694" s="108"/>
      <c r="D1694" s="108"/>
      <c r="N1694" s="108"/>
    </row>
    <row r="1695" spans="1:14">
      <c r="A1695" s="107"/>
      <c r="C1695" s="108"/>
      <c r="D1695" s="108"/>
      <c r="N1695" s="108"/>
    </row>
    <row r="1696" spans="1:14">
      <c r="A1696" s="107"/>
      <c r="C1696" s="108"/>
      <c r="D1696" s="108"/>
      <c r="N1696" s="108"/>
    </row>
    <row r="1697" spans="1:14">
      <c r="A1697" s="107"/>
      <c r="C1697" s="108"/>
      <c r="D1697" s="108"/>
      <c r="N1697" s="108"/>
    </row>
    <row r="1698" spans="1:14">
      <c r="A1698" s="107"/>
      <c r="C1698" s="108"/>
      <c r="D1698" s="108"/>
      <c r="N1698" s="108"/>
    </row>
    <row r="1699" spans="1:14">
      <c r="A1699" s="107"/>
      <c r="C1699" s="108"/>
      <c r="D1699" s="108"/>
      <c r="N1699" s="108"/>
    </row>
    <row r="1700" spans="1:14">
      <c r="A1700" s="107"/>
      <c r="C1700" s="108"/>
      <c r="D1700" s="108"/>
      <c r="N1700" s="108"/>
    </row>
    <row r="1701" spans="1:14">
      <c r="A1701" s="107"/>
      <c r="C1701" s="108"/>
      <c r="D1701" s="108"/>
      <c r="N1701" s="108"/>
    </row>
    <row r="1702" spans="1:14">
      <c r="A1702" s="107"/>
      <c r="C1702" s="108"/>
      <c r="D1702" s="108"/>
      <c r="N1702" s="108"/>
    </row>
    <row r="1703" spans="1:14">
      <c r="A1703" s="107"/>
      <c r="C1703" s="108"/>
      <c r="D1703" s="108"/>
      <c r="N1703" s="108"/>
    </row>
    <row r="1704" spans="1:14">
      <c r="A1704" s="107"/>
      <c r="C1704" s="108"/>
      <c r="D1704" s="108"/>
      <c r="N1704" s="108"/>
    </row>
    <row r="1705" spans="1:14">
      <c r="A1705" s="107"/>
      <c r="C1705" s="108"/>
      <c r="D1705" s="108"/>
      <c r="N1705" s="108"/>
    </row>
    <row r="1706" spans="1:14">
      <c r="A1706" s="107"/>
      <c r="C1706" s="108"/>
      <c r="D1706" s="108"/>
      <c r="N1706" s="108"/>
    </row>
    <row r="1707" spans="1:14">
      <c r="A1707" s="107"/>
      <c r="C1707" s="108"/>
      <c r="D1707" s="108"/>
      <c r="N1707" s="108"/>
    </row>
    <row r="1708" spans="1:14">
      <c r="A1708" s="107"/>
      <c r="C1708" s="108"/>
      <c r="D1708" s="108"/>
      <c r="N1708" s="108"/>
    </row>
    <row r="1709" spans="1:14">
      <c r="A1709" s="107"/>
      <c r="C1709" s="108"/>
      <c r="D1709" s="108"/>
      <c r="N1709" s="108"/>
    </row>
    <row r="1710" spans="1:14">
      <c r="A1710" s="107"/>
      <c r="C1710" s="108"/>
      <c r="D1710" s="108"/>
      <c r="N1710" s="108"/>
    </row>
    <row r="1711" spans="1:14">
      <c r="A1711" s="107"/>
      <c r="C1711" s="108"/>
      <c r="D1711" s="108"/>
      <c r="N1711" s="108"/>
    </row>
    <row r="1712" spans="1:14">
      <c r="A1712" s="107"/>
      <c r="C1712" s="108"/>
      <c r="D1712" s="108"/>
      <c r="N1712" s="108"/>
    </row>
    <row r="1713" spans="1:14">
      <c r="A1713" s="107"/>
      <c r="C1713" s="108"/>
      <c r="D1713" s="108"/>
      <c r="N1713" s="108"/>
    </row>
    <row r="1714" spans="1:14">
      <c r="A1714" s="107"/>
      <c r="C1714" s="108"/>
      <c r="D1714" s="108"/>
      <c r="N1714" s="108"/>
    </row>
    <row r="1715" spans="1:14">
      <c r="A1715" s="107"/>
      <c r="C1715" s="108"/>
      <c r="D1715" s="108"/>
      <c r="N1715" s="108"/>
    </row>
    <row r="1716" spans="1:14">
      <c r="A1716" s="107"/>
      <c r="C1716" s="108"/>
      <c r="D1716" s="108"/>
      <c r="N1716" s="108"/>
    </row>
    <row r="1717" spans="1:14">
      <c r="A1717" s="107"/>
      <c r="C1717" s="108"/>
      <c r="D1717" s="108"/>
      <c r="N1717" s="108"/>
    </row>
    <row r="1718" spans="1:14">
      <c r="A1718" s="107"/>
      <c r="C1718" s="108"/>
      <c r="D1718" s="108"/>
      <c r="N1718" s="108"/>
    </row>
    <row r="1719" spans="1:14">
      <c r="A1719" s="107"/>
      <c r="C1719" s="108"/>
      <c r="D1719" s="108"/>
      <c r="N1719" s="108"/>
    </row>
    <row r="1720" spans="1:14">
      <c r="A1720" s="107"/>
      <c r="C1720" s="108"/>
      <c r="D1720" s="108"/>
      <c r="N1720" s="108"/>
    </row>
    <row r="1721" spans="1:14">
      <c r="A1721" s="107"/>
      <c r="C1721" s="108"/>
      <c r="D1721" s="108"/>
      <c r="N1721" s="108"/>
    </row>
    <row r="1722" spans="1:14">
      <c r="A1722" s="107"/>
      <c r="C1722" s="108"/>
      <c r="D1722" s="108"/>
      <c r="N1722" s="108"/>
    </row>
    <row r="1723" spans="1:14">
      <c r="A1723" s="107"/>
      <c r="C1723" s="108"/>
      <c r="D1723" s="108"/>
      <c r="N1723" s="108"/>
    </row>
    <row r="1724" spans="1:14">
      <c r="A1724" s="107"/>
      <c r="C1724" s="108"/>
      <c r="D1724" s="108"/>
      <c r="N1724" s="108"/>
    </row>
    <row r="1725" spans="1:14">
      <c r="A1725" s="107"/>
      <c r="C1725" s="108"/>
      <c r="D1725" s="108"/>
      <c r="N1725" s="108"/>
    </row>
    <row r="1726" spans="1:14">
      <c r="A1726" s="107"/>
      <c r="C1726" s="108"/>
      <c r="D1726" s="108"/>
      <c r="N1726" s="108"/>
    </row>
    <row r="1727" spans="1:14">
      <c r="A1727" s="107"/>
      <c r="C1727" s="108"/>
      <c r="D1727" s="108"/>
      <c r="N1727" s="108"/>
    </row>
    <row r="1728" spans="1:14">
      <c r="A1728" s="107"/>
      <c r="C1728" s="108"/>
      <c r="D1728" s="108"/>
      <c r="N1728" s="108"/>
    </row>
    <row r="1729" spans="1:14">
      <c r="A1729" s="107"/>
      <c r="C1729" s="108"/>
      <c r="D1729" s="108"/>
      <c r="N1729" s="108"/>
    </row>
    <row r="1730" spans="1:14">
      <c r="A1730" s="107"/>
      <c r="C1730" s="108"/>
      <c r="D1730" s="108"/>
      <c r="N1730" s="108"/>
    </row>
    <row r="1731" spans="1:14">
      <c r="A1731" s="107"/>
      <c r="C1731" s="108"/>
      <c r="D1731" s="108"/>
      <c r="N1731" s="108"/>
    </row>
    <row r="1732" spans="1:14">
      <c r="A1732" s="107"/>
      <c r="C1732" s="108"/>
      <c r="D1732" s="108"/>
      <c r="N1732" s="108"/>
    </row>
    <row r="1733" spans="1:14">
      <c r="A1733" s="107"/>
      <c r="C1733" s="108"/>
      <c r="D1733" s="108"/>
      <c r="N1733" s="108"/>
    </row>
    <row r="1734" spans="1:14">
      <c r="A1734" s="107"/>
      <c r="C1734" s="108"/>
      <c r="D1734" s="108"/>
      <c r="N1734" s="108"/>
    </row>
    <row r="1735" spans="1:14">
      <c r="A1735" s="107"/>
      <c r="C1735" s="108"/>
      <c r="D1735" s="108"/>
      <c r="N1735" s="108"/>
    </row>
    <row r="1736" spans="1:14">
      <c r="A1736" s="107"/>
      <c r="C1736" s="108"/>
      <c r="D1736" s="108"/>
      <c r="N1736" s="108"/>
    </row>
    <row r="1737" spans="1:14">
      <c r="A1737" s="107"/>
      <c r="C1737" s="108"/>
      <c r="D1737" s="108"/>
      <c r="N1737" s="108"/>
    </row>
    <row r="1738" spans="1:14">
      <c r="A1738" s="107"/>
      <c r="C1738" s="108"/>
      <c r="D1738" s="108"/>
      <c r="N1738" s="108"/>
    </row>
    <row r="1739" spans="1:14">
      <c r="A1739" s="107"/>
      <c r="C1739" s="108"/>
      <c r="D1739" s="108"/>
      <c r="N1739" s="108"/>
    </row>
    <row r="1740" spans="1:14">
      <c r="A1740" s="107"/>
      <c r="C1740" s="108"/>
      <c r="D1740" s="108"/>
      <c r="N1740" s="108"/>
    </row>
    <row r="1741" spans="1:14">
      <c r="A1741" s="107"/>
      <c r="C1741" s="108"/>
      <c r="D1741" s="108"/>
      <c r="N1741" s="108"/>
    </row>
    <row r="1742" spans="1:14">
      <c r="A1742" s="107"/>
      <c r="C1742" s="108"/>
      <c r="D1742" s="108"/>
      <c r="N1742" s="108"/>
    </row>
    <row r="1743" spans="1:14">
      <c r="A1743" s="107"/>
      <c r="C1743" s="108"/>
      <c r="D1743" s="108"/>
      <c r="N1743" s="108"/>
    </row>
    <row r="1744" spans="1:14">
      <c r="A1744" s="107"/>
      <c r="C1744" s="108"/>
      <c r="D1744" s="108"/>
      <c r="N1744" s="108"/>
    </row>
    <row r="1745" spans="1:14">
      <c r="A1745" s="107"/>
      <c r="C1745" s="108"/>
      <c r="D1745" s="108"/>
      <c r="N1745" s="108"/>
    </row>
    <row r="1746" spans="1:14">
      <c r="A1746" s="107"/>
      <c r="C1746" s="108"/>
      <c r="D1746" s="108"/>
      <c r="N1746" s="108"/>
    </row>
    <row r="1747" spans="1:14">
      <c r="A1747" s="107"/>
      <c r="C1747" s="108"/>
      <c r="D1747" s="108"/>
      <c r="N1747" s="108"/>
    </row>
    <row r="1748" spans="1:14">
      <c r="A1748" s="107"/>
      <c r="C1748" s="108"/>
      <c r="D1748" s="108"/>
      <c r="N1748" s="108"/>
    </row>
    <row r="1749" spans="1:14">
      <c r="A1749" s="107"/>
      <c r="C1749" s="108"/>
      <c r="D1749" s="108"/>
      <c r="N1749" s="108"/>
    </row>
    <row r="1750" spans="1:14">
      <c r="A1750" s="107"/>
      <c r="C1750" s="108"/>
      <c r="D1750" s="108"/>
      <c r="N1750" s="108"/>
    </row>
    <row r="1751" spans="1:14">
      <c r="A1751" s="107"/>
      <c r="C1751" s="108"/>
      <c r="D1751" s="108"/>
      <c r="N1751" s="108"/>
    </row>
    <row r="1752" spans="1:14">
      <c r="A1752" s="107"/>
      <c r="C1752" s="108"/>
      <c r="D1752" s="108"/>
      <c r="N1752" s="108"/>
    </row>
    <row r="1753" spans="1:14">
      <c r="A1753" s="107"/>
      <c r="C1753" s="108"/>
      <c r="D1753" s="108"/>
      <c r="N1753" s="108"/>
    </row>
    <row r="1754" spans="1:14">
      <c r="A1754" s="107"/>
      <c r="C1754" s="108"/>
      <c r="D1754" s="108"/>
      <c r="N1754" s="108"/>
    </row>
    <row r="1755" spans="1:14">
      <c r="A1755" s="107"/>
      <c r="C1755" s="108"/>
      <c r="D1755" s="108"/>
      <c r="N1755" s="108"/>
    </row>
    <row r="1756" spans="1:14">
      <c r="A1756" s="107"/>
      <c r="C1756" s="108"/>
      <c r="D1756" s="108"/>
      <c r="N1756" s="108"/>
    </row>
    <row r="1757" spans="1:14">
      <c r="A1757" s="107"/>
      <c r="C1757" s="108"/>
      <c r="D1757" s="108"/>
      <c r="N1757" s="108"/>
    </row>
    <row r="1758" spans="1:14">
      <c r="A1758" s="107"/>
      <c r="C1758" s="108"/>
      <c r="D1758" s="108"/>
      <c r="N1758" s="108"/>
    </row>
    <row r="1759" spans="1:14">
      <c r="A1759" s="107"/>
      <c r="C1759" s="108"/>
      <c r="D1759" s="108"/>
      <c r="N1759" s="108"/>
    </row>
    <row r="1760" spans="1:14">
      <c r="A1760" s="107"/>
      <c r="C1760" s="108"/>
      <c r="D1760" s="108"/>
      <c r="N1760" s="108"/>
    </row>
    <row r="1761" spans="1:14">
      <c r="A1761" s="107"/>
      <c r="C1761" s="108"/>
      <c r="D1761" s="108"/>
      <c r="N1761" s="108"/>
    </row>
    <row r="1762" spans="1:14">
      <c r="A1762" s="107"/>
      <c r="C1762" s="108"/>
      <c r="D1762" s="108"/>
      <c r="N1762" s="108"/>
    </row>
    <row r="1763" spans="1:14">
      <c r="A1763" s="107"/>
      <c r="C1763" s="108"/>
      <c r="D1763" s="108"/>
      <c r="N1763" s="108"/>
    </row>
    <row r="1764" spans="1:14">
      <c r="A1764" s="107"/>
      <c r="C1764" s="108"/>
      <c r="D1764" s="108"/>
      <c r="N1764" s="108"/>
    </row>
    <row r="1765" spans="1:14">
      <c r="A1765" s="107"/>
      <c r="C1765" s="108"/>
      <c r="D1765" s="108"/>
      <c r="N1765" s="108"/>
    </row>
    <row r="1766" spans="1:14">
      <c r="A1766" s="107"/>
      <c r="C1766" s="108"/>
      <c r="D1766" s="108"/>
      <c r="N1766" s="108"/>
    </row>
    <row r="1767" spans="1:14">
      <c r="A1767" s="107"/>
      <c r="C1767" s="108"/>
      <c r="D1767" s="108"/>
      <c r="N1767" s="108"/>
    </row>
    <row r="1768" spans="1:14">
      <c r="A1768" s="107"/>
      <c r="C1768" s="108"/>
      <c r="D1768" s="108"/>
      <c r="N1768" s="108"/>
    </row>
    <row r="1769" spans="1:14">
      <c r="A1769" s="107"/>
      <c r="C1769" s="108"/>
      <c r="D1769" s="108"/>
      <c r="N1769" s="108"/>
    </row>
    <row r="1770" spans="1:14">
      <c r="A1770" s="107"/>
      <c r="C1770" s="108"/>
      <c r="D1770" s="108"/>
      <c r="N1770" s="108"/>
    </row>
    <row r="1771" spans="1:14">
      <c r="A1771" s="107"/>
      <c r="C1771" s="108"/>
      <c r="D1771" s="108"/>
      <c r="N1771" s="108"/>
    </row>
    <row r="1772" spans="1:14">
      <c r="A1772" s="107"/>
      <c r="C1772" s="108"/>
      <c r="D1772" s="108"/>
      <c r="N1772" s="108"/>
    </row>
    <row r="1773" spans="1:14">
      <c r="A1773" s="107"/>
      <c r="C1773" s="108"/>
      <c r="D1773" s="108"/>
      <c r="N1773" s="108"/>
    </row>
    <row r="1774" spans="1:14">
      <c r="A1774" s="107"/>
      <c r="C1774" s="108"/>
      <c r="D1774" s="108"/>
      <c r="N1774" s="108"/>
    </row>
    <row r="1775" spans="1:14">
      <c r="A1775" s="107"/>
      <c r="C1775" s="108"/>
      <c r="D1775" s="108"/>
      <c r="N1775" s="108"/>
    </row>
    <row r="1776" spans="1:14">
      <c r="A1776" s="107"/>
      <c r="C1776" s="108"/>
      <c r="D1776" s="108"/>
      <c r="N1776" s="108"/>
    </row>
    <row r="1777" spans="1:14">
      <c r="A1777" s="107"/>
      <c r="C1777" s="108"/>
      <c r="D1777" s="108"/>
      <c r="N1777" s="108"/>
    </row>
    <row r="1778" spans="1:14">
      <c r="A1778" s="107"/>
      <c r="C1778" s="108"/>
      <c r="D1778" s="108"/>
      <c r="N1778" s="108"/>
    </row>
    <row r="1779" spans="1:14">
      <c r="A1779" s="107"/>
      <c r="C1779" s="108"/>
      <c r="D1779" s="108"/>
      <c r="N1779" s="108"/>
    </row>
    <row r="1780" spans="1:14">
      <c r="A1780" s="107"/>
      <c r="C1780" s="108"/>
      <c r="D1780" s="108"/>
      <c r="N1780" s="108"/>
    </row>
    <row r="1781" spans="1:14">
      <c r="A1781" s="107"/>
      <c r="C1781" s="108"/>
      <c r="D1781" s="108"/>
      <c r="N1781" s="108"/>
    </row>
    <row r="1782" spans="1:14">
      <c r="A1782" s="107"/>
      <c r="C1782" s="108"/>
      <c r="D1782" s="108"/>
      <c r="N1782" s="108"/>
    </row>
    <row r="1783" spans="1:14">
      <c r="A1783" s="107"/>
      <c r="C1783" s="108"/>
      <c r="D1783" s="108"/>
      <c r="N1783" s="108"/>
    </row>
    <row r="1784" spans="1:14">
      <c r="A1784" s="107"/>
      <c r="C1784" s="108"/>
      <c r="D1784" s="108"/>
      <c r="N1784" s="108"/>
    </row>
    <row r="1785" spans="1:14">
      <c r="A1785" s="107"/>
      <c r="C1785" s="108"/>
      <c r="D1785" s="108"/>
      <c r="N1785" s="108"/>
    </row>
    <row r="1786" spans="1:14">
      <c r="A1786" s="107"/>
      <c r="C1786" s="108"/>
      <c r="D1786" s="108"/>
      <c r="N1786" s="108"/>
    </row>
    <row r="1787" spans="1:14">
      <c r="A1787" s="107"/>
      <c r="C1787" s="108"/>
      <c r="D1787" s="108"/>
      <c r="N1787" s="108"/>
    </row>
    <row r="1788" spans="1:14">
      <c r="A1788" s="107"/>
      <c r="C1788" s="108"/>
      <c r="D1788" s="108"/>
      <c r="N1788" s="108"/>
    </row>
    <row r="1789" spans="1:14">
      <c r="A1789" s="107"/>
      <c r="C1789" s="108"/>
      <c r="D1789" s="108"/>
      <c r="N1789" s="108"/>
    </row>
    <row r="1790" spans="1:14">
      <c r="A1790" s="107"/>
      <c r="C1790" s="108"/>
      <c r="D1790" s="108"/>
      <c r="N1790" s="108"/>
    </row>
    <row r="1791" spans="1:14">
      <c r="A1791" s="107"/>
      <c r="C1791" s="108"/>
      <c r="D1791" s="108"/>
      <c r="N1791" s="108"/>
    </row>
    <row r="1792" spans="1:14">
      <c r="A1792" s="107"/>
      <c r="C1792" s="108"/>
      <c r="D1792" s="108"/>
      <c r="N1792" s="108"/>
    </row>
    <row r="1793" spans="1:14">
      <c r="A1793" s="107"/>
      <c r="C1793" s="108"/>
      <c r="D1793" s="108"/>
      <c r="N1793" s="108"/>
    </row>
    <row r="1794" spans="1:14">
      <c r="A1794" s="107"/>
      <c r="C1794" s="108"/>
      <c r="D1794" s="108"/>
      <c r="N1794" s="108"/>
    </row>
    <row r="1795" spans="1:14">
      <c r="A1795" s="107"/>
      <c r="C1795" s="108"/>
      <c r="D1795" s="108"/>
      <c r="N1795" s="108"/>
    </row>
    <row r="1796" spans="1:14">
      <c r="A1796" s="107"/>
      <c r="C1796" s="108"/>
      <c r="D1796" s="108"/>
      <c r="N1796" s="108"/>
    </row>
    <row r="1797" spans="1:14">
      <c r="A1797" s="107"/>
      <c r="C1797" s="108"/>
      <c r="D1797" s="108"/>
      <c r="N1797" s="108"/>
    </row>
    <row r="1798" spans="1:14">
      <c r="A1798" s="107"/>
      <c r="C1798" s="108"/>
      <c r="D1798" s="108"/>
      <c r="N1798" s="108"/>
    </row>
    <row r="1799" spans="1:14">
      <c r="A1799" s="107"/>
      <c r="C1799" s="108"/>
      <c r="D1799" s="108"/>
      <c r="N1799" s="108"/>
    </row>
    <row r="1800" spans="1:14">
      <c r="A1800" s="107"/>
      <c r="C1800" s="108"/>
      <c r="D1800" s="108"/>
      <c r="N1800" s="108"/>
    </row>
    <row r="1801" spans="1:14">
      <c r="A1801" s="107"/>
      <c r="C1801" s="108"/>
      <c r="D1801" s="108"/>
      <c r="N1801" s="108"/>
    </row>
    <row r="1802" spans="1:14">
      <c r="A1802" s="107"/>
      <c r="C1802" s="108"/>
      <c r="D1802" s="108"/>
      <c r="N1802" s="108"/>
    </row>
    <row r="1803" spans="1:14">
      <c r="A1803" s="107"/>
      <c r="C1803" s="108"/>
      <c r="D1803" s="108"/>
      <c r="N1803" s="108"/>
    </row>
    <row r="1804" spans="1:14">
      <c r="A1804" s="107"/>
      <c r="C1804" s="108"/>
      <c r="D1804" s="108"/>
      <c r="N1804" s="108"/>
    </row>
    <row r="1805" spans="1:14">
      <c r="A1805" s="107"/>
      <c r="C1805" s="108"/>
      <c r="D1805" s="108"/>
      <c r="N1805" s="108"/>
    </row>
    <row r="1806" spans="1:14">
      <c r="A1806" s="107"/>
      <c r="C1806" s="108"/>
      <c r="D1806" s="108"/>
      <c r="N1806" s="108"/>
    </row>
    <row r="1807" spans="1:14">
      <c r="A1807" s="107"/>
      <c r="C1807" s="108"/>
      <c r="D1807" s="108"/>
      <c r="N1807" s="108"/>
    </row>
    <row r="1808" spans="1:14">
      <c r="A1808" s="107"/>
      <c r="C1808" s="108"/>
      <c r="D1808" s="108"/>
      <c r="N1808" s="108"/>
    </row>
    <row r="1809" spans="1:14">
      <c r="A1809" s="107"/>
      <c r="C1809" s="108"/>
      <c r="D1809" s="108"/>
      <c r="N1809" s="108"/>
    </row>
    <row r="1810" spans="1:14">
      <c r="A1810" s="107"/>
      <c r="C1810" s="108"/>
      <c r="D1810" s="108"/>
      <c r="N1810" s="108"/>
    </row>
    <row r="1811" spans="1:14">
      <c r="A1811" s="107"/>
      <c r="C1811" s="108"/>
      <c r="D1811" s="108"/>
      <c r="N1811" s="108"/>
    </row>
    <row r="1812" spans="1:14">
      <c r="A1812" s="107"/>
      <c r="C1812" s="108"/>
      <c r="D1812" s="108"/>
      <c r="N1812" s="108"/>
    </row>
    <row r="1813" spans="1:14">
      <c r="A1813" s="107"/>
      <c r="C1813" s="108"/>
      <c r="D1813" s="108"/>
      <c r="N1813" s="108"/>
    </row>
    <row r="1814" spans="1:14">
      <c r="A1814" s="107"/>
      <c r="C1814" s="108"/>
      <c r="D1814" s="108"/>
      <c r="N1814" s="108"/>
    </row>
    <row r="1815" spans="1:14">
      <c r="A1815" s="107"/>
      <c r="C1815" s="108"/>
      <c r="D1815" s="108"/>
      <c r="N1815" s="108"/>
    </row>
    <row r="1816" spans="1:14">
      <c r="A1816" s="107"/>
      <c r="C1816" s="108"/>
      <c r="D1816" s="108"/>
      <c r="N1816" s="108"/>
    </row>
    <row r="1817" spans="1:14">
      <c r="A1817" s="107"/>
      <c r="C1817" s="108"/>
      <c r="D1817" s="108"/>
      <c r="N1817" s="108"/>
    </row>
    <row r="1818" spans="1:14">
      <c r="A1818" s="107"/>
      <c r="C1818" s="108"/>
      <c r="D1818" s="108"/>
      <c r="N1818" s="108"/>
    </row>
    <row r="1819" spans="1:14">
      <c r="A1819" s="107"/>
      <c r="C1819" s="108"/>
      <c r="D1819" s="108"/>
      <c r="N1819" s="108"/>
    </row>
    <row r="1820" spans="1:14">
      <c r="A1820" s="107"/>
      <c r="C1820" s="108"/>
      <c r="D1820" s="108"/>
      <c r="N1820" s="108"/>
    </row>
    <row r="1821" spans="1:14">
      <c r="A1821" s="107"/>
      <c r="C1821" s="108"/>
      <c r="D1821" s="108"/>
      <c r="N1821" s="108"/>
    </row>
    <row r="1822" spans="1:14">
      <c r="A1822" s="107"/>
      <c r="C1822" s="108"/>
      <c r="D1822" s="108"/>
      <c r="N1822" s="108"/>
    </row>
    <row r="1823" spans="1:14">
      <c r="A1823" s="107"/>
      <c r="C1823" s="108"/>
      <c r="D1823" s="108"/>
      <c r="N1823" s="108"/>
    </row>
    <row r="1824" spans="1:14">
      <c r="A1824" s="107"/>
      <c r="C1824" s="108"/>
      <c r="D1824" s="108"/>
      <c r="N1824" s="108"/>
    </row>
    <row r="1825" spans="1:14">
      <c r="A1825" s="107"/>
      <c r="C1825" s="108"/>
      <c r="D1825" s="108"/>
      <c r="N1825" s="108"/>
    </row>
    <row r="1826" spans="1:14">
      <c r="A1826" s="107"/>
      <c r="C1826" s="108"/>
      <c r="D1826" s="108"/>
      <c r="N1826" s="108"/>
    </row>
    <row r="1827" spans="1:14">
      <c r="A1827" s="107"/>
      <c r="C1827" s="108"/>
      <c r="D1827" s="108"/>
      <c r="N1827" s="108"/>
    </row>
    <row r="1828" spans="1:14">
      <c r="A1828" s="107"/>
      <c r="C1828" s="108"/>
      <c r="D1828" s="108"/>
      <c r="N1828" s="108"/>
    </row>
    <row r="1829" spans="1:14">
      <c r="A1829" s="107"/>
      <c r="C1829" s="108"/>
      <c r="D1829" s="108"/>
      <c r="N1829" s="108"/>
    </row>
    <row r="1830" spans="1:14">
      <c r="A1830" s="107"/>
      <c r="C1830" s="108"/>
      <c r="D1830" s="108"/>
      <c r="N1830" s="108"/>
    </row>
    <row r="1831" spans="1:14">
      <c r="A1831" s="107"/>
      <c r="C1831" s="108"/>
      <c r="D1831" s="108"/>
      <c r="N1831" s="108"/>
    </row>
    <row r="1832" spans="1:14">
      <c r="A1832" s="107"/>
      <c r="C1832" s="108"/>
      <c r="D1832" s="108"/>
      <c r="N1832" s="108"/>
    </row>
    <row r="1833" spans="1:14">
      <c r="A1833" s="107"/>
      <c r="C1833" s="108"/>
      <c r="D1833" s="108"/>
      <c r="N1833" s="108"/>
    </row>
    <row r="1834" spans="1:14">
      <c r="A1834" s="107"/>
      <c r="C1834" s="108"/>
      <c r="D1834" s="108"/>
      <c r="N1834" s="108"/>
    </row>
    <row r="1835" spans="1:14">
      <c r="A1835" s="107"/>
      <c r="C1835" s="108"/>
      <c r="D1835" s="108"/>
      <c r="N1835" s="108"/>
    </row>
    <row r="1836" spans="1:14">
      <c r="A1836" s="107"/>
      <c r="C1836" s="108"/>
      <c r="D1836" s="108"/>
      <c r="N1836" s="108"/>
    </row>
    <row r="1837" spans="1:14">
      <c r="A1837" s="107"/>
      <c r="C1837" s="108"/>
      <c r="D1837" s="108"/>
      <c r="N1837" s="108"/>
    </row>
    <row r="1838" spans="1:14">
      <c r="A1838" s="107"/>
      <c r="C1838" s="108"/>
      <c r="D1838" s="108"/>
      <c r="N1838" s="108"/>
    </row>
    <row r="1839" spans="1:14">
      <c r="A1839" s="107"/>
      <c r="C1839" s="108"/>
      <c r="D1839" s="108"/>
      <c r="N1839" s="108"/>
    </row>
    <row r="1840" spans="1:14">
      <c r="A1840" s="107"/>
      <c r="C1840" s="108"/>
      <c r="D1840" s="108"/>
      <c r="N1840" s="108"/>
    </row>
    <row r="1841" spans="1:14">
      <c r="A1841" s="107"/>
      <c r="C1841" s="108"/>
      <c r="D1841" s="108"/>
      <c r="N1841" s="108"/>
    </row>
    <row r="1842" spans="1:14">
      <c r="A1842" s="107"/>
      <c r="C1842" s="108"/>
      <c r="D1842" s="108"/>
      <c r="N1842" s="108"/>
    </row>
    <row r="1843" spans="1:14">
      <c r="A1843" s="107"/>
      <c r="C1843" s="108"/>
      <c r="D1843" s="108"/>
      <c r="N1843" s="108"/>
    </row>
    <row r="1844" spans="1:14">
      <c r="A1844" s="107"/>
      <c r="C1844" s="108"/>
      <c r="D1844" s="108"/>
      <c r="N1844" s="108"/>
    </row>
    <row r="1845" spans="1:14">
      <c r="A1845" s="107"/>
      <c r="C1845" s="108"/>
      <c r="D1845" s="108"/>
      <c r="N1845" s="108"/>
    </row>
    <row r="1846" spans="1:14">
      <c r="A1846" s="107"/>
      <c r="C1846" s="108"/>
      <c r="D1846" s="108"/>
      <c r="N1846" s="108"/>
    </row>
    <row r="1847" spans="1:14">
      <c r="A1847" s="107"/>
      <c r="C1847" s="108"/>
      <c r="D1847" s="108"/>
      <c r="N1847" s="108"/>
    </row>
    <row r="1848" spans="1:14">
      <c r="A1848" s="107"/>
      <c r="C1848" s="108"/>
      <c r="D1848" s="108"/>
      <c r="N1848" s="108"/>
    </row>
    <row r="1849" spans="1:14">
      <c r="A1849" s="107"/>
      <c r="C1849" s="108"/>
      <c r="D1849" s="108"/>
      <c r="N1849" s="108"/>
    </row>
    <row r="1850" spans="1:14">
      <c r="A1850" s="107"/>
      <c r="C1850" s="108"/>
      <c r="D1850" s="108"/>
      <c r="N1850" s="108"/>
    </row>
    <row r="1851" spans="1:14">
      <c r="A1851" s="107"/>
      <c r="C1851" s="108"/>
      <c r="D1851" s="108"/>
      <c r="N1851" s="108"/>
    </row>
    <row r="1852" spans="1:14">
      <c r="A1852" s="107"/>
      <c r="C1852" s="108"/>
      <c r="D1852" s="108"/>
      <c r="N1852" s="108"/>
    </row>
    <row r="1853" spans="1:14">
      <c r="A1853" s="107"/>
      <c r="C1853" s="108"/>
      <c r="D1853" s="108"/>
      <c r="N1853" s="108"/>
    </row>
    <row r="1854" spans="1:14">
      <c r="A1854" s="107"/>
      <c r="C1854" s="108"/>
      <c r="D1854" s="108"/>
      <c r="N1854" s="108"/>
    </row>
    <row r="1855" spans="1:14">
      <c r="A1855" s="107"/>
      <c r="C1855" s="108"/>
      <c r="D1855" s="108"/>
      <c r="N1855" s="108"/>
    </row>
    <row r="1856" spans="1:14">
      <c r="A1856" s="107"/>
      <c r="C1856" s="108"/>
      <c r="D1856" s="108"/>
      <c r="N1856" s="108"/>
    </row>
    <row r="1857" spans="1:14">
      <c r="A1857" s="107"/>
      <c r="C1857" s="108"/>
      <c r="D1857" s="108"/>
      <c r="N1857" s="108"/>
    </row>
    <row r="1858" spans="1:14">
      <c r="A1858" s="107"/>
      <c r="C1858" s="108"/>
      <c r="D1858" s="108"/>
      <c r="N1858" s="108"/>
    </row>
    <row r="1859" spans="1:14">
      <c r="A1859" s="107"/>
      <c r="C1859" s="108"/>
      <c r="D1859" s="108"/>
      <c r="N1859" s="108"/>
    </row>
    <row r="1860" spans="1:14">
      <c r="A1860" s="107"/>
      <c r="C1860" s="108"/>
      <c r="D1860" s="108"/>
      <c r="N1860" s="108"/>
    </row>
    <row r="1861" spans="1:14">
      <c r="A1861" s="107"/>
      <c r="C1861" s="108"/>
      <c r="D1861" s="108"/>
      <c r="N1861" s="108"/>
    </row>
    <row r="1862" spans="1:14">
      <c r="A1862" s="107"/>
      <c r="C1862" s="108"/>
      <c r="D1862" s="108"/>
      <c r="N1862" s="108"/>
    </row>
    <row r="1863" spans="1:14">
      <c r="A1863" s="107"/>
      <c r="C1863" s="108"/>
      <c r="D1863" s="108"/>
      <c r="N1863" s="108"/>
    </row>
    <row r="1864" spans="1:14">
      <c r="A1864" s="107"/>
      <c r="C1864" s="108"/>
      <c r="D1864" s="108"/>
      <c r="N1864" s="108"/>
    </row>
    <row r="1865" spans="1:14">
      <c r="A1865" s="107"/>
      <c r="C1865" s="108"/>
      <c r="D1865" s="108"/>
      <c r="N1865" s="108"/>
    </row>
    <row r="1866" spans="1:14">
      <c r="A1866" s="107"/>
      <c r="C1866" s="108"/>
      <c r="D1866" s="108"/>
      <c r="N1866" s="108"/>
    </row>
    <row r="1867" spans="1:14">
      <c r="A1867" s="107"/>
      <c r="C1867" s="108"/>
      <c r="D1867" s="108"/>
      <c r="N1867" s="108"/>
    </row>
    <row r="1868" spans="1:14">
      <c r="A1868" s="107"/>
      <c r="C1868" s="108"/>
      <c r="D1868" s="108"/>
      <c r="N1868" s="108"/>
    </row>
    <row r="1869" spans="1:14">
      <c r="A1869" s="107"/>
      <c r="C1869" s="108"/>
      <c r="D1869" s="108"/>
      <c r="N1869" s="108"/>
    </row>
    <row r="1870" spans="1:14">
      <c r="A1870" s="107"/>
      <c r="C1870" s="108"/>
      <c r="D1870" s="108"/>
      <c r="N1870" s="108"/>
    </row>
    <row r="1871" spans="1:14">
      <c r="A1871" s="107"/>
      <c r="C1871" s="108"/>
      <c r="D1871" s="108"/>
      <c r="N1871" s="108"/>
    </row>
    <row r="1872" spans="1:14">
      <c r="A1872" s="107"/>
      <c r="C1872" s="108"/>
      <c r="D1872" s="108"/>
      <c r="N1872" s="108"/>
    </row>
    <row r="1873" spans="1:14">
      <c r="A1873" s="107"/>
      <c r="C1873" s="108"/>
      <c r="D1873" s="108"/>
      <c r="N1873" s="108"/>
    </row>
    <row r="1874" spans="1:14">
      <c r="A1874" s="107"/>
      <c r="C1874" s="108"/>
      <c r="D1874" s="108"/>
      <c r="N1874" s="108"/>
    </row>
    <row r="1875" spans="1:14">
      <c r="A1875" s="107"/>
      <c r="C1875" s="108"/>
      <c r="D1875" s="108"/>
      <c r="N1875" s="108"/>
    </row>
    <row r="1876" spans="1:14">
      <c r="A1876" s="107"/>
      <c r="C1876" s="108"/>
      <c r="D1876" s="108"/>
      <c r="N1876" s="108"/>
    </row>
    <row r="1877" spans="1:14">
      <c r="A1877" s="107"/>
      <c r="C1877" s="108"/>
      <c r="D1877" s="108"/>
      <c r="N1877" s="108"/>
    </row>
    <row r="1878" spans="1:14">
      <c r="A1878" s="107"/>
      <c r="C1878" s="108"/>
      <c r="D1878" s="108"/>
      <c r="N1878" s="108"/>
    </row>
    <row r="1879" spans="1:14">
      <c r="A1879" s="107"/>
      <c r="C1879" s="108"/>
      <c r="D1879" s="108"/>
      <c r="N1879" s="108"/>
    </row>
    <row r="1880" spans="1:14">
      <c r="A1880" s="107"/>
      <c r="C1880" s="108"/>
      <c r="D1880" s="108"/>
      <c r="N1880" s="108"/>
    </row>
    <row r="1881" spans="1:14">
      <c r="A1881" s="107"/>
      <c r="C1881" s="108"/>
      <c r="D1881" s="108"/>
      <c r="N1881" s="108"/>
    </row>
    <row r="1882" spans="1:14">
      <c r="A1882" s="107"/>
      <c r="C1882" s="108"/>
      <c r="D1882" s="108"/>
      <c r="N1882" s="108"/>
    </row>
    <row r="1883" spans="1:14">
      <c r="A1883" s="107"/>
      <c r="C1883" s="108"/>
      <c r="D1883" s="108"/>
      <c r="N1883" s="108"/>
    </row>
    <row r="1884" spans="1:14">
      <c r="A1884" s="107"/>
      <c r="C1884" s="108"/>
      <c r="D1884" s="108"/>
      <c r="N1884" s="108"/>
    </row>
    <row r="1885" spans="1:14">
      <c r="A1885" s="107"/>
      <c r="C1885" s="108"/>
      <c r="D1885" s="108"/>
      <c r="N1885" s="108"/>
    </row>
    <row r="1886" spans="1:14">
      <c r="A1886" s="107"/>
      <c r="C1886" s="108"/>
      <c r="D1886" s="108"/>
      <c r="N1886" s="108"/>
    </row>
    <row r="1887" spans="1:14">
      <c r="A1887" s="107"/>
      <c r="C1887" s="108"/>
      <c r="D1887" s="108"/>
      <c r="N1887" s="108"/>
    </row>
    <row r="1888" spans="1:14">
      <c r="A1888" s="107"/>
      <c r="C1888" s="108"/>
      <c r="D1888" s="108"/>
      <c r="N1888" s="108"/>
    </row>
    <row r="1889" spans="1:14">
      <c r="A1889" s="107"/>
      <c r="C1889" s="108"/>
      <c r="D1889" s="108"/>
      <c r="N1889" s="108"/>
    </row>
    <row r="1890" spans="1:14">
      <c r="A1890" s="107"/>
      <c r="C1890" s="108"/>
      <c r="D1890" s="108"/>
      <c r="N1890" s="108"/>
    </row>
    <row r="1891" spans="1:14">
      <c r="A1891" s="107"/>
      <c r="C1891" s="108"/>
      <c r="D1891" s="108"/>
      <c r="N1891" s="108"/>
    </row>
    <row r="1892" spans="1:14">
      <c r="A1892" s="107"/>
      <c r="C1892" s="108"/>
      <c r="D1892" s="108"/>
      <c r="N1892" s="108"/>
    </row>
    <row r="1893" spans="1:14">
      <c r="A1893" s="107"/>
      <c r="C1893" s="108"/>
      <c r="D1893" s="108"/>
      <c r="N1893" s="108"/>
    </row>
    <row r="1894" spans="1:14">
      <c r="A1894" s="107"/>
      <c r="C1894" s="108"/>
      <c r="D1894" s="108"/>
      <c r="N1894" s="108"/>
    </row>
    <row r="1895" spans="1:14">
      <c r="A1895" s="107"/>
      <c r="C1895" s="108"/>
      <c r="D1895" s="108"/>
      <c r="N1895" s="108"/>
    </row>
    <row r="1896" spans="1:14">
      <c r="A1896" s="107"/>
      <c r="C1896" s="108"/>
      <c r="D1896" s="108"/>
      <c r="N1896" s="108"/>
    </row>
    <row r="1897" spans="1:14">
      <c r="A1897" s="107"/>
      <c r="C1897" s="108"/>
      <c r="D1897" s="108"/>
      <c r="N1897" s="108"/>
    </row>
    <row r="1898" spans="1:14">
      <c r="A1898" s="107"/>
      <c r="C1898" s="108"/>
      <c r="D1898" s="108"/>
      <c r="N1898" s="108"/>
    </row>
    <row r="1899" spans="1:14">
      <c r="A1899" s="107"/>
      <c r="C1899" s="108"/>
      <c r="D1899" s="108"/>
      <c r="N1899" s="108"/>
    </row>
    <row r="1900" spans="1:14">
      <c r="A1900" s="107"/>
      <c r="C1900" s="108"/>
      <c r="D1900" s="108"/>
      <c r="N1900" s="108"/>
    </row>
    <row r="1901" spans="1:14">
      <c r="A1901" s="107"/>
      <c r="C1901" s="108"/>
      <c r="D1901" s="108"/>
      <c r="N1901" s="108"/>
    </row>
    <row r="1902" spans="1:14">
      <c r="A1902" s="107"/>
      <c r="C1902" s="108"/>
      <c r="D1902" s="108"/>
      <c r="N1902" s="108"/>
    </row>
    <row r="1903" spans="1:14">
      <c r="A1903" s="107"/>
      <c r="C1903" s="108"/>
      <c r="D1903" s="108"/>
      <c r="N1903" s="108"/>
    </row>
    <row r="1904" spans="1:14">
      <c r="A1904" s="107"/>
      <c r="C1904" s="108"/>
      <c r="D1904" s="108"/>
      <c r="N1904" s="108"/>
    </row>
    <row r="1905" spans="1:14">
      <c r="A1905" s="107"/>
      <c r="C1905" s="108"/>
      <c r="D1905" s="108"/>
      <c r="N1905" s="108"/>
    </row>
    <row r="1906" spans="1:14">
      <c r="A1906" s="107"/>
      <c r="C1906" s="108"/>
      <c r="D1906" s="108"/>
      <c r="N1906" s="108"/>
    </row>
    <row r="1907" spans="1:14">
      <c r="A1907" s="107"/>
      <c r="C1907" s="108"/>
      <c r="D1907" s="108"/>
      <c r="N1907" s="108"/>
    </row>
    <row r="1908" spans="1:14">
      <c r="A1908" s="107"/>
      <c r="C1908" s="108"/>
      <c r="D1908" s="108"/>
      <c r="N1908" s="108"/>
    </row>
    <row r="1909" spans="1:14">
      <c r="A1909" s="107"/>
      <c r="C1909" s="108"/>
      <c r="D1909" s="108"/>
      <c r="N1909" s="108"/>
    </row>
    <row r="1910" spans="1:14">
      <c r="A1910" s="107"/>
      <c r="C1910" s="108"/>
      <c r="D1910" s="108"/>
      <c r="N1910" s="108"/>
    </row>
    <row r="1911" spans="1:14">
      <c r="A1911" s="107"/>
      <c r="C1911" s="108"/>
      <c r="D1911" s="108"/>
      <c r="N1911" s="108"/>
    </row>
    <row r="1912" spans="1:14">
      <c r="A1912" s="107"/>
      <c r="C1912" s="108"/>
      <c r="D1912" s="108"/>
      <c r="N1912" s="108"/>
    </row>
    <row r="1913" spans="1:14">
      <c r="A1913" s="107"/>
      <c r="C1913" s="108"/>
      <c r="D1913" s="108"/>
      <c r="N1913" s="108"/>
    </row>
    <row r="1914" spans="1:14">
      <c r="A1914" s="107"/>
      <c r="C1914" s="108"/>
      <c r="D1914" s="108"/>
      <c r="N1914" s="108"/>
    </row>
    <row r="1915" spans="1:14">
      <c r="A1915" s="107"/>
      <c r="C1915" s="108"/>
      <c r="D1915" s="108"/>
      <c r="N1915" s="108"/>
    </row>
    <row r="1916" spans="1:14">
      <c r="A1916" s="107"/>
      <c r="C1916" s="108"/>
      <c r="D1916" s="108"/>
      <c r="N1916" s="108"/>
    </row>
    <row r="1917" spans="1:14">
      <c r="A1917" s="107"/>
      <c r="C1917" s="108"/>
      <c r="D1917" s="108"/>
      <c r="N1917" s="108"/>
    </row>
    <row r="1918" spans="1:14">
      <c r="A1918" s="107"/>
      <c r="C1918" s="108"/>
      <c r="D1918" s="108"/>
      <c r="N1918" s="108"/>
    </row>
    <row r="1919" spans="1:14">
      <c r="A1919" s="107"/>
      <c r="C1919" s="108"/>
      <c r="D1919" s="108"/>
      <c r="N1919" s="108"/>
    </row>
    <row r="1920" spans="1:14">
      <c r="A1920" s="107"/>
      <c r="C1920" s="108"/>
      <c r="D1920" s="108"/>
      <c r="N1920" s="108"/>
    </row>
    <row r="1921" spans="1:14">
      <c r="A1921" s="107"/>
      <c r="C1921" s="108"/>
      <c r="D1921" s="108"/>
      <c r="N1921" s="108"/>
    </row>
    <row r="1922" spans="1:14">
      <c r="A1922" s="107"/>
      <c r="C1922" s="108"/>
      <c r="D1922" s="108"/>
      <c r="N1922" s="108"/>
    </row>
    <row r="1923" spans="1:14">
      <c r="A1923" s="107"/>
      <c r="C1923" s="108"/>
      <c r="D1923" s="108"/>
      <c r="N1923" s="108"/>
    </row>
    <row r="1924" spans="1:14">
      <c r="A1924" s="107"/>
      <c r="C1924" s="108"/>
      <c r="D1924" s="108"/>
      <c r="N1924" s="108"/>
    </row>
    <row r="1925" spans="1:14">
      <c r="A1925" s="107"/>
      <c r="C1925" s="108"/>
      <c r="D1925" s="108"/>
      <c r="N1925" s="108"/>
    </row>
    <row r="1926" spans="1:14">
      <c r="A1926" s="107"/>
      <c r="C1926" s="108"/>
      <c r="D1926" s="108"/>
      <c r="N1926" s="108"/>
    </row>
    <row r="1927" spans="1:14">
      <c r="A1927" s="107"/>
      <c r="C1927" s="108"/>
      <c r="D1927" s="108"/>
      <c r="N1927" s="108"/>
    </row>
    <row r="1928" spans="1:14">
      <c r="A1928" s="107"/>
      <c r="C1928" s="108"/>
      <c r="D1928" s="108"/>
      <c r="N1928" s="108"/>
    </row>
    <row r="1929" spans="1:14">
      <c r="A1929" s="107"/>
      <c r="C1929" s="108"/>
      <c r="D1929" s="108"/>
      <c r="N1929" s="108"/>
    </row>
    <row r="1930" spans="1:14">
      <c r="A1930" s="107"/>
      <c r="C1930" s="108"/>
      <c r="D1930" s="108"/>
      <c r="N1930" s="108"/>
    </row>
    <row r="1931" spans="1:14">
      <c r="A1931" s="107"/>
      <c r="C1931" s="108"/>
      <c r="D1931" s="108"/>
      <c r="N1931" s="108"/>
    </row>
    <row r="1932" spans="1:14">
      <c r="A1932" s="107"/>
      <c r="C1932" s="108"/>
      <c r="D1932" s="108"/>
      <c r="N1932" s="108"/>
    </row>
    <row r="1933" spans="1:14">
      <c r="A1933" s="107"/>
      <c r="C1933" s="108"/>
      <c r="D1933" s="108"/>
      <c r="N1933" s="108"/>
    </row>
    <row r="1934" spans="1:14">
      <c r="A1934" s="107"/>
      <c r="C1934" s="108"/>
      <c r="D1934" s="108"/>
      <c r="N1934" s="108"/>
    </row>
    <row r="1935" spans="1:14">
      <c r="A1935" s="107"/>
      <c r="C1935" s="108"/>
      <c r="D1935" s="108"/>
      <c r="N1935" s="108"/>
    </row>
    <row r="1936" spans="1:14">
      <c r="A1936" s="107"/>
      <c r="C1936" s="108"/>
      <c r="D1936" s="108"/>
      <c r="N1936" s="108"/>
    </row>
    <row r="1937" spans="1:14">
      <c r="A1937" s="107"/>
      <c r="C1937" s="108"/>
      <c r="D1937" s="108"/>
      <c r="N1937" s="108"/>
    </row>
    <row r="1938" spans="1:14">
      <c r="A1938" s="107"/>
      <c r="C1938" s="108"/>
      <c r="D1938" s="108"/>
      <c r="N1938" s="108"/>
    </row>
    <row r="1939" spans="1:14">
      <c r="A1939" s="107"/>
      <c r="C1939" s="108"/>
      <c r="D1939" s="108"/>
      <c r="N1939" s="108"/>
    </row>
    <row r="1940" spans="1:14">
      <c r="A1940" s="107"/>
      <c r="C1940" s="108"/>
      <c r="D1940" s="108"/>
      <c r="N1940" s="108"/>
    </row>
    <row r="1941" spans="1:14">
      <c r="A1941" s="107"/>
      <c r="C1941" s="108"/>
      <c r="D1941" s="108"/>
      <c r="N1941" s="108"/>
    </row>
    <row r="1942" spans="1:14">
      <c r="A1942" s="107"/>
      <c r="C1942" s="108"/>
      <c r="D1942" s="108"/>
      <c r="N1942" s="108"/>
    </row>
    <row r="1943" spans="1:14">
      <c r="A1943" s="107"/>
      <c r="C1943" s="108"/>
      <c r="D1943" s="108"/>
      <c r="N1943" s="108"/>
    </row>
    <row r="1944" spans="1:14">
      <c r="A1944" s="107"/>
      <c r="C1944" s="108"/>
      <c r="D1944" s="108"/>
      <c r="N1944" s="108"/>
    </row>
    <row r="1945" spans="1:14">
      <c r="A1945" s="107"/>
      <c r="C1945" s="108"/>
      <c r="D1945" s="108"/>
      <c r="N1945" s="108"/>
    </row>
    <row r="1946" spans="1:14">
      <c r="A1946" s="107"/>
      <c r="C1946" s="108"/>
      <c r="D1946" s="108"/>
      <c r="N1946" s="108"/>
    </row>
    <row r="1947" spans="1:14">
      <c r="A1947" s="107"/>
      <c r="C1947" s="108"/>
      <c r="D1947" s="108"/>
      <c r="N1947" s="108"/>
    </row>
    <row r="1948" spans="1:14">
      <c r="A1948" s="107"/>
      <c r="C1948" s="108"/>
      <c r="D1948" s="108"/>
      <c r="N1948" s="108"/>
    </row>
    <row r="1949" spans="1:14">
      <c r="A1949" s="107"/>
      <c r="C1949" s="108"/>
      <c r="D1949" s="108"/>
      <c r="N1949" s="108"/>
    </row>
    <row r="1950" spans="1:14">
      <c r="A1950" s="107"/>
      <c r="C1950" s="108"/>
      <c r="D1950" s="108"/>
      <c r="N1950" s="108"/>
    </row>
    <row r="1951" spans="1:14">
      <c r="A1951" s="107"/>
      <c r="C1951" s="108"/>
      <c r="D1951" s="108"/>
      <c r="N1951" s="108"/>
    </row>
    <row r="1952" spans="1:14">
      <c r="A1952" s="107"/>
      <c r="C1952" s="108"/>
      <c r="D1952" s="108"/>
      <c r="N1952" s="108"/>
    </row>
    <row r="1953" spans="1:14">
      <c r="A1953" s="107"/>
      <c r="C1953" s="108"/>
      <c r="D1953" s="108"/>
      <c r="N1953" s="108"/>
    </row>
    <row r="1954" spans="1:14">
      <c r="A1954" s="107"/>
      <c r="C1954" s="108"/>
      <c r="D1954" s="108"/>
      <c r="N1954" s="108"/>
    </row>
    <row r="1955" spans="1:14">
      <c r="A1955" s="107"/>
      <c r="C1955" s="108"/>
      <c r="D1955" s="108"/>
      <c r="N1955" s="108"/>
    </row>
    <row r="1956" spans="1:14">
      <c r="A1956" s="107"/>
      <c r="C1956" s="108"/>
      <c r="D1956" s="108"/>
      <c r="N1956" s="108"/>
    </row>
    <row r="1957" spans="1:14">
      <c r="A1957" s="107"/>
      <c r="C1957" s="108"/>
      <c r="D1957" s="108"/>
      <c r="N1957" s="108"/>
    </row>
    <row r="1958" spans="1:14">
      <c r="A1958" s="107"/>
      <c r="C1958" s="108"/>
      <c r="D1958" s="108"/>
      <c r="N1958" s="108"/>
    </row>
    <row r="1959" spans="1:14">
      <c r="A1959" s="107"/>
      <c r="C1959" s="108"/>
      <c r="D1959" s="108"/>
      <c r="N1959" s="108"/>
    </row>
    <row r="1960" spans="1:14">
      <c r="A1960" s="107"/>
      <c r="C1960" s="108"/>
      <c r="D1960" s="108"/>
      <c r="N1960" s="108"/>
    </row>
  </sheetData>
  <sheetProtection formatCells="0" formatColumns="0" formatRows="0" insertColumns="0" insertRows="0" insertHyperlinks="0" sort="0" autoFilter="0"/>
  <autoFilter ref="B3:U169" xr:uid="{00000000-0009-0000-0000-000003000000}"/>
  <mergeCells count="2">
    <mergeCell ref="Z6:AB6"/>
    <mergeCell ref="A2:U2"/>
  </mergeCells>
  <pageMargins left="0.7" right="0.7" top="0.75" bottom="0.75" header="0.3" footer="0.3"/>
  <ignoredErrors>
    <ignoredError sqref="H6:S87 H5:Q5 H89:S106 H88:O88 Q88:S88 H107:S169" unlockedFormula="1"/>
  </ignoredErrors>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1:N315"/>
  <sheetViews>
    <sheetView rightToLeft="1" zoomScale="115" zoomScaleNormal="115" workbookViewId="0">
      <pane ySplit="3" topLeftCell="A16" activePane="bottomLeft" state="frozen"/>
      <selection pane="bottomLeft" activeCell="E57" sqref="E57"/>
    </sheetView>
  </sheetViews>
  <sheetFormatPr defaultRowHeight="14.4"/>
  <cols>
    <col min="1" max="1" width="1.88671875" customWidth="1"/>
    <col min="2" max="2" width="20" style="18" customWidth="1"/>
    <col min="3" max="3" width="18.109375" style="102" customWidth="1"/>
    <col min="4" max="4" width="32.6640625" style="112" customWidth="1"/>
    <col min="5" max="5" width="10.77734375" style="11" customWidth="1"/>
    <col min="6" max="6" width="9.77734375" customWidth="1"/>
    <col min="7" max="7" width="13" customWidth="1"/>
    <col min="8" max="8" width="13" style="109" customWidth="1"/>
    <col min="9" max="9" width="15" hidden="1" customWidth="1"/>
    <col min="10" max="10" width="10.33203125" hidden="1" customWidth="1"/>
    <col min="11" max="11" width="108.33203125" bestFit="1" customWidth="1"/>
    <col min="12" max="12" width="31.21875" customWidth="1"/>
  </cols>
  <sheetData>
    <row r="1" spans="2:14" ht="11.25" customHeight="1" thickBot="1">
      <c r="E1" s="117"/>
      <c r="I1" s="95"/>
    </row>
    <row r="2" spans="2:14" ht="18" thickBot="1">
      <c r="B2" s="19"/>
      <c r="C2" s="104" t="s">
        <v>1164</v>
      </c>
      <c r="D2" s="78"/>
      <c r="E2" s="5"/>
      <c r="F2" s="6"/>
      <c r="G2" s="3"/>
      <c r="H2" s="110"/>
      <c r="I2" s="3"/>
      <c r="J2" s="3"/>
      <c r="K2" s="8"/>
      <c r="N2" s="125"/>
    </row>
    <row r="3" spans="2:14" ht="41.4">
      <c r="B3" s="26" t="s">
        <v>81</v>
      </c>
      <c r="C3" s="106" t="s">
        <v>2</v>
      </c>
      <c r="D3" s="115" t="s">
        <v>3</v>
      </c>
      <c r="E3" s="118" t="s">
        <v>84</v>
      </c>
      <c r="F3" s="23" t="s">
        <v>1072</v>
      </c>
      <c r="G3" s="23" t="s">
        <v>1076</v>
      </c>
      <c r="H3" s="23" t="s">
        <v>1151</v>
      </c>
      <c r="I3" s="23" t="s">
        <v>1133</v>
      </c>
      <c r="J3" s="23" t="s">
        <v>1131</v>
      </c>
      <c r="K3" s="23" t="s">
        <v>10</v>
      </c>
      <c r="N3" s="125"/>
    </row>
    <row r="4" spans="2:14" s="125" customFormat="1">
      <c r="B4" s="219" t="s">
        <v>1111</v>
      </c>
      <c r="C4" s="220" t="s">
        <v>268</v>
      </c>
      <c r="D4" s="219" t="s">
        <v>270</v>
      </c>
      <c r="E4" s="220">
        <v>1500</v>
      </c>
      <c r="F4" s="220">
        <v>1</v>
      </c>
      <c r="G4" s="220">
        <v>15</v>
      </c>
      <c r="H4" s="221">
        <v>0.5</v>
      </c>
      <c r="I4" s="222">
        <f t="shared" ref="I4:I29" si="0">H4*G4*1/E4*10000</f>
        <v>50</v>
      </c>
      <c r="J4" s="220">
        <v>1</v>
      </c>
      <c r="K4" s="220" t="s">
        <v>1141</v>
      </c>
    </row>
    <row r="5" spans="2:14" s="125" customFormat="1" ht="57.6">
      <c r="B5" s="230" t="s">
        <v>159</v>
      </c>
      <c r="C5" s="227" t="s">
        <v>149</v>
      </c>
      <c r="D5" s="230" t="s">
        <v>1152</v>
      </c>
      <c r="E5" s="227">
        <v>6000</v>
      </c>
      <c r="F5" s="227">
        <v>1</v>
      </c>
      <c r="G5" s="227">
        <v>8</v>
      </c>
      <c r="H5" s="256">
        <v>1</v>
      </c>
      <c r="I5" s="258">
        <f t="shared" si="0"/>
        <v>13.333333333333332</v>
      </c>
      <c r="J5" s="227"/>
      <c r="K5" s="230" t="s">
        <v>1157</v>
      </c>
    </row>
    <row r="6" spans="2:14" s="125" customFormat="1">
      <c r="B6" s="221" t="s">
        <v>1111</v>
      </c>
      <c r="C6" s="221" t="s">
        <v>268</v>
      </c>
      <c r="D6" s="221" t="s">
        <v>1020</v>
      </c>
      <c r="E6" s="220">
        <v>1000</v>
      </c>
      <c r="F6" s="221">
        <v>1</v>
      </c>
      <c r="G6" s="221">
        <v>4</v>
      </c>
      <c r="H6" s="221">
        <v>0.5</v>
      </c>
      <c r="I6" s="221">
        <f t="shared" si="0"/>
        <v>20</v>
      </c>
      <c r="J6" s="221">
        <v>1</v>
      </c>
      <c r="K6" s="223" t="s">
        <v>1173</v>
      </c>
    </row>
    <row r="7" spans="2:14" s="12" customFormat="1" ht="14.25" customHeight="1">
      <c r="B7" s="212" t="s">
        <v>1105</v>
      </c>
      <c r="C7" s="211" t="s">
        <v>1017</v>
      </c>
      <c r="D7" s="212" t="s">
        <v>1069</v>
      </c>
      <c r="E7" s="213">
        <v>1500</v>
      </c>
      <c r="F7" s="213">
        <v>1</v>
      </c>
      <c r="G7" s="211">
        <v>4</v>
      </c>
      <c r="H7" s="214">
        <v>0.5</v>
      </c>
      <c r="I7" s="210">
        <f t="shared" si="0"/>
        <v>13.333333333333332</v>
      </c>
      <c r="J7" s="211">
        <v>1</v>
      </c>
      <c r="K7" s="211" t="s">
        <v>1144</v>
      </c>
      <c r="N7" s="125"/>
    </row>
    <row r="8" spans="2:14" s="124" customFormat="1" ht="14.25" customHeight="1">
      <c r="B8" s="99" t="s">
        <v>273</v>
      </c>
      <c r="C8" s="103" t="s">
        <v>752</v>
      </c>
      <c r="D8" s="201" t="s">
        <v>761</v>
      </c>
      <c r="E8" s="101">
        <v>250</v>
      </c>
      <c r="F8" s="101">
        <v>1</v>
      </c>
      <c r="G8" s="99">
        <v>4</v>
      </c>
      <c r="H8" s="199">
        <v>2.5</v>
      </c>
      <c r="I8" s="200">
        <f t="shared" si="0"/>
        <v>400</v>
      </c>
      <c r="J8" s="99">
        <v>3</v>
      </c>
      <c r="K8" s="99" t="s">
        <v>1141</v>
      </c>
      <c r="N8" s="125"/>
    </row>
    <row r="9" spans="2:14" s="12" customFormat="1">
      <c r="B9" s="201" t="s">
        <v>273</v>
      </c>
      <c r="C9" s="99" t="s">
        <v>590</v>
      </c>
      <c r="D9" s="201">
        <v>930.83</v>
      </c>
      <c r="E9" s="101">
        <v>200</v>
      </c>
      <c r="F9" s="101">
        <v>1</v>
      </c>
      <c r="G9" s="99">
        <v>4</v>
      </c>
      <c r="H9" s="199">
        <v>3.5</v>
      </c>
      <c r="I9" s="200">
        <f t="shared" si="0"/>
        <v>700.00000000000011</v>
      </c>
      <c r="J9" s="99">
        <v>3</v>
      </c>
      <c r="K9" s="99" t="s">
        <v>1141</v>
      </c>
      <c r="L9" s="12" t="s">
        <v>1168</v>
      </c>
      <c r="N9" s="125"/>
    </row>
    <row r="10" spans="2:14" s="12" customFormat="1" ht="14.25" customHeight="1">
      <c r="B10" s="201" t="s">
        <v>1070</v>
      </c>
      <c r="C10" s="99" t="s">
        <v>130</v>
      </c>
      <c r="D10" s="201" t="s">
        <v>130</v>
      </c>
      <c r="E10" s="101">
        <v>3000</v>
      </c>
      <c r="F10" s="101">
        <v>1</v>
      </c>
      <c r="G10" s="99">
        <v>3</v>
      </c>
      <c r="H10" s="199">
        <v>1</v>
      </c>
      <c r="I10" s="200">
        <f t="shared" si="0"/>
        <v>10</v>
      </c>
      <c r="J10" s="99">
        <v>1</v>
      </c>
      <c r="K10" s="99" t="s">
        <v>1142</v>
      </c>
      <c r="N10" s="125"/>
    </row>
    <row r="11" spans="2:14" s="12" customFormat="1" ht="14.25" customHeight="1">
      <c r="B11" s="99" t="s">
        <v>1111</v>
      </c>
      <c r="C11" s="103" t="s">
        <v>60</v>
      </c>
      <c r="D11" s="201" t="s">
        <v>1110</v>
      </c>
      <c r="E11" s="101">
        <v>1600</v>
      </c>
      <c r="F11" s="101">
        <v>1</v>
      </c>
      <c r="G11" s="99">
        <v>3</v>
      </c>
      <c r="H11" s="199">
        <v>0.5</v>
      </c>
      <c r="I11" s="200">
        <f t="shared" si="0"/>
        <v>9.375</v>
      </c>
      <c r="J11" s="99">
        <v>1</v>
      </c>
      <c r="K11" s="99" t="s">
        <v>1148</v>
      </c>
      <c r="N11" s="125"/>
    </row>
    <row r="12" spans="2:14" s="12" customFormat="1" ht="14.25" customHeight="1">
      <c r="B12" s="201" t="s">
        <v>1130</v>
      </c>
      <c r="C12" s="99" t="s">
        <v>302</v>
      </c>
      <c r="D12" s="201" t="s">
        <v>311</v>
      </c>
      <c r="E12" s="101">
        <v>1000</v>
      </c>
      <c r="F12" s="101">
        <v>1</v>
      </c>
      <c r="G12" s="99">
        <v>3</v>
      </c>
      <c r="H12" s="199">
        <v>9.5</v>
      </c>
      <c r="I12" s="200">
        <f t="shared" si="0"/>
        <v>285</v>
      </c>
      <c r="J12" s="99">
        <v>2</v>
      </c>
      <c r="K12" s="99" t="s">
        <v>1141</v>
      </c>
      <c r="N12" s="125"/>
    </row>
    <row r="13" spans="2:14" s="12" customFormat="1" ht="14.25" customHeight="1">
      <c r="B13" s="218" t="s">
        <v>501</v>
      </c>
      <c r="C13" s="121" t="s">
        <v>1032</v>
      </c>
      <c r="D13" s="218">
        <v>3510</v>
      </c>
      <c r="E13" s="121">
        <v>1500</v>
      </c>
      <c r="F13" s="121">
        <v>1</v>
      </c>
      <c r="G13" s="121">
        <v>3</v>
      </c>
      <c r="H13" s="204">
        <v>1</v>
      </c>
      <c r="I13" s="205">
        <f t="shared" si="0"/>
        <v>20</v>
      </c>
      <c r="J13" s="121">
        <v>1</v>
      </c>
      <c r="K13" s="121" t="s">
        <v>1142</v>
      </c>
      <c r="N13" s="125"/>
    </row>
    <row r="14" spans="2:14" s="12" customFormat="1" ht="14.25" customHeight="1">
      <c r="B14" s="216" t="s">
        <v>20</v>
      </c>
      <c r="C14" s="208" t="s">
        <v>130</v>
      </c>
      <c r="D14" s="216" t="s">
        <v>137</v>
      </c>
      <c r="E14" s="208">
        <v>500</v>
      </c>
      <c r="F14" s="208">
        <v>1</v>
      </c>
      <c r="G14" s="208">
        <v>2</v>
      </c>
      <c r="H14" s="209">
        <v>0.5</v>
      </c>
      <c r="I14" s="217">
        <f t="shared" si="0"/>
        <v>20</v>
      </c>
      <c r="J14" s="208">
        <v>1</v>
      </c>
      <c r="K14" s="208" t="s">
        <v>1141</v>
      </c>
      <c r="N14" s="125"/>
    </row>
    <row r="15" spans="2:14" s="12" customFormat="1" ht="14.25" customHeight="1">
      <c r="B15" s="212" t="s">
        <v>15</v>
      </c>
      <c r="C15" s="211" t="s">
        <v>130</v>
      </c>
      <c r="D15" s="212" t="s">
        <v>215</v>
      </c>
      <c r="E15" s="213">
        <v>1200</v>
      </c>
      <c r="F15" s="213">
        <v>1</v>
      </c>
      <c r="G15" s="211">
        <v>2</v>
      </c>
      <c r="H15" s="214">
        <v>1</v>
      </c>
      <c r="I15" s="210">
        <f t="shared" si="0"/>
        <v>16.666666666666668</v>
      </c>
      <c r="J15" s="211">
        <v>1</v>
      </c>
      <c r="K15" s="211" t="s">
        <v>1142</v>
      </c>
      <c r="N15" s="125"/>
    </row>
    <row r="16" spans="2:14" s="12" customFormat="1" ht="14.25" customHeight="1">
      <c r="B16" s="224" t="s">
        <v>1111</v>
      </c>
      <c r="C16" s="225" t="s">
        <v>754</v>
      </c>
      <c r="D16" s="226" t="s">
        <v>767</v>
      </c>
      <c r="E16" s="227">
        <v>800</v>
      </c>
      <c r="F16" s="227">
        <v>1</v>
      </c>
      <c r="G16" s="224">
        <v>2</v>
      </c>
      <c r="H16" s="228">
        <v>0.5</v>
      </c>
      <c r="I16" s="229">
        <f t="shared" si="0"/>
        <v>12.5</v>
      </c>
      <c r="J16" s="224">
        <v>1</v>
      </c>
      <c r="K16" s="224" t="s">
        <v>1141</v>
      </c>
      <c r="N16" s="125"/>
    </row>
    <row r="17" spans="2:11" s="12" customFormat="1" ht="14.25" customHeight="1">
      <c r="B17" s="100" t="s">
        <v>19</v>
      </c>
      <c r="C17" s="99" t="s">
        <v>399</v>
      </c>
      <c r="D17" s="201" t="s">
        <v>417</v>
      </c>
      <c r="E17" s="101">
        <v>2000</v>
      </c>
      <c r="F17" s="101">
        <v>1</v>
      </c>
      <c r="G17" s="99">
        <v>2</v>
      </c>
      <c r="H17" s="199">
        <v>1</v>
      </c>
      <c r="I17" s="200">
        <f t="shared" si="0"/>
        <v>10</v>
      </c>
      <c r="J17" s="99">
        <v>1</v>
      </c>
      <c r="K17" s="99" t="s">
        <v>1143</v>
      </c>
    </row>
    <row r="18" spans="2:11" s="12" customFormat="1" ht="14.25" customHeight="1">
      <c r="B18" s="99" t="s">
        <v>11</v>
      </c>
      <c r="C18" s="99" t="s">
        <v>149</v>
      </c>
      <c r="D18" s="99" t="s">
        <v>411</v>
      </c>
      <c r="E18" s="99">
        <v>3000</v>
      </c>
      <c r="F18" s="101">
        <v>1</v>
      </c>
      <c r="G18" s="99">
        <v>2</v>
      </c>
      <c r="H18" s="199">
        <v>1.5</v>
      </c>
      <c r="I18" s="200">
        <f t="shared" si="0"/>
        <v>10</v>
      </c>
      <c r="J18" s="99">
        <v>1</v>
      </c>
      <c r="K18" s="99" t="s">
        <v>1143</v>
      </c>
    </row>
    <row r="19" spans="2:11" s="12" customFormat="1" ht="14.25" customHeight="1">
      <c r="B19" s="201" t="s">
        <v>1132</v>
      </c>
      <c r="C19" s="101" t="s">
        <v>101</v>
      </c>
      <c r="D19" s="201" t="s">
        <v>406</v>
      </c>
      <c r="E19" s="101">
        <v>3500</v>
      </c>
      <c r="F19" s="101">
        <v>1</v>
      </c>
      <c r="G19" s="99">
        <v>2</v>
      </c>
      <c r="H19" s="199">
        <v>1.5</v>
      </c>
      <c r="I19" s="200">
        <f t="shared" si="0"/>
        <v>8.5714285714285712</v>
      </c>
      <c r="J19" s="99">
        <v>1</v>
      </c>
      <c r="K19" s="99" t="s">
        <v>1145</v>
      </c>
    </row>
    <row r="20" spans="2:11" s="12" customFormat="1" ht="14.25" customHeight="1">
      <c r="B20" s="201" t="s">
        <v>271</v>
      </c>
      <c r="C20" s="99" t="s">
        <v>1103</v>
      </c>
      <c r="D20" s="201" t="s">
        <v>1104</v>
      </c>
      <c r="E20" s="101">
        <v>1200</v>
      </c>
      <c r="F20" s="101">
        <v>1</v>
      </c>
      <c r="G20" s="99">
        <v>2</v>
      </c>
      <c r="H20" s="199">
        <v>0.5</v>
      </c>
      <c r="I20" s="200">
        <f t="shared" si="0"/>
        <v>8.3333333333333339</v>
      </c>
      <c r="J20" s="99">
        <v>1</v>
      </c>
      <c r="K20" s="99" t="s">
        <v>1149</v>
      </c>
    </row>
    <row r="21" spans="2:11" s="124" customFormat="1" ht="14.25" customHeight="1">
      <c r="B21" s="230" t="s">
        <v>12</v>
      </c>
      <c r="C21" s="227" t="s">
        <v>50</v>
      </c>
      <c r="D21" s="230" t="s">
        <v>62</v>
      </c>
      <c r="E21" s="227">
        <v>4226</v>
      </c>
      <c r="F21" s="227">
        <v>1</v>
      </c>
      <c r="G21" s="224">
        <v>2</v>
      </c>
      <c r="H21" s="228">
        <v>1.5</v>
      </c>
      <c r="I21" s="229">
        <f t="shared" si="0"/>
        <v>7.0989115002366301</v>
      </c>
      <c r="J21" s="224">
        <v>1</v>
      </c>
      <c r="K21" s="224" t="s">
        <v>1195</v>
      </c>
    </row>
    <row r="22" spans="2:11" s="12" customFormat="1" ht="14.25" customHeight="1">
      <c r="B22" s="226" t="s">
        <v>1130</v>
      </c>
      <c r="C22" s="224" t="s">
        <v>998</v>
      </c>
      <c r="D22" s="226" t="s">
        <v>999</v>
      </c>
      <c r="E22" s="227">
        <v>1500</v>
      </c>
      <c r="F22" s="227">
        <v>1</v>
      </c>
      <c r="G22" s="224">
        <v>2</v>
      </c>
      <c r="H22" s="228">
        <v>0.5</v>
      </c>
      <c r="I22" s="229">
        <f t="shared" si="0"/>
        <v>6.6666666666666661</v>
      </c>
      <c r="J22" s="224">
        <v>1</v>
      </c>
      <c r="K22" s="224" t="s">
        <v>1141</v>
      </c>
    </row>
    <row r="23" spans="2:11" s="12" customFormat="1" ht="14.25" customHeight="1">
      <c r="B23" s="99" t="s">
        <v>1111</v>
      </c>
      <c r="C23" s="103" t="s">
        <v>589</v>
      </c>
      <c r="D23" s="201" t="s">
        <v>771</v>
      </c>
      <c r="E23" s="101">
        <v>2000</v>
      </c>
      <c r="F23" s="101">
        <v>1</v>
      </c>
      <c r="G23" s="99">
        <v>2</v>
      </c>
      <c r="H23" s="199">
        <v>0.5</v>
      </c>
      <c r="I23" s="200">
        <f t="shared" si="0"/>
        <v>5</v>
      </c>
      <c r="J23" s="99">
        <v>2</v>
      </c>
      <c r="K23" s="99" t="s">
        <v>1141</v>
      </c>
    </row>
    <row r="24" spans="2:11" s="12" customFormat="1" ht="14.25" customHeight="1">
      <c r="B24" s="201" t="s">
        <v>1130</v>
      </c>
      <c r="C24" s="103" t="s">
        <v>753</v>
      </c>
      <c r="D24" s="201" t="s">
        <v>765</v>
      </c>
      <c r="E24" s="101">
        <v>1500</v>
      </c>
      <c r="F24" s="101">
        <v>1</v>
      </c>
      <c r="G24" s="99">
        <v>2</v>
      </c>
      <c r="H24" s="199">
        <v>1.5</v>
      </c>
      <c r="I24" s="200">
        <f t="shared" si="0"/>
        <v>20</v>
      </c>
      <c r="J24" s="99">
        <v>3</v>
      </c>
      <c r="K24" s="99" t="s">
        <v>1141</v>
      </c>
    </row>
    <row r="25" spans="2:11" s="12" customFormat="1" ht="14.25" customHeight="1">
      <c r="B25" s="100" t="s">
        <v>1111</v>
      </c>
      <c r="C25" s="101" t="s">
        <v>55</v>
      </c>
      <c r="D25" s="100" t="s">
        <v>70</v>
      </c>
      <c r="E25" s="101">
        <v>2500</v>
      </c>
      <c r="F25" s="101">
        <v>1</v>
      </c>
      <c r="G25" s="99">
        <v>2</v>
      </c>
      <c r="H25" s="199">
        <v>7.5</v>
      </c>
      <c r="I25" s="200">
        <f t="shared" si="0"/>
        <v>60</v>
      </c>
      <c r="J25" s="99">
        <v>2</v>
      </c>
      <c r="K25" s="99" t="s">
        <v>1142</v>
      </c>
    </row>
    <row r="26" spans="2:11" s="12" customFormat="1" ht="14.25" customHeight="1">
      <c r="B26" s="201" t="s">
        <v>1130</v>
      </c>
      <c r="C26" s="99" t="s">
        <v>470</v>
      </c>
      <c r="D26" s="201" t="s">
        <v>602</v>
      </c>
      <c r="E26" s="101">
        <v>1200</v>
      </c>
      <c r="F26" s="101">
        <v>1</v>
      </c>
      <c r="G26" s="99">
        <v>2</v>
      </c>
      <c r="H26" s="199">
        <v>8.5</v>
      </c>
      <c r="I26" s="200">
        <f t="shared" si="0"/>
        <v>141.66666666666666</v>
      </c>
      <c r="J26" s="99">
        <v>2</v>
      </c>
      <c r="K26" s="99" t="s">
        <v>1141</v>
      </c>
    </row>
    <row r="27" spans="2:11" s="12" customFormat="1" ht="14.25" customHeight="1">
      <c r="B27" s="201" t="s">
        <v>83</v>
      </c>
      <c r="C27" s="99" t="s">
        <v>149</v>
      </c>
      <c r="D27" s="201" t="s">
        <v>153</v>
      </c>
      <c r="E27" s="99">
        <v>4850</v>
      </c>
      <c r="F27" s="101">
        <v>1</v>
      </c>
      <c r="G27" s="99">
        <v>2</v>
      </c>
      <c r="H27" s="199">
        <v>10.5</v>
      </c>
      <c r="I27" s="200">
        <f t="shared" si="0"/>
        <v>43.298969072164951</v>
      </c>
      <c r="J27" s="99"/>
      <c r="K27" s="99" t="s">
        <v>1141</v>
      </c>
    </row>
    <row r="28" spans="2:11" s="12" customFormat="1" ht="14.25" customHeight="1">
      <c r="B28" s="230" t="s">
        <v>11</v>
      </c>
      <c r="C28" s="227" t="s">
        <v>49</v>
      </c>
      <c r="D28" s="230" t="s">
        <v>61</v>
      </c>
      <c r="E28" s="227">
        <v>9133</v>
      </c>
      <c r="F28" s="227">
        <v>1</v>
      </c>
      <c r="G28" s="227">
        <v>2</v>
      </c>
      <c r="H28" s="227">
        <v>0.5</v>
      </c>
      <c r="I28" s="256">
        <f t="shared" si="0"/>
        <v>1.0949304719150335</v>
      </c>
      <c r="J28" s="227">
        <v>2</v>
      </c>
      <c r="K28" s="230" t="s">
        <v>1158</v>
      </c>
    </row>
    <row r="29" spans="2:11" s="12" customFormat="1" ht="14.25" customHeight="1">
      <c r="B29" s="100" t="s">
        <v>83</v>
      </c>
      <c r="C29" s="101" t="s">
        <v>149</v>
      </c>
      <c r="D29" s="100" t="s">
        <v>231</v>
      </c>
      <c r="E29" s="101">
        <v>12000</v>
      </c>
      <c r="F29" s="101">
        <v>1</v>
      </c>
      <c r="G29" s="101">
        <v>2</v>
      </c>
      <c r="H29" s="202">
        <v>1</v>
      </c>
      <c r="I29" s="203">
        <f t="shared" si="0"/>
        <v>1.6666666666666665</v>
      </c>
      <c r="J29" s="101">
        <v>2</v>
      </c>
      <c r="K29" s="100" t="s">
        <v>1162</v>
      </c>
    </row>
    <row r="30" spans="2:11" s="12" customFormat="1" ht="14.25" customHeight="1">
      <c r="B30" s="172" t="s">
        <v>83</v>
      </c>
      <c r="C30" s="101" t="s">
        <v>149</v>
      </c>
      <c r="D30" s="100" t="s">
        <v>213</v>
      </c>
      <c r="E30" s="101">
        <v>6864</v>
      </c>
      <c r="F30" s="101">
        <v>1</v>
      </c>
      <c r="G30" s="101">
        <v>2</v>
      </c>
      <c r="H30" s="202">
        <v>1</v>
      </c>
      <c r="I30" s="203">
        <f>H30*G30*1/E28*10000</f>
        <v>2.1898609438300669</v>
      </c>
      <c r="J30" s="101">
        <v>2</v>
      </c>
      <c r="K30" s="100" t="s">
        <v>1159</v>
      </c>
    </row>
    <row r="31" spans="2:11" s="12" customFormat="1" ht="14.25" customHeight="1">
      <c r="B31" s="226" t="s">
        <v>90</v>
      </c>
      <c r="C31" s="224" t="s">
        <v>994</v>
      </c>
      <c r="D31" s="226" t="s">
        <v>995</v>
      </c>
      <c r="E31" s="227">
        <v>300</v>
      </c>
      <c r="F31" s="227">
        <v>1</v>
      </c>
      <c r="G31" s="224">
        <v>1</v>
      </c>
      <c r="H31" s="228">
        <v>0.5</v>
      </c>
      <c r="I31" s="229">
        <f t="shared" ref="I31:I73" si="1">H31*G31*1/E31*10000</f>
        <v>16.666666666666668</v>
      </c>
      <c r="J31" s="224">
        <v>1</v>
      </c>
      <c r="K31" s="224" t="s">
        <v>1193</v>
      </c>
    </row>
    <row r="32" spans="2:11" s="12" customFormat="1" ht="14.25" customHeight="1">
      <c r="B32" s="219" t="s">
        <v>14</v>
      </c>
      <c r="C32" s="220" t="s">
        <v>52</v>
      </c>
      <c r="D32" s="219" t="s">
        <v>64</v>
      </c>
      <c r="E32" s="220">
        <v>600</v>
      </c>
      <c r="F32" s="220">
        <v>1</v>
      </c>
      <c r="G32" s="220">
        <v>1</v>
      </c>
      <c r="H32" s="221">
        <v>1</v>
      </c>
      <c r="I32" s="222">
        <f t="shared" si="1"/>
        <v>16.666666666666668</v>
      </c>
      <c r="J32" s="220">
        <v>1</v>
      </c>
      <c r="K32" s="220" t="s">
        <v>1166</v>
      </c>
    </row>
    <row r="33" spans="2:11" s="12" customFormat="1" ht="14.25" customHeight="1">
      <c r="B33" s="219" t="s">
        <v>17</v>
      </c>
      <c r="C33" s="220" t="s">
        <v>589</v>
      </c>
      <c r="D33" s="219" t="s">
        <v>1000</v>
      </c>
      <c r="E33" s="220">
        <v>600</v>
      </c>
      <c r="F33" s="220">
        <v>1</v>
      </c>
      <c r="G33" s="220">
        <v>1</v>
      </c>
      <c r="H33" s="221">
        <v>1</v>
      </c>
      <c r="I33" s="229">
        <f t="shared" si="1"/>
        <v>16.666666666666668</v>
      </c>
      <c r="J33" s="224">
        <v>1</v>
      </c>
      <c r="K33" s="226" t="s">
        <v>1167</v>
      </c>
    </row>
    <row r="34" spans="2:11" s="12" customFormat="1" ht="14.25" customHeight="1">
      <c r="B34" s="230" t="s">
        <v>186</v>
      </c>
      <c r="C34" s="227" t="s">
        <v>52</v>
      </c>
      <c r="D34" s="230" t="s">
        <v>69</v>
      </c>
      <c r="E34" s="227">
        <v>600</v>
      </c>
      <c r="F34" s="227">
        <v>1</v>
      </c>
      <c r="G34" s="224">
        <v>1</v>
      </c>
      <c r="H34" s="228">
        <v>1</v>
      </c>
      <c r="I34" s="229">
        <f t="shared" si="1"/>
        <v>16.666666666666668</v>
      </c>
      <c r="J34" s="224">
        <v>1</v>
      </c>
      <c r="K34" s="224" t="s">
        <v>1142</v>
      </c>
    </row>
    <row r="35" spans="2:11" s="12" customFormat="1" ht="14.25" customHeight="1">
      <c r="B35" s="212" t="s">
        <v>17</v>
      </c>
      <c r="C35" s="211" t="s">
        <v>1017</v>
      </c>
      <c r="D35" s="212" t="s">
        <v>1087</v>
      </c>
      <c r="E35" s="213">
        <v>500</v>
      </c>
      <c r="F35" s="213">
        <v>1</v>
      </c>
      <c r="G35" s="211">
        <v>1</v>
      </c>
      <c r="H35" s="214">
        <v>0.5</v>
      </c>
      <c r="I35" s="210">
        <f t="shared" si="1"/>
        <v>10</v>
      </c>
      <c r="J35" s="211">
        <v>1</v>
      </c>
      <c r="K35" s="211" t="s">
        <v>1143</v>
      </c>
    </row>
    <row r="36" spans="2:11" s="12" customFormat="1" ht="14.25" customHeight="1">
      <c r="B36" s="215" t="s">
        <v>20</v>
      </c>
      <c r="C36" s="211" t="s">
        <v>1017</v>
      </c>
      <c r="D36" s="212" t="s">
        <v>1088</v>
      </c>
      <c r="E36" s="213">
        <v>500</v>
      </c>
      <c r="F36" s="213">
        <v>1</v>
      </c>
      <c r="G36" s="211">
        <v>1</v>
      </c>
      <c r="H36" s="214">
        <v>0.5</v>
      </c>
      <c r="I36" s="210">
        <f t="shared" si="1"/>
        <v>10</v>
      </c>
      <c r="J36" s="211">
        <v>1</v>
      </c>
      <c r="K36" s="211" t="s">
        <v>1146</v>
      </c>
    </row>
    <row r="37" spans="2:11" s="12" customFormat="1" ht="14.25" customHeight="1">
      <c r="B37" s="215" t="s">
        <v>20</v>
      </c>
      <c r="C37" s="211" t="s">
        <v>1017</v>
      </c>
      <c r="D37" s="212" t="s">
        <v>1089</v>
      </c>
      <c r="E37" s="213">
        <v>500</v>
      </c>
      <c r="F37" s="213">
        <v>1</v>
      </c>
      <c r="G37" s="211">
        <v>1</v>
      </c>
      <c r="H37" s="214">
        <v>0.5</v>
      </c>
      <c r="I37" s="210">
        <f t="shared" si="1"/>
        <v>10</v>
      </c>
      <c r="J37" s="211">
        <v>1</v>
      </c>
      <c r="K37" s="211" t="s">
        <v>1146</v>
      </c>
    </row>
    <row r="38" spans="2:11" s="12" customFormat="1" ht="14.25" customHeight="1">
      <c r="B38" s="215" t="s">
        <v>20</v>
      </c>
      <c r="C38" s="211" t="s">
        <v>1017</v>
      </c>
      <c r="D38" s="212" t="s">
        <v>1090</v>
      </c>
      <c r="E38" s="213">
        <v>500</v>
      </c>
      <c r="F38" s="213">
        <v>1</v>
      </c>
      <c r="G38" s="211">
        <v>1</v>
      </c>
      <c r="H38" s="214">
        <v>0.5</v>
      </c>
      <c r="I38" s="210">
        <f t="shared" si="1"/>
        <v>10</v>
      </c>
      <c r="J38" s="211">
        <v>1</v>
      </c>
      <c r="K38" s="211" t="s">
        <v>1146</v>
      </c>
    </row>
    <row r="39" spans="2:11" s="12" customFormat="1" ht="14.25" customHeight="1">
      <c r="B39" s="215" t="s">
        <v>20</v>
      </c>
      <c r="C39" s="211" t="s">
        <v>1017</v>
      </c>
      <c r="D39" s="212" t="s">
        <v>1091</v>
      </c>
      <c r="E39" s="213">
        <v>500</v>
      </c>
      <c r="F39" s="213">
        <v>1</v>
      </c>
      <c r="G39" s="211">
        <v>1</v>
      </c>
      <c r="H39" s="214">
        <v>0.5</v>
      </c>
      <c r="I39" s="210">
        <f t="shared" si="1"/>
        <v>10</v>
      </c>
      <c r="J39" s="211">
        <v>1</v>
      </c>
      <c r="K39" s="211" t="s">
        <v>1146</v>
      </c>
    </row>
    <row r="40" spans="2:11" s="12" customFormat="1" ht="14.25" customHeight="1">
      <c r="B40" s="215" t="s">
        <v>20</v>
      </c>
      <c r="C40" s="211" t="s">
        <v>1017</v>
      </c>
      <c r="D40" s="212" t="s">
        <v>1092</v>
      </c>
      <c r="E40" s="213">
        <v>500</v>
      </c>
      <c r="F40" s="213">
        <v>1</v>
      </c>
      <c r="G40" s="211">
        <v>1</v>
      </c>
      <c r="H40" s="214">
        <v>0.5</v>
      </c>
      <c r="I40" s="210">
        <f t="shared" si="1"/>
        <v>10</v>
      </c>
      <c r="J40" s="211">
        <v>1</v>
      </c>
      <c r="K40" s="211" t="s">
        <v>1146</v>
      </c>
    </row>
    <row r="41" spans="2:11" s="12" customFormat="1" ht="14.25" customHeight="1">
      <c r="B41" s="215" t="s">
        <v>20</v>
      </c>
      <c r="C41" s="211" t="s">
        <v>1017</v>
      </c>
      <c r="D41" s="212" t="s">
        <v>1093</v>
      </c>
      <c r="E41" s="213">
        <v>500</v>
      </c>
      <c r="F41" s="213">
        <v>1</v>
      </c>
      <c r="G41" s="211">
        <v>1</v>
      </c>
      <c r="H41" s="214">
        <v>0.5</v>
      </c>
      <c r="I41" s="210">
        <f t="shared" si="1"/>
        <v>10</v>
      </c>
      <c r="J41" s="211">
        <v>1</v>
      </c>
      <c r="K41" s="211" t="s">
        <v>1146</v>
      </c>
    </row>
    <row r="42" spans="2:11" s="12" customFormat="1" ht="14.25" customHeight="1">
      <c r="B42" s="216" t="s">
        <v>20</v>
      </c>
      <c r="C42" s="208" t="s">
        <v>1071</v>
      </c>
      <c r="D42" s="216" t="s">
        <v>1094</v>
      </c>
      <c r="E42" s="208">
        <v>500</v>
      </c>
      <c r="F42" s="208">
        <v>1</v>
      </c>
      <c r="G42" s="208">
        <v>1</v>
      </c>
      <c r="H42" s="209">
        <v>0.5</v>
      </c>
      <c r="I42" s="217">
        <f t="shared" si="1"/>
        <v>10</v>
      </c>
      <c r="J42" s="208">
        <v>1</v>
      </c>
      <c r="K42" s="208" t="s">
        <v>1146</v>
      </c>
    </row>
    <row r="43" spans="2:11" s="12" customFormat="1" ht="14.25" customHeight="1">
      <c r="B43" s="215" t="s">
        <v>20</v>
      </c>
      <c r="C43" s="211" t="s">
        <v>1071</v>
      </c>
      <c r="D43" s="212" t="s">
        <v>1095</v>
      </c>
      <c r="E43" s="213">
        <v>500</v>
      </c>
      <c r="F43" s="213">
        <v>1</v>
      </c>
      <c r="G43" s="211">
        <v>1</v>
      </c>
      <c r="H43" s="214">
        <v>0.5</v>
      </c>
      <c r="I43" s="210">
        <f t="shared" si="1"/>
        <v>10</v>
      </c>
      <c r="J43" s="211">
        <v>1</v>
      </c>
      <c r="K43" s="211" t="s">
        <v>1146</v>
      </c>
    </row>
    <row r="44" spans="2:11" s="12" customFormat="1" ht="14.25" customHeight="1">
      <c r="B44" s="215" t="s">
        <v>20</v>
      </c>
      <c r="C44" s="211" t="s">
        <v>1017</v>
      </c>
      <c r="D44" s="212" t="s">
        <v>1096</v>
      </c>
      <c r="E44" s="213">
        <v>500</v>
      </c>
      <c r="F44" s="213">
        <v>1</v>
      </c>
      <c r="G44" s="211">
        <v>1</v>
      </c>
      <c r="H44" s="214">
        <v>0.5</v>
      </c>
      <c r="I44" s="210">
        <f t="shared" si="1"/>
        <v>10</v>
      </c>
      <c r="J44" s="211">
        <v>1</v>
      </c>
      <c r="K44" s="211" t="s">
        <v>1146</v>
      </c>
    </row>
    <row r="45" spans="2:11" s="12" customFormat="1" ht="14.25" customHeight="1">
      <c r="B45" s="215" t="s">
        <v>20</v>
      </c>
      <c r="C45" s="211" t="s">
        <v>1071</v>
      </c>
      <c r="D45" s="212" t="s">
        <v>1097</v>
      </c>
      <c r="E45" s="213">
        <v>500</v>
      </c>
      <c r="F45" s="213">
        <v>1</v>
      </c>
      <c r="G45" s="211">
        <v>1</v>
      </c>
      <c r="H45" s="214">
        <v>0.5</v>
      </c>
      <c r="I45" s="210">
        <f t="shared" si="1"/>
        <v>10</v>
      </c>
      <c r="J45" s="211">
        <v>1</v>
      </c>
      <c r="K45" s="211" t="s">
        <v>1146</v>
      </c>
    </row>
    <row r="46" spans="2:11" s="12" customFormat="1" ht="14.25" customHeight="1">
      <c r="B46" s="215" t="s">
        <v>20</v>
      </c>
      <c r="C46" s="211" t="s">
        <v>1071</v>
      </c>
      <c r="D46" s="212" t="s">
        <v>1098</v>
      </c>
      <c r="E46" s="213">
        <v>500</v>
      </c>
      <c r="F46" s="213">
        <v>1</v>
      </c>
      <c r="G46" s="211">
        <v>1</v>
      </c>
      <c r="H46" s="214">
        <v>0.5</v>
      </c>
      <c r="I46" s="210">
        <f t="shared" si="1"/>
        <v>10</v>
      </c>
      <c r="J46" s="211">
        <v>1</v>
      </c>
      <c r="K46" s="211" t="s">
        <v>1146</v>
      </c>
    </row>
    <row r="47" spans="2:11" s="12" customFormat="1" ht="14.25" customHeight="1">
      <c r="B47" s="215" t="s">
        <v>20</v>
      </c>
      <c r="C47" s="211" t="s">
        <v>1071</v>
      </c>
      <c r="D47" s="212" t="s">
        <v>1099</v>
      </c>
      <c r="E47" s="213">
        <v>500</v>
      </c>
      <c r="F47" s="213">
        <v>1</v>
      </c>
      <c r="G47" s="211">
        <v>1</v>
      </c>
      <c r="H47" s="214">
        <v>0.5</v>
      </c>
      <c r="I47" s="210">
        <f t="shared" si="1"/>
        <v>10</v>
      </c>
      <c r="J47" s="211">
        <v>1</v>
      </c>
      <c r="K47" s="211" t="s">
        <v>1146</v>
      </c>
    </row>
    <row r="48" spans="2:11" s="12" customFormat="1" ht="14.25" customHeight="1">
      <c r="B48" s="215" t="s">
        <v>20</v>
      </c>
      <c r="C48" s="211" t="s">
        <v>1017</v>
      </c>
      <c r="D48" s="212" t="s">
        <v>1100</v>
      </c>
      <c r="E48" s="213">
        <v>500</v>
      </c>
      <c r="F48" s="213">
        <v>1</v>
      </c>
      <c r="G48" s="211">
        <v>1</v>
      </c>
      <c r="H48" s="214">
        <v>0.5</v>
      </c>
      <c r="I48" s="210">
        <f t="shared" si="1"/>
        <v>10</v>
      </c>
      <c r="J48" s="211">
        <v>1</v>
      </c>
      <c r="K48" s="211" t="s">
        <v>1146</v>
      </c>
    </row>
    <row r="49" spans="2:11" s="12" customFormat="1" ht="14.25" customHeight="1">
      <c r="B49" s="215" t="s">
        <v>20</v>
      </c>
      <c r="C49" s="211" t="s">
        <v>1071</v>
      </c>
      <c r="D49" s="212" t="s">
        <v>1101</v>
      </c>
      <c r="E49" s="213">
        <v>500</v>
      </c>
      <c r="F49" s="213">
        <v>1</v>
      </c>
      <c r="G49" s="211">
        <v>1</v>
      </c>
      <c r="H49" s="214">
        <v>0.5</v>
      </c>
      <c r="I49" s="210">
        <f t="shared" si="1"/>
        <v>10</v>
      </c>
      <c r="J49" s="211">
        <v>1</v>
      </c>
      <c r="K49" s="211" t="s">
        <v>1146</v>
      </c>
    </row>
    <row r="50" spans="2:11" s="12" customFormat="1" ht="14.25" customHeight="1">
      <c r="B50" s="212" t="s">
        <v>17</v>
      </c>
      <c r="C50" s="211" t="s">
        <v>267</v>
      </c>
      <c r="D50" s="212" t="s">
        <v>138</v>
      </c>
      <c r="E50" s="213">
        <v>500</v>
      </c>
      <c r="F50" s="213">
        <v>1</v>
      </c>
      <c r="G50" s="211">
        <v>1</v>
      </c>
      <c r="H50" s="214">
        <v>0.5</v>
      </c>
      <c r="I50" s="210">
        <f t="shared" si="1"/>
        <v>10</v>
      </c>
      <c r="J50" s="211">
        <v>1</v>
      </c>
      <c r="K50" s="211" t="s">
        <v>1143</v>
      </c>
    </row>
    <row r="51" spans="2:11" s="12" customFormat="1" ht="21.15" customHeight="1">
      <c r="B51" s="212" t="s">
        <v>17</v>
      </c>
      <c r="C51" s="211" t="s">
        <v>267</v>
      </c>
      <c r="D51" s="212" t="s">
        <v>138</v>
      </c>
      <c r="E51" s="213">
        <v>500</v>
      </c>
      <c r="F51" s="213">
        <v>1</v>
      </c>
      <c r="G51" s="211">
        <v>1</v>
      </c>
      <c r="H51" s="214">
        <v>0.5</v>
      </c>
      <c r="I51" s="210">
        <f t="shared" si="1"/>
        <v>10</v>
      </c>
      <c r="J51" s="211">
        <v>1</v>
      </c>
      <c r="K51" s="211" t="s">
        <v>1143</v>
      </c>
    </row>
    <row r="52" spans="2:11" s="12" customFormat="1">
      <c r="B52" s="201" t="s">
        <v>506</v>
      </c>
      <c r="C52" s="99" t="s">
        <v>496</v>
      </c>
      <c r="D52" s="201" t="s">
        <v>480</v>
      </c>
      <c r="E52" s="101">
        <v>500</v>
      </c>
      <c r="F52" s="101">
        <v>1</v>
      </c>
      <c r="G52" s="99">
        <v>1</v>
      </c>
      <c r="H52" s="199">
        <v>0.5</v>
      </c>
      <c r="I52" s="200">
        <f t="shared" si="1"/>
        <v>10</v>
      </c>
      <c r="J52" s="99">
        <v>1</v>
      </c>
      <c r="K52" s="99" t="s">
        <v>1141</v>
      </c>
    </row>
    <row r="53" spans="2:11" s="12" customFormat="1" ht="14.25" customHeight="1">
      <c r="B53" s="201" t="s">
        <v>14</v>
      </c>
      <c r="C53" s="99" t="s">
        <v>505</v>
      </c>
      <c r="D53" s="201" t="s">
        <v>505</v>
      </c>
      <c r="E53" s="101">
        <v>500</v>
      </c>
      <c r="F53" s="101">
        <v>1</v>
      </c>
      <c r="G53" s="99">
        <v>1</v>
      </c>
      <c r="H53" s="199">
        <v>0.5</v>
      </c>
      <c r="I53" s="200">
        <f t="shared" si="1"/>
        <v>10</v>
      </c>
      <c r="J53" s="99">
        <v>1</v>
      </c>
      <c r="K53" s="99" t="s">
        <v>1169</v>
      </c>
    </row>
    <row r="54" spans="2:11" s="12" customFormat="1" ht="14.25" customHeight="1">
      <c r="B54" s="201" t="s">
        <v>220</v>
      </c>
      <c r="C54" s="99" t="s">
        <v>130</v>
      </c>
      <c r="D54" s="201" t="s">
        <v>232</v>
      </c>
      <c r="E54" s="101">
        <v>500</v>
      </c>
      <c r="F54" s="101">
        <v>1</v>
      </c>
      <c r="G54" s="99">
        <v>1</v>
      </c>
      <c r="H54" s="199">
        <v>0.5</v>
      </c>
      <c r="I54" s="200">
        <f t="shared" si="1"/>
        <v>10</v>
      </c>
      <c r="J54" s="99">
        <v>1</v>
      </c>
      <c r="K54" s="99" t="s">
        <v>1147</v>
      </c>
    </row>
    <row r="55" spans="2:11" s="12" customFormat="1" ht="20.25" customHeight="1">
      <c r="B55" s="201" t="s">
        <v>271</v>
      </c>
      <c r="C55" s="99" t="s">
        <v>302</v>
      </c>
      <c r="D55" s="201" t="s">
        <v>330</v>
      </c>
      <c r="E55" s="101">
        <v>800</v>
      </c>
      <c r="F55" s="101">
        <v>1</v>
      </c>
      <c r="G55" s="99">
        <v>1</v>
      </c>
      <c r="H55" s="199">
        <v>0.5</v>
      </c>
      <c r="I55" s="200">
        <f t="shared" si="1"/>
        <v>6.25</v>
      </c>
      <c r="J55" s="99">
        <v>1</v>
      </c>
      <c r="K55" s="99" t="s">
        <v>1141</v>
      </c>
    </row>
    <row r="56" spans="2:11" s="12" customFormat="1" ht="18" customHeight="1">
      <c r="B56" s="100" t="s">
        <v>14</v>
      </c>
      <c r="C56" s="101" t="s">
        <v>103</v>
      </c>
      <c r="D56" s="100" t="s">
        <v>108</v>
      </c>
      <c r="E56" s="101">
        <v>800</v>
      </c>
      <c r="F56" s="101">
        <v>1</v>
      </c>
      <c r="G56" s="99">
        <v>1</v>
      </c>
      <c r="H56" s="199">
        <v>0.5</v>
      </c>
      <c r="I56" s="200">
        <f t="shared" si="1"/>
        <v>6.25</v>
      </c>
      <c r="J56" s="99">
        <v>1</v>
      </c>
      <c r="K56" s="99" t="s">
        <v>1145</v>
      </c>
    </row>
    <row r="57" spans="2:11" s="12" customFormat="1" ht="14.25" customHeight="1">
      <c r="B57" s="201" t="s">
        <v>391</v>
      </c>
      <c r="C57" s="99" t="s">
        <v>149</v>
      </c>
      <c r="D57" s="201" t="s">
        <v>415</v>
      </c>
      <c r="E57" s="101">
        <v>2500</v>
      </c>
      <c r="F57" s="101">
        <v>1</v>
      </c>
      <c r="G57" s="99">
        <v>1</v>
      </c>
      <c r="H57" s="199">
        <v>1.5</v>
      </c>
      <c r="I57" s="200">
        <f t="shared" si="1"/>
        <v>5.9999999999999991</v>
      </c>
      <c r="J57" s="99">
        <v>1</v>
      </c>
      <c r="K57" s="99" t="s">
        <v>1143</v>
      </c>
    </row>
    <row r="58" spans="2:11" s="12" customFormat="1" ht="14.25" customHeight="1">
      <c r="B58" s="201" t="s">
        <v>1111</v>
      </c>
      <c r="C58" s="99" t="s">
        <v>268</v>
      </c>
      <c r="D58" s="201" t="s">
        <v>600</v>
      </c>
      <c r="E58" s="101">
        <v>1000</v>
      </c>
      <c r="F58" s="101">
        <v>1</v>
      </c>
      <c r="G58" s="99">
        <v>1</v>
      </c>
      <c r="H58" s="199">
        <v>0.5</v>
      </c>
      <c r="I58" s="200">
        <f t="shared" si="1"/>
        <v>5</v>
      </c>
      <c r="J58" s="99">
        <v>2</v>
      </c>
      <c r="K58" s="99" t="s">
        <v>1141</v>
      </c>
    </row>
    <row r="59" spans="2:11" s="12" customFormat="1" ht="14.25" customHeight="1">
      <c r="B59" s="201" t="s">
        <v>14</v>
      </c>
      <c r="C59" s="99" t="s">
        <v>103</v>
      </c>
      <c r="D59" s="201" t="s">
        <v>103</v>
      </c>
      <c r="E59" s="101">
        <v>1000</v>
      </c>
      <c r="F59" s="101">
        <v>1</v>
      </c>
      <c r="G59" s="99">
        <v>1</v>
      </c>
      <c r="H59" s="199">
        <v>0.5</v>
      </c>
      <c r="I59" s="200">
        <f t="shared" si="1"/>
        <v>5</v>
      </c>
      <c r="J59" s="99">
        <v>2</v>
      </c>
      <c r="K59" s="99" t="s">
        <v>1145</v>
      </c>
    </row>
    <row r="60" spans="2:11" s="12" customFormat="1" ht="14.25" customHeight="1">
      <c r="B60" s="100" t="s">
        <v>83</v>
      </c>
      <c r="C60" s="99" t="s">
        <v>395</v>
      </c>
      <c r="D60" s="201">
        <v>18.605</v>
      </c>
      <c r="E60" s="101">
        <v>2000</v>
      </c>
      <c r="F60" s="101">
        <v>1</v>
      </c>
      <c r="G60" s="99">
        <v>1</v>
      </c>
      <c r="H60" s="199">
        <v>1</v>
      </c>
      <c r="I60" s="200">
        <f t="shared" si="1"/>
        <v>5</v>
      </c>
      <c r="J60" s="99">
        <v>2</v>
      </c>
      <c r="K60" s="99" t="s">
        <v>1143</v>
      </c>
    </row>
    <row r="61" spans="2:11" s="12" customFormat="1" ht="14.25" customHeight="1">
      <c r="B61" s="201" t="s">
        <v>1130</v>
      </c>
      <c r="C61" s="99" t="s">
        <v>998</v>
      </c>
      <c r="D61" s="201" t="s">
        <v>1016</v>
      </c>
      <c r="E61" s="101">
        <v>1200</v>
      </c>
      <c r="F61" s="101">
        <v>1</v>
      </c>
      <c r="G61" s="99">
        <v>1</v>
      </c>
      <c r="H61" s="199">
        <v>0.5</v>
      </c>
      <c r="I61" s="200">
        <f t="shared" si="1"/>
        <v>4.166666666666667</v>
      </c>
      <c r="J61" s="99">
        <v>2</v>
      </c>
      <c r="K61" s="99" t="s">
        <v>1141</v>
      </c>
    </row>
    <row r="62" spans="2:11" s="12" customFormat="1" ht="14.25" customHeight="1">
      <c r="B62" s="100" t="s">
        <v>19</v>
      </c>
      <c r="C62" s="101" t="s">
        <v>102</v>
      </c>
      <c r="D62" s="100" t="s">
        <v>114</v>
      </c>
      <c r="E62" s="101">
        <v>2500</v>
      </c>
      <c r="F62" s="101">
        <v>1</v>
      </c>
      <c r="G62" s="99">
        <v>1</v>
      </c>
      <c r="H62" s="199">
        <v>1</v>
      </c>
      <c r="I62" s="200">
        <f t="shared" si="1"/>
        <v>4</v>
      </c>
      <c r="J62" s="99">
        <v>2</v>
      </c>
      <c r="K62" s="99" t="s">
        <v>1143</v>
      </c>
    </row>
    <row r="63" spans="2:11" s="12" customFormat="1" ht="15" customHeight="1">
      <c r="B63" s="226" t="s">
        <v>12</v>
      </c>
      <c r="C63" s="224" t="s">
        <v>149</v>
      </c>
      <c r="D63" s="226" t="s">
        <v>1039</v>
      </c>
      <c r="E63" s="227">
        <v>4000</v>
      </c>
      <c r="F63" s="227">
        <v>1</v>
      </c>
      <c r="G63" s="224">
        <v>1</v>
      </c>
      <c r="H63" s="228">
        <v>1.5</v>
      </c>
      <c r="I63" s="210">
        <f t="shared" si="1"/>
        <v>3.75</v>
      </c>
      <c r="J63" s="211">
        <v>2</v>
      </c>
      <c r="K63" s="257" t="s">
        <v>1194</v>
      </c>
    </row>
    <row r="64" spans="2:11" s="12" customFormat="1" ht="14.25" customHeight="1">
      <c r="B64" s="100" t="s">
        <v>19</v>
      </c>
      <c r="C64" s="103" t="s">
        <v>60</v>
      </c>
      <c r="D64" s="201" t="s">
        <v>766</v>
      </c>
      <c r="E64" s="101">
        <v>3000</v>
      </c>
      <c r="F64" s="101">
        <v>1</v>
      </c>
      <c r="G64" s="99">
        <v>1</v>
      </c>
      <c r="H64" s="199">
        <v>1</v>
      </c>
      <c r="I64" s="200">
        <f t="shared" si="1"/>
        <v>3.333333333333333</v>
      </c>
      <c r="J64" s="99">
        <v>2</v>
      </c>
      <c r="K64" s="99" t="s">
        <v>1141</v>
      </c>
    </row>
    <row r="65" spans="2:13" s="12" customFormat="1" ht="15" customHeight="1">
      <c r="B65" s="226" t="s">
        <v>1129</v>
      </c>
      <c r="C65" s="224" t="s">
        <v>258</v>
      </c>
      <c r="D65" s="226" t="s">
        <v>258</v>
      </c>
      <c r="E65" s="227">
        <v>2000</v>
      </c>
      <c r="F65" s="227">
        <v>1</v>
      </c>
      <c r="G65" s="224">
        <v>1</v>
      </c>
      <c r="H65" s="228">
        <v>0.5</v>
      </c>
      <c r="I65" s="229">
        <f t="shared" si="1"/>
        <v>2.5</v>
      </c>
      <c r="J65" s="224">
        <v>2</v>
      </c>
      <c r="K65" s="224" t="s">
        <v>1174</v>
      </c>
    </row>
    <row r="66" spans="2:13" s="12" customFormat="1" ht="14.25" customHeight="1">
      <c r="B66" s="100" t="s">
        <v>83</v>
      </c>
      <c r="C66" s="99" t="s">
        <v>59</v>
      </c>
      <c r="D66" s="201" t="s">
        <v>78</v>
      </c>
      <c r="E66" s="99">
        <v>2000</v>
      </c>
      <c r="F66" s="101">
        <v>1</v>
      </c>
      <c r="G66" s="99">
        <v>1</v>
      </c>
      <c r="H66" s="199">
        <v>0.5</v>
      </c>
      <c r="I66" s="200">
        <f t="shared" si="1"/>
        <v>2.5</v>
      </c>
      <c r="J66" s="99">
        <v>2</v>
      </c>
      <c r="K66" s="99" t="s">
        <v>1145</v>
      </c>
    </row>
    <row r="67" spans="2:13" s="12" customFormat="1" ht="14.25" customHeight="1">
      <c r="B67" s="201" t="s">
        <v>1056</v>
      </c>
      <c r="C67" s="99" t="s">
        <v>58</v>
      </c>
      <c r="D67" s="201" t="s">
        <v>76</v>
      </c>
      <c r="E67" s="99">
        <v>4200</v>
      </c>
      <c r="F67" s="101">
        <v>1</v>
      </c>
      <c r="G67" s="99">
        <v>1</v>
      </c>
      <c r="H67" s="199">
        <v>1</v>
      </c>
      <c r="I67" s="200">
        <f t="shared" si="1"/>
        <v>2.3809523809523809</v>
      </c>
      <c r="J67" s="99">
        <v>2</v>
      </c>
      <c r="K67" s="99" t="s">
        <v>1148</v>
      </c>
    </row>
    <row r="68" spans="2:13" s="12" customFormat="1">
      <c r="B68" s="100" t="s">
        <v>83</v>
      </c>
      <c r="C68" s="101" t="s">
        <v>129</v>
      </c>
      <c r="D68" s="100" t="s">
        <v>136</v>
      </c>
      <c r="E68" s="101">
        <v>2500</v>
      </c>
      <c r="F68" s="101">
        <v>1</v>
      </c>
      <c r="G68" s="99">
        <v>1</v>
      </c>
      <c r="H68" s="199">
        <v>0.5</v>
      </c>
      <c r="I68" s="200">
        <f t="shared" si="1"/>
        <v>2</v>
      </c>
      <c r="J68" s="99">
        <v>2</v>
      </c>
      <c r="K68" s="99" t="s">
        <v>1150</v>
      </c>
      <c r="L68" s="32" t="s">
        <v>1163</v>
      </c>
      <c r="M68" s="32"/>
    </row>
    <row r="69" spans="2:13" s="12" customFormat="1" ht="29.25" customHeight="1">
      <c r="B69" s="100" t="s">
        <v>83</v>
      </c>
      <c r="C69" s="99" t="s">
        <v>56</v>
      </c>
      <c r="D69" s="201" t="s">
        <v>1038</v>
      </c>
      <c r="E69" s="101">
        <v>2500</v>
      </c>
      <c r="F69" s="101">
        <v>1</v>
      </c>
      <c r="G69" s="99">
        <v>1</v>
      </c>
      <c r="H69" s="199">
        <v>0.5</v>
      </c>
      <c r="I69" s="200">
        <f t="shared" si="1"/>
        <v>2</v>
      </c>
      <c r="J69" s="99">
        <v>2</v>
      </c>
      <c r="K69" s="99" t="s">
        <v>1145</v>
      </c>
    </row>
    <row r="70" spans="2:13" s="12" customFormat="1" ht="30.75" customHeight="1">
      <c r="B70" s="100" t="s">
        <v>83</v>
      </c>
      <c r="C70" s="101" t="s">
        <v>56</v>
      </c>
      <c r="D70" s="100" t="s">
        <v>72</v>
      </c>
      <c r="E70" s="101">
        <v>3000</v>
      </c>
      <c r="F70" s="101">
        <v>1</v>
      </c>
      <c r="G70" s="99">
        <v>1</v>
      </c>
      <c r="H70" s="199">
        <v>0.5</v>
      </c>
      <c r="I70" s="200">
        <f t="shared" si="1"/>
        <v>1.6666666666666665</v>
      </c>
      <c r="J70" s="99">
        <v>2</v>
      </c>
      <c r="K70" s="99" t="s">
        <v>1148</v>
      </c>
      <c r="L70" s="134"/>
      <c r="M70" s="134"/>
    </row>
    <row r="71" spans="2:13" s="12" customFormat="1">
      <c r="B71" s="201" t="s">
        <v>775</v>
      </c>
      <c r="C71" s="99" t="s">
        <v>1040</v>
      </c>
      <c r="D71" s="201" t="s">
        <v>1041</v>
      </c>
      <c r="E71" s="101">
        <v>4500</v>
      </c>
      <c r="F71" s="101">
        <v>1</v>
      </c>
      <c r="G71" s="99">
        <v>1</v>
      </c>
      <c r="H71" s="199">
        <v>6.5</v>
      </c>
      <c r="I71" s="200">
        <f t="shared" si="1"/>
        <v>14.444444444444445</v>
      </c>
      <c r="J71" s="99">
        <v>2</v>
      </c>
      <c r="K71" s="99" t="s">
        <v>1142</v>
      </c>
      <c r="L71" s="126"/>
    </row>
    <row r="72" spans="2:13" s="125" customFormat="1">
      <c r="B72" s="207" t="s">
        <v>1046</v>
      </c>
      <c r="C72" s="206" t="s">
        <v>52</v>
      </c>
      <c r="D72" s="207" t="s">
        <v>71</v>
      </c>
      <c r="E72" s="206">
        <v>4900</v>
      </c>
      <c r="F72" s="101">
        <v>1</v>
      </c>
      <c r="G72" s="99">
        <v>1</v>
      </c>
      <c r="H72" s="199">
        <v>11.5</v>
      </c>
      <c r="I72" s="200">
        <f t="shared" si="1"/>
        <v>23.469387755102041</v>
      </c>
      <c r="J72" s="99"/>
      <c r="K72" s="99" t="s">
        <v>1142</v>
      </c>
    </row>
    <row r="73" spans="2:13" s="12" customFormat="1" ht="43.5" customHeight="1">
      <c r="B73" s="100" t="s">
        <v>13</v>
      </c>
      <c r="C73" s="101" t="s">
        <v>51</v>
      </c>
      <c r="D73" s="100" t="s">
        <v>63</v>
      </c>
      <c r="E73" s="101">
        <v>6615</v>
      </c>
      <c r="F73" s="101">
        <v>1</v>
      </c>
      <c r="G73" s="101">
        <v>1</v>
      </c>
      <c r="H73" s="101">
        <v>1.2</v>
      </c>
      <c r="I73" s="202">
        <f t="shared" si="1"/>
        <v>1.8140589569160999</v>
      </c>
      <c r="J73" s="101">
        <v>2</v>
      </c>
      <c r="K73" s="100" t="s">
        <v>1158</v>
      </c>
    </row>
    <row r="74" spans="2:13" s="12" customFormat="1" ht="39.15" customHeight="1">
      <c r="B74" s="100" t="s">
        <v>83</v>
      </c>
      <c r="C74" s="101" t="s">
        <v>149</v>
      </c>
      <c r="D74" s="100" t="s">
        <v>247</v>
      </c>
      <c r="E74" s="101">
        <v>11600</v>
      </c>
      <c r="F74" s="101">
        <v>1</v>
      </c>
      <c r="G74" s="101">
        <v>1</v>
      </c>
      <c r="H74" s="202">
        <v>1</v>
      </c>
      <c r="I74" s="203">
        <f>H74*G74*1/E73*10000</f>
        <v>1.5117157974300832</v>
      </c>
      <c r="J74" s="101">
        <v>2</v>
      </c>
      <c r="K74" s="100" t="s">
        <v>1160</v>
      </c>
    </row>
    <row r="75" spans="2:13" s="12" customFormat="1" ht="54.75" customHeight="1">
      <c r="B75" s="100" t="s">
        <v>83</v>
      </c>
      <c r="C75" s="101" t="s">
        <v>149</v>
      </c>
      <c r="D75" s="100" t="s">
        <v>407</v>
      </c>
      <c r="E75" s="101">
        <v>11600</v>
      </c>
      <c r="F75" s="101">
        <v>1</v>
      </c>
      <c r="G75" s="101">
        <v>1</v>
      </c>
      <c r="H75" s="202">
        <v>1</v>
      </c>
      <c r="I75" s="203">
        <f>H75*G75*1/E74*10000</f>
        <v>0.86206896551724133</v>
      </c>
      <c r="J75" s="101">
        <v>2</v>
      </c>
      <c r="K75" s="100" t="s">
        <v>1161</v>
      </c>
    </row>
    <row r="76" spans="2:13" s="12" customFormat="1" ht="14.25" customHeight="1">
      <c r="B76" s="97" t="s">
        <v>1321</v>
      </c>
      <c r="C76" s="99" t="s">
        <v>1324</v>
      </c>
      <c r="D76" s="96" t="s">
        <v>1322</v>
      </c>
      <c r="E76" s="119">
        <v>1540</v>
      </c>
      <c r="F76" s="16">
        <v>1</v>
      </c>
      <c r="G76" s="17"/>
      <c r="H76" s="111"/>
      <c r="I76" s="17"/>
      <c r="J76" s="17"/>
      <c r="K76" s="17" t="s">
        <v>1323</v>
      </c>
      <c r="L76" s="144"/>
    </row>
    <row r="77" spans="2:13" s="12" customFormat="1" ht="14.25" customHeight="1">
      <c r="B77" s="138"/>
      <c r="C77" s="126"/>
      <c r="D77" s="139"/>
      <c r="E77" s="140"/>
      <c r="F77" s="141"/>
      <c r="G77" s="142"/>
      <c r="H77" s="143"/>
      <c r="I77" s="142"/>
      <c r="J77" s="142"/>
      <c r="K77" s="145"/>
      <c r="L77" s="144"/>
    </row>
    <row r="78" spans="2:13" s="12" customFormat="1" ht="14.25" customHeight="1">
      <c r="B78" s="138"/>
      <c r="C78" s="126"/>
      <c r="D78" s="139"/>
      <c r="E78" s="140"/>
      <c r="F78" s="141"/>
      <c r="G78" s="142"/>
      <c r="H78" s="143"/>
      <c r="I78" s="142"/>
      <c r="J78" s="142"/>
      <c r="K78" s="146"/>
      <c r="L78" s="144"/>
    </row>
    <row r="79" spans="2:13" s="12" customFormat="1" ht="14.25" customHeight="1">
      <c r="B79" s="138"/>
      <c r="C79" s="126"/>
      <c r="D79" s="139"/>
      <c r="E79" s="140"/>
      <c r="F79" s="141"/>
      <c r="G79" s="142"/>
      <c r="H79" s="143"/>
      <c r="I79" s="142"/>
      <c r="J79" s="142"/>
      <c r="K79" s="146"/>
      <c r="L79" s="144"/>
    </row>
    <row r="80" spans="2:13" s="12" customFormat="1" ht="14.25" customHeight="1">
      <c r="B80" s="138"/>
      <c r="C80" s="126"/>
      <c r="D80" s="139"/>
      <c r="E80" s="140"/>
      <c r="F80" s="141"/>
      <c r="G80" s="142"/>
      <c r="H80" s="143"/>
      <c r="I80" s="142"/>
      <c r="J80" s="142"/>
      <c r="K80" s="146"/>
      <c r="L80" s="144"/>
    </row>
    <row r="81" spans="2:12" s="12" customFormat="1" ht="14.25" customHeight="1">
      <c r="B81" s="138"/>
      <c r="C81" s="126"/>
      <c r="D81" s="139"/>
      <c r="E81" s="140"/>
      <c r="F81" s="141"/>
      <c r="G81" s="142"/>
      <c r="H81" s="143"/>
      <c r="I81" s="142"/>
      <c r="J81" s="142"/>
      <c r="K81" s="146"/>
      <c r="L81" s="144"/>
    </row>
    <row r="82" spans="2:12" s="12" customFormat="1" ht="14.25" customHeight="1">
      <c r="B82" s="138"/>
      <c r="C82" s="126"/>
      <c r="D82" s="139"/>
      <c r="E82" s="140"/>
      <c r="F82" s="141"/>
      <c r="G82" s="142"/>
      <c r="H82" s="143"/>
      <c r="I82" s="142"/>
      <c r="J82" s="142"/>
      <c r="K82" s="146"/>
      <c r="L82" s="144"/>
    </row>
    <row r="83" spans="2:12" s="12" customFormat="1" ht="14.25" customHeight="1">
      <c r="B83" s="138"/>
      <c r="C83" s="126"/>
      <c r="D83" s="139"/>
      <c r="E83" s="140"/>
      <c r="F83" s="141"/>
      <c r="G83" s="142"/>
      <c r="H83" s="143"/>
      <c r="I83" s="142"/>
      <c r="J83" s="142"/>
      <c r="K83" s="146"/>
      <c r="L83" s="144"/>
    </row>
    <row r="84" spans="2:12" s="12" customFormat="1" ht="14.25" customHeight="1">
      <c r="B84" s="138"/>
      <c r="C84" s="126"/>
      <c r="D84" s="139"/>
      <c r="E84" s="140"/>
      <c r="F84" s="141"/>
      <c r="G84" s="142"/>
      <c r="H84" s="143"/>
      <c r="I84" s="142"/>
      <c r="J84" s="142"/>
      <c r="K84" s="146"/>
      <c r="L84" s="144"/>
    </row>
    <row r="85" spans="2:12" s="12" customFormat="1" ht="14.25" customHeight="1">
      <c r="B85" s="138"/>
      <c r="C85" s="126"/>
      <c r="D85" s="139"/>
      <c r="E85" s="140"/>
      <c r="F85" s="141"/>
      <c r="G85" s="142"/>
      <c r="H85" s="143"/>
      <c r="I85" s="142"/>
      <c r="J85" s="142"/>
      <c r="K85" s="146"/>
      <c r="L85" s="144"/>
    </row>
    <row r="86" spans="2:12" s="12" customFormat="1" ht="14.25" customHeight="1">
      <c r="B86" s="138"/>
      <c r="C86" s="126"/>
      <c r="D86" s="139"/>
      <c r="E86" s="140"/>
      <c r="F86" s="141"/>
      <c r="G86" s="142"/>
      <c r="H86" s="143"/>
      <c r="I86" s="142"/>
      <c r="J86" s="142"/>
      <c r="K86" s="146"/>
      <c r="L86" s="144"/>
    </row>
    <row r="87" spans="2:12" s="12" customFormat="1" ht="14.25" customHeight="1">
      <c r="B87" s="138"/>
      <c r="C87" s="126"/>
      <c r="D87" s="139"/>
      <c r="E87" s="140"/>
      <c r="F87" s="141"/>
      <c r="G87" s="142"/>
      <c r="H87" s="143"/>
      <c r="I87" s="142"/>
      <c r="J87" s="142"/>
      <c r="K87" s="146"/>
      <c r="L87" s="144"/>
    </row>
    <row r="88" spans="2:12" s="12" customFormat="1" ht="14.25" customHeight="1">
      <c r="B88" s="138"/>
      <c r="C88" s="126"/>
      <c r="D88" s="139"/>
      <c r="E88" s="140"/>
      <c r="F88" s="141"/>
      <c r="G88" s="142"/>
      <c r="H88" s="143"/>
      <c r="I88" s="142"/>
      <c r="J88" s="142"/>
      <c r="K88" s="146"/>
      <c r="L88" s="144"/>
    </row>
    <row r="89" spans="2:12" s="12" customFormat="1" ht="14.25" customHeight="1">
      <c r="B89" s="138"/>
      <c r="C89" s="126"/>
      <c r="D89" s="139"/>
      <c r="E89" s="140"/>
      <c r="F89" s="141"/>
      <c r="G89" s="142"/>
      <c r="H89" s="143"/>
      <c r="I89" s="142"/>
      <c r="J89" s="142"/>
      <c r="K89" s="146"/>
      <c r="L89" s="144"/>
    </row>
    <row r="90" spans="2:12" s="12" customFormat="1" ht="14.25" customHeight="1">
      <c r="B90" s="138"/>
      <c r="C90" s="126"/>
      <c r="D90" s="139"/>
      <c r="E90" s="140"/>
      <c r="F90" s="141"/>
      <c r="G90" s="142"/>
      <c r="H90" s="143"/>
      <c r="I90" s="142"/>
      <c r="J90" s="142"/>
      <c r="K90" s="146"/>
      <c r="L90" s="144"/>
    </row>
    <row r="91" spans="2:12" s="12" customFormat="1" ht="14.25" customHeight="1">
      <c r="B91" s="138"/>
      <c r="C91" s="126"/>
      <c r="D91" s="139"/>
      <c r="E91" s="140"/>
      <c r="F91" s="141"/>
      <c r="G91" s="142"/>
      <c r="H91" s="143"/>
      <c r="I91" s="142"/>
      <c r="J91" s="142"/>
      <c r="K91" s="142"/>
      <c r="L91" s="144"/>
    </row>
    <row r="92" spans="2:12" s="12" customFormat="1" ht="14.25" customHeight="1">
      <c r="B92" s="138"/>
      <c r="C92" s="126"/>
      <c r="D92" s="139"/>
      <c r="E92" s="140"/>
      <c r="F92" s="141"/>
      <c r="G92" s="142"/>
      <c r="H92" s="143"/>
      <c r="I92" s="142"/>
      <c r="J92" s="142"/>
      <c r="K92" s="142"/>
      <c r="L92" s="144"/>
    </row>
    <row r="93" spans="2:12" s="12" customFormat="1" ht="14.25" customHeight="1">
      <c r="B93" s="138"/>
      <c r="C93" s="126"/>
      <c r="D93" s="139"/>
      <c r="E93" s="140"/>
      <c r="F93" s="141"/>
      <c r="G93" s="142"/>
      <c r="H93" s="143"/>
      <c r="I93" s="142"/>
      <c r="J93" s="142"/>
      <c r="K93" s="142"/>
      <c r="L93" s="144"/>
    </row>
    <row r="94" spans="2:12" s="12" customFormat="1" ht="14.25" customHeight="1">
      <c r="B94" s="138"/>
      <c r="C94" s="126"/>
      <c r="D94" s="139"/>
      <c r="E94" s="140"/>
      <c r="F94" s="141"/>
      <c r="G94" s="142"/>
      <c r="H94" s="143"/>
      <c r="I94" s="142"/>
      <c r="J94" s="142"/>
      <c r="K94" s="142"/>
      <c r="L94" s="144"/>
    </row>
    <row r="95" spans="2:12" s="12" customFormat="1" ht="14.25" customHeight="1">
      <c r="B95" s="138"/>
      <c r="C95" s="126"/>
      <c r="D95" s="139"/>
      <c r="E95" s="140"/>
      <c r="F95" s="141"/>
      <c r="G95" s="142"/>
      <c r="H95" s="143"/>
      <c r="I95" s="142"/>
      <c r="J95" s="142"/>
      <c r="K95" s="142"/>
      <c r="L95" s="144"/>
    </row>
    <row r="96" spans="2:12" s="12" customFormat="1" ht="14.25" customHeight="1">
      <c r="B96" s="138"/>
      <c r="C96" s="126"/>
      <c r="D96" s="139"/>
      <c r="E96" s="140"/>
      <c r="F96" s="141"/>
      <c r="G96" s="142"/>
      <c r="H96" s="143"/>
      <c r="I96" s="142"/>
      <c r="J96" s="142"/>
      <c r="K96" s="142"/>
      <c r="L96" s="144"/>
    </row>
    <row r="97" spans="2:12" s="12" customFormat="1" ht="14.25" customHeight="1">
      <c r="B97" s="138"/>
      <c r="C97" s="126"/>
      <c r="D97" s="139"/>
      <c r="E97" s="140"/>
      <c r="F97" s="141"/>
      <c r="G97" s="142"/>
      <c r="H97" s="143"/>
      <c r="I97" s="142"/>
      <c r="J97" s="142"/>
      <c r="K97" s="142"/>
      <c r="L97" s="144"/>
    </row>
    <row r="98" spans="2:12" s="12" customFormat="1" ht="14.25" customHeight="1">
      <c r="B98" s="138"/>
      <c r="C98" s="126"/>
      <c r="D98" s="139"/>
      <c r="E98" s="140"/>
      <c r="F98" s="141"/>
      <c r="G98" s="142"/>
      <c r="H98" s="143"/>
      <c r="I98" s="142"/>
      <c r="J98" s="142"/>
      <c r="K98" s="142"/>
      <c r="L98" s="144"/>
    </row>
    <row r="99" spans="2:12" s="12" customFormat="1" ht="14.25" customHeight="1">
      <c r="B99" s="138"/>
      <c r="C99" s="126"/>
      <c r="D99" s="139"/>
      <c r="E99" s="140"/>
      <c r="F99" s="141"/>
      <c r="G99" s="142"/>
      <c r="H99" s="143"/>
      <c r="I99" s="142"/>
      <c r="J99" s="142"/>
      <c r="K99" s="142"/>
      <c r="L99" s="144"/>
    </row>
    <row r="100" spans="2:12" s="12" customFormat="1" ht="14.25" customHeight="1">
      <c r="B100" s="138"/>
      <c r="C100" s="126"/>
      <c r="D100" s="139"/>
      <c r="E100" s="140"/>
      <c r="F100" s="141"/>
      <c r="G100" s="142"/>
      <c r="H100" s="143"/>
      <c r="I100" s="142"/>
      <c r="J100" s="142"/>
      <c r="K100" s="142"/>
      <c r="L100" s="144"/>
    </row>
    <row r="101" spans="2:12" s="12" customFormat="1" ht="14.25" customHeight="1">
      <c r="B101" s="138"/>
      <c r="C101" s="126"/>
      <c r="D101" s="139"/>
      <c r="E101" s="140"/>
      <c r="F101" s="141"/>
      <c r="G101" s="142"/>
      <c r="H101" s="143"/>
      <c r="I101" s="142"/>
      <c r="J101" s="142"/>
      <c r="K101" s="142"/>
      <c r="L101" s="144"/>
    </row>
    <row r="102" spans="2:12" s="12" customFormat="1" ht="14.25" customHeight="1">
      <c r="B102" s="138"/>
      <c r="C102" s="126"/>
      <c r="D102" s="139"/>
      <c r="E102" s="140"/>
      <c r="F102" s="141"/>
      <c r="G102" s="142"/>
      <c r="H102" s="143"/>
      <c r="I102" s="142"/>
      <c r="J102" s="142"/>
      <c r="K102" s="142"/>
      <c r="L102" s="144"/>
    </row>
    <row r="103" spans="2:12" s="12" customFormat="1" ht="14.25" customHeight="1">
      <c r="B103" s="138"/>
      <c r="C103" s="126"/>
      <c r="D103" s="139"/>
      <c r="E103" s="140"/>
      <c r="F103" s="141"/>
      <c r="G103" s="142"/>
      <c r="H103" s="143"/>
      <c r="I103" s="142"/>
      <c r="J103" s="142"/>
      <c r="K103" s="142"/>
      <c r="L103" s="144"/>
    </row>
    <row r="104" spans="2:12" s="12" customFormat="1" ht="14.25" customHeight="1">
      <c r="B104" s="138"/>
      <c r="C104" s="126"/>
      <c r="D104" s="139"/>
      <c r="E104" s="140"/>
      <c r="F104" s="141"/>
      <c r="G104" s="142"/>
      <c r="H104" s="143"/>
      <c r="I104" s="142"/>
      <c r="J104" s="142"/>
      <c r="K104" s="142"/>
      <c r="L104" s="144"/>
    </row>
    <row r="105" spans="2:12" s="12" customFormat="1" ht="14.25" customHeight="1">
      <c r="B105" s="138"/>
      <c r="C105" s="126"/>
      <c r="D105" s="139"/>
      <c r="E105" s="140"/>
      <c r="F105" s="141"/>
      <c r="G105" s="142"/>
      <c r="H105" s="143"/>
      <c r="I105" s="142"/>
      <c r="J105" s="142"/>
      <c r="K105" s="142"/>
      <c r="L105" s="144"/>
    </row>
    <row r="106" spans="2:12" s="12" customFormat="1" ht="14.25" customHeight="1">
      <c r="B106" s="138"/>
      <c r="C106" s="126"/>
      <c r="D106" s="139"/>
      <c r="E106" s="140"/>
      <c r="F106" s="141"/>
      <c r="G106" s="142"/>
      <c r="H106" s="143"/>
      <c r="I106" s="142"/>
      <c r="J106" s="142"/>
      <c r="K106" s="142"/>
      <c r="L106" s="144"/>
    </row>
    <row r="107" spans="2:12" s="12" customFormat="1" ht="14.25" customHeight="1">
      <c r="B107" s="138"/>
      <c r="C107" s="126"/>
      <c r="D107" s="139"/>
      <c r="E107" s="140"/>
      <c r="F107" s="141"/>
      <c r="G107" s="142"/>
      <c r="H107" s="143"/>
      <c r="I107" s="142"/>
      <c r="J107" s="142"/>
      <c r="K107" s="142"/>
      <c r="L107" s="144"/>
    </row>
    <row r="108" spans="2:12" s="12" customFormat="1" ht="14.25" customHeight="1">
      <c r="B108" s="138"/>
      <c r="C108" s="126"/>
      <c r="D108" s="139"/>
      <c r="E108" s="140"/>
      <c r="F108" s="141"/>
      <c r="G108" s="142"/>
      <c r="H108" s="143"/>
      <c r="I108" s="142"/>
      <c r="J108" s="142"/>
      <c r="K108" s="142"/>
      <c r="L108" s="144"/>
    </row>
    <row r="109" spans="2:12" s="12" customFormat="1" ht="14.25" customHeight="1">
      <c r="B109" s="138"/>
      <c r="C109" s="126"/>
      <c r="D109" s="139"/>
      <c r="E109" s="140"/>
      <c r="F109" s="141"/>
      <c r="G109" s="142"/>
      <c r="H109" s="143"/>
      <c r="I109" s="142"/>
      <c r="J109" s="142"/>
      <c r="K109" s="142"/>
      <c r="L109" s="144"/>
    </row>
    <row r="110" spans="2:12" s="12" customFormat="1" ht="14.25" customHeight="1">
      <c r="B110" s="138"/>
      <c r="C110" s="126"/>
      <c r="D110" s="139"/>
      <c r="E110" s="140"/>
      <c r="F110" s="141"/>
      <c r="G110" s="142"/>
      <c r="H110" s="143"/>
      <c r="I110" s="142"/>
      <c r="J110" s="142"/>
      <c r="K110" s="142"/>
      <c r="L110" s="144"/>
    </row>
    <row r="111" spans="2:12" s="12" customFormat="1" ht="14.25" customHeight="1">
      <c r="B111" s="138"/>
      <c r="C111" s="126"/>
      <c r="D111" s="139"/>
      <c r="E111" s="140"/>
      <c r="F111" s="141"/>
      <c r="G111" s="142"/>
      <c r="H111" s="143"/>
      <c r="I111" s="142"/>
      <c r="J111" s="142"/>
      <c r="K111" s="142"/>
      <c r="L111" s="144"/>
    </row>
    <row r="112" spans="2:12" s="12" customFormat="1" ht="14.25" customHeight="1">
      <c r="B112" s="138"/>
      <c r="C112" s="126"/>
      <c r="D112" s="139"/>
      <c r="E112" s="140"/>
      <c r="F112" s="141"/>
      <c r="G112" s="142"/>
      <c r="H112" s="143"/>
      <c r="I112" s="142"/>
      <c r="J112" s="142"/>
      <c r="K112" s="142"/>
      <c r="L112" s="144"/>
    </row>
    <row r="113" spans="2:12" s="12" customFormat="1" ht="14.25" customHeight="1">
      <c r="B113" s="138"/>
      <c r="C113" s="126"/>
      <c r="D113" s="139"/>
      <c r="E113" s="140"/>
      <c r="F113" s="141"/>
      <c r="G113" s="142"/>
      <c r="H113" s="143"/>
      <c r="I113" s="142"/>
      <c r="J113" s="142"/>
      <c r="K113" s="142"/>
      <c r="L113" s="144"/>
    </row>
    <row r="114" spans="2:12" s="12" customFormat="1" ht="14.25" customHeight="1">
      <c r="B114" s="138"/>
      <c r="C114" s="126"/>
      <c r="D114" s="139"/>
      <c r="E114" s="140"/>
      <c r="F114" s="141"/>
      <c r="G114" s="142"/>
      <c r="H114" s="143"/>
      <c r="I114" s="142"/>
      <c r="J114" s="142"/>
      <c r="K114" s="142"/>
      <c r="L114" s="144"/>
    </row>
    <row r="115" spans="2:12" s="12" customFormat="1" ht="14.25" customHeight="1">
      <c r="B115" s="131"/>
      <c r="C115" s="132"/>
      <c r="D115" s="133"/>
      <c r="E115" s="130"/>
      <c r="F115" s="135"/>
      <c r="G115" s="136"/>
      <c r="H115" s="137"/>
      <c r="I115" s="136"/>
      <c r="J115" s="136"/>
      <c r="K115" s="136"/>
    </row>
    <row r="116" spans="2:12" s="12" customFormat="1" ht="14.25" customHeight="1">
      <c r="B116" s="97"/>
      <c r="C116" s="99"/>
      <c r="D116" s="96"/>
      <c r="E116" s="119"/>
      <c r="F116" s="16"/>
      <c r="G116" s="17"/>
      <c r="H116" s="111"/>
      <c r="I116" s="17"/>
      <c r="J116" s="17"/>
      <c r="K116" s="17"/>
    </row>
    <row r="117" spans="2:12" s="12" customFormat="1" ht="14.25" customHeight="1">
      <c r="B117" s="97"/>
      <c r="C117" s="99"/>
      <c r="D117" s="96"/>
      <c r="E117" s="119"/>
      <c r="F117" s="16"/>
      <c r="G117" s="17"/>
      <c r="H117" s="111"/>
      <c r="I117" s="17"/>
      <c r="J117" s="17"/>
      <c r="K117" s="17"/>
    </row>
    <row r="118" spans="2:12" s="12" customFormat="1" ht="14.25" customHeight="1">
      <c r="B118" s="97"/>
      <c r="C118" s="99"/>
      <c r="D118" s="96"/>
      <c r="E118" s="119"/>
      <c r="F118" s="16"/>
      <c r="G118" s="17"/>
      <c r="H118" s="111"/>
      <c r="I118" s="17"/>
      <c r="J118" s="17"/>
      <c r="K118" s="17"/>
    </row>
    <row r="119" spans="2:12" s="12" customFormat="1" ht="14.25" customHeight="1">
      <c r="B119" s="97"/>
      <c r="C119" s="99"/>
      <c r="D119" s="96"/>
      <c r="E119" s="119"/>
      <c r="F119" s="16"/>
      <c r="G119" s="17"/>
      <c r="H119" s="111"/>
      <c r="I119" s="17"/>
      <c r="J119" s="17"/>
      <c r="K119" s="17"/>
    </row>
    <row r="120" spans="2:12" s="12" customFormat="1" ht="14.25" customHeight="1">
      <c r="B120" s="97"/>
      <c r="C120" s="99"/>
      <c r="D120" s="96"/>
      <c r="E120" s="119"/>
      <c r="F120" s="16"/>
      <c r="G120" s="17"/>
      <c r="H120" s="111"/>
      <c r="I120" s="17"/>
      <c r="J120" s="17"/>
      <c r="K120" s="17"/>
    </row>
    <row r="121" spans="2:12" s="12" customFormat="1" ht="14.25" customHeight="1">
      <c r="B121" s="97"/>
      <c r="C121" s="99"/>
      <c r="D121" s="96"/>
      <c r="E121" s="119"/>
      <c r="F121" s="16"/>
      <c r="G121" s="17"/>
      <c r="H121" s="111"/>
      <c r="I121" s="17"/>
      <c r="J121" s="17"/>
      <c r="K121" s="17"/>
    </row>
    <row r="122" spans="2:12" s="12" customFormat="1" ht="14.25" customHeight="1">
      <c r="B122" s="97"/>
      <c r="C122" s="99"/>
      <c r="D122" s="96"/>
      <c r="E122" s="119"/>
      <c r="F122" s="16"/>
      <c r="G122" s="17"/>
      <c r="H122" s="111"/>
      <c r="I122" s="17"/>
      <c r="J122" s="17"/>
      <c r="K122" s="17"/>
    </row>
    <row r="123" spans="2:12" s="12" customFormat="1" ht="14.25" customHeight="1">
      <c r="B123" s="97"/>
      <c r="C123" s="99"/>
      <c r="D123" s="96"/>
      <c r="E123" s="119"/>
      <c r="F123" s="16"/>
      <c r="G123" s="17"/>
      <c r="H123" s="111"/>
      <c r="I123" s="17"/>
      <c r="J123" s="17"/>
      <c r="K123" s="17"/>
    </row>
    <row r="124" spans="2:12" s="12" customFormat="1" ht="14.25" customHeight="1">
      <c r="B124" s="97"/>
      <c r="C124" s="99"/>
      <c r="D124" s="96"/>
      <c r="E124" s="119"/>
      <c r="F124" s="16"/>
      <c r="G124" s="17"/>
      <c r="H124" s="111"/>
      <c r="I124" s="17"/>
      <c r="J124" s="17"/>
      <c r="K124" s="17"/>
    </row>
    <row r="125" spans="2:12" s="12" customFormat="1" ht="14.25" customHeight="1">
      <c r="B125" s="97"/>
      <c r="C125" s="99"/>
      <c r="D125" s="96"/>
      <c r="E125" s="119"/>
      <c r="F125" s="16"/>
      <c r="G125" s="17"/>
      <c r="H125" s="111"/>
      <c r="I125" s="17"/>
      <c r="J125" s="17"/>
      <c r="K125" s="17"/>
    </row>
    <row r="126" spans="2:12" s="12" customFormat="1" ht="14.25" customHeight="1">
      <c r="B126" s="97"/>
      <c r="C126" s="99"/>
      <c r="D126" s="96"/>
      <c r="E126" s="119"/>
      <c r="F126" s="16"/>
      <c r="G126" s="17"/>
      <c r="H126" s="111"/>
      <c r="I126" s="17"/>
      <c r="J126" s="17"/>
      <c r="K126" s="17"/>
    </row>
    <row r="127" spans="2:12" s="12" customFormat="1" ht="14.25" customHeight="1">
      <c r="B127" s="97"/>
      <c r="C127" s="99"/>
      <c r="D127" s="96"/>
      <c r="E127" s="119"/>
      <c r="F127" s="16"/>
      <c r="G127" s="17"/>
      <c r="H127" s="111"/>
      <c r="I127" s="17"/>
      <c r="J127" s="17"/>
      <c r="K127" s="17"/>
    </row>
    <row r="128" spans="2:12" s="12" customFormat="1" ht="14.25" customHeight="1">
      <c r="B128" s="97"/>
      <c r="C128" s="99"/>
      <c r="D128" s="96"/>
      <c r="E128" s="119"/>
      <c r="F128" s="16"/>
      <c r="G128" s="17"/>
      <c r="H128" s="111"/>
      <c r="I128" s="17"/>
      <c r="J128" s="17"/>
      <c r="K128" s="17"/>
    </row>
    <row r="129" spans="2:11" s="12" customFormat="1" ht="14.25" customHeight="1">
      <c r="B129" s="97"/>
      <c r="C129" s="99"/>
      <c r="D129" s="96"/>
      <c r="E129" s="119"/>
      <c r="F129" s="16"/>
      <c r="G129" s="17"/>
      <c r="H129" s="111"/>
      <c r="I129" s="17"/>
      <c r="J129" s="17"/>
      <c r="K129" s="17"/>
    </row>
    <row r="130" spans="2:11" s="12" customFormat="1" ht="14.25" customHeight="1">
      <c r="B130" s="97"/>
      <c r="C130" s="99"/>
      <c r="D130" s="96"/>
      <c r="E130" s="119"/>
      <c r="F130" s="16"/>
      <c r="G130" s="17"/>
      <c r="H130" s="111"/>
      <c r="I130" s="17"/>
      <c r="J130" s="17"/>
      <c r="K130" s="17"/>
    </row>
    <row r="131" spans="2:11" s="12" customFormat="1" ht="14.25" customHeight="1">
      <c r="B131" s="97"/>
      <c r="C131" s="99"/>
      <c r="D131" s="96"/>
      <c r="E131" s="119"/>
      <c r="F131" s="16"/>
      <c r="G131" s="17"/>
      <c r="H131" s="111"/>
      <c r="I131" s="17"/>
      <c r="J131" s="17"/>
      <c r="K131" s="17"/>
    </row>
    <row r="132" spans="2:11" s="12" customFormat="1" ht="14.25" customHeight="1">
      <c r="B132" s="97"/>
      <c r="C132" s="99"/>
      <c r="D132" s="96"/>
      <c r="E132" s="119"/>
      <c r="F132" s="16"/>
      <c r="G132" s="17"/>
      <c r="H132" s="111"/>
      <c r="I132" s="17"/>
      <c r="J132" s="17"/>
      <c r="K132" s="17"/>
    </row>
    <row r="133" spans="2:11" s="12" customFormat="1" ht="14.25" customHeight="1">
      <c r="B133" s="97"/>
      <c r="C133" s="99"/>
      <c r="D133" s="96"/>
      <c r="E133" s="119"/>
      <c r="F133" s="16"/>
      <c r="G133" s="17"/>
      <c r="H133" s="111"/>
      <c r="I133" s="17"/>
      <c r="J133" s="17"/>
      <c r="K133" s="17"/>
    </row>
    <row r="134" spans="2:11" s="12" customFormat="1" ht="14.25" customHeight="1">
      <c r="B134" s="97"/>
      <c r="C134" s="99"/>
      <c r="D134" s="96"/>
      <c r="E134" s="119"/>
      <c r="F134" s="16"/>
      <c r="G134" s="17"/>
      <c r="H134" s="111"/>
      <c r="I134" s="17"/>
      <c r="J134" s="17"/>
      <c r="K134" s="17"/>
    </row>
    <row r="135" spans="2:11" s="12" customFormat="1" ht="14.25" customHeight="1">
      <c r="B135" s="97"/>
      <c r="C135" s="99"/>
      <c r="D135" s="96"/>
      <c r="E135" s="119"/>
      <c r="F135" s="16"/>
      <c r="G135" s="17"/>
      <c r="H135" s="111"/>
      <c r="I135" s="17"/>
      <c r="J135" s="17"/>
      <c r="K135" s="17"/>
    </row>
    <row r="136" spans="2:11" s="12" customFormat="1" ht="14.25" customHeight="1">
      <c r="B136" s="97"/>
      <c r="C136" s="99"/>
      <c r="D136" s="96"/>
      <c r="E136" s="119"/>
      <c r="F136" s="16"/>
      <c r="G136" s="17"/>
      <c r="H136" s="111"/>
      <c r="I136" s="17"/>
      <c r="J136" s="17"/>
      <c r="K136" s="17"/>
    </row>
    <row r="137" spans="2:11" s="12" customFormat="1" ht="14.25" customHeight="1">
      <c r="B137" s="97"/>
      <c r="C137" s="99"/>
      <c r="D137" s="96"/>
      <c r="E137" s="119"/>
      <c r="F137" s="16"/>
      <c r="G137" s="17"/>
      <c r="H137" s="111"/>
      <c r="I137" s="17"/>
      <c r="J137" s="17"/>
      <c r="K137" s="17"/>
    </row>
    <row r="138" spans="2:11" s="12" customFormat="1" ht="14.25" customHeight="1">
      <c r="B138" s="97"/>
      <c r="C138" s="99"/>
      <c r="D138" s="96"/>
      <c r="E138" s="119"/>
      <c r="F138" s="16"/>
      <c r="G138" s="17"/>
      <c r="H138" s="111"/>
      <c r="I138" s="17"/>
      <c r="J138" s="17"/>
      <c r="K138" s="17"/>
    </row>
    <row r="139" spans="2:11" s="12" customFormat="1" ht="14.25" customHeight="1">
      <c r="B139" s="97"/>
      <c r="C139" s="99"/>
      <c r="D139" s="96"/>
      <c r="E139" s="119"/>
      <c r="F139" s="16"/>
      <c r="G139" s="17"/>
      <c r="H139" s="111"/>
      <c r="I139" s="17"/>
      <c r="J139" s="17"/>
      <c r="K139" s="17"/>
    </row>
    <row r="140" spans="2:11" s="12" customFormat="1" ht="14.25" customHeight="1">
      <c r="B140" s="97"/>
      <c r="C140" s="99"/>
      <c r="D140" s="96"/>
      <c r="E140" s="119"/>
      <c r="F140" s="16"/>
      <c r="G140" s="17"/>
      <c r="H140" s="111"/>
      <c r="I140" s="17"/>
      <c r="J140" s="17"/>
      <c r="K140" s="17"/>
    </row>
    <row r="141" spans="2:11" s="12" customFormat="1" ht="14.25" customHeight="1">
      <c r="B141" s="97"/>
      <c r="C141" s="99"/>
      <c r="D141" s="96"/>
      <c r="E141" s="119"/>
      <c r="F141" s="16"/>
      <c r="G141" s="17"/>
      <c r="H141" s="111"/>
      <c r="I141" s="17"/>
      <c r="J141" s="17"/>
      <c r="K141" s="17"/>
    </row>
    <row r="142" spans="2:11" s="12" customFormat="1" ht="14.25" customHeight="1">
      <c r="B142" s="97"/>
      <c r="C142" s="99"/>
      <c r="D142" s="96"/>
      <c r="E142" s="119"/>
      <c r="F142" s="16"/>
      <c r="G142" s="17"/>
      <c r="H142" s="111"/>
      <c r="I142" s="17"/>
      <c r="J142" s="17"/>
      <c r="K142" s="17"/>
    </row>
    <row r="143" spans="2:11" s="12" customFormat="1" ht="14.25" customHeight="1">
      <c r="B143" s="97"/>
      <c r="C143" s="99"/>
      <c r="D143" s="96"/>
      <c r="E143" s="119"/>
      <c r="F143" s="16"/>
      <c r="G143" s="17"/>
      <c r="H143" s="111"/>
      <c r="I143" s="17"/>
      <c r="J143" s="17"/>
      <c r="K143" s="17"/>
    </row>
    <row r="144" spans="2:11" s="12" customFormat="1" ht="14.25" customHeight="1">
      <c r="B144" s="97"/>
      <c r="C144" s="99"/>
      <c r="D144" s="96"/>
      <c r="E144" s="119"/>
      <c r="F144" s="16"/>
      <c r="G144" s="17"/>
      <c r="H144" s="111"/>
      <c r="I144" s="17"/>
      <c r="J144" s="17"/>
      <c r="K144" s="17"/>
    </row>
    <row r="145" spans="2:11" s="12" customFormat="1" ht="14.25" customHeight="1">
      <c r="B145" s="97"/>
      <c r="C145" s="99"/>
      <c r="D145" s="96"/>
      <c r="E145" s="119"/>
      <c r="F145" s="16"/>
      <c r="G145" s="17"/>
      <c r="H145" s="111"/>
      <c r="I145" s="17"/>
      <c r="J145" s="17"/>
      <c r="K145" s="17"/>
    </row>
    <row r="146" spans="2:11" s="12" customFormat="1" ht="14.25" customHeight="1">
      <c r="B146" s="97"/>
      <c r="C146" s="99"/>
      <c r="D146" s="96"/>
      <c r="E146" s="119"/>
      <c r="F146" s="16"/>
      <c r="G146" s="17"/>
      <c r="H146" s="111"/>
      <c r="I146" s="17"/>
      <c r="J146" s="17"/>
      <c r="K146" s="17"/>
    </row>
    <row r="147" spans="2:11" s="12" customFormat="1" ht="14.25" customHeight="1">
      <c r="B147" s="97"/>
      <c r="C147" s="99"/>
      <c r="D147" s="96"/>
      <c r="E147" s="119"/>
      <c r="F147" s="16"/>
      <c r="G147" s="17"/>
      <c r="H147" s="111"/>
      <c r="I147" s="17"/>
      <c r="J147" s="17"/>
      <c r="K147" s="17"/>
    </row>
    <row r="148" spans="2:11" s="12" customFormat="1" ht="14.25" customHeight="1">
      <c r="B148" s="97"/>
      <c r="C148" s="99"/>
      <c r="D148" s="96"/>
      <c r="E148" s="119"/>
      <c r="F148" s="16"/>
      <c r="G148" s="17"/>
      <c r="H148" s="111"/>
      <c r="I148" s="17"/>
      <c r="J148" s="17"/>
      <c r="K148" s="17"/>
    </row>
    <row r="149" spans="2:11" s="12" customFormat="1" ht="14.25" customHeight="1">
      <c r="B149" s="97"/>
      <c r="C149" s="99"/>
      <c r="D149" s="96"/>
      <c r="E149" s="119"/>
      <c r="F149" s="16"/>
      <c r="G149" s="17"/>
      <c r="H149" s="111"/>
      <c r="I149" s="17"/>
      <c r="J149" s="17"/>
      <c r="K149" s="17"/>
    </row>
    <row r="150" spans="2:11" s="12" customFormat="1" ht="14.25" customHeight="1">
      <c r="B150" s="97"/>
      <c r="C150" s="99"/>
      <c r="D150" s="96"/>
      <c r="E150" s="119"/>
      <c r="F150" s="16"/>
      <c r="G150" s="17"/>
      <c r="H150" s="111"/>
      <c r="I150" s="17"/>
      <c r="J150" s="17"/>
      <c r="K150" s="17"/>
    </row>
    <row r="151" spans="2:11" s="12" customFormat="1" ht="14.25" customHeight="1">
      <c r="B151" s="97"/>
      <c r="C151" s="99"/>
      <c r="D151" s="96"/>
      <c r="E151" s="119"/>
      <c r="F151" s="16"/>
      <c r="G151" s="17"/>
      <c r="H151" s="111"/>
      <c r="I151" s="17"/>
      <c r="J151" s="17"/>
      <c r="K151" s="17"/>
    </row>
    <row r="152" spans="2:11" s="12" customFormat="1" ht="14.25" customHeight="1">
      <c r="B152" s="97"/>
      <c r="C152" s="99"/>
      <c r="D152" s="96"/>
      <c r="E152" s="119"/>
      <c r="F152" s="16"/>
      <c r="G152" s="17"/>
      <c r="H152" s="111"/>
      <c r="I152" s="17"/>
      <c r="J152" s="17"/>
      <c r="K152" s="17"/>
    </row>
    <row r="153" spans="2:11" s="12" customFormat="1" ht="14.25" customHeight="1">
      <c r="B153" s="97"/>
      <c r="C153" s="99"/>
      <c r="D153" s="96"/>
      <c r="E153" s="119"/>
      <c r="F153" s="16"/>
      <c r="G153" s="17"/>
      <c r="H153" s="111"/>
      <c r="I153" s="17"/>
      <c r="J153" s="17"/>
      <c r="K153" s="17"/>
    </row>
    <row r="154" spans="2:11" s="12" customFormat="1" ht="14.25" customHeight="1">
      <c r="B154" s="97"/>
      <c r="C154" s="99"/>
      <c r="D154" s="96"/>
      <c r="E154" s="119"/>
      <c r="F154" s="16"/>
      <c r="G154" s="17"/>
      <c r="H154" s="111"/>
      <c r="I154" s="17"/>
      <c r="J154" s="17"/>
      <c r="K154" s="17"/>
    </row>
    <row r="155" spans="2:11" s="12" customFormat="1" ht="14.25" customHeight="1">
      <c r="B155" s="97"/>
      <c r="C155" s="99"/>
      <c r="D155" s="96"/>
      <c r="E155" s="119"/>
      <c r="F155" s="16"/>
      <c r="G155" s="17"/>
      <c r="H155" s="111"/>
      <c r="I155" s="17"/>
      <c r="J155" s="17"/>
      <c r="K155" s="17"/>
    </row>
    <row r="156" spans="2:11" s="12" customFormat="1" ht="14.25" customHeight="1">
      <c r="B156" s="97"/>
      <c r="C156" s="99"/>
      <c r="D156" s="96"/>
      <c r="E156" s="119"/>
      <c r="F156" s="16"/>
      <c r="G156" s="17"/>
      <c r="H156" s="111"/>
      <c r="I156" s="17"/>
      <c r="J156" s="17"/>
      <c r="K156" s="17"/>
    </row>
    <row r="157" spans="2:11" s="12" customFormat="1" ht="14.25" customHeight="1">
      <c r="B157" s="97"/>
      <c r="C157" s="99"/>
      <c r="D157" s="96"/>
      <c r="E157" s="119"/>
      <c r="F157" s="16"/>
      <c r="G157" s="17"/>
      <c r="H157" s="111"/>
      <c r="I157" s="17"/>
      <c r="J157" s="17"/>
      <c r="K157" s="17"/>
    </row>
    <row r="158" spans="2:11" s="12" customFormat="1" ht="14.25" customHeight="1">
      <c r="B158" s="97"/>
      <c r="C158" s="99"/>
      <c r="D158" s="96"/>
      <c r="E158" s="119"/>
      <c r="F158" s="16"/>
      <c r="G158" s="17"/>
      <c r="H158" s="111"/>
      <c r="I158" s="17"/>
      <c r="J158" s="17"/>
      <c r="K158" s="17"/>
    </row>
    <row r="159" spans="2:11" s="12" customFormat="1" ht="14.25" customHeight="1">
      <c r="B159" s="97"/>
      <c r="C159" s="99"/>
      <c r="D159" s="96"/>
      <c r="E159" s="119"/>
      <c r="F159" s="16"/>
      <c r="G159" s="17"/>
      <c r="H159" s="111"/>
      <c r="I159" s="17"/>
      <c r="J159" s="17"/>
      <c r="K159" s="17"/>
    </row>
    <row r="160" spans="2:11" s="12" customFormat="1" ht="14.25" customHeight="1">
      <c r="B160" s="97"/>
      <c r="C160" s="99"/>
      <c r="D160" s="96"/>
      <c r="E160" s="119"/>
      <c r="F160" s="16"/>
      <c r="G160" s="17"/>
      <c r="H160" s="111"/>
      <c r="I160" s="17"/>
      <c r="J160" s="17"/>
      <c r="K160" s="17"/>
    </row>
    <row r="161" spans="2:11" s="12" customFormat="1" ht="14.25" customHeight="1">
      <c r="B161" s="97"/>
      <c r="C161" s="99"/>
      <c r="D161" s="96"/>
      <c r="E161" s="119"/>
      <c r="F161" s="16"/>
      <c r="G161" s="17"/>
      <c r="H161" s="111"/>
      <c r="I161" s="17"/>
      <c r="J161" s="17"/>
      <c r="K161" s="17"/>
    </row>
    <row r="162" spans="2:11" s="12" customFormat="1" ht="14.25" customHeight="1">
      <c r="B162" s="97"/>
      <c r="C162" s="99"/>
      <c r="D162" s="96"/>
      <c r="E162" s="119"/>
      <c r="F162" s="16"/>
      <c r="G162" s="17"/>
      <c r="H162" s="111"/>
      <c r="I162" s="17"/>
      <c r="J162" s="17"/>
      <c r="K162" s="17"/>
    </row>
    <row r="163" spans="2:11" s="12" customFormat="1" ht="14.25" customHeight="1">
      <c r="B163" s="97"/>
      <c r="C163" s="99"/>
      <c r="D163" s="96"/>
      <c r="E163" s="119"/>
      <c r="F163" s="16"/>
      <c r="G163" s="17"/>
      <c r="H163" s="111"/>
      <c r="I163" s="17"/>
      <c r="J163" s="17"/>
      <c r="K163" s="17"/>
    </row>
    <row r="164" spans="2:11" s="12" customFormat="1" ht="14.25" customHeight="1">
      <c r="B164" s="97"/>
      <c r="C164" s="99"/>
      <c r="D164" s="96"/>
      <c r="E164" s="119"/>
      <c r="F164" s="16"/>
      <c r="G164" s="17"/>
      <c r="H164" s="111"/>
      <c r="I164" s="17"/>
      <c r="J164" s="17"/>
      <c r="K164" s="17"/>
    </row>
    <row r="165" spans="2:11" s="12" customFormat="1" ht="14.25" customHeight="1">
      <c r="B165" s="97"/>
      <c r="C165" s="99"/>
      <c r="D165" s="96"/>
      <c r="E165" s="119"/>
      <c r="F165" s="16"/>
      <c r="G165" s="17"/>
      <c r="H165" s="111"/>
      <c r="I165" s="17"/>
      <c r="J165" s="17"/>
      <c r="K165" s="17"/>
    </row>
    <row r="166" spans="2:11" s="12" customFormat="1" ht="14.25" customHeight="1">
      <c r="B166" s="97"/>
      <c r="C166" s="99"/>
      <c r="D166" s="96"/>
      <c r="E166" s="119"/>
      <c r="F166" s="16"/>
      <c r="G166" s="17"/>
      <c r="H166" s="111"/>
      <c r="I166" s="17"/>
      <c r="J166" s="17"/>
      <c r="K166" s="17"/>
    </row>
    <row r="167" spans="2:11" s="12" customFormat="1" ht="14.25" customHeight="1">
      <c r="B167" s="97"/>
      <c r="C167" s="99"/>
      <c r="D167" s="96"/>
      <c r="E167" s="119"/>
      <c r="F167" s="16"/>
      <c r="G167" s="17"/>
      <c r="H167" s="111"/>
      <c r="I167" s="17"/>
      <c r="J167" s="17"/>
      <c r="K167" s="17"/>
    </row>
    <row r="168" spans="2:11" s="12" customFormat="1" ht="14.25" customHeight="1">
      <c r="B168" s="97"/>
      <c r="C168" s="99"/>
      <c r="D168" s="96"/>
      <c r="E168" s="119"/>
      <c r="F168" s="16"/>
      <c r="G168" s="17"/>
      <c r="H168" s="111"/>
      <c r="I168" s="17"/>
      <c r="J168" s="17"/>
      <c r="K168" s="17"/>
    </row>
    <row r="169" spans="2:11" s="12" customFormat="1" ht="14.25" customHeight="1">
      <c r="B169" s="97"/>
      <c r="C169" s="99"/>
      <c r="D169" s="96"/>
      <c r="E169" s="119"/>
      <c r="F169" s="16"/>
      <c r="G169" s="17"/>
      <c r="H169" s="111"/>
      <c r="I169" s="17"/>
      <c r="J169" s="17"/>
      <c r="K169" s="17"/>
    </row>
    <row r="170" spans="2:11" s="12" customFormat="1" ht="14.25" customHeight="1">
      <c r="B170" s="97"/>
      <c r="C170" s="99"/>
      <c r="D170" s="96"/>
      <c r="E170" s="119"/>
      <c r="F170" s="16"/>
      <c r="G170" s="17"/>
      <c r="H170" s="111"/>
      <c r="I170" s="17"/>
      <c r="J170" s="17"/>
      <c r="K170" s="17"/>
    </row>
    <row r="171" spans="2:11" s="12" customFormat="1" ht="14.25" customHeight="1">
      <c r="B171" s="97"/>
      <c r="C171" s="99"/>
      <c r="D171" s="96"/>
      <c r="E171" s="119"/>
      <c r="F171" s="16"/>
      <c r="G171" s="17"/>
      <c r="H171" s="111"/>
      <c r="I171" s="17"/>
      <c r="J171" s="17"/>
      <c r="K171" s="17"/>
    </row>
    <row r="172" spans="2:11" s="12" customFormat="1" ht="14.25" customHeight="1">
      <c r="B172" s="97"/>
      <c r="C172" s="99"/>
      <c r="D172" s="96"/>
      <c r="E172" s="119"/>
      <c r="F172" s="16"/>
      <c r="G172" s="17"/>
      <c r="H172" s="111"/>
      <c r="I172" s="17"/>
      <c r="J172" s="17"/>
      <c r="K172" s="17"/>
    </row>
    <row r="173" spans="2:11" s="12" customFormat="1" ht="14.25" customHeight="1">
      <c r="B173" s="97"/>
      <c r="C173" s="99"/>
      <c r="D173" s="96"/>
      <c r="E173" s="119"/>
      <c r="F173" s="16"/>
      <c r="G173" s="17"/>
      <c r="H173" s="111"/>
      <c r="I173" s="17"/>
      <c r="J173" s="17"/>
      <c r="K173" s="17"/>
    </row>
    <row r="174" spans="2:11" s="12" customFormat="1" ht="14.25" customHeight="1">
      <c r="B174" s="97"/>
      <c r="C174" s="99"/>
      <c r="D174" s="96"/>
      <c r="E174" s="119"/>
      <c r="F174" s="16"/>
      <c r="G174" s="17"/>
      <c r="H174" s="111"/>
      <c r="I174" s="17"/>
      <c r="J174" s="17"/>
      <c r="K174" s="17"/>
    </row>
    <row r="175" spans="2:11" s="12" customFormat="1" ht="14.25" customHeight="1">
      <c r="B175" s="97"/>
      <c r="C175" s="99"/>
      <c r="D175" s="96"/>
      <c r="E175" s="119"/>
      <c r="F175" s="16"/>
      <c r="G175" s="17"/>
      <c r="H175" s="111"/>
      <c r="I175" s="17"/>
      <c r="J175" s="17"/>
      <c r="K175" s="17"/>
    </row>
    <row r="176" spans="2:11" s="12" customFormat="1" ht="14.25" customHeight="1">
      <c r="B176" s="97"/>
      <c r="C176" s="99"/>
      <c r="D176" s="96"/>
      <c r="E176" s="119"/>
      <c r="F176" s="16"/>
      <c r="G176" s="17"/>
      <c r="H176" s="111"/>
      <c r="I176" s="17"/>
      <c r="J176" s="17"/>
      <c r="K176" s="17"/>
    </row>
    <row r="177" spans="2:11" s="12" customFormat="1" ht="14.25" customHeight="1">
      <c r="B177" s="97"/>
      <c r="C177" s="99"/>
      <c r="D177" s="96"/>
      <c r="E177" s="119"/>
      <c r="F177" s="16"/>
      <c r="G177" s="17"/>
      <c r="H177" s="111"/>
      <c r="I177" s="17"/>
      <c r="J177" s="17"/>
      <c r="K177" s="17"/>
    </row>
    <row r="178" spans="2:11" s="12" customFormat="1" ht="14.25" customHeight="1">
      <c r="B178" s="97"/>
      <c r="C178" s="99"/>
      <c r="D178" s="96"/>
      <c r="E178" s="119"/>
      <c r="F178" s="16"/>
      <c r="G178" s="17"/>
      <c r="H178" s="111"/>
      <c r="I178" s="17"/>
      <c r="J178" s="17"/>
      <c r="K178" s="17"/>
    </row>
    <row r="179" spans="2:11" s="12" customFormat="1" ht="14.25" customHeight="1">
      <c r="B179" s="97"/>
      <c r="C179" s="99"/>
      <c r="D179" s="96"/>
      <c r="E179" s="119"/>
      <c r="F179" s="16"/>
      <c r="G179" s="17"/>
      <c r="H179" s="111"/>
      <c r="I179" s="17"/>
      <c r="J179" s="17"/>
      <c r="K179" s="17"/>
    </row>
    <row r="180" spans="2:11" s="12" customFormat="1" ht="14.25" customHeight="1">
      <c r="B180" s="97"/>
      <c r="C180" s="99"/>
      <c r="D180" s="96"/>
      <c r="E180" s="119"/>
      <c r="F180" s="16"/>
      <c r="G180" s="17"/>
      <c r="H180" s="111"/>
      <c r="I180" s="17"/>
      <c r="J180" s="17"/>
      <c r="K180" s="17"/>
    </row>
    <row r="181" spans="2:11" s="12" customFormat="1" ht="14.25" customHeight="1">
      <c r="B181" s="97"/>
      <c r="C181" s="99"/>
      <c r="D181" s="96"/>
      <c r="E181" s="119"/>
      <c r="F181" s="16"/>
      <c r="G181" s="17"/>
      <c r="H181" s="111"/>
      <c r="I181" s="17"/>
      <c r="J181" s="17"/>
      <c r="K181" s="17"/>
    </row>
    <row r="182" spans="2:11" s="12" customFormat="1" ht="14.25" customHeight="1">
      <c r="B182" s="97"/>
      <c r="C182" s="99"/>
      <c r="D182" s="96"/>
      <c r="E182" s="119"/>
      <c r="F182" s="16"/>
      <c r="G182" s="17"/>
      <c r="H182" s="111"/>
      <c r="I182" s="17"/>
      <c r="J182" s="17"/>
      <c r="K182" s="17"/>
    </row>
    <row r="183" spans="2:11" s="12" customFormat="1" ht="14.25" customHeight="1">
      <c r="B183" s="97"/>
      <c r="C183" s="99"/>
      <c r="D183" s="96"/>
      <c r="E183" s="119"/>
      <c r="F183" s="16"/>
      <c r="G183" s="17"/>
      <c r="H183" s="111"/>
      <c r="I183" s="17"/>
      <c r="J183" s="17"/>
      <c r="K183" s="17"/>
    </row>
    <row r="184" spans="2:11" s="12" customFormat="1" ht="14.25" customHeight="1">
      <c r="B184" s="97"/>
      <c r="C184" s="99"/>
      <c r="D184" s="96"/>
      <c r="E184" s="119"/>
      <c r="F184" s="16"/>
      <c r="G184" s="17"/>
      <c r="H184" s="111"/>
      <c r="I184" s="17"/>
      <c r="J184" s="17"/>
      <c r="K184" s="17"/>
    </row>
    <row r="185" spans="2:11" s="12" customFormat="1" ht="14.25" customHeight="1">
      <c r="B185" s="97"/>
      <c r="C185" s="99"/>
      <c r="D185" s="96"/>
      <c r="E185" s="119"/>
      <c r="F185" s="16"/>
      <c r="G185" s="17"/>
      <c r="H185" s="111"/>
      <c r="I185" s="17"/>
      <c r="J185" s="17"/>
      <c r="K185" s="17"/>
    </row>
    <row r="186" spans="2:11" s="12" customFormat="1" ht="14.25" customHeight="1">
      <c r="B186" s="97"/>
      <c r="C186" s="99"/>
      <c r="D186" s="96"/>
      <c r="E186" s="119"/>
      <c r="F186" s="16"/>
      <c r="G186" s="17"/>
      <c r="H186" s="111"/>
      <c r="I186" s="17"/>
      <c r="J186" s="17"/>
      <c r="K186" s="17"/>
    </row>
    <row r="187" spans="2:11" s="12" customFormat="1" ht="14.25" customHeight="1">
      <c r="B187" s="97"/>
      <c r="C187" s="99"/>
      <c r="D187" s="96"/>
      <c r="E187" s="119"/>
      <c r="F187" s="16"/>
      <c r="G187" s="17"/>
      <c r="H187" s="111"/>
      <c r="I187" s="17"/>
      <c r="J187" s="17"/>
      <c r="K187" s="17"/>
    </row>
    <row r="188" spans="2:11" s="12" customFormat="1" ht="14.25" customHeight="1">
      <c r="B188" s="97"/>
      <c r="C188" s="99"/>
      <c r="D188" s="96"/>
      <c r="E188" s="119"/>
      <c r="F188" s="16"/>
      <c r="G188" s="17"/>
      <c r="H188" s="111"/>
      <c r="I188" s="17"/>
      <c r="J188" s="17"/>
      <c r="K188" s="17"/>
    </row>
    <row r="189" spans="2:11" s="12" customFormat="1" ht="14.25" customHeight="1">
      <c r="B189" s="97"/>
      <c r="C189" s="99"/>
      <c r="D189" s="96"/>
      <c r="E189" s="119"/>
      <c r="F189" s="16"/>
      <c r="G189" s="17"/>
      <c r="H189" s="111"/>
      <c r="I189" s="17"/>
      <c r="J189" s="17"/>
      <c r="K189" s="17"/>
    </row>
    <row r="190" spans="2:11" s="12" customFormat="1" ht="14.25" customHeight="1">
      <c r="B190" s="97"/>
      <c r="C190" s="99"/>
      <c r="D190" s="96"/>
      <c r="E190" s="119"/>
      <c r="F190" s="16"/>
      <c r="G190" s="17"/>
      <c r="H190" s="111"/>
      <c r="I190" s="17"/>
      <c r="J190" s="17"/>
      <c r="K190" s="17"/>
    </row>
    <row r="191" spans="2:11" s="12" customFormat="1" ht="14.25" customHeight="1">
      <c r="B191" s="97"/>
      <c r="C191" s="99"/>
      <c r="D191" s="96"/>
      <c r="E191" s="119"/>
      <c r="F191" s="16"/>
      <c r="G191" s="17"/>
      <c r="H191" s="111"/>
      <c r="I191" s="17"/>
      <c r="J191" s="17"/>
      <c r="K191" s="17"/>
    </row>
    <row r="192" spans="2:11" s="12" customFormat="1" ht="14.25" customHeight="1">
      <c r="B192" s="97"/>
      <c r="C192" s="99"/>
      <c r="D192" s="96"/>
      <c r="E192" s="119"/>
      <c r="F192" s="16"/>
      <c r="G192" s="17"/>
      <c r="H192" s="111"/>
      <c r="I192" s="17"/>
      <c r="J192" s="17"/>
      <c r="K192" s="17"/>
    </row>
    <row r="193" spans="2:11" s="12" customFormat="1" ht="14.25" customHeight="1">
      <c r="B193" s="97"/>
      <c r="C193" s="99"/>
      <c r="D193" s="96"/>
      <c r="E193" s="119"/>
      <c r="F193" s="16"/>
      <c r="G193" s="17"/>
      <c r="H193" s="111"/>
      <c r="I193" s="17"/>
      <c r="J193" s="17"/>
      <c r="K193" s="17"/>
    </row>
    <row r="194" spans="2:11" s="12" customFormat="1" ht="14.25" customHeight="1">
      <c r="B194" s="97"/>
      <c r="C194" s="99"/>
      <c r="D194" s="96"/>
      <c r="E194" s="119"/>
      <c r="F194" s="16"/>
      <c r="G194" s="17"/>
      <c r="H194" s="111"/>
      <c r="I194" s="17"/>
      <c r="J194" s="17"/>
      <c r="K194" s="17"/>
    </row>
    <row r="195" spans="2:11" s="12" customFormat="1" ht="14.25" customHeight="1">
      <c r="B195" s="97"/>
      <c r="C195" s="99"/>
      <c r="D195" s="96"/>
      <c r="E195" s="119"/>
      <c r="F195" s="16"/>
      <c r="G195" s="17"/>
      <c r="H195" s="111"/>
      <c r="I195" s="17"/>
      <c r="J195" s="17"/>
      <c r="K195" s="17"/>
    </row>
    <row r="196" spans="2:11" s="12" customFormat="1" ht="14.25" customHeight="1">
      <c r="B196" s="97"/>
      <c r="C196" s="99"/>
      <c r="D196" s="96"/>
      <c r="E196" s="119"/>
      <c r="F196" s="16"/>
      <c r="G196" s="17"/>
      <c r="H196" s="111"/>
      <c r="I196" s="17"/>
      <c r="J196" s="17"/>
      <c r="K196" s="17"/>
    </row>
    <row r="197" spans="2:11" s="12" customFormat="1" ht="14.25" customHeight="1">
      <c r="B197" s="97"/>
      <c r="C197" s="99"/>
      <c r="D197" s="96"/>
      <c r="E197" s="119"/>
      <c r="F197" s="16"/>
      <c r="G197" s="17"/>
      <c r="H197" s="111"/>
      <c r="I197" s="17"/>
      <c r="J197" s="17"/>
      <c r="K197" s="17"/>
    </row>
    <row r="198" spans="2:11" s="12" customFormat="1" ht="14.25" customHeight="1">
      <c r="B198" s="97"/>
      <c r="C198" s="99"/>
      <c r="D198" s="96"/>
      <c r="E198" s="119"/>
      <c r="F198" s="16"/>
      <c r="G198" s="17"/>
      <c r="H198" s="111"/>
      <c r="I198" s="17"/>
      <c r="J198" s="17"/>
      <c r="K198" s="17"/>
    </row>
    <row r="199" spans="2:11" s="12" customFormat="1" ht="14.25" customHeight="1">
      <c r="B199" s="97"/>
      <c r="C199" s="99"/>
      <c r="D199" s="96"/>
      <c r="E199" s="119"/>
      <c r="F199" s="16"/>
      <c r="G199" s="17"/>
      <c r="H199" s="111"/>
      <c r="I199" s="17"/>
      <c r="J199" s="17"/>
      <c r="K199" s="17"/>
    </row>
    <row r="200" spans="2:11" s="12" customFormat="1" ht="14.25" customHeight="1">
      <c r="B200" s="97"/>
      <c r="C200" s="99"/>
      <c r="D200" s="96"/>
      <c r="E200" s="119"/>
      <c r="F200" s="16"/>
      <c r="G200" s="17"/>
      <c r="H200" s="111"/>
      <c r="I200" s="17"/>
      <c r="J200" s="17"/>
      <c r="K200" s="17"/>
    </row>
    <row r="201" spans="2:11" s="12" customFormat="1" ht="14.25" customHeight="1">
      <c r="B201" s="97"/>
      <c r="C201" s="99"/>
      <c r="D201" s="96"/>
      <c r="E201" s="119"/>
      <c r="F201" s="16"/>
      <c r="G201" s="17"/>
      <c r="H201" s="111"/>
      <c r="I201" s="17"/>
      <c r="J201" s="17"/>
      <c r="K201" s="17"/>
    </row>
    <row r="202" spans="2:11" s="12" customFormat="1" ht="14.25" customHeight="1">
      <c r="B202" s="97"/>
      <c r="C202" s="99"/>
      <c r="D202" s="96"/>
      <c r="E202" s="119"/>
      <c r="F202" s="16"/>
      <c r="G202" s="17"/>
      <c r="H202" s="111"/>
      <c r="I202" s="17"/>
      <c r="J202" s="17"/>
      <c r="K202" s="17"/>
    </row>
    <row r="203" spans="2:11" s="12" customFormat="1" ht="14.25" customHeight="1">
      <c r="B203" s="97"/>
      <c r="C203" s="99"/>
      <c r="D203" s="96"/>
      <c r="E203" s="119"/>
      <c r="F203" s="16"/>
      <c r="G203" s="17"/>
      <c r="H203" s="111"/>
      <c r="I203" s="17"/>
      <c r="J203" s="17"/>
      <c r="K203" s="17"/>
    </row>
    <row r="204" spans="2:11" s="12" customFormat="1" ht="14.25" customHeight="1">
      <c r="B204" s="97"/>
      <c r="C204" s="99"/>
      <c r="D204" s="96"/>
      <c r="E204" s="119"/>
      <c r="F204" s="16"/>
      <c r="G204" s="17"/>
      <c r="H204" s="111"/>
      <c r="I204" s="17"/>
      <c r="J204" s="17"/>
      <c r="K204" s="17"/>
    </row>
    <row r="205" spans="2:11" s="12" customFormat="1" ht="14.25" customHeight="1">
      <c r="B205" s="97"/>
      <c r="C205" s="99"/>
      <c r="D205" s="96"/>
      <c r="E205" s="119"/>
      <c r="F205" s="16"/>
      <c r="G205" s="17"/>
      <c r="H205" s="111"/>
      <c r="I205" s="17"/>
      <c r="J205" s="17"/>
      <c r="K205" s="17"/>
    </row>
    <row r="206" spans="2:11" s="12" customFormat="1" ht="14.25" customHeight="1">
      <c r="B206" s="97"/>
      <c r="C206" s="99"/>
      <c r="D206" s="96"/>
      <c r="E206" s="119"/>
      <c r="F206" s="16"/>
      <c r="G206" s="17"/>
      <c r="H206" s="111"/>
      <c r="I206" s="17"/>
      <c r="J206" s="17"/>
      <c r="K206" s="17"/>
    </row>
    <row r="207" spans="2:11" s="12" customFormat="1" ht="14.25" customHeight="1">
      <c r="B207" s="97"/>
      <c r="C207" s="99"/>
      <c r="D207" s="96"/>
      <c r="E207" s="119"/>
      <c r="F207" s="16"/>
      <c r="G207" s="17"/>
      <c r="H207" s="111"/>
      <c r="I207" s="17"/>
      <c r="J207" s="17"/>
      <c r="K207" s="17"/>
    </row>
    <row r="208" spans="2:11" s="12" customFormat="1" ht="14.25" customHeight="1">
      <c r="B208" s="97"/>
      <c r="C208" s="99"/>
      <c r="D208" s="96"/>
      <c r="E208" s="119"/>
      <c r="F208" s="16"/>
      <c r="G208" s="17"/>
      <c r="H208" s="111"/>
      <c r="I208" s="17"/>
      <c r="J208" s="17"/>
      <c r="K208" s="17"/>
    </row>
    <row r="209" spans="2:11" s="12" customFormat="1" ht="14.25" customHeight="1">
      <c r="B209" s="97"/>
      <c r="C209" s="99"/>
      <c r="D209" s="96"/>
      <c r="E209" s="119"/>
      <c r="F209" s="16"/>
      <c r="G209" s="17"/>
      <c r="H209" s="111"/>
      <c r="I209" s="17"/>
      <c r="J209" s="17"/>
      <c r="K209" s="17"/>
    </row>
    <row r="210" spans="2:11" s="12" customFormat="1" ht="14.25" customHeight="1">
      <c r="B210" s="97"/>
      <c r="C210" s="99"/>
      <c r="D210" s="96"/>
      <c r="E210" s="119"/>
      <c r="F210" s="16"/>
      <c r="G210" s="17"/>
      <c r="H210" s="111"/>
      <c r="I210" s="17"/>
      <c r="J210" s="17"/>
      <c r="K210" s="17"/>
    </row>
    <row r="211" spans="2:11" s="12" customFormat="1" ht="14.25" customHeight="1">
      <c r="B211" s="97"/>
      <c r="C211" s="99"/>
      <c r="D211" s="96"/>
      <c r="E211" s="119"/>
      <c r="F211" s="16"/>
      <c r="G211" s="17"/>
      <c r="H211" s="111"/>
      <c r="I211" s="17"/>
      <c r="J211" s="17"/>
      <c r="K211" s="17"/>
    </row>
    <row r="212" spans="2:11" s="12" customFormat="1" ht="14.25" customHeight="1">
      <c r="B212" s="97"/>
      <c r="C212" s="99"/>
      <c r="D212" s="96"/>
      <c r="E212" s="119"/>
      <c r="F212" s="16"/>
      <c r="G212" s="17"/>
      <c r="H212" s="111"/>
      <c r="I212" s="17"/>
      <c r="J212" s="17"/>
      <c r="K212" s="17"/>
    </row>
    <row r="213" spans="2:11" s="12" customFormat="1" ht="14.25" customHeight="1">
      <c r="B213" s="97"/>
      <c r="C213" s="99"/>
      <c r="D213" s="96"/>
      <c r="E213" s="119"/>
      <c r="F213" s="16"/>
      <c r="G213" s="17"/>
      <c r="H213" s="111"/>
      <c r="I213" s="17"/>
      <c r="J213" s="17"/>
      <c r="K213" s="17"/>
    </row>
    <row r="214" spans="2:11" s="12" customFormat="1" ht="14.25" customHeight="1">
      <c r="B214" s="97"/>
      <c r="C214" s="99"/>
      <c r="D214" s="96"/>
      <c r="E214" s="119"/>
      <c r="F214" s="16"/>
      <c r="G214" s="17"/>
      <c r="H214" s="111"/>
      <c r="I214" s="17"/>
      <c r="J214" s="17"/>
      <c r="K214" s="17"/>
    </row>
    <row r="215" spans="2:11" s="12" customFormat="1" ht="14.25" customHeight="1">
      <c r="B215" s="97"/>
      <c r="C215" s="99"/>
      <c r="D215" s="96"/>
      <c r="E215" s="119"/>
      <c r="F215" s="16"/>
      <c r="G215" s="17"/>
      <c r="H215" s="111"/>
      <c r="I215" s="17"/>
      <c r="J215" s="17"/>
      <c r="K215" s="17"/>
    </row>
    <row r="216" spans="2:11" s="12" customFormat="1" ht="14.25" customHeight="1">
      <c r="B216" s="97"/>
      <c r="C216" s="99"/>
      <c r="D216" s="96"/>
      <c r="E216" s="119"/>
      <c r="F216" s="16"/>
      <c r="G216" s="17"/>
      <c r="H216" s="111"/>
      <c r="I216" s="17"/>
      <c r="J216" s="17"/>
      <c r="K216" s="17"/>
    </row>
    <row r="217" spans="2:11" s="12" customFormat="1" ht="14.25" customHeight="1">
      <c r="B217" s="97"/>
      <c r="C217" s="99"/>
      <c r="D217" s="96"/>
      <c r="E217" s="119"/>
      <c r="F217" s="16"/>
      <c r="G217" s="17"/>
      <c r="H217" s="111"/>
      <c r="I217" s="17"/>
      <c r="J217" s="17"/>
      <c r="K217" s="17"/>
    </row>
    <row r="218" spans="2:11" s="12" customFormat="1" ht="14.25" customHeight="1">
      <c r="B218" s="97"/>
      <c r="C218" s="99"/>
      <c r="D218" s="96"/>
      <c r="E218" s="119"/>
      <c r="F218" s="16"/>
      <c r="G218" s="17"/>
      <c r="H218" s="111"/>
      <c r="I218" s="17"/>
      <c r="J218" s="17"/>
      <c r="K218" s="17"/>
    </row>
    <row r="219" spans="2:11" s="12" customFormat="1" ht="14.25" customHeight="1">
      <c r="B219" s="97"/>
      <c r="C219" s="99"/>
      <c r="D219" s="96"/>
      <c r="E219" s="119"/>
      <c r="F219" s="16"/>
      <c r="G219" s="17"/>
      <c r="H219" s="111"/>
      <c r="I219" s="17"/>
      <c r="J219" s="17"/>
      <c r="K219" s="17"/>
    </row>
    <row r="220" spans="2:11" s="12" customFormat="1" ht="14.25" customHeight="1">
      <c r="B220" s="97"/>
      <c r="C220" s="99"/>
      <c r="D220" s="96"/>
      <c r="E220" s="119"/>
      <c r="F220" s="16"/>
      <c r="G220" s="17"/>
      <c r="H220" s="111"/>
      <c r="I220" s="17"/>
      <c r="J220" s="17"/>
      <c r="K220" s="17"/>
    </row>
    <row r="221" spans="2:11" s="12" customFormat="1" ht="14.25" customHeight="1">
      <c r="B221" s="97"/>
      <c r="C221" s="99"/>
      <c r="D221" s="96"/>
      <c r="E221" s="119"/>
      <c r="F221" s="16"/>
      <c r="G221" s="17"/>
      <c r="H221" s="111"/>
      <c r="I221" s="17"/>
      <c r="J221" s="17"/>
      <c r="K221" s="17"/>
    </row>
    <row r="222" spans="2:11" s="12" customFormat="1" ht="14.25" customHeight="1">
      <c r="B222" s="97"/>
      <c r="C222" s="99"/>
      <c r="D222" s="96"/>
      <c r="E222" s="119"/>
      <c r="F222" s="16"/>
      <c r="G222" s="17"/>
      <c r="H222" s="111"/>
      <c r="I222" s="17"/>
      <c r="J222" s="17"/>
      <c r="K222" s="17"/>
    </row>
    <row r="223" spans="2:11" s="12" customFormat="1" ht="14.25" customHeight="1">
      <c r="B223" s="97"/>
      <c r="C223" s="99"/>
      <c r="D223" s="96"/>
      <c r="E223" s="119"/>
      <c r="F223" s="16"/>
      <c r="G223" s="17"/>
      <c r="H223" s="111"/>
      <c r="I223" s="17"/>
      <c r="J223" s="17"/>
      <c r="K223" s="17"/>
    </row>
    <row r="224" spans="2:11" s="12" customFormat="1" ht="14.25" customHeight="1">
      <c r="B224" s="97"/>
      <c r="C224" s="99"/>
      <c r="D224" s="96"/>
      <c r="E224" s="119"/>
      <c r="F224" s="16"/>
      <c r="G224" s="17"/>
      <c r="H224" s="111"/>
      <c r="I224" s="17"/>
      <c r="J224" s="17"/>
      <c r="K224" s="17"/>
    </row>
    <row r="225" spans="2:11" s="12" customFormat="1" ht="14.25" customHeight="1">
      <c r="B225" s="97"/>
      <c r="C225" s="99"/>
      <c r="D225" s="96"/>
      <c r="E225" s="119"/>
      <c r="F225" s="16"/>
      <c r="G225" s="17"/>
      <c r="H225" s="111"/>
      <c r="I225" s="17"/>
      <c r="J225" s="17"/>
      <c r="K225" s="17"/>
    </row>
    <row r="226" spans="2:11" ht="14.25" customHeight="1">
      <c r="B226" s="120"/>
      <c r="C226" s="13"/>
      <c r="D226" s="15"/>
      <c r="E226" s="119"/>
      <c r="F226" s="16"/>
      <c r="G226" s="17"/>
      <c r="H226" s="111"/>
      <c r="I226" s="17"/>
      <c r="J226" s="17"/>
      <c r="K226" s="14"/>
    </row>
    <row r="227" spans="2:11" ht="14.25" customHeight="1">
      <c r="B227" s="120"/>
      <c r="C227" s="13"/>
      <c r="D227" s="15"/>
      <c r="E227" s="119"/>
      <c r="F227" s="16"/>
      <c r="G227" s="17"/>
      <c r="H227" s="111"/>
      <c r="I227" s="17"/>
      <c r="J227" s="17"/>
      <c r="K227" s="14"/>
    </row>
    <row r="228" spans="2:11" ht="14.25" customHeight="1">
      <c r="B228" s="120"/>
      <c r="C228" s="13"/>
      <c r="D228" s="15"/>
      <c r="E228" s="119"/>
      <c r="F228" s="16"/>
      <c r="G228" s="17"/>
      <c r="H228" s="111"/>
      <c r="I228" s="17"/>
      <c r="J228" s="17"/>
      <c r="K228" s="14"/>
    </row>
    <row r="229" spans="2:11" ht="14.25" customHeight="1">
      <c r="B229" s="120"/>
      <c r="C229" s="13"/>
      <c r="D229" s="15"/>
      <c r="E229" s="119"/>
      <c r="F229" s="16"/>
      <c r="G229" s="17"/>
      <c r="H229" s="111"/>
      <c r="I229" s="17"/>
      <c r="J229" s="17"/>
      <c r="K229" s="14"/>
    </row>
    <row r="230" spans="2:11" ht="14.25" customHeight="1">
      <c r="B230" s="120"/>
      <c r="C230" s="13"/>
      <c r="D230" s="15"/>
      <c r="E230" s="119"/>
      <c r="F230" s="16"/>
      <c r="G230" s="17"/>
      <c r="H230" s="111"/>
      <c r="I230" s="17"/>
      <c r="J230" s="17"/>
      <c r="K230" s="14"/>
    </row>
    <row r="231" spans="2:11" ht="14.25" customHeight="1">
      <c r="B231" s="120"/>
      <c r="C231" s="13"/>
      <c r="D231" s="15"/>
      <c r="E231" s="119"/>
      <c r="F231" s="16"/>
      <c r="G231" s="17"/>
      <c r="H231" s="111"/>
      <c r="I231" s="17"/>
      <c r="J231" s="17"/>
      <c r="K231" s="14"/>
    </row>
    <row r="232" spans="2:11" ht="14.25" customHeight="1">
      <c r="B232" s="120"/>
      <c r="C232" s="13"/>
      <c r="D232" s="15"/>
      <c r="E232" s="119"/>
      <c r="F232" s="16"/>
      <c r="G232" s="17"/>
      <c r="H232" s="111"/>
      <c r="I232" s="17"/>
      <c r="J232" s="17"/>
      <c r="K232" s="14"/>
    </row>
    <row r="233" spans="2:11" ht="14.25" customHeight="1">
      <c r="B233" s="120"/>
      <c r="C233" s="13"/>
      <c r="D233" s="15"/>
      <c r="E233" s="119"/>
      <c r="F233" s="16"/>
      <c r="G233" s="17"/>
      <c r="H233" s="111"/>
      <c r="I233" s="17"/>
      <c r="J233" s="17"/>
      <c r="K233" s="14"/>
    </row>
    <row r="234" spans="2:11" ht="14.25" customHeight="1">
      <c r="B234" s="120"/>
      <c r="C234" s="13"/>
      <c r="D234" s="15"/>
      <c r="E234" s="119"/>
      <c r="F234" s="16"/>
      <c r="G234" s="17"/>
      <c r="H234" s="111"/>
      <c r="I234" s="17"/>
      <c r="J234" s="17"/>
      <c r="K234" s="14"/>
    </row>
    <row r="235" spans="2:11" ht="14.25" customHeight="1">
      <c r="B235" s="120"/>
      <c r="C235" s="13"/>
      <c r="D235" s="15"/>
      <c r="E235" s="119"/>
      <c r="F235" s="16"/>
      <c r="G235" s="17"/>
      <c r="H235" s="111"/>
      <c r="I235" s="17"/>
      <c r="J235" s="17"/>
      <c r="K235" s="14"/>
    </row>
    <row r="236" spans="2:11" ht="14.25" customHeight="1">
      <c r="B236" s="120"/>
      <c r="C236" s="13"/>
      <c r="D236" s="15"/>
      <c r="E236" s="119"/>
      <c r="F236" s="16"/>
      <c r="G236" s="17"/>
      <c r="H236" s="111"/>
      <c r="I236" s="17"/>
      <c r="J236" s="17"/>
      <c r="K236" s="14"/>
    </row>
    <row r="237" spans="2:11" ht="14.25" customHeight="1">
      <c r="B237" s="120"/>
      <c r="C237" s="13"/>
      <c r="D237" s="15"/>
      <c r="E237" s="119"/>
      <c r="F237" s="16"/>
      <c r="G237" s="17"/>
      <c r="H237" s="111"/>
      <c r="I237" s="17"/>
      <c r="J237" s="17"/>
      <c r="K237" s="14"/>
    </row>
    <row r="238" spans="2:11" ht="14.25" customHeight="1">
      <c r="B238" s="120"/>
      <c r="C238" s="13"/>
      <c r="D238" s="15"/>
      <c r="E238" s="119"/>
      <c r="F238" s="16"/>
      <c r="G238" s="17"/>
      <c r="H238" s="111"/>
      <c r="I238" s="17"/>
      <c r="J238" s="17"/>
      <c r="K238" s="14"/>
    </row>
    <row r="239" spans="2:11" ht="14.25" customHeight="1">
      <c r="B239" s="120"/>
      <c r="C239" s="13"/>
      <c r="D239" s="15"/>
      <c r="E239" s="119"/>
      <c r="F239" s="16"/>
      <c r="G239" s="17"/>
      <c r="H239" s="111"/>
      <c r="I239" s="17"/>
      <c r="J239" s="17"/>
      <c r="K239" s="14"/>
    </row>
    <row r="240" spans="2:11" ht="14.25" customHeight="1">
      <c r="B240" s="120"/>
      <c r="C240" s="13"/>
      <c r="D240" s="15"/>
      <c r="E240" s="119"/>
      <c r="F240" s="16"/>
      <c r="G240" s="17"/>
      <c r="H240" s="111"/>
      <c r="I240" s="17"/>
      <c r="J240" s="17"/>
      <c r="K240" s="14"/>
    </row>
    <row r="241" spans="2:11" ht="14.25" customHeight="1">
      <c r="B241" s="120"/>
      <c r="C241" s="13"/>
      <c r="D241" s="15"/>
      <c r="E241" s="119"/>
      <c r="F241" s="16"/>
      <c r="G241" s="17"/>
      <c r="H241" s="111"/>
      <c r="I241" s="17"/>
      <c r="J241" s="17"/>
      <c r="K241" s="14"/>
    </row>
    <row r="242" spans="2:11" ht="14.25" customHeight="1">
      <c r="B242" s="120"/>
      <c r="C242" s="13"/>
      <c r="D242" s="15"/>
      <c r="E242" s="119"/>
      <c r="F242" s="16"/>
      <c r="G242" s="17"/>
      <c r="H242" s="111"/>
      <c r="I242" s="17"/>
      <c r="J242" s="17"/>
      <c r="K242" s="14"/>
    </row>
    <row r="243" spans="2:11" ht="14.25" customHeight="1">
      <c r="B243" s="120"/>
      <c r="C243" s="13"/>
      <c r="D243" s="15"/>
      <c r="E243" s="119"/>
      <c r="F243" s="16"/>
      <c r="G243" s="17"/>
      <c r="H243" s="111"/>
      <c r="I243" s="17"/>
      <c r="J243" s="17"/>
      <c r="K243" s="14"/>
    </row>
    <row r="244" spans="2:11" ht="14.25" customHeight="1">
      <c r="B244" s="120"/>
      <c r="C244" s="13"/>
      <c r="D244" s="15"/>
      <c r="E244" s="119"/>
      <c r="F244" s="16"/>
      <c r="G244" s="17"/>
      <c r="H244" s="111"/>
      <c r="I244" s="17"/>
      <c r="J244" s="17"/>
      <c r="K244" s="14"/>
    </row>
    <row r="245" spans="2:11" ht="14.25" customHeight="1">
      <c r="B245" s="120"/>
      <c r="C245" s="13"/>
      <c r="D245" s="15"/>
      <c r="E245" s="119"/>
      <c r="F245" s="16"/>
      <c r="G245" s="17"/>
      <c r="H245" s="111"/>
      <c r="I245" s="17"/>
      <c r="J245" s="17"/>
      <c r="K245" s="14"/>
    </row>
    <row r="246" spans="2:11" ht="14.25" customHeight="1">
      <c r="B246" s="120"/>
      <c r="C246" s="13"/>
      <c r="D246" s="15"/>
      <c r="E246" s="119"/>
      <c r="F246" s="16"/>
      <c r="G246" s="17"/>
      <c r="H246" s="111"/>
      <c r="I246" s="17"/>
      <c r="J246" s="17"/>
      <c r="K246" s="14"/>
    </row>
    <row r="247" spans="2:11" ht="14.25" customHeight="1">
      <c r="B247" s="120"/>
      <c r="C247" s="13"/>
      <c r="D247" s="15"/>
      <c r="E247" s="119"/>
      <c r="F247" s="16"/>
      <c r="G247" s="17"/>
      <c r="H247" s="111"/>
      <c r="I247" s="17"/>
      <c r="J247" s="17"/>
      <c r="K247" s="14"/>
    </row>
    <row r="248" spans="2:11" ht="14.25" customHeight="1">
      <c r="B248" s="120"/>
      <c r="C248" s="13"/>
      <c r="D248" s="15"/>
      <c r="E248" s="119"/>
      <c r="F248" s="16"/>
      <c r="G248" s="17"/>
      <c r="H248" s="111"/>
      <c r="I248" s="17"/>
      <c r="J248" s="17"/>
      <c r="K248" s="14"/>
    </row>
    <row r="249" spans="2:11" ht="14.25" customHeight="1">
      <c r="B249" s="120"/>
      <c r="C249" s="13"/>
      <c r="D249" s="15"/>
      <c r="E249" s="119"/>
      <c r="F249" s="16"/>
      <c r="G249" s="17"/>
      <c r="H249" s="111"/>
      <c r="I249" s="17"/>
      <c r="J249" s="17"/>
      <c r="K249" s="14"/>
    </row>
    <row r="250" spans="2:11" ht="14.25" customHeight="1">
      <c r="B250" s="120"/>
      <c r="C250" s="13"/>
      <c r="D250" s="15"/>
      <c r="E250" s="119"/>
      <c r="F250" s="16"/>
      <c r="G250" s="17"/>
      <c r="H250" s="111"/>
      <c r="I250" s="17"/>
      <c r="J250" s="17"/>
      <c r="K250" s="14"/>
    </row>
    <row r="251" spans="2:11" ht="14.25" customHeight="1">
      <c r="B251" s="120"/>
      <c r="C251" s="13"/>
      <c r="D251" s="15"/>
      <c r="E251" s="119"/>
      <c r="F251" s="16"/>
      <c r="G251" s="17"/>
      <c r="H251" s="111"/>
      <c r="I251" s="17"/>
      <c r="J251" s="17"/>
      <c r="K251" s="14"/>
    </row>
    <row r="252" spans="2:11" ht="14.25" customHeight="1">
      <c r="B252" s="120"/>
      <c r="C252" s="13"/>
      <c r="D252" s="15"/>
      <c r="E252" s="119"/>
      <c r="F252" s="16"/>
      <c r="G252" s="17"/>
      <c r="H252" s="111"/>
      <c r="I252" s="17"/>
      <c r="J252" s="17"/>
      <c r="K252" s="14"/>
    </row>
    <row r="253" spans="2:11" ht="14.25" customHeight="1">
      <c r="B253" s="120"/>
      <c r="C253" s="13"/>
      <c r="D253" s="15"/>
      <c r="E253" s="119"/>
      <c r="F253" s="16"/>
      <c r="G253" s="17"/>
      <c r="H253" s="111"/>
      <c r="I253" s="17"/>
      <c r="J253" s="17"/>
      <c r="K253" s="14"/>
    </row>
    <row r="254" spans="2:11" ht="14.25" customHeight="1">
      <c r="B254" s="120"/>
      <c r="C254" s="13"/>
      <c r="D254" s="15"/>
      <c r="E254" s="119"/>
      <c r="F254" s="16"/>
      <c r="G254" s="17"/>
      <c r="H254" s="111"/>
      <c r="I254" s="17"/>
      <c r="J254" s="17"/>
      <c r="K254" s="14"/>
    </row>
    <row r="255" spans="2:11" ht="14.25" customHeight="1">
      <c r="B255" s="120"/>
      <c r="C255" s="13"/>
      <c r="D255" s="15"/>
      <c r="E255" s="119"/>
      <c r="F255" s="16"/>
      <c r="G255" s="17"/>
      <c r="H255" s="111"/>
      <c r="I255" s="17"/>
      <c r="J255" s="17"/>
      <c r="K255" s="14"/>
    </row>
    <row r="256" spans="2:11" ht="14.25" customHeight="1">
      <c r="B256" s="120"/>
      <c r="C256" s="13"/>
      <c r="D256" s="15"/>
      <c r="E256" s="119"/>
      <c r="F256" s="16"/>
      <c r="G256" s="17"/>
      <c r="H256" s="111"/>
      <c r="I256" s="17"/>
      <c r="J256" s="17"/>
      <c r="K256" s="14"/>
    </row>
    <row r="257" spans="2:11" ht="14.25" customHeight="1">
      <c r="B257" s="120"/>
      <c r="C257" s="13"/>
      <c r="D257" s="15"/>
      <c r="E257" s="119"/>
      <c r="F257" s="16"/>
      <c r="G257" s="17"/>
      <c r="H257" s="111"/>
      <c r="I257" s="17"/>
      <c r="J257" s="17"/>
      <c r="K257" s="14"/>
    </row>
    <row r="258" spans="2:11" ht="14.25" customHeight="1">
      <c r="B258" s="120"/>
      <c r="C258" s="13"/>
      <c r="D258" s="15"/>
      <c r="E258" s="119"/>
      <c r="F258" s="16"/>
      <c r="G258" s="17"/>
      <c r="H258" s="111"/>
      <c r="I258" s="17"/>
      <c r="J258" s="17"/>
      <c r="K258" s="14"/>
    </row>
    <row r="259" spans="2:11" ht="14.25" customHeight="1">
      <c r="B259" s="120"/>
      <c r="C259" s="13"/>
      <c r="D259" s="15"/>
      <c r="E259" s="119"/>
      <c r="F259" s="16"/>
      <c r="G259" s="17"/>
      <c r="H259" s="111"/>
      <c r="I259" s="17"/>
      <c r="J259" s="17"/>
      <c r="K259" s="14"/>
    </row>
    <row r="260" spans="2:11" ht="14.25" customHeight="1">
      <c r="B260" s="120"/>
      <c r="C260" s="13"/>
      <c r="D260" s="15"/>
      <c r="E260" s="119"/>
      <c r="F260" s="16"/>
      <c r="G260" s="17"/>
      <c r="H260" s="111"/>
      <c r="I260" s="17"/>
      <c r="J260" s="17"/>
      <c r="K260" s="14"/>
    </row>
    <row r="261" spans="2:11" ht="14.25" customHeight="1">
      <c r="B261" s="120"/>
      <c r="C261" s="13"/>
      <c r="D261" s="15"/>
      <c r="E261" s="119"/>
      <c r="F261" s="16"/>
      <c r="G261" s="17"/>
      <c r="H261" s="111"/>
      <c r="I261" s="17"/>
      <c r="J261" s="17"/>
      <c r="K261" s="14"/>
    </row>
    <row r="262" spans="2:11" ht="14.25" customHeight="1">
      <c r="B262" s="120"/>
      <c r="C262" s="13"/>
      <c r="D262" s="15"/>
      <c r="E262" s="119"/>
      <c r="F262" s="16"/>
      <c r="G262" s="17"/>
      <c r="H262" s="111"/>
      <c r="I262" s="17"/>
      <c r="J262" s="17"/>
      <c r="K262" s="14"/>
    </row>
    <row r="263" spans="2:11" ht="14.25" customHeight="1">
      <c r="B263" s="120"/>
      <c r="C263" s="13"/>
      <c r="D263" s="15"/>
      <c r="E263" s="119"/>
      <c r="F263" s="16"/>
      <c r="G263" s="17"/>
      <c r="H263" s="111"/>
      <c r="I263" s="17"/>
      <c r="J263" s="17"/>
      <c r="K263" s="14"/>
    </row>
    <row r="264" spans="2:11" ht="14.25" customHeight="1">
      <c r="B264" s="120"/>
      <c r="C264" s="13"/>
      <c r="D264" s="15"/>
      <c r="E264" s="119"/>
      <c r="F264" s="16"/>
      <c r="G264" s="17"/>
      <c r="H264" s="111"/>
      <c r="I264" s="17"/>
      <c r="J264" s="17"/>
      <c r="K264" s="14"/>
    </row>
    <row r="265" spans="2:11" ht="14.25" customHeight="1">
      <c r="B265" s="120"/>
      <c r="C265" s="13"/>
      <c r="D265" s="15"/>
      <c r="E265" s="119"/>
      <c r="F265" s="16"/>
      <c r="G265" s="17"/>
      <c r="H265" s="111"/>
      <c r="I265" s="17"/>
      <c r="J265" s="17"/>
      <c r="K265" s="14"/>
    </row>
    <row r="266" spans="2:11" ht="14.25" customHeight="1">
      <c r="B266" s="120"/>
      <c r="C266" s="13"/>
      <c r="D266" s="15"/>
      <c r="E266" s="119"/>
      <c r="F266" s="16"/>
      <c r="G266" s="17"/>
      <c r="H266" s="111"/>
      <c r="I266" s="17"/>
      <c r="J266" s="17"/>
      <c r="K266" s="14"/>
    </row>
    <row r="267" spans="2:11" ht="14.25" customHeight="1">
      <c r="B267" s="120"/>
      <c r="C267" s="13"/>
      <c r="D267" s="15"/>
      <c r="E267" s="119"/>
      <c r="F267" s="16"/>
      <c r="G267" s="17"/>
      <c r="H267" s="111"/>
      <c r="I267" s="17"/>
      <c r="J267" s="17"/>
      <c r="K267" s="14"/>
    </row>
    <row r="268" spans="2:11" ht="14.25" customHeight="1">
      <c r="B268" s="120"/>
      <c r="C268" s="13"/>
      <c r="D268" s="15"/>
      <c r="E268" s="119"/>
      <c r="F268" s="16"/>
      <c r="G268" s="17"/>
      <c r="H268" s="111"/>
      <c r="I268" s="17"/>
      <c r="J268" s="17"/>
      <c r="K268" s="14"/>
    </row>
    <row r="269" spans="2:11" ht="14.25" customHeight="1">
      <c r="B269" s="120"/>
      <c r="C269" s="13"/>
      <c r="D269" s="15"/>
      <c r="E269" s="119"/>
      <c r="F269" s="16"/>
      <c r="G269" s="17"/>
      <c r="H269" s="111"/>
      <c r="I269" s="17"/>
      <c r="J269" s="17"/>
      <c r="K269" s="14"/>
    </row>
    <row r="270" spans="2:11" ht="14.25" customHeight="1">
      <c r="B270" s="120"/>
      <c r="C270" s="13"/>
      <c r="D270" s="15"/>
      <c r="E270" s="119"/>
      <c r="F270" s="16"/>
      <c r="G270" s="17"/>
      <c r="H270" s="111"/>
      <c r="I270" s="17"/>
      <c r="J270" s="17"/>
      <c r="K270" s="14"/>
    </row>
    <row r="271" spans="2:11" ht="14.25" customHeight="1">
      <c r="B271" s="120"/>
      <c r="C271" s="13"/>
      <c r="D271" s="15"/>
      <c r="E271" s="119"/>
      <c r="F271" s="16"/>
      <c r="G271" s="17"/>
      <c r="H271" s="111"/>
      <c r="I271" s="17"/>
      <c r="J271" s="17"/>
      <c r="K271" s="14"/>
    </row>
    <row r="272" spans="2:11" ht="14.25" customHeight="1">
      <c r="B272" s="120"/>
      <c r="C272" s="13"/>
      <c r="D272" s="15"/>
      <c r="E272" s="119"/>
      <c r="F272" s="16"/>
      <c r="G272" s="17"/>
      <c r="H272" s="111"/>
      <c r="I272" s="17"/>
      <c r="J272" s="17"/>
      <c r="K272" s="14"/>
    </row>
    <row r="273" spans="2:11" ht="14.25" customHeight="1">
      <c r="B273" s="120"/>
      <c r="C273" s="13"/>
      <c r="D273" s="15"/>
      <c r="E273" s="119"/>
      <c r="F273" s="16"/>
      <c r="G273" s="17"/>
      <c r="H273" s="111"/>
      <c r="I273" s="17"/>
      <c r="J273" s="17"/>
      <c r="K273" s="14"/>
    </row>
    <row r="274" spans="2:11" ht="14.25" customHeight="1">
      <c r="B274" s="120"/>
      <c r="C274" s="13"/>
      <c r="D274" s="15"/>
      <c r="E274" s="119"/>
      <c r="F274" s="16"/>
      <c r="G274" s="17"/>
      <c r="H274" s="111"/>
      <c r="I274" s="17"/>
      <c r="J274" s="17"/>
      <c r="K274" s="14"/>
    </row>
    <row r="275" spans="2:11" ht="14.25" customHeight="1">
      <c r="B275" s="120"/>
      <c r="C275" s="13"/>
      <c r="D275" s="15"/>
      <c r="E275" s="119"/>
      <c r="F275" s="16"/>
      <c r="G275" s="17"/>
      <c r="H275" s="111"/>
      <c r="I275" s="17"/>
      <c r="J275" s="17"/>
      <c r="K275" s="14"/>
    </row>
    <row r="276" spans="2:11" ht="14.25" customHeight="1">
      <c r="B276" s="120"/>
      <c r="C276" s="13"/>
      <c r="D276" s="15"/>
      <c r="E276" s="119"/>
      <c r="F276" s="16"/>
      <c r="G276" s="17"/>
      <c r="H276" s="111"/>
      <c r="I276" s="17"/>
      <c r="J276" s="17"/>
      <c r="K276" s="14"/>
    </row>
    <row r="277" spans="2:11" ht="14.25" customHeight="1">
      <c r="B277" s="120"/>
      <c r="C277" s="13"/>
      <c r="D277" s="15"/>
      <c r="E277" s="119"/>
      <c r="F277" s="16"/>
      <c r="G277" s="17"/>
      <c r="H277" s="111"/>
      <c r="I277" s="17"/>
      <c r="J277" s="17"/>
      <c r="K277" s="14"/>
    </row>
    <row r="278" spans="2:11" ht="14.25" customHeight="1">
      <c r="B278" s="120"/>
      <c r="C278" s="13"/>
      <c r="D278" s="15"/>
      <c r="E278" s="119"/>
      <c r="F278" s="16"/>
      <c r="G278" s="17"/>
      <c r="H278" s="111"/>
      <c r="I278" s="17"/>
      <c r="J278" s="17"/>
      <c r="K278" s="14"/>
    </row>
    <row r="279" spans="2:11" ht="14.25" customHeight="1">
      <c r="B279" s="120"/>
      <c r="C279" s="13"/>
      <c r="D279" s="15"/>
      <c r="E279" s="119"/>
      <c r="F279" s="16"/>
      <c r="G279" s="17"/>
      <c r="H279" s="111"/>
      <c r="I279" s="17"/>
      <c r="J279" s="17"/>
      <c r="K279" s="14"/>
    </row>
    <row r="280" spans="2:11" ht="14.25" customHeight="1">
      <c r="B280" s="120"/>
      <c r="C280" s="13"/>
      <c r="D280" s="15"/>
      <c r="E280" s="119"/>
      <c r="F280" s="16"/>
      <c r="G280" s="17"/>
      <c r="H280" s="111"/>
      <c r="I280" s="17"/>
      <c r="J280" s="17"/>
      <c r="K280" s="14"/>
    </row>
    <row r="281" spans="2:11" ht="14.25" customHeight="1">
      <c r="B281" s="120"/>
      <c r="C281" s="13"/>
      <c r="D281" s="15"/>
      <c r="E281" s="119"/>
      <c r="F281" s="16"/>
      <c r="G281" s="17"/>
      <c r="H281" s="111"/>
      <c r="I281" s="17"/>
      <c r="J281" s="17"/>
      <c r="K281" s="14"/>
    </row>
    <row r="282" spans="2:11" ht="14.25" customHeight="1">
      <c r="B282" s="120"/>
      <c r="C282" s="13"/>
      <c r="D282" s="15"/>
      <c r="E282" s="119"/>
      <c r="F282" s="16"/>
      <c r="G282" s="17"/>
      <c r="H282" s="111"/>
      <c r="I282" s="17"/>
      <c r="J282" s="17"/>
      <c r="K282" s="14"/>
    </row>
    <row r="283" spans="2:11" ht="14.25" customHeight="1">
      <c r="B283" s="120"/>
      <c r="C283" s="13"/>
      <c r="D283" s="15"/>
      <c r="E283" s="119"/>
      <c r="F283" s="16"/>
      <c r="G283" s="17"/>
      <c r="H283" s="111"/>
      <c r="I283" s="17"/>
      <c r="J283" s="17"/>
      <c r="K283" s="14"/>
    </row>
    <row r="284" spans="2:11" ht="14.25" customHeight="1">
      <c r="B284" s="120"/>
      <c r="C284" s="13"/>
      <c r="D284" s="15"/>
      <c r="E284" s="119"/>
      <c r="F284" s="16"/>
      <c r="G284" s="17"/>
      <c r="H284" s="111"/>
      <c r="I284" s="17"/>
      <c r="J284" s="17"/>
      <c r="K284" s="14"/>
    </row>
    <row r="285" spans="2:11" ht="14.25" customHeight="1">
      <c r="B285" s="120"/>
      <c r="C285" s="13"/>
      <c r="D285" s="15"/>
      <c r="E285" s="119"/>
      <c r="F285" s="16"/>
      <c r="G285" s="17"/>
      <c r="H285" s="111"/>
      <c r="I285" s="17"/>
      <c r="J285" s="17"/>
      <c r="K285" s="14"/>
    </row>
    <row r="286" spans="2:11" ht="14.25" customHeight="1">
      <c r="B286" s="120"/>
      <c r="C286" s="13"/>
      <c r="D286" s="15"/>
      <c r="E286" s="119"/>
      <c r="F286" s="16"/>
      <c r="G286" s="17"/>
      <c r="H286" s="111"/>
      <c r="I286" s="17"/>
      <c r="J286" s="17"/>
      <c r="K286" s="14"/>
    </row>
    <row r="287" spans="2:11" ht="14.25" customHeight="1">
      <c r="B287" s="120"/>
      <c r="C287" s="13"/>
      <c r="D287" s="15"/>
      <c r="E287" s="119"/>
      <c r="F287" s="16"/>
      <c r="G287" s="17"/>
      <c r="H287" s="111"/>
      <c r="I287" s="17"/>
      <c r="J287" s="17"/>
      <c r="K287" s="14"/>
    </row>
    <row r="288" spans="2:11" ht="14.25" customHeight="1">
      <c r="B288" s="120"/>
      <c r="C288" s="13"/>
      <c r="D288" s="15"/>
      <c r="E288" s="119"/>
      <c r="F288" s="16"/>
      <c r="G288" s="17"/>
      <c r="H288" s="111"/>
      <c r="I288" s="17"/>
      <c r="J288" s="17"/>
      <c r="K288" s="14"/>
    </row>
    <row r="289" spans="2:11" ht="14.25" customHeight="1">
      <c r="B289" s="120"/>
      <c r="C289" s="13"/>
      <c r="D289" s="15"/>
      <c r="E289" s="119"/>
      <c r="F289" s="16"/>
      <c r="G289" s="17"/>
      <c r="H289" s="111"/>
      <c r="I289" s="17"/>
      <c r="J289" s="17"/>
      <c r="K289" s="14"/>
    </row>
    <row r="290" spans="2:11" ht="14.25" customHeight="1">
      <c r="B290" s="120"/>
      <c r="C290" s="13"/>
      <c r="D290" s="15"/>
      <c r="E290" s="119"/>
      <c r="F290" s="16"/>
      <c r="G290" s="17"/>
      <c r="H290" s="111"/>
      <c r="I290" s="17"/>
      <c r="J290" s="17"/>
      <c r="K290" s="14"/>
    </row>
    <row r="291" spans="2:11" ht="14.25" customHeight="1">
      <c r="B291" s="120"/>
      <c r="C291" s="13"/>
      <c r="D291" s="15"/>
      <c r="E291" s="119"/>
      <c r="F291" s="16"/>
      <c r="G291" s="17"/>
      <c r="H291" s="111"/>
      <c r="I291" s="17"/>
      <c r="J291" s="17"/>
      <c r="K291" s="14"/>
    </row>
    <row r="292" spans="2:11" ht="24.75" customHeight="1">
      <c r="B292" s="120"/>
      <c r="C292" s="13"/>
      <c r="D292" s="15"/>
      <c r="E292" s="119"/>
      <c r="F292" s="16"/>
      <c r="G292" s="17"/>
      <c r="H292" s="111"/>
      <c r="I292" s="17"/>
      <c r="J292" s="17"/>
      <c r="K292" s="14"/>
    </row>
    <row r="293" spans="2:11" ht="14.25" customHeight="1"/>
    <row r="295" spans="2:11">
      <c r="B295" s="10"/>
      <c r="D295" s="114"/>
    </row>
    <row r="296" spans="2:11">
      <c r="B296" s="10"/>
    </row>
    <row r="297" spans="2:11">
      <c r="B297" s="10"/>
    </row>
    <row r="298" spans="2:11">
      <c r="B298" s="10"/>
      <c r="D298" s="102"/>
    </row>
    <row r="299" spans="2:11">
      <c r="B299" s="10"/>
      <c r="D299" s="102"/>
    </row>
    <row r="300" spans="2:11">
      <c r="B300" s="10"/>
      <c r="D300" s="102"/>
    </row>
    <row r="301" spans="2:11">
      <c r="B301" s="10"/>
      <c r="C301" s="102" t="s">
        <v>606</v>
      </c>
      <c r="D301" s="102"/>
    </row>
    <row r="302" spans="2:11">
      <c r="B302" s="10"/>
      <c r="D302" s="102"/>
    </row>
    <row r="303" spans="2:11">
      <c r="B303" s="10"/>
      <c r="D303" s="102"/>
    </row>
    <row r="304" spans="2:11">
      <c r="B304" s="10"/>
      <c r="D304" s="102"/>
    </row>
    <row r="305" spans="2:4">
      <c r="B305" s="10"/>
      <c r="D305" s="102"/>
    </row>
    <row r="306" spans="2:4">
      <c r="B306" s="10"/>
      <c r="D306" s="102"/>
    </row>
    <row r="307" spans="2:4">
      <c r="B307" s="10"/>
      <c r="D307" s="102"/>
    </row>
    <row r="308" spans="2:4">
      <c r="B308" s="10"/>
      <c r="D308" s="102"/>
    </row>
    <row r="309" spans="2:4">
      <c r="B309" s="10"/>
      <c r="D309" s="102"/>
    </row>
    <row r="310" spans="2:4">
      <c r="B310" s="10"/>
      <c r="D310" s="102"/>
    </row>
    <row r="311" spans="2:4">
      <c r="B311" s="10"/>
      <c r="D311" s="102"/>
    </row>
    <row r="312" spans="2:4">
      <c r="B312" s="10"/>
      <c r="D312" s="102"/>
    </row>
    <row r="313" spans="2:4">
      <c r="B313" s="10"/>
      <c r="D313" s="102"/>
    </row>
    <row r="314" spans="2:4">
      <c r="B314" s="10"/>
      <c r="D314" s="102"/>
    </row>
    <row r="315" spans="2:4">
      <c r="B315" s="10"/>
      <c r="D315" s="102"/>
    </row>
  </sheetData>
  <autoFilter ref="B3:K75" xr:uid="{00000000-0009-0000-0000-000004000000}">
    <sortState ref="B4:K75">
      <sortCondition descending="1" ref="G3:G75"/>
    </sortState>
  </autoFilter>
  <sortState ref="B4:K93">
    <sortCondition ref="E4"/>
  </sortState>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FFFF00"/>
  </sheetPr>
  <dimension ref="A1:U322"/>
  <sheetViews>
    <sheetView rightToLeft="1" tabSelected="1" zoomScale="70" zoomScaleNormal="70" workbookViewId="0">
      <pane xSplit="3" topLeftCell="G1" activePane="topRight" state="frozen"/>
      <selection pane="topRight" activeCell="K82" sqref="K82"/>
    </sheetView>
  </sheetViews>
  <sheetFormatPr defaultColWidth="8.88671875" defaultRowHeight="14.4"/>
  <cols>
    <col min="1" max="1" width="3.33203125" style="323" customWidth="1"/>
    <col min="2" max="2" width="10.21875" style="312" customWidth="1"/>
    <col min="3" max="3" width="29.6640625" style="360" customWidth="1"/>
    <col min="4" max="4" width="16.6640625" style="360" bestFit="1" customWidth="1"/>
    <col min="5" max="5" width="27.21875" style="360" customWidth="1"/>
    <col min="6" max="6" width="29.88671875" style="359" customWidth="1"/>
    <col min="7" max="7" width="17.77734375" style="360" bestFit="1" customWidth="1"/>
    <col min="8" max="8" width="9.44140625" style="360" bestFit="1" customWidth="1"/>
    <col min="9" max="9" width="23.109375" style="360" customWidth="1"/>
    <col min="10" max="10" width="24.21875" style="408" customWidth="1"/>
    <col min="11" max="11" width="10" style="360" customWidth="1"/>
    <col min="12" max="12" width="11.33203125" style="360" customWidth="1"/>
    <col min="13" max="13" width="9.44140625" style="409" customWidth="1"/>
    <col min="14" max="14" width="17.33203125" style="360" bestFit="1" customWidth="1"/>
    <col min="15" max="15" width="117.77734375" style="403" customWidth="1"/>
    <col min="16" max="16" width="54.5546875" style="360" customWidth="1"/>
    <col min="17" max="17" width="9.6640625" style="323" customWidth="1"/>
    <col min="18" max="16384" width="8.88671875" style="323"/>
  </cols>
  <sheetData>
    <row r="1" spans="2:16" ht="10.5" customHeight="1"/>
    <row r="2" spans="2:16">
      <c r="B2" s="410"/>
      <c r="C2" s="411"/>
      <c r="D2" s="411"/>
      <c r="E2" s="411"/>
      <c r="F2" s="412" t="s">
        <v>1106</v>
      </c>
      <c r="G2" s="411"/>
      <c r="H2" s="411"/>
      <c r="I2" s="398"/>
      <c r="J2" s="413"/>
      <c r="K2" s="398"/>
      <c r="L2" s="398"/>
      <c r="M2" s="414"/>
      <c r="N2" s="398"/>
      <c r="O2" s="404"/>
      <c r="P2" s="397"/>
    </row>
    <row r="3" spans="2:16" ht="5.25" customHeight="1">
      <c r="C3" s="415"/>
      <c r="D3" s="415"/>
      <c r="E3" s="415"/>
      <c r="F3" s="416"/>
      <c r="G3" s="415"/>
      <c r="H3" s="415"/>
      <c r="I3" s="361"/>
      <c r="J3" s="417"/>
      <c r="K3" s="361"/>
      <c r="L3" s="361"/>
      <c r="M3" s="418"/>
      <c r="N3" s="361"/>
      <c r="O3" s="405"/>
      <c r="P3" s="361"/>
    </row>
    <row r="4" spans="2:16" ht="57.6">
      <c r="B4" s="419" t="s">
        <v>1529</v>
      </c>
      <c r="C4" s="420" t="s">
        <v>1528</v>
      </c>
      <c r="D4" s="362" t="s">
        <v>1589</v>
      </c>
      <c r="E4" s="421" t="s">
        <v>1527</v>
      </c>
      <c r="F4" s="420" t="s">
        <v>1229</v>
      </c>
      <c r="G4" s="422" t="s">
        <v>1543</v>
      </c>
      <c r="H4" s="362" t="s">
        <v>1544</v>
      </c>
      <c r="I4" s="423" t="s">
        <v>2</v>
      </c>
      <c r="J4" s="424" t="s">
        <v>1498</v>
      </c>
      <c r="K4" s="362" t="s">
        <v>1733</v>
      </c>
      <c r="L4" s="362" t="s">
        <v>1530</v>
      </c>
      <c r="M4" s="362" t="s">
        <v>1225</v>
      </c>
      <c r="N4" s="362" t="s">
        <v>1198</v>
      </c>
      <c r="O4" s="362" t="s">
        <v>1226</v>
      </c>
      <c r="P4" s="362" t="s">
        <v>604</v>
      </c>
    </row>
    <row r="5" spans="2:16" s="107" customFormat="1" hidden="1">
      <c r="B5" s="259">
        <v>1</v>
      </c>
      <c r="C5" s="278" t="s">
        <v>1116</v>
      </c>
      <c r="D5" s="318"/>
      <c r="E5" s="270"/>
      <c r="F5" s="375">
        <v>5000</v>
      </c>
      <c r="G5" s="122"/>
      <c r="H5" s="122"/>
      <c r="I5" s="317" t="s">
        <v>58</v>
      </c>
      <c r="J5" s="122"/>
      <c r="K5" s="287">
        <v>50000</v>
      </c>
      <c r="L5" s="123">
        <v>0</v>
      </c>
      <c r="M5" s="123"/>
      <c r="N5" s="123"/>
      <c r="O5" s="263"/>
      <c r="P5" s="123" t="s">
        <v>1197</v>
      </c>
    </row>
    <row r="6" spans="2:16" s="107" customFormat="1" hidden="1">
      <c r="B6" s="259">
        <v>2</v>
      </c>
      <c r="C6" s="278" t="s">
        <v>1153</v>
      </c>
      <c r="D6" s="318"/>
      <c r="E6" s="270"/>
      <c r="F6" s="313">
        <v>58079513</v>
      </c>
      <c r="G6" s="122"/>
      <c r="H6" s="122"/>
      <c r="I6" s="317" t="s">
        <v>58</v>
      </c>
      <c r="J6" s="122"/>
      <c r="K6" s="287">
        <v>2000</v>
      </c>
      <c r="L6" s="123">
        <v>3</v>
      </c>
      <c r="M6" s="123"/>
      <c r="N6" s="123"/>
      <c r="O6" s="263"/>
      <c r="P6" s="123"/>
    </row>
    <row r="7" spans="2:16" s="107" customFormat="1" hidden="1">
      <c r="B7" s="259">
        <v>3</v>
      </c>
      <c r="C7" s="278" t="s">
        <v>1154</v>
      </c>
      <c r="D7" s="318"/>
      <c r="E7" s="270"/>
      <c r="F7" s="313">
        <v>58091518</v>
      </c>
      <c r="G7" s="122"/>
      <c r="H7" s="122"/>
      <c r="I7" s="317" t="s">
        <v>58</v>
      </c>
      <c r="J7" s="122"/>
      <c r="K7" s="287">
        <v>800</v>
      </c>
      <c r="L7" s="123">
        <v>3</v>
      </c>
      <c r="M7" s="123"/>
      <c r="N7" s="123"/>
      <c r="O7" s="263"/>
      <c r="P7" s="123"/>
    </row>
    <row r="8" spans="2:16" s="107" customFormat="1" hidden="1">
      <c r="B8" s="259">
        <v>4</v>
      </c>
      <c r="C8" s="278" t="s">
        <v>1156</v>
      </c>
      <c r="D8" s="318"/>
      <c r="E8" s="270"/>
      <c r="F8" s="313">
        <v>58079518</v>
      </c>
      <c r="G8" s="122"/>
      <c r="H8" s="122"/>
      <c r="I8" s="317" t="s">
        <v>58</v>
      </c>
      <c r="J8" s="122"/>
      <c r="K8" s="287">
        <v>500</v>
      </c>
      <c r="L8" s="123">
        <v>1</v>
      </c>
      <c r="M8" s="123"/>
      <c r="N8" s="123"/>
      <c r="O8" s="263"/>
      <c r="P8" s="123"/>
    </row>
    <row r="9" spans="2:16" s="107" customFormat="1" ht="28.8">
      <c r="B9" s="259">
        <v>1</v>
      </c>
      <c r="C9" s="278" t="s">
        <v>1880</v>
      </c>
      <c r="D9" s="278" t="s">
        <v>1663</v>
      </c>
      <c r="E9" s="122" t="s">
        <v>1879</v>
      </c>
      <c r="F9" s="122" t="s">
        <v>1881</v>
      </c>
      <c r="G9" s="259" t="s">
        <v>1281</v>
      </c>
      <c r="H9" s="259"/>
      <c r="I9" s="123" t="s">
        <v>101</v>
      </c>
      <c r="J9" s="122" t="s">
        <v>421</v>
      </c>
      <c r="K9" s="123">
        <v>10000</v>
      </c>
      <c r="L9" s="123">
        <v>2</v>
      </c>
      <c r="M9" s="123"/>
      <c r="N9" s="123" t="s">
        <v>1201</v>
      </c>
      <c r="O9" s="297" t="s">
        <v>1433</v>
      </c>
      <c r="P9" s="123"/>
    </row>
    <row r="10" spans="2:16" s="312" customFormat="1" hidden="1">
      <c r="B10" s="326"/>
      <c r="C10" s="331"/>
      <c r="D10" s="327"/>
      <c r="E10" s="332" t="s">
        <v>1878</v>
      </c>
      <c r="F10" s="328"/>
      <c r="G10" s="332"/>
      <c r="H10" s="332"/>
      <c r="I10" s="329"/>
      <c r="J10" s="328"/>
      <c r="K10" s="330"/>
      <c r="L10" s="329"/>
      <c r="M10" s="330"/>
      <c r="N10" s="330"/>
      <c r="O10" s="330"/>
      <c r="P10" s="330"/>
    </row>
    <row r="11" spans="2:16" s="107" customFormat="1" hidden="1">
      <c r="B11" s="259">
        <v>7</v>
      </c>
      <c r="C11" s="278" t="s">
        <v>1121</v>
      </c>
      <c r="D11" s="318"/>
      <c r="E11" s="270"/>
      <c r="F11" s="313" t="s">
        <v>248</v>
      </c>
      <c r="G11" s="122"/>
      <c r="H11" s="122"/>
      <c r="I11" s="317" t="s">
        <v>244</v>
      </c>
      <c r="J11" s="122"/>
      <c r="K11" s="123">
        <v>6000</v>
      </c>
      <c r="L11" s="123">
        <v>1</v>
      </c>
      <c r="M11" s="123"/>
      <c r="N11" s="123"/>
      <c r="O11" s="123"/>
      <c r="P11" s="123"/>
    </row>
    <row r="12" spans="2:16" s="312" customFormat="1" hidden="1">
      <c r="B12" s="326"/>
      <c r="C12" s="333"/>
      <c r="D12" s="327"/>
      <c r="E12" s="328"/>
      <c r="F12" s="328"/>
      <c r="G12" s="328"/>
      <c r="H12" s="328"/>
      <c r="I12" s="329"/>
      <c r="J12" s="328"/>
      <c r="K12" s="330"/>
      <c r="L12" s="329"/>
      <c r="M12" s="330"/>
      <c r="N12" s="330"/>
      <c r="O12" s="330"/>
      <c r="P12" s="330"/>
    </row>
    <row r="13" spans="2:16" s="107" customFormat="1" hidden="1">
      <c r="B13" s="259">
        <v>9</v>
      </c>
      <c r="C13" s="278" t="s">
        <v>1121</v>
      </c>
      <c r="D13" s="318"/>
      <c r="E13" s="270"/>
      <c r="F13" s="313" t="s">
        <v>260</v>
      </c>
      <c r="G13" s="122"/>
      <c r="H13" s="122"/>
      <c r="I13" s="317" t="s">
        <v>259</v>
      </c>
      <c r="J13" s="122"/>
      <c r="K13" s="123">
        <v>5000</v>
      </c>
      <c r="L13" s="123">
        <v>1</v>
      </c>
      <c r="M13" s="123"/>
      <c r="N13" s="123"/>
      <c r="O13" s="123"/>
      <c r="P13" s="123" t="s">
        <v>1108</v>
      </c>
    </row>
    <row r="14" spans="2:16" s="107" customFormat="1" hidden="1">
      <c r="B14" s="259">
        <v>10</v>
      </c>
      <c r="C14" s="291" t="s">
        <v>501</v>
      </c>
      <c r="D14" s="370"/>
      <c r="E14" s="292"/>
      <c r="F14" s="313">
        <v>3410</v>
      </c>
      <c r="G14" s="264"/>
      <c r="H14" s="264"/>
      <c r="I14" s="317" t="s">
        <v>1032</v>
      </c>
      <c r="J14" s="122"/>
      <c r="K14" s="123">
        <v>1500</v>
      </c>
      <c r="L14" s="123">
        <v>3</v>
      </c>
      <c r="M14" s="123"/>
      <c r="N14" s="123"/>
      <c r="O14" s="123"/>
      <c r="P14" s="123"/>
    </row>
    <row r="15" spans="2:16" s="107" customFormat="1" hidden="1">
      <c r="B15" s="338">
        <v>12</v>
      </c>
      <c r="C15" s="339" t="s">
        <v>1107</v>
      </c>
      <c r="D15" s="352"/>
      <c r="E15" s="340"/>
      <c r="F15" s="340" t="s">
        <v>478</v>
      </c>
      <c r="G15" s="349" t="s">
        <v>1281</v>
      </c>
      <c r="H15" s="349"/>
      <c r="I15" s="347" t="s">
        <v>101</v>
      </c>
      <c r="J15" s="340"/>
      <c r="K15" s="347">
        <v>4000</v>
      </c>
      <c r="L15" s="347">
        <v>1</v>
      </c>
      <c r="M15" s="347"/>
      <c r="N15" s="347" t="s">
        <v>1201</v>
      </c>
      <c r="O15" s="341"/>
      <c r="P15" s="341" t="s">
        <v>1904</v>
      </c>
    </row>
    <row r="16" spans="2:16" s="107" customFormat="1" hidden="1">
      <c r="B16" s="338">
        <v>13</v>
      </c>
      <c r="C16" s="339" t="s">
        <v>1056</v>
      </c>
      <c r="D16" s="352"/>
      <c r="E16" s="340"/>
      <c r="F16" s="340" t="s">
        <v>1117</v>
      </c>
      <c r="G16" s="349" t="s">
        <v>1281</v>
      </c>
      <c r="H16" s="349"/>
      <c r="I16" s="347" t="s">
        <v>101</v>
      </c>
      <c r="J16" s="340"/>
      <c r="K16" s="347">
        <v>4000</v>
      </c>
      <c r="L16" s="347">
        <v>4</v>
      </c>
      <c r="M16" s="347"/>
      <c r="N16" s="347" t="s">
        <v>1199</v>
      </c>
      <c r="O16" s="341"/>
      <c r="P16" s="341" t="s">
        <v>1203</v>
      </c>
    </row>
    <row r="17" spans="2:16" s="107" customFormat="1" ht="25.5" hidden="1" customHeight="1">
      <c r="B17" s="338">
        <v>14</v>
      </c>
      <c r="C17" s="342" t="s">
        <v>1056</v>
      </c>
      <c r="D17" s="353"/>
      <c r="E17" s="343"/>
      <c r="F17" s="350" t="s">
        <v>1118</v>
      </c>
      <c r="G17" s="349" t="s">
        <v>1281</v>
      </c>
      <c r="H17" s="349"/>
      <c r="I17" s="347" t="s">
        <v>101</v>
      </c>
      <c r="J17" s="340"/>
      <c r="K17" s="347">
        <v>3500</v>
      </c>
      <c r="L17" s="347">
        <v>2</v>
      </c>
      <c r="M17" s="347"/>
      <c r="N17" s="347"/>
      <c r="O17" s="341"/>
      <c r="P17" s="341" t="s">
        <v>1203</v>
      </c>
    </row>
    <row r="18" spans="2:16" s="107" customFormat="1" ht="43.2" hidden="1">
      <c r="B18" s="259">
        <v>15</v>
      </c>
      <c r="C18" s="278" t="s">
        <v>170</v>
      </c>
      <c r="D18" s="318"/>
      <c r="E18" s="270"/>
      <c r="F18" s="313" t="s">
        <v>1223</v>
      </c>
      <c r="G18" s="122"/>
      <c r="H18" s="122"/>
      <c r="I18" s="313" t="s">
        <v>1222</v>
      </c>
      <c r="J18" s="122"/>
      <c r="K18" s="123">
        <v>2000</v>
      </c>
      <c r="L18" s="123">
        <v>1</v>
      </c>
      <c r="M18" s="123"/>
      <c r="N18" s="123" t="s">
        <v>1201</v>
      </c>
      <c r="O18" s="263"/>
      <c r="P18" s="123"/>
    </row>
    <row r="19" spans="2:16" s="107" customFormat="1" ht="42.6" hidden="1" customHeight="1">
      <c r="B19" s="259">
        <v>16</v>
      </c>
      <c r="C19" s="278" t="s">
        <v>1128</v>
      </c>
      <c r="D19" s="318"/>
      <c r="E19" s="270"/>
      <c r="F19" s="313" t="s">
        <v>1531</v>
      </c>
      <c r="G19" s="122"/>
      <c r="H19" s="122"/>
      <c r="I19" s="313" t="s">
        <v>1222</v>
      </c>
      <c r="J19" s="122"/>
      <c r="K19" s="123">
        <v>1862</v>
      </c>
      <c r="L19" s="123">
        <v>2</v>
      </c>
      <c r="M19" s="123"/>
      <c r="N19" s="123" t="s">
        <v>1201</v>
      </c>
      <c r="O19" s="263"/>
      <c r="P19" s="123"/>
    </row>
    <row r="20" spans="2:16" s="309" customFormat="1" hidden="1">
      <c r="B20" s="382">
        <v>219</v>
      </c>
      <c r="C20" s="387" t="s">
        <v>1463</v>
      </c>
      <c r="D20" s="425" t="s">
        <v>1588</v>
      </c>
      <c r="E20" s="382" t="s">
        <v>1747</v>
      </c>
      <c r="F20" s="382" t="s">
        <v>1464</v>
      </c>
      <c r="G20" s="426" t="s">
        <v>1287</v>
      </c>
      <c r="H20" s="382" t="s">
        <v>1308</v>
      </c>
      <c r="I20" s="380" t="s">
        <v>589</v>
      </c>
      <c r="J20" s="382" t="s">
        <v>1461</v>
      </c>
      <c r="K20" s="382"/>
      <c r="L20" s="382">
        <v>1</v>
      </c>
      <c r="M20" s="380">
        <v>1</v>
      </c>
      <c r="N20" s="382" t="s">
        <v>1201</v>
      </c>
      <c r="O20" s="389" t="s">
        <v>1462</v>
      </c>
      <c r="P20" s="382" t="s">
        <v>2052</v>
      </c>
    </row>
    <row r="21" spans="2:16" s="107" customFormat="1" ht="28.8" hidden="1">
      <c r="B21" s="338">
        <v>18</v>
      </c>
      <c r="C21" s="339" t="s">
        <v>163</v>
      </c>
      <c r="D21" s="352"/>
      <c r="E21" s="340"/>
      <c r="F21" s="340" t="s">
        <v>1033</v>
      </c>
      <c r="G21" s="349" t="s">
        <v>1281</v>
      </c>
      <c r="H21" s="349"/>
      <c r="I21" s="347" t="s">
        <v>101</v>
      </c>
      <c r="J21" s="340"/>
      <c r="K21" s="347">
        <v>2000</v>
      </c>
      <c r="L21" s="347">
        <v>1</v>
      </c>
      <c r="M21" s="347"/>
      <c r="N21" s="347" t="s">
        <v>1199</v>
      </c>
      <c r="O21" s="341"/>
      <c r="P21" s="341" t="s">
        <v>1203</v>
      </c>
    </row>
    <row r="22" spans="2:16" s="107" customFormat="1" hidden="1">
      <c r="B22" s="338">
        <v>20</v>
      </c>
      <c r="C22" s="339" t="s">
        <v>163</v>
      </c>
      <c r="D22" s="352"/>
      <c r="E22" s="340"/>
      <c r="F22" s="340" t="s">
        <v>1171</v>
      </c>
      <c r="G22" s="349" t="s">
        <v>1281</v>
      </c>
      <c r="H22" s="349"/>
      <c r="I22" s="347" t="s">
        <v>101</v>
      </c>
      <c r="J22" s="340"/>
      <c r="K22" s="347">
        <v>1505</v>
      </c>
      <c r="L22" s="347" t="s">
        <v>1078</v>
      </c>
      <c r="M22" s="347"/>
      <c r="N22" s="347" t="s">
        <v>1199</v>
      </c>
      <c r="O22" s="341"/>
      <c r="P22" s="341" t="s">
        <v>1203</v>
      </c>
    </row>
    <row r="23" spans="2:16" s="107" customFormat="1" hidden="1">
      <c r="B23" s="259">
        <v>22</v>
      </c>
      <c r="C23" s="278" t="s">
        <v>19</v>
      </c>
      <c r="D23" s="318"/>
      <c r="E23" s="270"/>
      <c r="F23" s="313" t="s">
        <v>1247</v>
      </c>
      <c r="G23" s="122" t="s">
        <v>1245</v>
      </c>
      <c r="H23" s="122"/>
      <c r="I23" s="317" t="s">
        <v>212</v>
      </c>
      <c r="J23" s="122" t="s">
        <v>1246</v>
      </c>
      <c r="K23" s="123">
        <v>1500</v>
      </c>
      <c r="L23" s="123">
        <v>1</v>
      </c>
      <c r="M23" s="123"/>
      <c r="N23" s="123" t="s">
        <v>1201</v>
      </c>
      <c r="O23" s="123"/>
      <c r="P23" s="123"/>
    </row>
    <row r="24" spans="2:16" s="107" customFormat="1" hidden="1">
      <c r="B24" s="259">
        <v>23</v>
      </c>
      <c r="C24" s="278" t="s">
        <v>12</v>
      </c>
      <c r="D24" s="318"/>
      <c r="E24" s="270"/>
      <c r="F24" s="313" t="s">
        <v>1014</v>
      </c>
      <c r="G24" s="122"/>
      <c r="H24" s="122"/>
      <c r="I24" s="317" t="s">
        <v>1013</v>
      </c>
      <c r="J24" s="122"/>
      <c r="K24" s="123">
        <v>1500</v>
      </c>
      <c r="L24" s="123">
        <v>1</v>
      </c>
      <c r="M24" s="123"/>
      <c r="N24" s="123"/>
      <c r="O24" s="123"/>
      <c r="P24" s="123"/>
    </row>
    <row r="25" spans="2:16" s="107" customFormat="1" hidden="1">
      <c r="B25" s="338">
        <v>24</v>
      </c>
      <c r="C25" s="339" t="s">
        <v>163</v>
      </c>
      <c r="D25" s="352"/>
      <c r="E25" s="340"/>
      <c r="F25" s="340" t="s">
        <v>1172</v>
      </c>
      <c r="G25" s="349" t="s">
        <v>1281</v>
      </c>
      <c r="H25" s="349"/>
      <c r="I25" s="347" t="s">
        <v>101</v>
      </c>
      <c r="J25" s="340"/>
      <c r="K25" s="347">
        <v>1820</v>
      </c>
      <c r="L25" s="347" t="s">
        <v>1078</v>
      </c>
      <c r="M25" s="347"/>
      <c r="N25" s="347" t="s">
        <v>1199</v>
      </c>
      <c r="O25" s="341"/>
      <c r="P25" s="341" t="s">
        <v>1203</v>
      </c>
    </row>
    <row r="26" spans="2:16" s="107" customFormat="1" hidden="1">
      <c r="B26" s="338">
        <v>25</v>
      </c>
      <c r="C26" s="339" t="s">
        <v>163</v>
      </c>
      <c r="D26" s="352"/>
      <c r="E26" s="340"/>
      <c r="F26" s="340" t="s">
        <v>1170</v>
      </c>
      <c r="G26" s="349" t="s">
        <v>1281</v>
      </c>
      <c r="H26" s="349"/>
      <c r="I26" s="347" t="s">
        <v>101</v>
      </c>
      <c r="J26" s="340"/>
      <c r="K26" s="347">
        <v>1467</v>
      </c>
      <c r="L26" s="347" t="s">
        <v>1078</v>
      </c>
      <c r="M26" s="347"/>
      <c r="N26" s="347" t="s">
        <v>1199</v>
      </c>
      <c r="O26" s="341"/>
      <c r="P26" s="341" t="s">
        <v>1203</v>
      </c>
    </row>
    <row r="27" spans="2:16" s="312" customFormat="1">
      <c r="B27" s="220">
        <v>2</v>
      </c>
      <c r="C27" s="460" t="s">
        <v>1105</v>
      </c>
      <c r="D27" s="433" t="s">
        <v>1663</v>
      </c>
      <c r="E27" s="461" t="s">
        <v>1770</v>
      </c>
      <c r="F27" s="461" t="s">
        <v>1119</v>
      </c>
      <c r="G27" s="461" t="s">
        <v>1242</v>
      </c>
      <c r="H27" s="461"/>
      <c r="I27" s="461" t="s">
        <v>1240</v>
      </c>
      <c r="J27" s="461" t="s">
        <v>1241</v>
      </c>
      <c r="K27" s="260">
        <v>770</v>
      </c>
      <c r="L27" s="260">
        <v>1</v>
      </c>
      <c r="M27" s="260"/>
      <c r="N27" s="260" t="s">
        <v>1201</v>
      </c>
      <c r="O27" s="462" t="s">
        <v>1769</v>
      </c>
      <c r="P27" s="380" t="s">
        <v>2052</v>
      </c>
    </row>
    <row r="28" spans="2:16" s="309" customFormat="1">
      <c r="B28" s="382">
        <v>3</v>
      </c>
      <c r="C28" s="460" t="s">
        <v>1120</v>
      </c>
      <c r="D28" s="460" t="s">
        <v>1663</v>
      </c>
      <c r="E28" s="463" t="s">
        <v>1731</v>
      </c>
      <c r="F28" s="463" t="s">
        <v>1737</v>
      </c>
      <c r="G28" s="463" t="s">
        <v>1740</v>
      </c>
      <c r="H28" s="463" t="s">
        <v>1078</v>
      </c>
      <c r="I28" s="380" t="s">
        <v>299</v>
      </c>
      <c r="J28" s="463" t="s">
        <v>1729</v>
      </c>
      <c r="K28" s="380">
        <v>1200</v>
      </c>
      <c r="L28" s="380">
        <v>4</v>
      </c>
      <c r="M28" s="380">
        <v>2</v>
      </c>
      <c r="N28" s="380" t="s">
        <v>1201</v>
      </c>
      <c r="O28" s="464" t="s">
        <v>1739</v>
      </c>
      <c r="P28" s="380" t="s">
        <v>2052</v>
      </c>
    </row>
    <row r="29" spans="2:16" s="309" customFormat="1">
      <c r="B29" s="382"/>
      <c r="C29" s="460" t="s">
        <v>1120</v>
      </c>
      <c r="D29" s="460" t="s">
        <v>1663</v>
      </c>
      <c r="E29" s="463" t="s">
        <v>1731</v>
      </c>
      <c r="F29" s="463" t="s">
        <v>1734</v>
      </c>
      <c r="G29" s="463" t="s">
        <v>1740</v>
      </c>
      <c r="H29" s="463" t="s">
        <v>1078</v>
      </c>
      <c r="I29" s="380" t="s">
        <v>299</v>
      </c>
      <c r="J29" s="463" t="s">
        <v>1732</v>
      </c>
      <c r="K29" s="380">
        <v>1400</v>
      </c>
      <c r="L29" s="380">
        <v>1</v>
      </c>
      <c r="M29" s="380">
        <v>1</v>
      </c>
      <c r="N29" s="380" t="s">
        <v>1201</v>
      </c>
      <c r="O29" s="464" t="s">
        <v>1739</v>
      </c>
      <c r="P29" s="380" t="s">
        <v>2052</v>
      </c>
    </row>
    <row r="30" spans="2:16" s="309" customFormat="1">
      <c r="B30" s="382"/>
      <c r="C30" s="460" t="s">
        <v>1120</v>
      </c>
      <c r="D30" s="460" t="s">
        <v>1663</v>
      </c>
      <c r="E30" s="463" t="s">
        <v>1731</v>
      </c>
      <c r="F30" s="463" t="s">
        <v>1743</v>
      </c>
      <c r="G30" s="463" t="s">
        <v>1740</v>
      </c>
      <c r="H30" s="463" t="s">
        <v>1078</v>
      </c>
      <c r="I30" s="380" t="s">
        <v>299</v>
      </c>
      <c r="J30" s="463" t="s">
        <v>1730</v>
      </c>
      <c r="K30" s="380">
        <v>1200</v>
      </c>
      <c r="L30" s="380">
        <v>1</v>
      </c>
      <c r="M30" s="380">
        <v>1</v>
      </c>
      <c r="N30" s="380" t="s">
        <v>1201</v>
      </c>
      <c r="O30" s="464" t="s">
        <v>1739</v>
      </c>
      <c r="P30" s="380" t="s">
        <v>2052</v>
      </c>
    </row>
    <row r="31" spans="2:16" s="309" customFormat="1">
      <c r="B31" s="382"/>
      <c r="C31" s="460" t="s">
        <v>1120</v>
      </c>
      <c r="D31" s="460" t="s">
        <v>1663</v>
      </c>
      <c r="E31" s="463" t="s">
        <v>1731</v>
      </c>
      <c r="F31" s="463" t="s">
        <v>1741</v>
      </c>
      <c r="G31" s="463" t="s">
        <v>1740</v>
      </c>
      <c r="H31" s="463" t="s">
        <v>1078</v>
      </c>
      <c r="I31" s="380" t="s">
        <v>299</v>
      </c>
      <c r="J31" s="463" t="s">
        <v>1742</v>
      </c>
      <c r="K31" s="380">
        <v>1200</v>
      </c>
      <c r="L31" s="380">
        <v>2</v>
      </c>
      <c r="M31" s="380">
        <v>2</v>
      </c>
      <c r="N31" s="380" t="s">
        <v>1201</v>
      </c>
      <c r="O31" s="464" t="s">
        <v>1739</v>
      </c>
      <c r="P31" s="380" t="s">
        <v>2052</v>
      </c>
    </row>
    <row r="32" spans="2:16" s="309" customFormat="1">
      <c r="B32" s="382">
        <v>28</v>
      </c>
      <c r="C32" s="460" t="s">
        <v>1120</v>
      </c>
      <c r="D32" s="460" t="s">
        <v>1663</v>
      </c>
      <c r="E32" s="463" t="s">
        <v>1731</v>
      </c>
      <c r="F32" s="463" t="s">
        <v>1735</v>
      </c>
      <c r="G32" s="463" t="s">
        <v>1740</v>
      </c>
      <c r="H32" s="463" t="s">
        <v>1078</v>
      </c>
      <c r="I32" s="380" t="s">
        <v>299</v>
      </c>
      <c r="J32" s="463" t="s">
        <v>1729</v>
      </c>
      <c r="K32" s="380">
        <v>1200</v>
      </c>
      <c r="L32" s="380">
        <v>2</v>
      </c>
      <c r="M32" s="380">
        <v>2</v>
      </c>
      <c r="N32" s="380" t="s">
        <v>1201</v>
      </c>
      <c r="O32" s="464" t="s">
        <v>1739</v>
      </c>
      <c r="P32" s="380" t="s">
        <v>2052</v>
      </c>
    </row>
    <row r="33" spans="2:16" s="309" customFormat="1">
      <c r="B33" s="382">
        <v>29</v>
      </c>
      <c r="C33" s="460" t="s">
        <v>1120</v>
      </c>
      <c r="D33" s="460" t="s">
        <v>1663</v>
      </c>
      <c r="E33" s="463" t="s">
        <v>1731</v>
      </c>
      <c r="F33" s="463" t="s">
        <v>1736</v>
      </c>
      <c r="G33" s="463" t="s">
        <v>1740</v>
      </c>
      <c r="H33" s="463" t="s">
        <v>1078</v>
      </c>
      <c r="I33" s="380" t="s">
        <v>299</v>
      </c>
      <c r="J33" s="463" t="s">
        <v>1738</v>
      </c>
      <c r="K33" s="380">
        <v>1200</v>
      </c>
      <c r="L33" s="380">
        <v>1</v>
      </c>
      <c r="M33" s="380">
        <v>1</v>
      </c>
      <c r="N33" s="380" t="s">
        <v>1201</v>
      </c>
      <c r="O33" s="464" t="s">
        <v>1739</v>
      </c>
      <c r="P33" s="380" t="s">
        <v>2052</v>
      </c>
    </row>
    <row r="34" spans="2:16" s="107" customFormat="1" ht="28.8">
      <c r="B34" s="259">
        <v>30</v>
      </c>
      <c r="C34" s="278" t="s">
        <v>2003</v>
      </c>
      <c r="D34" s="278" t="s">
        <v>1663</v>
      </c>
      <c r="E34" s="122" t="s">
        <v>2002</v>
      </c>
      <c r="F34" s="122" t="s">
        <v>2007</v>
      </c>
      <c r="G34" s="122" t="s">
        <v>2000</v>
      </c>
      <c r="H34" s="122" t="s">
        <v>2001</v>
      </c>
      <c r="I34" s="123" t="s">
        <v>301</v>
      </c>
      <c r="J34" s="122" t="s">
        <v>1999</v>
      </c>
      <c r="K34" s="123">
        <v>2700</v>
      </c>
      <c r="L34" s="123">
        <v>1</v>
      </c>
      <c r="M34" s="123">
        <v>1</v>
      </c>
      <c r="N34" s="123" t="s">
        <v>1201</v>
      </c>
      <c r="O34" s="357" t="s">
        <v>1998</v>
      </c>
      <c r="P34" s="123"/>
    </row>
    <row r="35" spans="2:16" s="107" customFormat="1" ht="28.8">
      <c r="B35" s="259">
        <v>31</v>
      </c>
      <c r="C35" s="278" t="s">
        <v>2008</v>
      </c>
      <c r="D35" s="278" t="s">
        <v>1663</v>
      </c>
      <c r="E35" s="122" t="s">
        <v>2002</v>
      </c>
      <c r="F35" s="122" t="s">
        <v>2006</v>
      </c>
      <c r="G35" s="122" t="s">
        <v>2000</v>
      </c>
      <c r="H35" s="122" t="s">
        <v>2001</v>
      </c>
      <c r="I35" s="123" t="s">
        <v>301</v>
      </c>
      <c r="J35" s="122" t="s">
        <v>2005</v>
      </c>
      <c r="K35" s="123">
        <v>2700</v>
      </c>
      <c r="L35" s="123">
        <v>3</v>
      </c>
      <c r="M35" s="123">
        <v>1</v>
      </c>
      <c r="N35" s="123" t="s">
        <v>1201</v>
      </c>
      <c r="O35" s="123" t="s">
        <v>2004</v>
      </c>
      <c r="P35" s="123"/>
    </row>
    <row r="36" spans="2:16" s="107" customFormat="1">
      <c r="B36" s="259">
        <v>32</v>
      </c>
      <c r="C36" s="278" t="s">
        <v>2013</v>
      </c>
      <c r="D36" s="278" t="s">
        <v>1663</v>
      </c>
      <c r="E36" s="122" t="s">
        <v>2012</v>
      </c>
      <c r="F36" s="122" t="s">
        <v>2011</v>
      </c>
      <c r="G36" s="122" t="s">
        <v>2000</v>
      </c>
      <c r="H36" s="122"/>
      <c r="I36" s="123" t="s">
        <v>301</v>
      </c>
      <c r="J36" s="122" t="s">
        <v>2010</v>
      </c>
      <c r="K36" s="123">
        <v>2500</v>
      </c>
      <c r="L36" s="123">
        <v>1</v>
      </c>
      <c r="M36" s="123">
        <v>1</v>
      </c>
      <c r="N36" s="123" t="s">
        <v>1201</v>
      </c>
      <c r="O36" s="357" t="s">
        <v>2009</v>
      </c>
      <c r="P36" s="123"/>
    </row>
    <row r="37" spans="2:16" s="107" customFormat="1">
      <c r="B37" s="259">
        <v>33</v>
      </c>
      <c r="C37" s="279" t="s">
        <v>2016</v>
      </c>
      <c r="D37" s="278" t="s">
        <v>1663</v>
      </c>
      <c r="E37" s="465" t="s">
        <v>2017</v>
      </c>
      <c r="F37" s="218" t="s">
        <v>2022</v>
      </c>
      <c r="G37" s="122" t="s">
        <v>2000</v>
      </c>
      <c r="H37" s="122" t="s">
        <v>2001</v>
      </c>
      <c r="I37" s="123" t="s">
        <v>301</v>
      </c>
      <c r="J37" s="122" t="s">
        <v>2015</v>
      </c>
      <c r="K37" s="123">
        <v>950</v>
      </c>
      <c r="L37" s="123">
        <v>2</v>
      </c>
      <c r="M37" s="123"/>
      <c r="N37" s="123" t="s">
        <v>1201</v>
      </c>
      <c r="O37" s="357" t="s">
        <v>2014</v>
      </c>
      <c r="P37" s="123"/>
    </row>
    <row r="38" spans="2:16" s="107" customFormat="1" ht="28.8">
      <c r="B38" s="259">
        <v>34</v>
      </c>
      <c r="C38" s="278" t="s">
        <v>2020</v>
      </c>
      <c r="D38" s="278" t="s">
        <v>1663</v>
      </c>
      <c r="E38" s="218" t="s">
        <v>2021</v>
      </c>
      <c r="F38" s="122" t="s">
        <v>2018</v>
      </c>
      <c r="G38" s="122" t="s">
        <v>2000</v>
      </c>
      <c r="H38" s="123"/>
      <c r="I38" s="123" t="s">
        <v>301</v>
      </c>
      <c r="J38" s="122" t="s">
        <v>2018</v>
      </c>
      <c r="K38" s="123">
        <v>1960</v>
      </c>
      <c r="L38" s="123">
        <v>2</v>
      </c>
      <c r="M38" s="123"/>
      <c r="N38" s="123" t="s">
        <v>1201</v>
      </c>
      <c r="O38" s="123" t="s">
        <v>2019</v>
      </c>
      <c r="P38" s="123"/>
    </row>
    <row r="39" spans="2:16" s="107" customFormat="1" hidden="1">
      <c r="B39" s="259">
        <v>35</v>
      </c>
      <c r="C39" s="278" t="s">
        <v>118</v>
      </c>
      <c r="D39" s="318"/>
      <c r="E39" s="270"/>
      <c r="F39" s="313" t="s">
        <v>139</v>
      </c>
      <c r="G39" s="122"/>
      <c r="H39" s="122"/>
      <c r="I39" s="317" t="s">
        <v>132</v>
      </c>
      <c r="J39" s="122"/>
      <c r="K39" s="123">
        <v>1000</v>
      </c>
      <c r="L39" s="123">
        <v>1</v>
      </c>
      <c r="M39" s="123"/>
      <c r="N39" s="123"/>
      <c r="O39" s="123"/>
      <c r="P39" s="123" t="s">
        <v>1102</v>
      </c>
    </row>
    <row r="40" spans="2:16" s="107" customFormat="1" hidden="1">
      <c r="B40" s="259">
        <v>36</v>
      </c>
      <c r="C40" s="278" t="s">
        <v>1122</v>
      </c>
      <c r="D40" s="318"/>
      <c r="E40" s="270"/>
      <c r="F40" s="313" t="s">
        <v>404</v>
      </c>
      <c r="G40" s="122"/>
      <c r="H40" s="122"/>
      <c r="I40" s="317" t="s">
        <v>397</v>
      </c>
      <c r="J40" s="122"/>
      <c r="K40" s="123">
        <v>1000</v>
      </c>
      <c r="L40" s="123">
        <v>1</v>
      </c>
      <c r="M40" s="123"/>
      <c r="N40" s="123"/>
      <c r="O40" s="123"/>
      <c r="P40" s="123" t="s">
        <v>1102</v>
      </c>
    </row>
    <row r="41" spans="2:16" s="107" customFormat="1" hidden="1">
      <c r="B41" s="259">
        <v>37</v>
      </c>
      <c r="C41" s="278" t="s">
        <v>1122</v>
      </c>
      <c r="D41" s="318"/>
      <c r="E41" s="270"/>
      <c r="F41" s="313" t="s">
        <v>405</v>
      </c>
      <c r="G41" s="122"/>
      <c r="H41" s="122"/>
      <c r="I41" s="317" t="s">
        <v>397</v>
      </c>
      <c r="J41" s="122"/>
      <c r="K41" s="123">
        <v>1000</v>
      </c>
      <c r="L41" s="123">
        <v>1</v>
      </c>
      <c r="M41" s="123"/>
      <c r="N41" s="123"/>
      <c r="O41" s="123"/>
      <c r="P41" s="123" t="s">
        <v>1102</v>
      </c>
    </row>
    <row r="42" spans="2:16" s="107" customFormat="1" hidden="1">
      <c r="B42" s="259">
        <v>38</v>
      </c>
      <c r="C42" s="278" t="s">
        <v>1120</v>
      </c>
      <c r="D42" s="318"/>
      <c r="E42" s="270"/>
      <c r="F42" s="313" t="s">
        <v>596</v>
      </c>
      <c r="G42" s="122"/>
      <c r="H42" s="122"/>
      <c r="I42" s="317" t="s">
        <v>302</v>
      </c>
      <c r="J42" s="122"/>
      <c r="K42" s="123">
        <v>1000</v>
      </c>
      <c r="L42" s="123">
        <v>1</v>
      </c>
      <c r="M42" s="123"/>
      <c r="N42" s="123"/>
      <c r="O42" s="123"/>
      <c r="P42" s="123"/>
    </row>
    <row r="43" spans="2:16" s="107" customFormat="1" hidden="1">
      <c r="B43" s="259">
        <v>39</v>
      </c>
      <c r="C43" s="278" t="s">
        <v>1267</v>
      </c>
      <c r="D43" s="318"/>
      <c r="E43" s="270"/>
      <c r="F43" s="313" t="s">
        <v>1266</v>
      </c>
      <c r="G43" s="122" t="s">
        <v>1259</v>
      </c>
      <c r="H43" s="122"/>
      <c r="I43" s="317" t="s">
        <v>471</v>
      </c>
      <c r="J43" s="122"/>
      <c r="K43" s="123"/>
      <c r="L43" s="123">
        <v>1</v>
      </c>
      <c r="M43" s="123"/>
      <c r="N43" s="125" t="s">
        <v>1201</v>
      </c>
      <c r="O43" s="123"/>
      <c r="P43" s="123"/>
    </row>
    <row r="44" spans="2:16" s="107" customFormat="1" hidden="1">
      <c r="B44" s="259">
        <v>40</v>
      </c>
      <c r="C44" s="278" t="s">
        <v>1267</v>
      </c>
      <c r="D44" s="318"/>
      <c r="E44" s="270"/>
      <c r="F44" s="313" t="s">
        <v>1266</v>
      </c>
      <c r="G44" s="122" t="s">
        <v>1259</v>
      </c>
      <c r="H44" s="122"/>
      <c r="I44" s="317" t="s">
        <v>471</v>
      </c>
      <c r="J44" s="122"/>
      <c r="K44" s="123"/>
      <c r="L44" s="123">
        <v>1</v>
      </c>
      <c r="M44" s="123"/>
      <c r="N44" s="125" t="s">
        <v>1201</v>
      </c>
      <c r="O44" s="123"/>
      <c r="P44" s="123"/>
    </row>
    <row r="45" spans="2:16" s="107" customFormat="1" hidden="1">
      <c r="B45" s="259">
        <v>41</v>
      </c>
      <c r="C45" s="279" t="s">
        <v>1105</v>
      </c>
      <c r="D45" s="371"/>
      <c r="E45" s="271"/>
      <c r="F45" s="313" t="s">
        <v>768</v>
      </c>
      <c r="G45" s="123"/>
      <c r="H45" s="123"/>
      <c r="I45" s="314" t="s">
        <v>302</v>
      </c>
      <c r="J45" s="122"/>
      <c r="K45" s="123">
        <v>800</v>
      </c>
      <c r="L45" s="123">
        <v>1</v>
      </c>
      <c r="M45" s="123"/>
      <c r="N45" s="123"/>
      <c r="O45" s="123"/>
      <c r="P45" s="123"/>
    </row>
    <row r="46" spans="2:16" s="107" customFormat="1" hidden="1">
      <c r="B46" s="259">
        <v>42</v>
      </c>
      <c r="C46" s="279" t="s">
        <v>1105</v>
      </c>
      <c r="D46" s="371"/>
      <c r="E46" s="271"/>
      <c r="F46" s="313" t="s">
        <v>769</v>
      </c>
      <c r="G46" s="123"/>
      <c r="H46" s="123"/>
      <c r="I46" s="314" t="s">
        <v>755</v>
      </c>
      <c r="J46" s="122"/>
      <c r="K46" s="123">
        <v>800</v>
      </c>
      <c r="L46" s="123">
        <v>1</v>
      </c>
      <c r="M46" s="123"/>
      <c r="N46" s="123"/>
      <c r="O46" s="123"/>
      <c r="P46" s="123"/>
    </row>
    <row r="47" spans="2:16" s="107" customFormat="1" hidden="1">
      <c r="B47" s="259">
        <v>43</v>
      </c>
      <c r="C47" s="278" t="s">
        <v>1105</v>
      </c>
      <c r="D47" s="318"/>
      <c r="E47" s="270"/>
      <c r="F47" s="313" t="s">
        <v>997</v>
      </c>
      <c r="G47" s="122"/>
      <c r="H47" s="122"/>
      <c r="I47" s="317" t="s">
        <v>996</v>
      </c>
      <c r="J47" s="122"/>
      <c r="K47" s="123">
        <v>800</v>
      </c>
      <c r="L47" s="123">
        <v>1</v>
      </c>
      <c r="M47" s="123"/>
      <c r="N47" s="123"/>
      <c r="O47" s="123"/>
      <c r="P47" s="123"/>
    </row>
    <row r="48" spans="2:16" s="107" customFormat="1" hidden="1">
      <c r="B48" s="259">
        <v>44</v>
      </c>
      <c r="C48" s="278" t="s">
        <v>467</v>
      </c>
      <c r="D48" s="318"/>
      <c r="E48" s="270"/>
      <c r="F48" s="313" t="s">
        <v>1011</v>
      </c>
      <c r="G48" s="122"/>
      <c r="H48" s="122"/>
      <c r="I48" s="317" t="s">
        <v>470</v>
      </c>
      <c r="J48" s="122"/>
      <c r="K48" s="123">
        <v>800</v>
      </c>
      <c r="L48" s="123">
        <v>3</v>
      </c>
      <c r="M48" s="123"/>
      <c r="N48" s="123"/>
      <c r="O48" s="123"/>
      <c r="P48" s="123"/>
    </row>
    <row r="49" spans="2:16" s="107" customFormat="1" hidden="1">
      <c r="B49" s="259">
        <v>45</v>
      </c>
      <c r="C49" s="278" t="s">
        <v>14</v>
      </c>
      <c r="D49" s="318"/>
      <c r="E49" s="270"/>
      <c r="F49" s="313" t="s">
        <v>110</v>
      </c>
      <c r="G49" s="122"/>
      <c r="H49" s="122"/>
      <c r="I49" s="317" t="s">
        <v>104</v>
      </c>
      <c r="J49" s="122"/>
      <c r="K49" s="123">
        <v>500</v>
      </c>
      <c r="L49" s="123">
        <v>1</v>
      </c>
      <c r="M49" s="123"/>
      <c r="N49" s="123"/>
      <c r="O49" s="123"/>
      <c r="P49" s="123"/>
    </row>
    <row r="50" spans="2:16" s="107" customFormat="1" hidden="1">
      <c r="B50" s="259">
        <v>46</v>
      </c>
      <c r="C50" s="278" t="s">
        <v>19</v>
      </c>
      <c r="D50" s="318"/>
      <c r="E50" s="270"/>
      <c r="F50" s="313" t="s">
        <v>1009</v>
      </c>
      <c r="G50" s="122"/>
      <c r="H50" s="122"/>
      <c r="I50" s="317" t="s">
        <v>1008</v>
      </c>
      <c r="J50" s="122"/>
      <c r="K50" s="123">
        <v>400</v>
      </c>
      <c r="L50" s="123">
        <v>1</v>
      </c>
      <c r="M50" s="123"/>
      <c r="N50" s="123"/>
      <c r="O50" s="123"/>
      <c r="P50" s="123"/>
    </row>
    <row r="51" spans="2:16" s="107" customFormat="1" hidden="1">
      <c r="B51" s="259">
        <v>47</v>
      </c>
      <c r="C51" s="278" t="s">
        <v>273</v>
      </c>
      <c r="D51" s="318"/>
      <c r="E51" s="270"/>
      <c r="F51" s="313">
        <v>930.83</v>
      </c>
      <c r="G51" s="122"/>
      <c r="H51" s="122"/>
      <c r="I51" s="317" t="s">
        <v>303</v>
      </c>
      <c r="J51" s="122"/>
      <c r="K51" s="123">
        <v>300</v>
      </c>
      <c r="L51" s="123">
        <v>1</v>
      </c>
      <c r="M51" s="123"/>
      <c r="N51" s="123"/>
      <c r="O51" s="123"/>
      <c r="P51" s="123"/>
    </row>
    <row r="52" spans="2:16" s="107" customFormat="1" hidden="1">
      <c r="B52" s="259">
        <v>48</v>
      </c>
      <c r="C52" s="278" t="s">
        <v>609</v>
      </c>
      <c r="D52" s="318"/>
      <c r="E52" s="270"/>
      <c r="F52" s="313" t="s">
        <v>594</v>
      </c>
      <c r="G52" s="122"/>
      <c r="H52" s="122"/>
      <c r="I52" s="317" t="s">
        <v>585</v>
      </c>
      <c r="J52" s="122"/>
      <c r="K52" s="123">
        <v>300</v>
      </c>
      <c r="L52" s="123">
        <v>1</v>
      </c>
      <c r="M52" s="123"/>
      <c r="N52" s="123"/>
      <c r="O52" s="123"/>
      <c r="P52" s="123"/>
    </row>
    <row r="53" spans="2:16" s="107" customFormat="1" hidden="1">
      <c r="B53" s="259">
        <v>49</v>
      </c>
      <c r="C53" s="278" t="s">
        <v>272</v>
      </c>
      <c r="D53" s="318"/>
      <c r="E53" s="270"/>
      <c r="F53" s="313" t="s">
        <v>306</v>
      </c>
      <c r="G53" s="122"/>
      <c r="H53" s="122"/>
      <c r="I53" s="317" t="s">
        <v>300</v>
      </c>
      <c r="J53" s="122"/>
      <c r="K53" s="123">
        <v>250</v>
      </c>
      <c r="L53" s="123">
        <v>2</v>
      </c>
      <c r="M53" s="123"/>
      <c r="N53" s="123"/>
      <c r="O53" s="123"/>
      <c r="P53" s="123"/>
    </row>
    <row r="54" spans="2:16" s="107" customFormat="1" hidden="1">
      <c r="B54" s="259">
        <v>50</v>
      </c>
      <c r="C54" s="278" t="s">
        <v>468</v>
      </c>
      <c r="D54" s="318"/>
      <c r="E54" s="270"/>
      <c r="F54" s="313" t="s">
        <v>473</v>
      </c>
      <c r="G54" s="122"/>
      <c r="H54" s="122"/>
      <c r="I54" s="317" t="s">
        <v>302</v>
      </c>
      <c r="J54" s="122"/>
      <c r="K54" s="123">
        <v>250</v>
      </c>
      <c r="L54" s="123">
        <v>1</v>
      </c>
      <c r="M54" s="123"/>
      <c r="N54" s="123"/>
      <c r="O54" s="123"/>
      <c r="P54" s="123"/>
    </row>
    <row r="55" spans="2:16" s="107" customFormat="1" hidden="1">
      <c r="B55" s="259">
        <v>51</v>
      </c>
      <c r="C55" s="279" t="s">
        <v>273</v>
      </c>
      <c r="D55" s="371"/>
      <c r="E55" s="271"/>
      <c r="F55" s="313" t="s">
        <v>758</v>
      </c>
      <c r="G55" s="123"/>
      <c r="H55" s="123"/>
      <c r="I55" s="314" t="s">
        <v>752</v>
      </c>
      <c r="J55" s="122"/>
      <c r="K55" s="123">
        <v>250</v>
      </c>
      <c r="L55" s="123">
        <v>1</v>
      </c>
      <c r="M55" s="123"/>
      <c r="N55" s="123"/>
      <c r="O55" s="123"/>
      <c r="P55" s="123"/>
    </row>
    <row r="56" spans="2:16" s="107" customFormat="1" hidden="1">
      <c r="B56" s="259">
        <v>52</v>
      </c>
      <c r="C56" s="279" t="s">
        <v>19</v>
      </c>
      <c r="D56" s="371"/>
      <c r="E56" s="271"/>
      <c r="F56" s="313" t="s">
        <v>763</v>
      </c>
      <c r="G56" s="123"/>
      <c r="H56" s="123"/>
      <c r="I56" s="314" t="s">
        <v>590</v>
      </c>
      <c r="J56" s="122"/>
      <c r="K56" s="123">
        <v>250</v>
      </c>
      <c r="L56" s="123">
        <v>1</v>
      </c>
      <c r="M56" s="123"/>
      <c r="N56" s="123"/>
      <c r="O56" s="123"/>
      <c r="P56" s="123"/>
    </row>
    <row r="57" spans="2:16" s="107" customFormat="1" hidden="1">
      <c r="B57" s="259">
        <v>53</v>
      </c>
      <c r="C57" s="278" t="s">
        <v>608</v>
      </c>
      <c r="D57" s="318"/>
      <c r="E57" s="270"/>
      <c r="F57" s="313" t="s">
        <v>1010</v>
      </c>
      <c r="G57" s="122"/>
      <c r="H57" s="122"/>
      <c r="I57" s="317" t="s">
        <v>470</v>
      </c>
      <c r="J57" s="122"/>
      <c r="K57" s="123">
        <v>250</v>
      </c>
      <c r="L57" s="123">
        <v>1</v>
      </c>
      <c r="M57" s="123"/>
      <c r="N57" s="123"/>
      <c r="O57" s="123"/>
      <c r="P57" s="123"/>
    </row>
    <row r="58" spans="2:16" s="107" customFormat="1" hidden="1">
      <c r="B58" s="259">
        <v>54</v>
      </c>
      <c r="C58" s="278" t="s">
        <v>273</v>
      </c>
      <c r="D58" s="318"/>
      <c r="E58" s="270"/>
      <c r="F58" s="313" t="s">
        <v>761</v>
      </c>
      <c r="G58" s="122"/>
      <c r="H58" s="122"/>
      <c r="I58" s="317" t="s">
        <v>752</v>
      </c>
      <c r="J58" s="122"/>
      <c r="K58" s="123">
        <v>250</v>
      </c>
      <c r="L58" s="123">
        <v>1</v>
      </c>
      <c r="M58" s="123"/>
      <c r="N58" s="123"/>
      <c r="O58" s="123"/>
      <c r="P58" s="123"/>
    </row>
    <row r="59" spans="2:16" s="107" customFormat="1" hidden="1">
      <c r="B59" s="259">
        <v>55</v>
      </c>
      <c r="C59" s="278" t="s">
        <v>608</v>
      </c>
      <c r="D59" s="318"/>
      <c r="E59" s="270"/>
      <c r="F59" s="313" t="s">
        <v>756</v>
      </c>
      <c r="G59" s="259" t="s">
        <v>1335</v>
      </c>
      <c r="H59" s="259"/>
      <c r="I59" s="317" t="s">
        <v>750</v>
      </c>
      <c r="J59" s="122"/>
      <c r="K59" s="123">
        <v>250</v>
      </c>
      <c r="L59" s="123">
        <v>3</v>
      </c>
      <c r="M59" s="123"/>
      <c r="N59" s="123"/>
      <c r="O59" s="123"/>
      <c r="P59" s="123"/>
    </row>
    <row r="60" spans="2:16" s="107" customFormat="1" hidden="1">
      <c r="B60" s="259">
        <v>56</v>
      </c>
      <c r="C60" s="288" t="s">
        <v>195</v>
      </c>
      <c r="D60" s="372"/>
      <c r="E60" s="289"/>
      <c r="F60" s="376" t="s">
        <v>199</v>
      </c>
      <c r="G60" s="290"/>
      <c r="H60" s="290"/>
      <c r="I60" s="317" t="s">
        <v>198</v>
      </c>
      <c r="J60" s="293"/>
      <c r="K60" s="123">
        <v>200</v>
      </c>
      <c r="L60" s="123">
        <v>1</v>
      </c>
      <c r="M60" s="123"/>
      <c r="N60" s="123"/>
      <c r="O60" s="123"/>
      <c r="P60" s="123" t="s">
        <v>200</v>
      </c>
    </row>
    <row r="61" spans="2:16" s="107" customFormat="1" hidden="1">
      <c r="B61" s="259">
        <v>57</v>
      </c>
      <c r="C61" s="278" t="s">
        <v>1077</v>
      </c>
      <c r="D61" s="318"/>
      <c r="E61" s="270"/>
      <c r="F61" s="313" t="s">
        <v>1512</v>
      </c>
      <c r="G61" s="122" t="s">
        <v>1504</v>
      </c>
      <c r="H61" s="122"/>
      <c r="I61" s="317" t="s">
        <v>994</v>
      </c>
      <c r="J61" s="122"/>
      <c r="K61" s="123">
        <v>150</v>
      </c>
      <c r="L61" s="123">
        <v>5</v>
      </c>
      <c r="M61" s="123"/>
      <c r="N61" s="123"/>
      <c r="O61" s="123"/>
      <c r="P61" s="156"/>
    </row>
    <row r="62" spans="2:16" s="107" customFormat="1" hidden="1">
      <c r="B62" s="259">
        <v>58</v>
      </c>
      <c r="C62" s="278" t="s">
        <v>1081</v>
      </c>
      <c r="D62" s="318"/>
      <c r="E62" s="270"/>
      <c r="F62" s="313" t="s">
        <v>1080</v>
      </c>
      <c r="G62" s="122"/>
      <c r="H62" s="122"/>
      <c r="I62" s="317" t="s">
        <v>1079</v>
      </c>
      <c r="J62" s="122"/>
      <c r="K62" s="123">
        <v>40</v>
      </c>
      <c r="L62" s="123">
        <v>10</v>
      </c>
      <c r="M62" s="123"/>
      <c r="N62" s="123"/>
      <c r="O62" s="123"/>
      <c r="P62" s="156"/>
    </row>
    <row r="63" spans="2:16" s="107" customFormat="1" hidden="1">
      <c r="B63" s="259">
        <v>59</v>
      </c>
      <c r="C63" s="278" t="s">
        <v>1081</v>
      </c>
      <c r="D63" s="318"/>
      <c r="E63" s="270"/>
      <c r="F63" s="313" t="s">
        <v>1086</v>
      </c>
      <c r="G63" s="122"/>
      <c r="H63" s="122"/>
      <c r="I63" s="317" t="s">
        <v>1085</v>
      </c>
      <c r="J63" s="122"/>
      <c r="K63" s="123">
        <v>150</v>
      </c>
      <c r="L63" s="123">
        <v>4</v>
      </c>
      <c r="M63" s="123"/>
      <c r="N63" s="123"/>
      <c r="O63" s="123"/>
      <c r="P63" s="156"/>
    </row>
    <row r="64" spans="2:16" s="107" customFormat="1" hidden="1">
      <c r="B64" s="259">
        <v>60</v>
      </c>
      <c r="C64" s="280" t="s">
        <v>1112</v>
      </c>
      <c r="D64" s="365"/>
      <c r="E64" s="272"/>
      <c r="F64" s="314" t="s">
        <v>1115</v>
      </c>
      <c r="G64" s="293"/>
      <c r="H64" s="293"/>
      <c r="I64" s="314" t="s">
        <v>1113</v>
      </c>
      <c r="J64" s="156"/>
      <c r="K64" s="156">
        <v>46000</v>
      </c>
      <c r="L64" s="156">
        <v>1</v>
      </c>
      <c r="M64" s="156"/>
      <c r="N64" s="156"/>
      <c r="O64" s="156"/>
      <c r="P64" s="156" t="s">
        <v>1114</v>
      </c>
    </row>
    <row r="65" spans="2:16" s="107" customFormat="1" hidden="1">
      <c r="B65" s="259">
        <v>61</v>
      </c>
      <c r="C65" s="278" t="s">
        <v>15</v>
      </c>
      <c r="D65" s="318"/>
      <c r="E65" s="270"/>
      <c r="F65" s="313" t="s">
        <v>1135</v>
      </c>
      <c r="G65" s="122" t="s">
        <v>1504</v>
      </c>
      <c r="H65" s="122"/>
      <c r="I65" s="313"/>
      <c r="J65" s="122"/>
      <c r="K65" s="156">
        <v>200</v>
      </c>
      <c r="L65" s="156">
        <v>2</v>
      </c>
      <c r="M65" s="156"/>
      <c r="N65" s="156"/>
      <c r="O65" s="156"/>
      <c r="P65" s="156"/>
    </row>
    <row r="66" spans="2:16" s="107" customFormat="1" hidden="1">
      <c r="B66" s="259">
        <v>62</v>
      </c>
      <c r="C66" s="278" t="s">
        <v>15</v>
      </c>
      <c r="D66" s="318"/>
      <c r="E66" s="270"/>
      <c r="F66" s="313" t="s">
        <v>1136</v>
      </c>
      <c r="G66" s="122" t="s">
        <v>1504</v>
      </c>
      <c r="H66" s="122"/>
      <c r="I66" s="313"/>
      <c r="J66" s="122"/>
      <c r="K66" s="156">
        <v>200</v>
      </c>
      <c r="L66" s="156">
        <v>2</v>
      </c>
      <c r="M66" s="156"/>
      <c r="N66" s="156"/>
      <c r="O66" s="156"/>
      <c r="P66" s="156"/>
    </row>
    <row r="67" spans="2:16" s="107" customFormat="1" hidden="1">
      <c r="B67" s="259">
        <v>63</v>
      </c>
      <c r="C67" s="278" t="s">
        <v>15</v>
      </c>
      <c r="D67" s="318"/>
      <c r="E67" s="270"/>
      <c r="F67" s="313" t="s">
        <v>1137</v>
      </c>
      <c r="G67" s="122" t="s">
        <v>1504</v>
      </c>
      <c r="H67" s="122"/>
      <c r="I67" s="313"/>
      <c r="J67" s="122"/>
      <c r="K67" s="156">
        <v>200</v>
      </c>
      <c r="L67" s="156">
        <v>1</v>
      </c>
      <c r="M67" s="156"/>
      <c r="N67" s="156"/>
      <c r="O67" s="156"/>
      <c r="P67" s="156"/>
    </row>
    <row r="68" spans="2:16" s="107" customFormat="1" hidden="1">
      <c r="B68" s="259">
        <v>64</v>
      </c>
      <c r="C68" s="278" t="s">
        <v>15</v>
      </c>
      <c r="D68" s="318"/>
      <c r="E68" s="270"/>
      <c r="F68" s="313" t="s">
        <v>1138</v>
      </c>
      <c r="G68" s="122"/>
      <c r="H68" s="122"/>
      <c r="I68" s="313" t="s">
        <v>129</v>
      </c>
      <c r="J68" s="122"/>
      <c r="K68" s="156">
        <v>1000</v>
      </c>
      <c r="L68" s="156">
        <v>5</v>
      </c>
      <c r="M68" s="156"/>
      <c r="N68" s="156"/>
      <c r="O68" s="156"/>
      <c r="P68" s="156"/>
    </row>
    <row r="69" spans="2:16" s="107" customFormat="1" hidden="1">
      <c r="B69" s="259">
        <v>65</v>
      </c>
      <c r="C69" s="278" t="s">
        <v>15</v>
      </c>
      <c r="D69" s="318"/>
      <c r="E69" s="270"/>
      <c r="F69" s="313" t="s">
        <v>1139</v>
      </c>
      <c r="G69" s="122"/>
      <c r="H69" s="122"/>
      <c r="I69" s="313" t="s">
        <v>129</v>
      </c>
      <c r="J69" s="122"/>
      <c r="K69" s="156">
        <v>1000</v>
      </c>
      <c r="L69" s="156">
        <v>5</v>
      </c>
      <c r="M69" s="156"/>
      <c r="N69" s="156"/>
      <c r="O69" s="156"/>
      <c r="P69" s="156"/>
    </row>
    <row r="70" spans="2:16" s="312" customFormat="1">
      <c r="B70" s="227">
        <v>66</v>
      </c>
      <c r="C70" s="466" t="s">
        <v>1224</v>
      </c>
      <c r="D70" s="433" t="s">
        <v>1663</v>
      </c>
      <c r="E70" s="461" t="s">
        <v>1783</v>
      </c>
      <c r="F70" s="260" t="s">
        <v>1234</v>
      </c>
      <c r="G70" s="461" t="s">
        <v>1242</v>
      </c>
      <c r="H70" s="461"/>
      <c r="I70" s="260" t="s">
        <v>149</v>
      </c>
      <c r="J70" s="260" t="s">
        <v>1200</v>
      </c>
      <c r="K70" s="260">
        <v>8000</v>
      </c>
      <c r="L70" s="260">
        <v>2</v>
      </c>
      <c r="M70" s="260">
        <v>1</v>
      </c>
      <c r="N70" s="260" t="s">
        <v>1201</v>
      </c>
      <c r="O70" s="462" t="s">
        <v>1784</v>
      </c>
      <c r="P70" s="380" t="s">
        <v>2052</v>
      </c>
    </row>
    <row r="71" spans="2:16" s="107" customFormat="1" hidden="1">
      <c r="B71" s="259">
        <v>67</v>
      </c>
      <c r="C71" s="280" t="s">
        <v>1084</v>
      </c>
      <c r="D71" s="365"/>
      <c r="E71" s="272"/>
      <c r="F71" s="314" t="s">
        <v>1124</v>
      </c>
      <c r="G71" s="293" t="s">
        <v>1504</v>
      </c>
      <c r="H71" s="293"/>
      <c r="I71" s="317" t="s">
        <v>994</v>
      </c>
      <c r="J71" s="156"/>
      <c r="K71" s="156">
        <v>3500</v>
      </c>
      <c r="L71" s="156">
        <v>1</v>
      </c>
      <c r="M71" s="156"/>
      <c r="N71" s="156"/>
      <c r="O71" s="156"/>
      <c r="P71" s="156"/>
    </row>
    <row r="72" spans="2:16" s="107" customFormat="1" hidden="1">
      <c r="B72" s="259">
        <v>68</v>
      </c>
      <c r="C72" s="278" t="s">
        <v>1123</v>
      </c>
      <c r="D72" s="318"/>
      <c r="E72" s="270"/>
      <c r="F72" s="314" t="s">
        <v>1125</v>
      </c>
      <c r="G72" s="122"/>
      <c r="H72" s="122"/>
      <c r="I72" s="314" t="s">
        <v>754</v>
      </c>
      <c r="J72" s="156"/>
      <c r="K72" s="156">
        <v>1200</v>
      </c>
      <c r="L72" s="156">
        <v>1</v>
      </c>
      <c r="M72" s="156"/>
      <c r="N72" s="156" t="s">
        <v>1201</v>
      </c>
      <c r="O72" s="294"/>
      <c r="P72" s="156"/>
    </row>
    <row r="73" spans="2:16" s="107" customFormat="1" hidden="1">
      <c r="B73" s="259">
        <v>69</v>
      </c>
      <c r="C73" s="278" t="s">
        <v>1123</v>
      </c>
      <c r="D73" s="318"/>
      <c r="E73" s="270"/>
      <c r="F73" s="314" t="s">
        <v>1126</v>
      </c>
      <c r="G73" s="122"/>
      <c r="H73" s="122"/>
      <c r="I73" s="314" t="s">
        <v>754</v>
      </c>
      <c r="J73" s="156"/>
      <c r="K73" s="156">
        <v>1200</v>
      </c>
      <c r="L73" s="156">
        <v>2</v>
      </c>
      <c r="M73" s="156"/>
      <c r="N73" s="156" t="s">
        <v>1201</v>
      </c>
      <c r="O73" s="294"/>
      <c r="P73" s="156"/>
    </row>
    <row r="74" spans="2:16" s="107" customFormat="1" hidden="1">
      <c r="B74" s="259">
        <v>70</v>
      </c>
      <c r="C74" s="278" t="s">
        <v>1123</v>
      </c>
      <c r="D74" s="318"/>
      <c r="E74" s="270"/>
      <c r="F74" s="314" t="s">
        <v>599</v>
      </c>
      <c r="G74" s="122"/>
      <c r="H74" s="122"/>
      <c r="I74" s="314" t="s">
        <v>754</v>
      </c>
      <c r="J74" s="156"/>
      <c r="K74" s="156">
        <v>1200</v>
      </c>
      <c r="L74" s="156">
        <v>1</v>
      </c>
      <c r="M74" s="156"/>
      <c r="N74" s="156" t="s">
        <v>1201</v>
      </c>
      <c r="O74" s="294"/>
      <c r="P74" s="156" t="s">
        <v>1127</v>
      </c>
    </row>
    <row r="75" spans="2:16" s="309" customFormat="1" ht="28.8" hidden="1">
      <c r="B75" s="382"/>
      <c r="C75" s="425" t="s">
        <v>1670</v>
      </c>
      <c r="D75" s="425" t="s">
        <v>1588</v>
      </c>
      <c r="E75" s="402" t="s">
        <v>1659</v>
      </c>
      <c r="F75" s="402" t="s">
        <v>1658</v>
      </c>
      <c r="G75" s="426" t="s">
        <v>1287</v>
      </c>
      <c r="H75" s="388" t="s">
        <v>1308</v>
      </c>
      <c r="I75" s="380" t="s">
        <v>589</v>
      </c>
      <c r="J75" s="399" t="s">
        <v>1461</v>
      </c>
      <c r="K75" s="427"/>
      <c r="L75" s="400">
        <v>1</v>
      </c>
      <c r="M75" s="428">
        <v>1</v>
      </c>
      <c r="N75" s="399" t="s">
        <v>1201</v>
      </c>
      <c r="O75" s="394" t="s">
        <v>1680</v>
      </c>
      <c r="P75" s="388" t="s">
        <v>2054</v>
      </c>
    </row>
    <row r="76" spans="2:16" s="107" customFormat="1" ht="28.8">
      <c r="B76" s="259">
        <v>72</v>
      </c>
      <c r="C76" s="280" t="s">
        <v>1979</v>
      </c>
      <c r="D76" s="280" t="s">
        <v>1663</v>
      </c>
      <c r="E76" s="467" t="s">
        <v>1980</v>
      </c>
      <c r="F76" s="156" t="s">
        <v>765</v>
      </c>
      <c r="G76" s="447" t="s">
        <v>1987</v>
      </c>
      <c r="H76" s="293"/>
      <c r="I76" s="156" t="s">
        <v>753</v>
      </c>
      <c r="J76" s="468" t="s">
        <v>765</v>
      </c>
      <c r="K76" s="156">
        <v>1200</v>
      </c>
      <c r="L76" s="469">
        <v>1</v>
      </c>
      <c r="M76" s="156"/>
      <c r="N76" s="156" t="s">
        <v>1201</v>
      </c>
      <c r="O76" s="357" t="s">
        <v>1978</v>
      </c>
      <c r="P76" s="156"/>
    </row>
    <row r="77" spans="2:16" s="107" customFormat="1" hidden="1">
      <c r="B77" s="259">
        <v>73</v>
      </c>
      <c r="C77" s="278" t="s">
        <v>19</v>
      </c>
      <c r="D77" s="318"/>
      <c r="E77" s="270"/>
      <c r="F77" s="375" t="s">
        <v>74</v>
      </c>
      <c r="G77" s="122"/>
      <c r="H77" s="302"/>
      <c r="I77" s="366" t="s">
        <v>1298</v>
      </c>
      <c r="J77" s="122" t="s">
        <v>1297</v>
      </c>
      <c r="K77" s="123">
        <v>3000</v>
      </c>
      <c r="L77" s="156">
        <v>1</v>
      </c>
      <c r="M77" s="156"/>
      <c r="N77" s="156" t="s">
        <v>1201</v>
      </c>
      <c r="O77" s="156"/>
      <c r="P77" s="156"/>
    </row>
    <row r="78" spans="2:16" s="312" customFormat="1">
      <c r="B78" s="227"/>
      <c r="C78" s="466" t="s">
        <v>1224</v>
      </c>
      <c r="D78" s="433" t="s">
        <v>1663</v>
      </c>
      <c r="E78" s="461" t="s">
        <v>1783</v>
      </c>
      <c r="F78" s="470" t="s">
        <v>1786</v>
      </c>
      <c r="G78" s="461" t="s">
        <v>1242</v>
      </c>
      <c r="H78" s="471"/>
      <c r="I78" s="260" t="s">
        <v>149</v>
      </c>
      <c r="J78" s="461" t="s">
        <v>1787</v>
      </c>
      <c r="K78" s="260">
        <v>3000</v>
      </c>
      <c r="L78" s="260">
        <v>1</v>
      </c>
      <c r="M78" s="260"/>
      <c r="N78" s="260" t="s">
        <v>1201</v>
      </c>
      <c r="O78" s="472" t="s">
        <v>1785</v>
      </c>
      <c r="P78" s="380" t="s">
        <v>2052</v>
      </c>
    </row>
    <row r="79" spans="2:16" s="107" customFormat="1" hidden="1">
      <c r="B79" s="338">
        <v>75</v>
      </c>
      <c r="C79" s="344" t="s">
        <v>170</v>
      </c>
      <c r="D79" s="354"/>
      <c r="E79" s="345"/>
      <c r="F79" s="348" t="s">
        <v>1155</v>
      </c>
      <c r="G79" s="349" t="s">
        <v>1281</v>
      </c>
      <c r="H79" s="349"/>
      <c r="I79" s="347" t="s">
        <v>101</v>
      </c>
      <c r="J79" s="348"/>
      <c r="K79" s="348">
        <v>4500</v>
      </c>
      <c r="L79" s="347" t="s">
        <v>1078</v>
      </c>
      <c r="M79" s="348"/>
      <c r="N79" s="348" t="s">
        <v>1199</v>
      </c>
      <c r="O79" s="346"/>
      <c r="P79" s="341" t="s">
        <v>1203</v>
      </c>
    </row>
    <row r="80" spans="2:16" s="309" customFormat="1" hidden="1">
      <c r="B80" s="382"/>
      <c r="C80" s="429" t="s">
        <v>1671</v>
      </c>
      <c r="D80" s="425" t="s">
        <v>1588</v>
      </c>
      <c r="E80" s="400" t="s">
        <v>1660</v>
      </c>
      <c r="F80" s="400" t="s">
        <v>1661</v>
      </c>
      <c r="G80" s="426" t="s">
        <v>1287</v>
      </c>
      <c r="H80" s="402"/>
      <c r="I80" s="380" t="s">
        <v>589</v>
      </c>
      <c r="J80" s="400" t="s">
        <v>1662</v>
      </c>
      <c r="K80" s="400"/>
      <c r="L80" s="400">
        <v>1</v>
      </c>
      <c r="M80" s="430">
        <v>1</v>
      </c>
      <c r="N80" s="391" t="s">
        <v>1201</v>
      </c>
      <c r="O80" s="395" t="s">
        <v>1681</v>
      </c>
      <c r="P80" s="382" t="s">
        <v>2052</v>
      </c>
    </row>
    <row r="81" spans="2:21" s="107" customFormat="1">
      <c r="B81" s="259">
        <v>78</v>
      </c>
      <c r="C81" s="295" t="s">
        <v>1077</v>
      </c>
      <c r="D81" s="295" t="s">
        <v>1663</v>
      </c>
      <c r="E81" s="156" t="s">
        <v>1937</v>
      </c>
      <c r="F81" s="473" t="s">
        <v>1936</v>
      </c>
      <c r="G81" s="156" t="s">
        <v>1934</v>
      </c>
      <c r="H81" s="156"/>
      <c r="I81" s="156" t="s">
        <v>1935</v>
      </c>
      <c r="J81" s="156">
        <v>6211</v>
      </c>
      <c r="K81" s="156">
        <v>600</v>
      </c>
      <c r="L81" s="156">
        <v>1</v>
      </c>
      <c r="M81" s="156"/>
      <c r="N81" s="156" t="s">
        <v>1201</v>
      </c>
      <c r="O81" s="357" t="s">
        <v>1933</v>
      </c>
      <c r="P81" s="358"/>
    </row>
    <row r="82" spans="2:21" s="107" customFormat="1">
      <c r="B82" s="259">
        <v>79</v>
      </c>
      <c r="C82" s="295" t="s">
        <v>1941</v>
      </c>
      <c r="D82" s="295" t="s">
        <v>1663</v>
      </c>
      <c r="E82" s="156" t="s">
        <v>1938</v>
      </c>
      <c r="F82" s="123" t="s">
        <v>1939</v>
      </c>
      <c r="G82" s="156" t="s">
        <v>1934</v>
      </c>
      <c r="H82" s="156"/>
      <c r="I82" s="156" t="s">
        <v>1935</v>
      </c>
      <c r="J82" s="156">
        <v>533352</v>
      </c>
      <c r="K82" s="156">
        <v>500</v>
      </c>
      <c r="L82" s="156">
        <v>1</v>
      </c>
      <c r="M82" s="156"/>
      <c r="N82" s="156" t="s">
        <v>1201</v>
      </c>
      <c r="O82" s="357" t="s">
        <v>1940</v>
      </c>
      <c r="P82" s="358"/>
    </row>
    <row r="83" spans="2:21" s="107" customFormat="1" hidden="1">
      <c r="B83" s="259">
        <v>80</v>
      </c>
      <c r="C83" s="295" t="s">
        <v>1111</v>
      </c>
      <c r="D83" s="373"/>
      <c r="E83" s="296"/>
      <c r="F83" s="314" t="s">
        <v>1212</v>
      </c>
      <c r="G83" s="156"/>
      <c r="H83" s="156"/>
      <c r="I83" s="314" t="s">
        <v>754</v>
      </c>
      <c r="J83" s="259"/>
      <c r="K83" s="156">
        <v>1500</v>
      </c>
      <c r="L83" s="156">
        <v>1</v>
      </c>
      <c r="M83" s="156"/>
      <c r="N83" s="156" t="s">
        <v>1201</v>
      </c>
      <c r="O83" s="294"/>
      <c r="P83" s="156"/>
    </row>
    <row r="84" spans="2:21" s="107" customFormat="1" hidden="1">
      <c r="B84" s="259">
        <v>81</v>
      </c>
      <c r="C84" s="279" t="s">
        <v>1111</v>
      </c>
      <c r="D84" s="371"/>
      <c r="E84" s="271"/>
      <c r="F84" s="314" t="s">
        <v>767</v>
      </c>
      <c r="G84" s="123"/>
      <c r="H84" s="123"/>
      <c r="I84" s="314" t="s">
        <v>754</v>
      </c>
      <c r="J84" s="122"/>
      <c r="K84" s="123">
        <v>800</v>
      </c>
      <c r="L84" s="123">
        <v>1</v>
      </c>
      <c r="M84" s="123"/>
      <c r="N84" s="123" t="s">
        <v>1201</v>
      </c>
      <c r="O84" s="263"/>
      <c r="P84" s="156"/>
    </row>
    <row r="85" spans="2:21" s="107" customFormat="1" hidden="1">
      <c r="B85" s="259">
        <v>82</v>
      </c>
      <c r="C85" s="278" t="s">
        <v>501</v>
      </c>
      <c r="D85" s="318"/>
      <c r="E85" s="270"/>
      <c r="F85" s="314" t="s">
        <v>1028</v>
      </c>
      <c r="G85" s="122"/>
      <c r="H85" s="122"/>
      <c r="I85" s="317" t="s">
        <v>1027</v>
      </c>
      <c r="J85" s="122"/>
      <c r="K85" s="123">
        <v>1500</v>
      </c>
      <c r="L85" s="123">
        <v>3</v>
      </c>
      <c r="M85" s="123"/>
      <c r="N85" s="123"/>
      <c r="O85" s="123"/>
      <c r="P85" s="156"/>
    </row>
    <row r="86" spans="2:21" s="125" customFormat="1" hidden="1">
      <c r="B86" s="259">
        <v>84</v>
      </c>
      <c r="C86" s="278" t="s">
        <v>1244</v>
      </c>
      <c r="D86" s="318"/>
      <c r="E86" s="270"/>
      <c r="F86" s="377" t="s">
        <v>416</v>
      </c>
      <c r="G86" s="122" t="s">
        <v>1243</v>
      </c>
      <c r="H86" s="122"/>
      <c r="I86" s="317" t="s">
        <v>1196</v>
      </c>
      <c r="J86" s="122"/>
      <c r="K86" s="123"/>
      <c r="L86" s="123">
        <v>1</v>
      </c>
      <c r="M86" s="123">
        <v>1</v>
      </c>
      <c r="N86" s="123" t="s">
        <v>1201</v>
      </c>
      <c r="O86" s="123"/>
      <c r="P86" s="123"/>
      <c r="Q86" s="107"/>
      <c r="R86" s="107"/>
      <c r="S86" s="107"/>
      <c r="T86" s="107"/>
      <c r="U86" s="107"/>
    </row>
    <row r="87" spans="2:21" s="125" customFormat="1" ht="28.8">
      <c r="B87" s="259">
        <v>85</v>
      </c>
      <c r="C87" s="278" t="s">
        <v>1909</v>
      </c>
      <c r="D87" s="278" t="s">
        <v>1663</v>
      </c>
      <c r="E87" s="474" t="s">
        <v>1908</v>
      </c>
      <c r="F87" s="156" t="s">
        <v>1910</v>
      </c>
      <c r="G87" s="259" t="s">
        <v>1281</v>
      </c>
      <c r="H87" s="259"/>
      <c r="I87" s="123" t="s">
        <v>101</v>
      </c>
      <c r="J87" s="475">
        <v>59902230</v>
      </c>
      <c r="K87" s="123">
        <v>750</v>
      </c>
      <c r="L87" s="123">
        <v>4</v>
      </c>
      <c r="M87" s="123"/>
      <c r="N87" s="123" t="s">
        <v>1201</v>
      </c>
      <c r="O87" s="297" t="s">
        <v>1914</v>
      </c>
      <c r="P87" s="259"/>
      <c r="Q87" s="107"/>
      <c r="R87" s="107"/>
      <c r="S87" s="107"/>
      <c r="T87" s="107"/>
      <c r="U87" s="107"/>
    </row>
    <row r="88" spans="2:21" s="107" customFormat="1">
      <c r="B88" s="259">
        <v>86</v>
      </c>
      <c r="C88" s="278" t="s">
        <v>1922</v>
      </c>
      <c r="D88" s="278" t="s">
        <v>1663</v>
      </c>
      <c r="E88" s="474" t="s">
        <v>1912</v>
      </c>
      <c r="F88" s="156" t="s">
        <v>1917</v>
      </c>
      <c r="G88" s="259" t="s">
        <v>1281</v>
      </c>
      <c r="H88" s="259"/>
      <c r="I88" s="123" t="s">
        <v>101</v>
      </c>
      <c r="J88" s="259">
        <v>52300109</v>
      </c>
      <c r="K88" s="259">
        <v>750</v>
      </c>
      <c r="L88" s="259">
        <v>1</v>
      </c>
      <c r="M88" s="259"/>
      <c r="N88" s="259" t="s">
        <v>1201</v>
      </c>
      <c r="O88" s="297" t="s">
        <v>1913</v>
      </c>
      <c r="P88" s="259"/>
    </row>
    <row r="89" spans="2:21" s="107" customFormat="1">
      <c r="B89" s="259">
        <v>87</v>
      </c>
      <c r="C89" s="359" t="s">
        <v>1921</v>
      </c>
      <c r="D89" s="278" t="s">
        <v>1663</v>
      </c>
      <c r="E89" s="259" t="s">
        <v>1918</v>
      </c>
      <c r="F89" s="476" t="s">
        <v>1919</v>
      </c>
      <c r="G89" s="259" t="s">
        <v>1281</v>
      </c>
      <c r="H89" s="259"/>
      <c r="I89" s="123" t="s">
        <v>101</v>
      </c>
      <c r="J89" s="259">
        <v>52401518</v>
      </c>
      <c r="K89" s="259">
        <v>500</v>
      </c>
      <c r="L89" s="259">
        <v>3</v>
      </c>
      <c r="M89" s="259"/>
      <c r="N89" s="259" t="s">
        <v>1201</v>
      </c>
      <c r="O89" s="297" t="s">
        <v>1482</v>
      </c>
      <c r="P89" s="259"/>
    </row>
    <row r="90" spans="2:21" s="107" customFormat="1" hidden="1">
      <c r="B90" s="259">
        <v>88</v>
      </c>
      <c r="C90" s="281"/>
      <c r="D90" s="305"/>
      <c r="E90" s="273"/>
      <c r="F90" s="314"/>
      <c r="G90" s="259"/>
      <c r="H90" s="259"/>
      <c r="I90" s="317"/>
      <c r="J90" s="259"/>
      <c r="K90" s="259"/>
      <c r="L90" s="259"/>
      <c r="M90" s="259"/>
      <c r="N90" s="259"/>
      <c r="O90" s="259"/>
      <c r="P90" s="259"/>
    </row>
    <row r="91" spans="2:21" s="324" customFormat="1">
      <c r="B91" s="220">
        <v>90</v>
      </c>
      <c r="C91" s="477" t="s">
        <v>1239</v>
      </c>
      <c r="D91" s="433" t="s">
        <v>1663</v>
      </c>
      <c r="E91" s="478" t="s">
        <v>1867</v>
      </c>
      <c r="F91" s="479" t="s">
        <v>1235</v>
      </c>
      <c r="G91" s="461" t="s">
        <v>1242</v>
      </c>
      <c r="H91" s="461"/>
      <c r="I91" s="260" t="s">
        <v>149</v>
      </c>
      <c r="J91" s="479" t="s">
        <v>1236</v>
      </c>
      <c r="K91" s="227">
        <v>7000</v>
      </c>
      <c r="L91" s="227">
        <v>1</v>
      </c>
      <c r="M91" s="227"/>
      <c r="N91" s="227" t="s">
        <v>1849</v>
      </c>
      <c r="O91" s="480" t="s">
        <v>1854</v>
      </c>
      <c r="P91" s="380" t="s">
        <v>2052</v>
      </c>
    </row>
    <row r="92" spans="2:21" s="312" customFormat="1">
      <c r="B92" s="220">
        <v>92</v>
      </c>
      <c r="C92" s="477" t="s">
        <v>1202</v>
      </c>
      <c r="D92" s="433" t="s">
        <v>1663</v>
      </c>
      <c r="E92" s="227" t="s">
        <v>1766</v>
      </c>
      <c r="F92" s="260" t="s">
        <v>1764</v>
      </c>
      <c r="G92" s="461" t="s">
        <v>1242</v>
      </c>
      <c r="H92" s="461"/>
      <c r="I92" s="260" t="s">
        <v>149</v>
      </c>
      <c r="J92" s="227" t="s">
        <v>1765</v>
      </c>
      <c r="K92" s="227">
        <v>7000</v>
      </c>
      <c r="L92" s="227">
        <v>1</v>
      </c>
      <c r="M92" s="227"/>
      <c r="N92" s="227" t="s">
        <v>1201</v>
      </c>
      <c r="O92" s="481" t="s">
        <v>1767</v>
      </c>
      <c r="P92" s="380" t="s">
        <v>2052</v>
      </c>
    </row>
    <row r="93" spans="2:21" s="125" customFormat="1" ht="28.8" hidden="1">
      <c r="B93" s="259">
        <v>93</v>
      </c>
      <c r="C93" s="281" t="s">
        <v>1925</v>
      </c>
      <c r="D93" s="281" t="s">
        <v>1588</v>
      </c>
      <c r="E93" s="431" t="s">
        <v>1924</v>
      </c>
      <c r="F93" s="156" t="s">
        <v>1205</v>
      </c>
      <c r="G93" s="259" t="s">
        <v>1349</v>
      </c>
      <c r="H93" s="259"/>
      <c r="I93" s="259" t="s">
        <v>1204</v>
      </c>
      <c r="J93" s="431" t="s">
        <v>1205</v>
      </c>
      <c r="K93" s="259">
        <v>3600</v>
      </c>
      <c r="L93" s="259">
        <v>2</v>
      </c>
      <c r="M93" s="259"/>
      <c r="N93" s="259" t="s">
        <v>1201</v>
      </c>
      <c r="O93" s="299" t="s">
        <v>1923</v>
      </c>
      <c r="P93" s="298" t="s">
        <v>2053</v>
      </c>
    </row>
    <row r="94" spans="2:21" s="324" customFormat="1" ht="43.2">
      <c r="B94" s="220"/>
      <c r="C94" s="477" t="s">
        <v>159</v>
      </c>
      <c r="D94" s="433" t="s">
        <v>1663</v>
      </c>
      <c r="E94" s="470" t="s">
        <v>1794</v>
      </c>
      <c r="F94" s="260" t="s">
        <v>1793</v>
      </c>
      <c r="G94" s="461" t="s">
        <v>1242</v>
      </c>
      <c r="H94" s="461"/>
      <c r="I94" s="260" t="s">
        <v>149</v>
      </c>
      <c r="J94" s="482" t="s">
        <v>1871</v>
      </c>
      <c r="K94" s="227">
        <v>3500</v>
      </c>
      <c r="L94" s="227">
        <v>2</v>
      </c>
      <c r="M94" s="227"/>
      <c r="N94" s="227" t="s">
        <v>1201</v>
      </c>
      <c r="O94" s="480" t="s">
        <v>1795</v>
      </c>
      <c r="P94" s="380" t="s">
        <v>2052</v>
      </c>
    </row>
    <row r="95" spans="2:21" s="312" customFormat="1">
      <c r="B95" s="220">
        <v>95</v>
      </c>
      <c r="C95" s="477" t="s">
        <v>1207</v>
      </c>
      <c r="D95" s="433" t="s">
        <v>1663</v>
      </c>
      <c r="E95" s="227" t="s">
        <v>1762</v>
      </c>
      <c r="F95" s="227" t="s">
        <v>1206</v>
      </c>
      <c r="G95" s="461" t="s">
        <v>1242</v>
      </c>
      <c r="H95" s="461"/>
      <c r="I95" s="260" t="s">
        <v>149</v>
      </c>
      <c r="J95" s="227" t="s">
        <v>1228</v>
      </c>
      <c r="K95" s="227">
        <v>70000</v>
      </c>
      <c r="L95" s="227">
        <v>1</v>
      </c>
      <c r="M95" s="227"/>
      <c r="N95" s="227" t="s">
        <v>1201</v>
      </c>
      <c r="O95" s="480" t="s">
        <v>1768</v>
      </c>
      <c r="P95" s="380" t="s">
        <v>2052</v>
      </c>
    </row>
    <row r="96" spans="2:21" s="324" customFormat="1">
      <c r="B96" s="220">
        <v>97</v>
      </c>
      <c r="C96" s="477" t="s">
        <v>1853</v>
      </c>
      <c r="D96" s="433" t="s">
        <v>1663</v>
      </c>
      <c r="E96" s="483" t="s">
        <v>1852</v>
      </c>
      <c r="F96" s="227" t="s">
        <v>1851</v>
      </c>
      <c r="G96" s="461" t="s">
        <v>1242</v>
      </c>
      <c r="H96" s="461"/>
      <c r="I96" s="260" t="s">
        <v>149</v>
      </c>
      <c r="J96" s="227" t="s">
        <v>1227</v>
      </c>
      <c r="K96" s="227">
        <v>3000</v>
      </c>
      <c r="L96" s="227">
        <v>2</v>
      </c>
      <c r="M96" s="227"/>
      <c r="N96" s="227" t="s">
        <v>1201</v>
      </c>
      <c r="O96" s="480" t="s">
        <v>1850</v>
      </c>
      <c r="P96" s="380" t="s">
        <v>2052</v>
      </c>
    </row>
    <row r="97" spans="2:16" s="107" customFormat="1" hidden="1">
      <c r="B97" s="259">
        <v>99</v>
      </c>
      <c r="C97" s="281" t="s">
        <v>1214</v>
      </c>
      <c r="D97" s="305"/>
      <c r="E97" s="273"/>
      <c r="F97" s="308" t="s">
        <v>1209</v>
      </c>
      <c r="G97" s="259"/>
      <c r="H97" s="259"/>
      <c r="I97" s="314" t="s">
        <v>754</v>
      </c>
      <c r="J97" s="259"/>
      <c r="K97" s="259"/>
      <c r="L97" s="259">
        <v>1</v>
      </c>
      <c r="M97" s="259"/>
      <c r="N97" s="259" t="s">
        <v>1201</v>
      </c>
      <c r="O97" s="298"/>
      <c r="P97" s="259" t="s">
        <v>1215</v>
      </c>
    </row>
    <row r="98" spans="2:16" s="107" customFormat="1" hidden="1">
      <c r="B98" s="259">
        <v>100</v>
      </c>
      <c r="C98" s="281" t="s">
        <v>1123</v>
      </c>
      <c r="D98" s="305"/>
      <c r="E98" s="273"/>
      <c r="F98" s="308" t="s">
        <v>1210</v>
      </c>
      <c r="G98" s="259"/>
      <c r="H98" s="259"/>
      <c r="I98" s="314" t="s">
        <v>754</v>
      </c>
      <c r="J98" s="259"/>
      <c r="K98" s="259"/>
      <c r="L98" s="259">
        <v>1</v>
      </c>
      <c r="M98" s="259"/>
      <c r="N98" s="259" t="s">
        <v>1201</v>
      </c>
      <c r="O98" s="298"/>
      <c r="P98" s="259"/>
    </row>
    <row r="99" spans="2:16" s="107" customFormat="1" hidden="1">
      <c r="B99" s="259">
        <v>101</v>
      </c>
      <c r="C99" s="281" t="s">
        <v>1123</v>
      </c>
      <c r="D99" s="305"/>
      <c r="E99" s="273"/>
      <c r="F99" s="308" t="s">
        <v>1211</v>
      </c>
      <c r="G99" s="259"/>
      <c r="H99" s="259"/>
      <c r="I99" s="314" t="s">
        <v>754</v>
      </c>
      <c r="J99" s="259"/>
      <c r="K99" s="259"/>
      <c r="L99" s="259">
        <v>1</v>
      </c>
      <c r="M99" s="259"/>
      <c r="N99" s="259" t="s">
        <v>1201</v>
      </c>
      <c r="O99" s="298"/>
      <c r="P99" s="259" t="s">
        <v>1220</v>
      </c>
    </row>
    <row r="100" spans="2:16" s="107" customFormat="1" hidden="1">
      <c r="B100" s="259">
        <v>104</v>
      </c>
      <c r="C100" s="281"/>
      <c r="D100" s="305"/>
      <c r="E100" s="273"/>
      <c r="F100" s="368" t="s">
        <v>1216</v>
      </c>
      <c r="G100" s="259" t="s">
        <v>1282</v>
      </c>
      <c r="H100" s="259"/>
      <c r="I100" s="314" t="s">
        <v>754</v>
      </c>
      <c r="J100" s="125"/>
      <c r="K100" s="259">
        <v>1300</v>
      </c>
      <c r="L100" s="259">
        <v>1</v>
      </c>
      <c r="M100" s="259"/>
      <c r="N100" s="259" t="s">
        <v>1201</v>
      </c>
      <c r="O100" s="298"/>
      <c r="P100" s="259" t="s">
        <v>1217</v>
      </c>
    </row>
    <row r="101" spans="2:16" s="107" customFormat="1" hidden="1">
      <c r="B101" s="259">
        <v>105</v>
      </c>
      <c r="C101" s="281" t="s">
        <v>1257</v>
      </c>
      <c r="D101" s="305"/>
      <c r="E101" s="273"/>
      <c r="F101" s="308" t="s">
        <v>1219</v>
      </c>
      <c r="G101" s="259" t="s">
        <v>1256</v>
      </c>
      <c r="H101" s="259"/>
      <c r="I101" s="308" t="s">
        <v>1218</v>
      </c>
      <c r="J101" s="259" t="s">
        <v>1258</v>
      </c>
      <c r="K101" s="259">
        <v>4750</v>
      </c>
      <c r="L101" s="259">
        <v>1</v>
      </c>
      <c r="M101" s="259"/>
      <c r="N101" s="259" t="s">
        <v>1201</v>
      </c>
      <c r="O101" s="298"/>
      <c r="P101" s="259" t="s">
        <v>23</v>
      </c>
    </row>
    <row r="102" spans="2:16" s="107" customFormat="1">
      <c r="B102" s="259">
        <v>106</v>
      </c>
      <c r="C102" s="281" t="s">
        <v>1922</v>
      </c>
      <c r="D102" s="278" t="s">
        <v>1663</v>
      </c>
      <c r="E102" s="259" t="s">
        <v>1912</v>
      </c>
      <c r="F102" s="259" t="s">
        <v>1221</v>
      </c>
      <c r="G102" s="259" t="s">
        <v>1281</v>
      </c>
      <c r="H102" s="259"/>
      <c r="I102" s="123" t="s">
        <v>101</v>
      </c>
      <c r="J102" s="259">
        <v>52300108</v>
      </c>
      <c r="K102" s="259">
        <v>750</v>
      </c>
      <c r="L102" s="259">
        <v>2</v>
      </c>
      <c r="M102" s="259"/>
      <c r="N102" s="484" t="s">
        <v>1873</v>
      </c>
      <c r="O102" s="298" t="s">
        <v>1920</v>
      </c>
      <c r="P102" s="259"/>
    </row>
    <row r="103" spans="2:16" s="324" customFormat="1">
      <c r="B103" s="220">
        <v>107</v>
      </c>
      <c r="C103" s="477" t="s">
        <v>1121</v>
      </c>
      <c r="D103" s="433" t="s">
        <v>1663</v>
      </c>
      <c r="E103" s="485" t="s">
        <v>1855</v>
      </c>
      <c r="F103" s="227" t="s">
        <v>1858</v>
      </c>
      <c r="G103" s="461" t="s">
        <v>1242</v>
      </c>
      <c r="H103" s="461"/>
      <c r="I103" s="260" t="s">
        <v>149</v>
      </c>
      <c r="J103" s="486" t="s">
        <v>1231</v>
      </c>
      <c r="K103" s="227">
        <v>4000</v>
      </c>
      <c r="L103" s="227">
        <v>1</v>
      </c>
      <c r="M103" s="227"/>
      <c r="N103" s="227" t="s">
        <v>1201</v>
      </c>
      <c r="O103" s="480" t="s">
        <v>1859</v>
      </c>
      <c r="P103" s="380" t="s">
        <v>2052</v>
      </c>
    </row>
    <row r="104" spans="2:16" s="324" customFormat="1">
      <c r="B104" s="220">
        <v>108</v>
      </c>
      <c r="C104" s="477" t="s">
        <v>159</v>
      </c>
      <c r="D104" s="433" t="s">
        <v>1663</v>
      </c>
      <c r="E104" s="485" t="s">
        <v>1855</v>
      </c>
      <c r="F104" s="485" t="s">
        <v>1858</v>
      </c>
      <c r="G104" s="461" t="s">
        <v>1242</v>
      </c>
      <c r="H104" s="461"/>
      <c r="I104" s="227" t="s">
        <v>149</v>
      </c>
      <c r="J104" s="227" t="s">
        <v>1230</v>
      </c>
      <c r="K104" s="227">
        <v>4000</v>
      </c>
      <c r="L104" s="227">
        <v>1</v>
      </c>
      <c r="M104" s="227"/>
      <c r="N104" s="227" t="s">
        <v>1201</v>
      </c>
      <c r="O104" s="480" t="s">
        <v>1862</v>
      </c>
      <c r="P104" s="380" t="s">
        <v>2052</v>
      </c>
    </row>
    <row r="105" spans="2:16" s="324" customFormat="1">
      <c r="B105" s="220">
        <v>109</v>
      </c>
      <c r="C105" s="477" t="s">
        <v>159</v>
      </c>
      <c r="D105" s="433" t="s">
        <v>1663</v>
      </c>
      <c r="E105" s="227" t="s">
        <v>1855</v>
      </c>
      <c r="F105" s="487" t="s">
        <v>1858</v>
      </c>
      <c r="G105" s="461" t="s">
        <v>1242</v>
      </c>
      <c r="H105" s="461"/>
      <c r="I105" s="227" t="s">
        <v>149</v>
      </c>
      <c r="J105" s="227" t="s">
        <v>1232</v>
      </c>
      <c r="K105" s="227">
        <v>4000</v>
      </c>
      <c r="L105" s="227">
        <v>1</v>
      </c>
      <c r="M105" s="227"/>
      <c r="N105" s="227" t="s">
        <v>1201</v>
      </c>
      <c r="O105" s="480" t="s">
        <v>1861</v>
      </c>
      <c r="P105" s="380" t="s">
        <v>2052</v>
      </c>
    </row>
    <row r="106" spans="2:16" s="107" customFormat="1" hidden="1">
      <c r="B106" s="259">
        <v>112</v>
      </c>
      <c r="C106" s="281" t="s">
        <v>1248</v>
      </c>
      <c r="D106" s="305"/>
      <c r="E106" s="273"/>
      <c r="F106" s="308" t="s">
        <v>1249</v>
      </c>
      <c r="G106" s="122" t="s">
        <v>1245</v>
      </c>
      <c r="H106" s="122"/>
      <c r="I106" s="317" t="s">
        <v>212</v>
      </c>
      <c r="J106" s="259" t="s">
        <v>1250</v>
      </c>
      <c r="K106" s="259"/>
      <c r="L106" s="259">
        <v>2</v>
      </c>
      <c r="M106" s="259"/>
      <c r="N106" s="259" t="s">
        <v>1201</v>
      </c>
      <c r="O106" s="259"/>
      <c r="P106" s="259"/>
    </row>
    <row r="107" spans="2:16" s="107" customFormat="1" hidden="1">
      <c r="B107" s="259">
        <v>113</v>
      </c>
      <c r="C107" s="281" t="s">
        <v>1252</v>
      </c>
      <c r="D107" s="305"/>
      <c r="E107" s="273"/>
      <c r="F107" s="308" t="s">
        <v>1253</v>
      </c>
      <c r="G107" s="122" t="s">
        <v>1245</v>
      </c>
      <c r="H107" s="122"/>
      <c r="I107" s="317" t="s">
        <v>212</v>
      </c>
      <c r="J107" s="259" t="s">
        <v>1254</v>
      </c>
      <c r="K107" s="259"/>
      <c r="L107" s="259"/>
      <c r="M107" s="259"/>
      <c r="N107" s="259" t="s">
        <v>1201</v>
      </c>
      <c r="O107" s="259"/>
      <c r="P107" s="259" t="s">
        <v>1255</v>
      </c>
    </row>
    <row r="108" spans="2:16" s="107" customFormat="1" hidden="1">
      <c r="B108" s="259">
        <v>114</v>
      </c>
      <c r="C108" s="125" t="s">
        <v>1261</v>
      </c>
      <c r="D108" s="368"/>
      <c r="E108" s="274"/>
      <c r="F108" s="308" t="s">
        <v>1260</v>
      </c>
      <c r="G108" s="122" t="s">
        <v>1259</v>
      </c>
      <c r="H108" s="122"/>
      <c r="I108" s="317" t="s">
        <v>471</v>
      </c>
      <c r="J108" s="259">
        <v>8374836</v>
      </c>
      <c r="K108" s="259"/>
      <c r="L108" s="259">
        <v>1</v>
      </c>
      <c r="M108" s="259"/>
      <c r="N108" s="259" t="s">
        <v>1201</v>
      </c>
      <c r="O108" s="259"/>
      <c r="P108" s="259"/>
    </row>
    <row r="109" spans="2:16" s="107" customFormat="1" hidden="1">
      <c r="B109" s="259">
        <v>115</v>
      </c>
      <c r="C109" s="125" t="s">
        <v>1263</v>
      </c>
      <c r="D109" s="368"/>
      <c r="E109" s="274"/>
      <c r="F109" s="315" t="s">
        <v>1262</v>
      </c>
      <c r="G109" s="264" t="s">
        <v>1259</v>
      </c>
      <c r="H109" s="264"/>
      <c r="I109" s="367" t="s">
        <v>471</v>
      </c>
      <c r="J109" s="262">
        <v>9021230</v>
      </c>
      <c r="K109" s="262"/>
      <c r="L109" s="262">
        <v>1</v>
      </c>
      <c r="M109" s="262"/>
      <c r="N109" s="262" t="s">
        <v>1201</v>
      </c>
      <c r="O109" s="262"/>
      <c r="P109" s="262"/>
    </row>
    <row r="110" spans="2:16" s="107" customFormat="1" hidden="1">
      <c r="B110" s="259">
        <v>116</v>
      </c>
      <c r="C110" s="281" t="s">
        <v>1264</v>
      </c>
      <c r="D110" s="305"/>
      <c r="E110" s="273"/>
      <c r="F110" s="308" t="s">
        <v>1265</v>
      </c>
      <c r="G110" s="122" t="s">
        <v>1259</v>
      </c>
      <c r="H110" s="122"/>
      <c r="I110" s="317" t="s">
        <v>471</v>
      </c>
      <c r="J110" s="259">
        <v>5196.21</v>
      </c>
      <c r="K110" s="259"/>
      <c r="L110" s="259">
        <v>1</v>
      </c>
      <c r="M110" s="259"/>
      <c r="N110" s="259" t="s">
        <v>1201</v>
      </c>
      <c r="O110" s="259"/>
      <c r="P110" s="259"/>
    </row>
    <row r="111" spans="2:16" s="107" customFormat="1" hidden="1">
      <c r="B111" s="259">
        <v>117</v>
      </c>
      <c r="C111" s="281" t="s">
        <v>1268</v>
      </c>
      <c r="D111" s="305"/>
      <c r="E111" s="273"/>
      <c r="F111" s="308" t="s">
        <v>1269</v>
      </c>
      <c r="G111" s="122" t="s">
        <v>1259</v>
      </c>
      <c r="H111" s="122"/>
      <c r="I111" s="317" t="s">
        <v>471</v>
      </c>
      <c r="J111" s="259"/>
      <c r="K111" s="259"/>
      <c r="L111" s="259">
        <v>1</v>
      </c>
      <c r="M111" s="259"/>
      <c r="N111" s="259" t="s">
        <v>1201</v>
      </c>
      <c r="O111" s="259"/>
      <c r="P111" s="259"/>
    </row>
    <row r="112" spans="2:16" s="107" customFormat="1" hidden="1">
      <c r="B112" s="259">
        <v>118</v>
      </c>
      <c r="C112" s="281" t="s">
        <v>1271</v>
      </c>
      <c r="D112" s="305"/>
      <c r="E112" s="273"/>
      <c r="F112" s="308" t="s">
        <v>1273</v>
      </c>
      <c r="G112" s="259" t="s">
        <v>1270</v>
      </c>
      <c r="H112" s="259"/>
      <c r="I112" s="308" t="s">
        <v>1272</v>
      </c>
      <c r="J112" s="259" t="s">
        <v>1274</v>
      </c>
      <c r="K112" s="259"/>
      <c r="L112" s="259">
        <v>0</v>
      </c>
      <c r="M112" s="259"/>
      <c r="N112" s="259" t="s">
        <v>1201</v>
      </c>
      <c r="O112" s="259" t="s">
        <v>1518</v>
      </c>
      <c r="P112" s="259" t="s">
        <v>1275</v>
      </c>
    </row>
    <row r="113" spans="2:16" s="107" customFormat="1" hidden="1">
      <c r="B113" s="259">
        <v>119</v>
      </c>
      <c r="C113" s="281" t="s">
        <v>1271</v>
      </c>
      <c r="D113" s="305"/>
      <c r="E113" s="273"/>
      <c r="F113" s="308" t="s">
        <v>1273</v>
      </c>
      <c r="G113" s="259" t="s">
        <v>1270</v>
      </c>
      <c r="H113" s="259"/>
      <c r="I113" s="308" t="s">
        <v>1272</v>
      </c>
      <c r="J113" s="259" t="s">
        <v>1277</v>
      </c>
      <c r="K113" s="259"/>
      <c r="L113" s="259">
        <v>1</v>
      </c>
      <c r="M113" s="259"/>
      <c r="N113" s="259" t="s">
        <v>1201</v>
      </c>
      <c r="O113" s="284" t="s">
        <v>1518</v>
      </c>
      <c r="P113" s="259" t="s">
        <v>1276</v>
      </c>
    </row>
    <row r="114" spans="2:16" s="107" customFormat="1" hidden="1">
      <c r="B114" s="259">
        <v>120</v>
      </c>
      <c r="C114" s="281" t="s">
        <v>1278</v>
      </c>
      <c r="D114" s="305"/>
      <c r="E114" s="273"/>
      <c r="F114" s="308" t="s">
        <v>1280</v>
      </c>
      <c r="G114" s="259" t="s">
        <v>1270</v>
      </c>
      <c r="H114" s="259"/>
      <c r="I114" s="308" t="s">
        <v>259</v>
      </c>
      <c r="J114" s="259" t="s">
        <v>1279</v>
      </c>
      <c r="K114" s="259"/>
      <c r="L114" s="259">
        <v>1</v>
      </c>
      <c r="M114" s="259"/>
      <c r="N114" s="259" t="s">
        <v>1201</v>
      </c>
      <c r="O114" s="259"/>
      <c r="P114" s="259"/>
    </row>
    <row r="115" spans="2:16" s="107" customFormat="1" hidden="1">
      <c r="B115" s="259">
        <v>121</v>
      </c>
      <c r="C115" s="281" t="s">
        <v>1285</v>
      </c>
      <c r="D115" s="305"/>
      <c r="E115" s="273"/>
      <c r="F115" s="308" t="s">
        <v>1284</v>
      </c>
      <c r="G115" s="259"/>
      <c r="H115" s="259"/>
      <c r="I115" s="308" t="s">
        <v>1283</v>
      </c>
      <c r="J115" s="259" t="s">
        <v>1286</v>
      </c>
      <c r="K115" s="259"/>
      <c r="L115" s="259">
        <v>1</v>
      </c>
      <c r="M115" s="259"/>
      <c r="N115" s="259" t="s">
        <v>1201</v>
      </c>
      <c r="O115" s="259"/>
      <c r="P115" s="259"/>
    </row>
    <row r="116" spans="2:16" s="309" customFormat="1" hidden="1">
      <c r="B116" s="382"/>
      <c r="C116" s="429" t="s">
        <v>1668</v>
      </c>
      <c r="D116" s="429" t="s">
        <v>1588</v>
      </c>
      <c r="E116" s="402" t="s">
        <v>1655</v>
      </c>
      <c r="F116" s="400" t="s">
        <v>1657</v>
      </c>
      <c r="G116" s="426" t="s">
        <v>1287</v>
      </c>
      <c r="H116" s="402"/>
      <c r="I116" s="380" t="s">
        <v>589</v>
      </c>
      <c r="J116" s="400" t="s">
        <v>1652</v>
      </c>
      <c r="K116" s="432"/>
      <c r="L116" s="400">
        <v>1</v>
      </c>
      <c r="M116" s="428">
        <v>1</v>
      </c>
      <c r="N116" s="399" t="s">
        <v>1201</v>
      </c>
      <c r="O116" s="395" t="s">
        <v>1678</v>
      </c>
      <c r="P116" s="382" t="s">
        <v>2052</v>
      </c>
    </row>
    <row r="117" spans="2:16" s="309" customFormat="1" hidden="1">
      <c r="B117" s="382"/>
      <c r="C117" s="429" t="s">
        <v>1669</v>
      </c>
      <c r="D117" s="429" t="s">
        <v>1588</v>
      </c>
      <c r="E117" s="402" t="s">
        <v>1656</v>
      </c>
      <c r="F117" s="400" t="s">
        <v>1657</v>
      </c>
      <c r="G117" s="426" t="s">
        <v>1287</v>
      </c>
      <c r="H117" s="402"/>
      <c r="I117" s="380" t="s">
        <v>589</v>
      </c>
      <c r="J117" s="400" t="s">
        <v>1653</v>
      </c>
      <c r="K117" s="432"/>
      <c r="L117" s="400">
        <v>1</v>
      </c>
      <c r="M117" s="428">
        <v>1</v>
      </c>
      <c r="N117" s="399" t="s">
        <v>1201</v>
      </c>
      <c r="O117" s="395" t="s">
        <v>1679</v>
      </c>
      <c r="P117" s="382" t="s">
        <v>2052</v>
      </c>
    </row>
    <row r="118" spans="2:16" s="107" customFormat="1" hidden="1">
      <c r="B118" s="259">
        <v>124</v>
      </c>
      <c r="C118" s="281" t="s">
        <v>1295</v>
      </c>
      <c r="D118" s="305"/>
      <c r="E118" s="273"/>
      <c r="F118" s="308" t="s">
        <v>1294</v>
      </c>
      <c r="G118" s="259" t="s">
        <v>1292</v>
      </c>
      <c r="H118" s="259"/>
      <c r="I118" s="308" t="s">
        <v>1293</v>
      </c>
      <c r="J118" s="259" t="s">
        <v>1251</v>
      </c>
      <c r="K118" s="259"/>
      <c r="L118" s="269">
        <v>1</v>
      </c>
      <c r="M118" s="259"/>
      <c r="N118" s="265" t="s">
        <v>1201</v>
      </c>
      <c r="O118" s="259"/>
      <c r="P118" s="259" t="s">
        <v>1296</v>
      </c>
    </row>
    <row r="119" spans="2:16" s="107" customFormat="1" hidden="1">
      <c r="B119" s="259">
        <v>126</v>
      </c>
      <c r="C119" s="281" t="s">
        <v>1305</v>
      </c>
      <c r="D119" s="305"/>
      <c r="E119" s="273"/>
      <c r="F119" s="308" t="s">
        <v>1306</v>
      </c>
      <c r="G119" s="259" t="s">
        <v>1299</v>
      </c>
      <c r="H119" s="259"/>
      <c r="I119" s="308" t="s">
        <v>1300</v>
      </c>
      <c r="J119" s="259" t="s">
        <v>1301</v>
      </c>
      <c r="K119" s="259"/>
      <c r="L119" s="259">
        <v>1</v>
      </c>
      <c r="M119" s="259"/>
      <c r="N119" s="259" t="s">
        <v>1201</v>
      </c>
      <c r="O119" s="259"/>
      <c r="P119" s="259" t="s">
        <v>1303</v>
      </c>
    </row>
    <row r="120" spans="2:16" s="107" customFormat="1" hidden="1">
      <c r="B120" s="259">
        <v>127</v>
      </c>
      <c r="C120" s="281" t="s">
        <v>1305</v>
      </c>
      <c r="D120" s="305"/>
      <c r="E120" s="273"/>
      <c r="F120" s="308" t="s">
        <v>1306</v>
      </c>
      <c r="G120" s="259" t="s">
        <v>1299</v>
      </c>
      <c r="H120" s="259"/>
      <c r="I120" s="308" t="s">
        <v>1300</v>
      </c>
      <c r="J120" s="259" t="s">
        <v>1302</v>
      </c>
      <c r="K120" s="259"/>
      <c r="L120" s="259">
        <v>1</v>
      </c>
      <c r="M120" s="259"/>
      <c r="N120" s="259" t="s">
        <v>1201</v>
      </c>
      <c r="O120" s="259"/>
      <c r="P120" s="259" t="s">
        <v>1304</v>
      </c>
    </row>
    <row r="121" spans="2:16" s="107" customFormat="1" hidden="1">
      <c r="B121" s="259">
        <v>128</v>
      </c>
      <c r="C121" s="281" t="s">
        <v>1309</v>
      </c>
      <c r="D121" s="305"/>
      <c r="E121" s="273"/>
      <c r="F121" s="308" t="s">
        <v>1310</v>
      </c>
      <c r="G121" s="259" t="s">
        <v>1308</v>
      </c>
      <c r="H121" s="259"/>
      <c r="I121" s="308" t="s">
        <v>1307</v>
      </c>
      <c r="J121" s="259">
        <v>630.94002699999999</v>
      </c>
      <c r="K121" s="259"/>
      <c r="L121" s="259">
        <v>1</v>
      </c>
      <c r="M121" s="259"/>
      <c r="N121" s="259" t="s">
        <v>1201</v>
      </c>
      <c r="O121" s="268" t="s">
        <v>1316</v>
      </c>
      <c r="P121" s="259" t="s">
        <v>1311</v>
      </c>
    </row>
    <row r="122" spans="2:16" s="107" customFormat="1" hidden="1">
      <c r="B122" s="259">
        <v>129</v>
      </c>
      <c r="C122" s="281" t="s">
        <v>1315</v>
      </c>
      <c r="D122" s="305"/>
      <c r="E122" s="273"/>
      <c r="F122" s="308" t="s">
        <v>1306</v>
      </c>
      <c r="G122" s="259" t="s">
        <v>1312</v>
      </c>
      <c r="H122" s="259"/>
      <c r="I122" s="308" t="s">
        <v>1313</v>
      </c>
      <c r="J122" s="259" t="s">
        <v>1314</v>
      </c>
      <c r="K122" s="259"/>
      <c r="L122" s="259">
        <v>2</v>
      </c>
      <c r="M122" s="259"/>
      <c r="N122" s="259" t="s">
        <v>1201</v>
      </c>
      <c r="O122" s="259"/>
      <c r="P122" s="259"/>
    </row>
    <row r="123" spans="2:16" s="107" customFormat="1" hidden="1">
      <c r="B123" s="259">
        <v>130</v>
      </c>
      <c r="C123" s="281" t="s">
        <v>159</v>
      </c>
      <c r="D123" s="305"/>
      <c r="E123" s="273"/>
      <c r="F123" s="308" t="s">
        <v>1332</v>
      </c>
      <c r="G123" s="259" t="s">
        <v>1299</v>
      </c>
      <c r="H123" s="259"/>
      <c r="I123" s="308" t="s">
        <v>1300</v>
      </c>
      <c r="J123" s="266"/>
      <c r="K123" s="259"/>
      <c r="L123" s="259">
        <v>1</v>
      </c>
      <c r="M123" s="259"/>
      <c r="N123" s="259" t="s">
        <v>1201</v>
      </c>
      <c r="O123" s="259"/>
      <c r="P123" s="259" t="s">
        <v>1342</v>
      </c>
    </row>
    <row r="124" spans="2:16" s="107" customFormat="1" hidden="1">
      <c r="B124" s="259">
        <v>131</v>
      </c>
      <c r="C124" s="281" t="s">
        <v>1318</v>
      </c>
      <c r="D124" s="305"/>
      <c r="E124" s="273"/>
      <c r="F124" s="308" t="s">
        <v>1320</v>
      </c>
      <c r="G124" s="259" t="s">
        <v>1312</v>
      </c>
      <c r="H124" s="259"/>
      <c r="I124" s="308" t="s">
        <v>1313</v>
      </c>
      <c r="J124" s="259" t="s">
        <v>1317</v>
      </c>
      <c r="K124" s="259"/>
      <c r="L124" s="259">
        <v>1</v>
      </c>
      <c r="M124" s="259"/>
      <c r="N124" s="259" t="s">
        <v>1201</v>
      </c>
      <c r="O124" s="268" t="s">
        <v>1319</v>
      </c>
      <c r="P124" s="259"/>
    </row>
    <row r="125" spans="2:16" s="107" customFormat="1" hidden="1">
      <c r="B125" s="259">
        <v>132</v>
      </c>
      <c r="C125" s="281" t="s">
        <v>1325</v>
      </c>
      <c r="D125" s="305"/>
      <c r="E125" s="273"/>
      <c r="F125" s="378" t="s">
        <v>1322</v>
      </c>
      <c r="G125" s="259" t="s">
        <v>1328</v>
      </c>
      <c r="H125" s="259"/>
      <c r="I125" s="308" t="s">
        <v>1327</v>
      </c>
      <c r="J125" s="259" t="s">
        <v>1251</v>
      </c>
      <c r="K125" s="259"/>
      <c r="L125" s="259">
        <v>0</v>
      </c>
      <c r="M125" s="259"/>
      <c r="N125" s="259"/>
      <c r="O125" s="259"/>
      <c r="P125" s="259" t="s">
        <v>1326</v>
      </c>
    </row>
    <row r="126" spans="2:16" s="107" customFormat="1" hidden="1">
      <c r="B126" s="259">
        <v>133</v>
      </c>
      <c r="C126" s="281" t="s">
        <v>1331</v>
      </c>
      <c r="D126" s="305"/>
      <c r="E126" s="273"/>
      <c r="F126" s="308" t="s">
        <v>1329</v>
      </c>
      <c r="G126" s="259" t="s">
        <v>1270</v>
      </c>
      <c r="H126" s="259"/>
      <c r="I126" s="308" t="s">
        <v>259</v>
      </c>
      <c r="J126" s="259" t="s">
        <v>1251</v>
      </c>
      <c r="K126" s="259"/>
      <c r="L126" s="259">
        <v>1</v>
      </c>
      <c r="M126" s="259"/>
      <c r="N126" s="259" t="s">
        <v>1201</v>
      </c>
      <c r="O126" s="284" t="s">
        <v>1330</v>
      </c>
      <c r="P126" s="259"/>
    </row>
    <row r="127" spans="2:16" s="107" customFormat="1" hidden="1">
      <c r="B127" s="259">
        <v>134</v>
      </c>
      <c r="C127" s="281" t="s">
        <v>1334</v>
      </c>
      <c r="D127" s="305"/>
      <c r="E127" s="273"/>
      <c r="F127" s="308" t="s">
        <v>1333</v>
      </c>
      <c r="G127" s="259" t="s">
        <v>1335</v>
      </c>
      <c r="H127" s="259"/>
      <c r="I127" s="308" t="s">
        <v>750</v>
      </c>
      <c r="J127" s="259">
        <v>1052273</v>
      </c>
      <c r="K127" s="259"/>
      <c r="L127" s="259">
        <v>2</v>
      </c>
      <c r="M127" s="259"/>
      <c r="N127" s="259" t="s">
        <v>1201</v>
      </c>
      <c r="O127" s="268" t="s">
        <v>1336</v>
      </c>
      <c r="P127" s="259" t="s">
        <v>1337</v>
      </c>
    </row>
    <row r="128" spans="2:16" s="107" customFormat="1" hidden="1">
      <c r="B128" s="259">
        <v>135</v>
      </c>
      <c r="C128" s="281" t="s">
        <v>159</v>
      </c>
      <c r="D128" s="305"/>
      <c r="E128" s="273"/>
      <c r="F128" s="308" t="s">
        <v>1345</v>
      </c>
      <c r="G128" s="259" t="s">
        <v>1339</v>
      </c>
      <c r="H128" s="259"/>
      <c r="I128" s="308" t="s">
        <v>1338</v>
      </c>
      <c r="J128" s="267">
        <v>404366</v>
      </c>
      <c r="K128" s="259"/>
      <c r="L128" s="259">
        <v>1</v>
      </c>
      <c r="M128" s="259"/>
      <c r="N128" s="259" t="s">
        <v>1201</v>
      </c>
      <c r="O128" s="284" t="s">
        <v>1341</v>
      </c>
      <c r="P128" s="259" t="s">
        <v>1340</v>
      </c>
    </row>
    <row r="129" spans="1:16" s="107" customFormat="1" hidden="1">
      <c r="B129" s="259">
        <v>136</v>
      </c>
      <c r="C129" s="281" t="s">
        <v>159</v>
      </c>
      <c r="D129" s="305"/>
      <c r="E129" s="273"/>
      <c r="F129" s="308" t="s">
        <v>1346</v>
      </c>
      <c r="G129" s="259" t="s">
        <v>1339</v>
      </c>
      <c r="H129" s="259"/>
      <c r="I129" s="308" t="s">
        <v>1338</v>
      </c>
      <c r="J129" s="267">
        <v>404366</v>
      </c>
      <c r="K129" s="259"/>
      <c r="L129" s="259">
        <v>1</v>
      </c>
      <c r="M129" s="259"/>
      <c r="N129" s="259" t="s">
        <v>1201</v>
      </c>
      <c r="O129" s="284" t="s">
        <v>1341</v>
      </c>
      <c r="P129" s="259" t="s">
        <v>1340</v>
      </c>
    </row>
    <row r="130" spans="1:16" s="107" customFormat="1" hidden="1">
      <c r="B130" s="382">
        <v>137</v>
      </c>
      <c r="C130" s="429" t="s">
        <v>2055</v>
      </c>
      <c r="D130" s="429" t="s">
        <v>1588</v>
      </c>
      <c r="E130" s="400" t="s">
        <v>1539</v>
      </c>
      <c r="F130" s="400" t="s">
        <v>1344</v>
      </c>
      <c r="G130" s="400" t="s">
        <v>1591</v>
      </c>
      <c r="H130" s="400" t="s">
        <v>1592</v>
      </c>
      <c r="I130" s="400" t="s">
        <v>1343</v>
      </c>
      <c r="J130" s="400" t="s">
        <v>1347</v>
      </c>
      <c r="K130" s="400" t="s">
        <v>1696</v>
      </c>
      <c r="L130" s="400">
        <v>2</v>
      </c>
      <c r="M130" s="400">
        <v>1</v>
      </c>
      <c r="N130" s="400" t="s">
        <v>1201</v>
      </c>
      <c r="O130" s="389" t="s">
        <v>1348</v>
      </c>
      <c r="P130" s="382" t="s">
        <v>2056</v>
      </c>
    </row>
    <row r="131" spans="1:16" s="125" customFormat="1" hidden="1">
      <c r="B131" s="259">
        <v>138</v>
      </c>
      <c r="C131" s="281" t="s">
        <v>1929</v>
      </c>
      <c r="D131" s="281" t="s">
        <v>1588</v>
      </c>
      <c r="E131" s="259" t="s">
        <v>1928</v>
      </c>
      <c r="F131" s="156" t="s">
        <v>1930</v>
      </c>
      <c r="G131" s="259" t="s">
        <v>1349</v>
      </c>
      <c r="H131" s="259"/>
      <c r="I131" s="259" t="s">
        <v>1204</v>
      </c>
      <c r="J131" s="259" t="s">
        <v>1927</v>
      </c>
      <c r="K131" s="259">
        <v>3500</v>
      </c>
      <c r="L131" s="259">
        <v>3</v>
      </c>
      <c r="M131" s="259">
        <v>2</v>
      </c>
      <c r="N131" s="259" t="s">
        <v>1201</v>
      </c>
      <c r="O131" s="268" t="s">
        <v>1926</v>
      </c>
      <c r="P131" s="298" t="s">
        <v>2053</v>
      </c>
    </row>
    <row r="132" spans="1:16" s="107" customFormat="1" hidden="1">
      <c r="B132" s="259">
        <v>139</v>
      </c>
      <c r="C132" s="281" t="s">
        <v>1352</v>
      </c>
      <c r="D132" s="305"/>
      <c r="E132" s="273"/>
      <c r="F132" s="308" t="s">
        <v>1351</v>
      </c>
      <c r="G132" s="259" t="s">
        <v>1353</v>
      </c>
      <c r="H132" s="259"/>
      <c r="I132" s="308" t="s">
        <v>1354</v>
      </c>
      <c r="J132" s="259"/>
      <c r="K132" s="259"/>
      <c r="L132" s="259">
        <v>1</v>
      </c>
      <c r="M132" s="259"/>
      <c r="N132" s="259" t="s">
        <v>1201</v>
      </c>
      <c r="O132" s="284" t="s">
        <v>1350</v>
      </c>
      <c r="P132" s="259"/>
    </row>
    <row r="133" spans="1:16" s="107" customFormat="1" hidden="1">
      <c r="B133" s="259"/>
      <c r="C133" s="281"/>
      <c r="D133" s="305"/>
      <c r="E133" s="273"/>
      <c r="F133" s="308"/>
      <c r="G133" s="259"/>
      <c r="H133" s="259"/>
      <c r="I133" s="308"/>
      <c r="J133" s="259"/>
      <c r="K133" s="259"/>
      <c r="L133" s="259"/>
      <c r="M133" s="259"/>
      <c r="N133" s="259"/>
      <c r="O133" s="284"/>
      <c r="P133" s="259"/>
    </row>
    <row r="134" spans="1:16" s="107" customFormat="1" hidden="1">
      <c r="B134" s="382">
        <v>140</v>
      </c>
      <c r="C134" s="429" t="s">
        <v>1356</v>
      </c>
      <c r="D134" s="429" t="s">
        <v>1588</v>
      </c>
      <c r="E134" s="400" t="s">
        <v>1590</v>
      </c>
      <c r="F134" s="400" t="s">
        <v>1355</v>
      </c>
      <c r="G134" s="400" t="s">
        <v>1591</v>
      </c>
      <c r="H134" s="400" t="s">
        <v>1592</v>
      </c>
      <c r="I134" s="400" t="s">
        <v>1343</v>
      </c>
      <c r="J134" s="400" t="s">
        <v>1692</v>
      </c>
      <c r="K134" s="400" t="s">
        <v>1697</v>
      </c>
      <c r="L134" s="400">
        <v>1</v>
      </c>
      <c r="M134" s="400">
        <v>1</v>
      </c>
      <c r="N134" s="400" t="s">
        <v>1201</v>
      </c>
      <c r="O134" s="389" t="s">
        <v>1360</v>
      </c>
      <c r="P134" s="311" t="s">
        <v>2057</v>
      </c>
    </row>
    <row r="135" spans="1:16" s="107" customFormat="1" ht="14.25" hidden="1" customHeight="1">
      <c r="A135" s="312"/>
      <c r="B135" s="220"/>
      <c r="C135" s="433" t="s">
        <v>1693</v>
      </c>
      <c r="D135" s="433" t="s">
        <v>1588</v>
      </c>
      <c r="E135" s="219" t="s">
        <v>1694</v>
      </c>
      <c r="F135" s="434" t="s">
        <v>1725</v>
      </c>
      <c r="G135" s="227" t="s">
        <v>1591</v>
      </c>
      <c r="H135" s="227" t="s">
        <v>1592</v>
      </c>
      <c r="I135" s="227" t="s">
        <v>1343</v>
      </c>
      <c r="J135" s="227" t="s">
        <v>1726</v>
      </c>
      <c r="K135" s="227" t="s">
        <v>1724</v>
      </c>
      <c r="L135" s="227">
        <v>1</v>
      </c>
      <c r="M135" s="227">
        <v>1</v>
      </c>
      <c r="N135" s="227" t="s">
        <v>1201</v>
      </c>
      <c r="O135" s="389" t="s">
        <v>1727</v>
      </c>
      <c r="P135" s="382" t="s">
        <v>2052</v>
      </c>
    </row>
    <row r="136" spans="1:16" s="107" customFormat="1" hidden="1">
      <c r="B136" s="382">
        <v>141</v>
      </c>
      <c r="C136" s="429" t="s">
        <v>1634</v>
      </c>
      <c r="D136" s="429" t="s">
        <v>1588</v>
      </c>
      <c r="E136" s="400" t="s">
        <v>1549</v>
      </c>
      <c r="F136" s="400" t="s">
        <v>1359</v>
      </c>
      <c r="G136" s="400" t="s">
        <v>1591</v>
      </c>
      <c r="H136" s="400" t="s">
        <v>1592</v>
      </c>
      <c r="I136" s="400" t="s">
        <v>1343</v>
      </c>
      <c r="J136" s="400" t="s">
        <v>1358</v>
      </c>
      <c r="K136" s="400" t="s">
        <v>1699</v>
      </c>
      <c r="L136" s="400">
        <v>2</v>
      </c>
      <c r="M136" s="400">
        <v>1</v>
      </c>
      <c r="N136" s="400" t="s">
        <v>1201</v>
      </c>
      <c r="O136" s="389" t="s">
        <v>1357</v>
      </c>
      <c r="P136" s="382" t="s">
        <v>2052</v>
      </c>
    </row>
    <row r="137" spans="1:16" s="107" customFormat="1" hidden="1">
      <c r="B137" s="382">
        <v>142</v>
      </c>
      <c r="C137" s="429" t="s">
        <v>1365</v>
      </c>
      <c r="D137" s="429" t="s">
        <v>1588</v>
      </c>
      <c r="E137" s="400" t="s">
        <v>1549</v>
      </c>
      <c r="F137" s="400" t="s">
        <v>1363</v>
      </c>
      <c r="G137" s="400" t="s">
        <v>1591</v>
      </c>
      <c r="H137" s="400" t="s">
        <v>1592</v>
      </c>
      <c r="I137" s="400" t="s">
        <v>1343</v>
      </c>
      <c r="J137" s="400" t="s">
        <v>1362</v>
      </c>
      <c r="K137" s="400" t="s">
        <v>1700</v>
      </c>
      <c r="L137" s="400">
        <v>2</v>
      </c>
      <c r="M137" s="400">
        <v>1</v>
      </c>
      <c r="N137" s="400" t="s">
        <v>1201</v>
      </c>
      <c r="O137" s="389" t="s">
        <v>1361</v>
      </c>
      <c r="P137" s="382" t="s">
        <v>2056</v>
      </c>
    </row>
    <row r="138" spans="1:16" s="107" customFormat="1" hidden="1">
      <c r="B138" s="382">
        <v>143</v>
      </c>
      <c r="C138" s="400" t="s">
        <v>1365</v>
      </c>
      <c r="D138" s="400" t="s">
        <v>1588</v>
      </c>
      <c r="E138" s="400" t="s">
        <v>1549</v>
      </c>
      <c r="F138" s="400" t="s">
        <v>1363</v>
      </c>
      <c r="G138" s="400" t="s">
        <v>1591</v>
      </c>
      <c r="H138" s="400" t="s">
        <v>1592</v>
      </c>
      <c r="I138" s="400" t="s">
        <v>1343</v>
      </c>
      <c r="J138" s="400" t="s">
        <v>1364</v>
      </c>
      <c r="K138" s="400" t="s">
        <v>1701</v>
      </c>
      <c r="L138" s="400">
        <v>2</v>
      </c>
      <c r="M138" s="400">
        <v>1</v>
      </c>
      <c r="N138" s="400" t="s">
        <v>1201</v>
      </c>
      <c r="O138" s="389" t="s">
        <v>1368</v>
      </c>
      <c r="P138" s="382" t="s">
        <v>2052</v>
      </c>
    </row>
    <row r="139" spans="1:16" s="107" customFormat="1" hidden="1">
      <c r="A139" s="277"/>
      <c r="B139" s="382">
        <v>144</v>
      </c>
      <c r="C139" s="400" t="s">
        <v>1366</v>
      </c>
      <c r="D139" s="400" t="s">
        <v>1588</v>
      </c>
      <c r="E139" s="400" t="s">
        <v>1549</v>
      </c>
      <c r="F139" s="400" t="s">
        <v>1369</v>
      </c>
      <c r="G139" s="400" t="s">
        <v>1591</v>
      </c>
      <c r="H139" s="400" t="s">
        <v>1592</v>
      </c>
      <c r="I139" s="400" t="s">
        <v>1343</v>
      </c>
      <c r="J139" s="400" t="s">
        <v>1367</v>
      </c>
      <c r="K139" s="400" t="s">
        <v>1702</v>
      </c>
      <c r="L139" s="400">
        <v>2</v>
      </c>
      <c r="M139" s="400">
        <v>1</v>
      </c>
      <c r="N139" s="400" t="s">
        <v>1201</v>
      </c>
      <c r="O139" s="389" t="s">
        <v>1368</v>
      </c>
      <c r="P139" s="382" t="s">
        <v>2052</v>
      </c>
    </row>
    <row r="140" spans="1:16" s="107" customFormat="1" hidden="1">
      <c r="A140" s="277"/>
      <c r="B140" s="382">
        <v>145</v>
      </c>
      <c r="C140" s="400" t="s">
        <v>1365</v>
      </c>
      <c r="D140" s="400" t="s">
        <v>1588</v>
      </c>
      <c r="E140" s="400" t="s">
        <v>1549</v>
      </c>
      <c r="F140" s="435" t="s">
        <v>1595</v>
      </c>
      <c r="G140" s="400" t="s">
        <v>1591</v>
      </c>
      <c r="H140" s="400" t="s">
        <v>1592</v>
      </c>
      <c r="I140" s="400" t="s">
        <v>1343</v>
      </c>
      <c r="J140" s="400" t="s">
        <v>1375</v>
      </c>
      <c r="K140" s="400" t="s">
        <v>1703</v>
      </c>
      <c r="L140" s="400">
        <v>3</v>
      </c>
      <c r="M140" s="400">
        <v>3</v>
      </c>
      <c r="N140" s="400" t="s">
        <v>1201</v>
      </c>
      <c r="O140" s="389" t="s">
        <v>1376</v>
      </c>
      <c r="P140" s="382" t="s">
        <v>2052</v>
      </c>
    </row>
    <row r="141" spans="1:16" s="107" customFormat="1">
      <c r="A141" s="277"/>
      <c r="B141" s="269">
        <v>148</v>
      </c>
      <c r="C141" s="283" t="s">
        <v>1373</v>
      </c>
      <c r="D141" s="283" t="s">
        <v>1663</v>
      </c>
      <c r="E141" s="269" t="s">
        <v>1874</v>
      </c>
      <c r="F141" s="269" t="s">
        <v>1371</v>
      </c>
      <c r="G141" s="269" t="s">
        <v>1374</v>
      </c>
      <c r="H141" s="269" t="s">
        <v>1875</v>
      </c>
      <c r="I141" s="269" t="s">
        <v>1370</v>
      </c>
      <c r="J141" s="269" t="s">
        <v>1371</v>
      </c>
      <c r="K141" s="269">
        <v>1320</v>
      </c>
      <c r="L141" s="269">
        <v>1</v>
      </c>
      <c r="M141" s="269">
        <v>1</v>
      </c>
      <c r="N141" s="269" t="s">
        <v>1201</v>
      </c>
      <c r="O141" s="286" t="s">
        <v>1372</v>
      </c>
      <c r="P141" s="269"/>
    </row>
    <row r="142" spans="1:16" s="107" customFormat="1" hidden="1">
      <c r="A142" s="277"/>
      <c r="B142" s="382">
        <v>149</v>
      </c>
      <c r="C142" s="400" t="s">
        <v>1534</v>
      </c>
      <c r="D142" s="400" t="s">
        <v>1588</v>
      </c>
      <c r="E142" s="400" t="s">
        <v>1596</v>
      </c>
      <c r="F142" s="400" t="s">
        <v>1597</v>
      </c>
      <c r="G142" s="400" t="s">
        <v>1591</v>
      </c>
      <c r="H142" s="400" t="s">
        <v>1592</v>
      </c>
      <c r="I142" s="400" t="s">
        <v>1343</v>
      </c>
      <c r="J142" s="400" t="s">
        <v>1377</v>
      </c>
      <c r="K142" s="400" t="s">
        <v>1704</v>
      </c>
      <c r="L142" s="400">
        <v>3</v>
      </c>
      <c r="M142" s="400">
        <v>1</v>
      </c>
      <c r="N142" s="400" t="s">
        <v>1201</v>
      </c>
      <c r="O142" s="389" t="s">
        <v>1532</v>
      </c>
      <c r="P142" s="382" t="s">
        <v>2058</v>
      </c>
    </row>
    <row r="143" spans="1:16" s="107" customFormat="1" hidden="1">
      <c r="A143" s="277"/>
      <c r="B143" s="382">
        <v>150</v>
      </c>
      <c r="C143" s="400" t="s">
        <v>1535</v>
      </c>
      <c r="D143" s="400" t="s">
        <v>1588</v>
      </c>
      <c r="E143" s="400" t="s">
        <v>1549</v>
      </c>
      <c r="F143" s="436" t="s">
        <v>1598</v>
      </c>
      <c r="G143" s="400" t="s">
        <v>1591</v>
      </c>
      <c r="H143" s="400" t="s">
        <v>1592</v>
      </c>
      <c r="I143" s="400" t="s">
        <v>1343</v>
      </c>
      <c r="J143" s="400" t="s">
        <v>1378</v>
      </c>
      <c r="K143" s="400" t="s">
        <v>1705</v>
      </c>
      <c r="L143" s="400">
        <v>1</v>
      </c>
      <c r="M143" s="400">
        <v>1</v>
      </c>
      <c r="N143" s="400" t="s">
        <v>1201</v>
      </c>
      <c r="O143" s="389" t="s">
        <v>1533</v>
      </c>
      <c r="P143" s="382" t="s">
        <v>2052</v>
      </c>
    </row>
    <row r="144" spans="1:16" s="107" customFormat="1" hidden="1">
      <c r="A144" s="277"/>
      <c r="B144" s="382">
        <v>151</v>
      </c>
      <c r="C144" s="400" t="s">
        <v>1536</v>
      </c>
      <c r="D144" s="400" t="s">
        <v>1588</v>
      </c>
      <c r="E144" s="400" t="s">
        <v>1549</v>
      </c>
      <c r="F144" s="400" t="s">
        <v>1631</v>
      </c>
      <c r="G144" s="400" t="s">
        <v>1591</v>
      </c>
      <c r="H144" s="400" t="s">
        <v>1592</v>
      </c>
      <c r="I144" s="400" t="s">
        <v>1343</v>
      </c>
      <c r="J144" s="400" t="s">
        <v>1379</v>
      </c>
      <c r="K144" s="400" t="s">
        <v>1706</v>
      </c>
      <c r="L144" s="400">
        <v>1</v>
      </c>
      <c r="M144" s="400">
        <v>1</v>
      </c>
      <c r="N144" s="400" t="s">
        <v>1201</v>
      </c>
      <c r="O144" s="389" t="s">
        <v>1537</v>
      </c>
      <c r="P144" s="382" t="s">
        <v>2052</v>
      </c>
    </row>
    <row r="145" spans="1:16" s="107" customFormat="1" hidden="1">
      <c r="A145" s="277"/>
      <c r="B145" s="382">
        <v>154</v>
      </c>
      <c r="C145" s="400" t="s">
        <v>1682</v>
      </c>
      <c r="D145" s="400" t="s">
        <v>1588</v>
      </c>
      <c r="E145" s="400" t="s">
        <v>1549</v>
      </c>
      <c r="F145" s="400" t="s">
        <v>1630</v>
      </c>
      <c r="G145" s="400" t="s">
        <v>1591</v>
      </c>
      <c r="H145" s="400" t="s">
        <v>1592</v>
      </c>
      <c r="I145" s="400" t="s">
        <v>1343</v>
      </c>
      <c r="J145" s="400" t="s">
        <v>1380</v>
      </c>
      <c r="K145" s="400" t="s">
        <v>1707</v>
      </c>
      <c r="L145" s="400">
        <v>2</v>
      </c>
      <c r="M145" s="400">
        <v>1</v>
      </c>
      <c r="N145" s="400" t="s">
        <v>1201</v>
      </c>
      <c r="O145" s="389" t="s">
        <v>1599</v>
      </c>
      <c r="P145" s="382" t="s">
        <v>2058</v>
      </c>
    </row>
    <row r="146" spans="1:16" s="107" customFormat="1" hidden="1">
      <c r="A146" s="277"/>
      <c r="B146" s="382">
        <v>155</v>
      </c>
      <c r="C146" s="400" t="s">
        <v>1691</v>
      </c>
      <c r="D146" s="400" t="s">
        <v>1588</v>
      </c>
      <c r="E146" s="400" t="s">
        <v>1549</v>
      </c>
      <c r="F146" s="436" t="s">
        <v>1600</v>
      </c>
      <c r="G146" s="400" t="s">
        <v>1591</v>
      </c>
      <c r="H146" s="400" t="s">
        <v>1592</v>
      </c>
      <c r="I146" s="400" t="s">
        <v>1343</v>
      </c>
      <c r="J146" s="400" t="s">
        <v>1381</v>
      </c>
      <c r="K146" s="400" t="s">
        <v>1709</v>
      </c>
      <c r="L146" s="400">
        <v>1</v>
      </c>
      <c r="M146" s="400">
        <v>1</v>
      </c>
      <c r="N146" s="400" t="s">
        <v>1201</v>
      </c>
      <c r="O146" s="389" t="s">
        <v>1601</v>
      </c>
      <c r="P146" s="382" t="s">
        <v>2052</v>
      </c>
    </row>
    <row r="147" spans="1:16" s="107" customFormat="1" hidden="1">
      <c r="A147" s="277"/>
      <c r="B147" s="382">
        <v>156</v>
      </c>
      <c r="C147" s="400" t="s">
        <v>1683</v>
      </c>
      <c r="D147" s="400" t="s">
        <v>1588</v>
      </c>
      <c r="E147" s="400" t="s">
        <v>1549</v>
      </c>
      <c r="F147" s="400" t="s">
        <v>1629</v>
      </c>
      <c r="G147" s="400" t="s">
        <v>1591</v>
      </c>
      <c r="H147" s="400" t="s">
        <v>1592</v>
      </c>
      <c r="I147" s="400" t="s">
        <v>1343</v>
      </c>
      <c r="J147" s="400" t="s">
        <v>1382</v>
      </c>
      <c r="K147" s="400" t="s">
        <v>1708</v>
      </c>
      <c r="L147" s="400">
        <v>1</v>
      </c>
      <c r="M147" s="400">
        <v>1</v>
      </c>
      <c r="N147" s="400" t="s">
        <v>1201</v>
      </c>
      <c r="O147" s="382" t="s">
        <v>1602</v>
      </c>
      <c r="P147" s="382" t="s">
        <v>2052</v>
      </c>
    </row>
    <row r="148" spans="1:16" s="107" customFormat="1" hidden="1">
      <c r="A148" s="277"/>
      <c r="B148" s="382">
        <v>158</v>
      </c>
      <c r="C148" s="400" t="s">
        <v>1594</v>
      </c>
      <c r="D148" s="400" t="s">
        <v>1588</v>
      </c>
      <c r="E148" s="400" t="s">
        <v>1593</v>
      </c>
      <c r="F148" s="400" t="s">
        <v>1385</v>
      </c>
      <c r="G148" s="400" t="s">
        <v>1591</v>
      </c>
      <c r="H148" s="400" t="s">
        <v>1592</v>
      </c>
      <c r="I148" s="400" t="s">
        <v>1343</v>
      </c>
      <c r="J148" s="400" t="s">
        <v>1384</v>
      </c>
      <c r="K148" s="400" t="s">
        <v>1710</v>
      </c>
      <c r="L148" s="400">
        <v>2</v>
      </c>
      <c r="M148" s="400">
        <v>2</v>
      </c>
      <c r="N148" s="400" t="s">
        <v>1201</v>
      </c>
      <c r="O148" s="389" t="s">
        <v>1622</v>
      </c>
      <c r="P148" s="382" t="s">
        <v>2052</v>
      </c>
    </row>
    <row r="149" spans="1:16" s="107" customFormat="1" hidden="1">
      <c r="A149" s="277"/>
      <c r="B149" s="382">
        <v>161</v>
      </c>
      <c r="C149" s="400" t="s">
        <v>1690</v>
      </c>
      <c r="D149" s="400" t="s">
        <v>1588</v>
      </c>
      <c r="E149" s="400" t="s">
        <v>1549</v>
      </c>
      <c r="F149" s="436" t="s">
        <v>1611</v>
      </c>
      <c r="G149" s="400" t="s">
        <v>1591</v>
      </c>
      <c r="H149" s="400" t="s">
        <v>1592</v>
      </c>
      <c r="I149" s="400" t="s">
        <v>1343</v>
      </c>
      <c r="J149" s="400" t="s">
        <v>1386</v>
      </c>
      <c r="K149" s="400" t="s">
        <v>1711</v>
      </c>
      <c r="L149" s="400">
        <v>2</v>
      </c>
      <c r="M149" s="400">
        <v>2</v>
      </c>
      <c r="N149" s="400" t="s">
        <v>1201</v>
      </c>
      <c r="O149" s="382" t="s">
        <v>1610</v>
      </c>
      <c r="P149" s="382" t="s">
        <v>2052</v>
      </c>
    </row>
    <row r="150" spans="1:16" s="107" customFormat="1" hidden="1">
      <c r="A150" s="277"/>
      <c r="B150" s="382">
        <v>162</v>
      </c>
      <c r="C150" s="400" t="s">
        <v>1689</v>
      </c>
      <c r="D150" s="400" t="s">
        <v>1588</v>
      </c>
      <c r="E150" s="400" t="s">
        <v>1549</v>
      </c>
      <c r="F150" s="436" t="s">
        <v>1612</v>
      </c>
      <c r="G150" s="400" t="s">
        <v>1591</v>
      </c>
      <c r="H150" s="400" t="s">
        <v>1592</v>
      </c>
      <c r="I150" s="400" t="s">
        <v>1343</v>
      </c>
      <c r="J150" s="400" t="s">
        <v>1387</v>
      </c>
      <c r="K150" s="400" t="s">
        <v>1712</v>
      </c>
      <c r="L150" s="400">
        <v>2</v>
      </c>
      <c r="M150" s="400">
        <v>2</v>
      </c>
      <c r="N150" s="400" t="s">
        <v>1201</v>
      </c>
      <c r="O150" s="382" t="s">
        <v>1604</v>
      </c>
      <c r="P150" s="382" t="s">
        <v>2052</v>
      </c>
    </row>
    <row r="151" spans="1:16" s="107" customFormat="1" hidden="1">
      <c r="A151" s="277"/>
      <c r="B151" s="382">
        <v>163</v>
      </c>
      <c r="C151" s="400" t="s">
        <v>1688</v>
      </c>
      <c r="D151" s="400" t="s">
        <v>1588</v>
      </c>
      <c r="E151" s="400" t="s">
        <v>1549</v>
      </c>
      <c r="F151" s="400" t="s">
        <v>1613</v>
      </c>
      <c r="G151" s="400" t="s">
        <v>1591</v>
      </c>
      <c r="H151" s="400" t="s">
        <v>1592</v>
      </c>
      <c r="I151" s="400" t="s">
        <v>1343</v>
      </c>
      <c r="J151" s="400" t="s">
        <v>1388</v>
      </c>
      <c r="K151" s="400" t="s">
        <v>1713</v>
      </c>
      <c r="L151" s="400">
        <v>1</v>
      </c>
      <c r="M151" s="400">
        <v>1</v>
      </c>
      <c r="N151" s="400" t="s">
        <v>1201</v>
      </c>
      <c r="O151" s="389" t="s">
        <v>1605</v>
      </c>
      <c r="P151" s="382" t="s">
        <v>2052</v>
      </c>
    </row>
    <row r="152" spans="1:16" s="107" customFormat="1" hidden="1">
      <c r="A152" s="277"/>
      <c r="B152" s="382">
        <v>164</v>
      </c>
      <c r="C152" s="400" t="s">
        <v>1687</v>
      </c>
      <c r="D152" s="400" t="s">
        <v>1588</v>
      </c>
      <c r="E152" s="400" t="s">
        <v>1549</v>
      </c>
      <c r="F152" s="400" t="s">
        <v>1612</v>
      </c>
      <c r="G152" s="400" t="s">
        <v>1591</v>
      </c>
      <c r="H152" s="400" t="s">
        <v>1592</v>
      </c>
      <c r="I152" s="400" t="s">
        <v>1343</v>
      </c>
      <c r="J152" s="400" t="s">
        <v>1389</v>
      </c>
      <c r="K152" s="400" t="s">
        <v>1698</v>
      </c>
      <c r="L152" s="400">
        <v>2</v>
      </c>
      <c r="M152" s="400">
        <v>2</v>
      </c>
      <c r="N152" s="400" t="s">
        <v>1201</v>
      </c>
      <c r="O152" s="389" t="s">
        <v>1606</v>
      </c>
      <c r="P152" s="382" t="s">
        <v>2052</v>
      </c>
    </row>
    <row r="153" spans="1:16" s="107" customFormat="1" hidden="1">
      <c r="A153" s="277"/>
      <c r="B153" s="382">
        <v>165</v>
      </c>
      <c r="C153" s="400" t="s">
        <v>1636</v>
      </c>
      <c r="D153" s="400" t="s">
        <v>1588</v>
      </c>
      <c r="E153" s="400" t="s">
        <v>1549</v>
      </c>
      <c r="F153" s="400" t="s">
        <v>1615</v>
      </c>
      <c r="G153" s="400" t="s">
        <v>1591</v>
      </c>
      <c r="H153" s="400" t="s">
        <v>1592</v>
      </c>
      <c r="I153" s="400" t="s">
        <v>1343</v>
      </c>
      <c r="J153" s="400" t="s">
        <v>1390</v>
      </c>
      <c r="K153" s="400" t="s">
        <v>1714</v>
      </c>
      <c r="L153" s="400">
        <v>2</v>
      </c>
      <c r="M153" s="400">
        <v>2</v>
      </c>
      <c r="N153" s="400" t="s">
        <v>1201</v>
      </c>
      <c r="O153" s="389" t="s">
        <v>1607</v>
      </c>
      <c r="P153" s="382" t="s">
        <v>2052</v>
      </c>
    </row>
    <row r="154" spans="1:16" s="107" customFormat="1" hidden="1">
      <c r="A154" s="277"/>
      <c r="B154" s="382">
        <v>170</v>
      </c>
      <c r="C154" s="400" t="s">
        <v>1686</v>
      </c>
      <c r="D154" s="400" t="s">
        <v>1588</v>
      </c>
      <c r="E154" s="400" t="s">
        <v>1549</v>
      </c>
      <c r="F154" s="400" t="s">
        <v>1613</v>
      </c>
      <c r="G154" s="400" t="s">
        <v>1591</v>
      </c>
      <c r="H154" s="400" t="s">
        <v>1592</v>
      </c>
      <c r="I154" s="400" t="s">
        <v>1343</v>
      </c>
      <c r="J154" s="400" t="s">
        <v>1391</v>
      </c>
      <c r="K154" s="400" t="s">
        <v>1715</v>
      </c>
      <c r="L154" s="400">
        <v>1</v>
      </c>
      <c r="M154" s="400">
        <v>1</v>
      </c>
      <c r="N154" s="400" t="s">
        <v>1201</v>
      </c>
      <c r="O154" s="389" t="s">
        <v>1608</v>
      </c>
      <c r="P154" s="382" t="s">
        <v>2052</v>
      </c>
    </row>
    <row r="155" spans="1:16" s="107" customFormat="1" hidden="1">
      <c r="A155" s="277"/>
      <c r="B155" s="382">
        <v>172</v>
      </c>
      <c r="C155" s="400" t="s">
        <v>1685</v>
      </c>
      <c r="D155" s="400" t="s">
        <v>1588</v>
      </c>
      <c r="E155" s="400" t="s">
        <v>1549</v>
      </c>
      <c r="F155" s="400" t="s">
        <v>1616</v>
      </c>
      <c r="G155" s="400" t="s">
        <v>1591</v>
      </c>
      <c r="H155" s="400" t="s">
        <v>1592</v>
      </c>
      <c r="I155" s="400" t="s">
        <v>1343</v>
      </c>
      <c r="J155" s="400" t="s">
        <v>1392</v>
      </c>
      <c r="K155" s="400" t="s">
        <v>1716</v>
      </c>
      <c r="L155" s="400">
        <v>1</v>
      </c>
      <c r="M155" s="400">
        <v>1</v>
      </c>
      <c r="N155" s="400" t="s">
        <v>1201</v>
      </c>
      <c r="O155" s="389" t="s">
        <v>1609</v>
      </c>
      <c r="P155" s="382" t="s">
        <v>2052</v>
      </c>
    </row>
    <row r="156" spans="1:16" s="107" customFormat="1" hidden="1">
      <c r="A156" s="277"/>
      <c r="B156" s="382">
        <v>175</v>
      </c>
      <c r="C156" s="400" t="s">
        <v>1684</v>
      </c>
      <c r="D156" s="400" t="s">
        <v>1588</v>
      </c>
      <c r="E156" s="400" t="s">
        <v>1618</v>
      </c>
      <c r="F156" s="400" t="s">
        <v>1617</v>
      </c>
      <c r="G156" s="400" t="s">
        <v>1591</v>
      </c>
      <c r="H156" s="400" t="s">
        <v>1592</v>
      </c>
      <c r="I156" s="400" t="s">
        <v>1343</v>
      </c>
      <c r="J156" s="400" t="s">
        <v>1393</v>
      </c>
      <c r="K156" s="400" t="s">
        <v>1717</v>
      </c>
      <c r="L156" s="400">
        <v>2</v>
      </c>
      <c r="M156" s="400">
        <v>2</v>
      </c>
      <c r="N156" s="400" t="s">
        <v>1201</v>
      </c>
      <c r="O156" s="389" t="s">
        <v>1619</v>
      </c>
      <c r="P156" s="382" t="s">
        <v>2052</v>
      </c>
    </row>
    <row r="157" spans="1:16" s="107" customFormat="1" ht="15" hidden="1" customHeight="1">
      <c r="A157" s="277"/>
      <c r="B157" s="384">
        <v>176</v>
      </c>
      <c r="C157" s="383" t="s">
        <v>1540</v>
      </c>
      <c r="D157" s="437" t="s">
        <v>1588</v>
      </c>
      <c r="E157" s="384" t="s">
        <v>1539</v>
      </c>
      <c r="F157" s="384" t="s">
        <v>1394</v>
      </c>
      <c r="G157" s="384" t="s">
        <v>1353</v>
      </c>
      <c r="H157" s="384" t="s">
        <v>1545</v>
      </c>
      <c r="I157" s="384" t="s">
        <v>1408</v>
      </c>
      <c r="J157" s="384" t="s">
        <v>1394</v>
      </c>
      <c r="K157" s="384">
        <v>4036</v>
      </c>
      <c r="L157" s="384">
        <v>1</v>
      </c>
      <c r="M157" s="390">
        <v>0</v>
      </c>
      <c r="N157" s="385" t="s">
        <v>1201</v>
      </c>
      <c r="O157" s="386" t="s">
        <v>1538</v>
      </c>
      <c r="P157" s="384" t="s">
        <v>2059</v>
      </c>
    </row>
    <row r="158" spans="1:16" s="125" customFormat="1" ht="15" hidden="1" customHeight="1">
      <c r="A158" s="301"/>
      <c r="B158" s="382">
        <f>1+B157</f>
        <v>177</v>
      </c>
      <c r="C158" s="387" t="s">
        <v>1540</v>
      </c>
      <c r="D158" s="429" t="s">
        <v>1588</v>
      </c>
      <c r="E158" s="382" t="s">
        <v>1539</v>
      </c>
      <c r="F158" s="382" t="s">
        <v>1395</v>
      </c>
      <c r="G158" s="382" t="s">
        <v>1353</v>
      </c>
      <c r="H158" s="382" t="s">
        <v>1545</v>
      </c>
      <c r="I158" s="382" t="s">
        <v>1408</v>
      </c>
      <c r="J158" s="382" t="s">
        <v>1395</v>
      </c>
      <c r="K158" s="382">
        <v>3720</v>
      </c>
      <c r="L158" s="393">
        <v>6</v>
      </c>
      <c r="M158" s="391">
        <v>3</v>
      </c>
      <c r="N158" s="388" t="s">
        <v>1201</v>
      </c>
      <c r="O158" s="392" t="s">
        <v>1538</v>
      </c>
      <c r="P158" s="303" t="s">
        <v>2061</v>
      </c>
    </row>
    <row r="159" spans="1:16" s="107" customFormat="1" ht="15" hidden="1" customHeight="1">
      <c r="A159" s="277"/>
      <c r="B159" s="382">
        <f>1+B158</f>
        <v>178</v>
      </c>
      <c r="C159" s="387" t="s">
        <v>1540</v>
      </c>
      <c r="D159" s="429" t="s">
        <v>1588</v>
      </c>
      <c r="E159" s="382" t="s">
        <v>1539</v>
      </c>
      <c r="F159" s="382" t="s">
        <v>1542</v>
      </c>
      <c r="G159" s="382" t="s">
        <v>1353</v>
      </c>
      <c r="H159" s="382" t="s">
        <v>1545</v>
      </c>
      <c r="I159" s="382" t="s">
        <v>1408</v>
      </c>
      <c r="J159" s="382" t="s">
        <v>1542</v>
      </c>
      <c r="K159" s="382">
        <v>4542</v>
      </c>
      <c r="L159" s="382">
        <v>5</v>
      </c>
      <c r="M159" s="391">
        <v>3</v>
      </c>
      <c r="N159" s="388" t="s">
        <v>1201</v>
      </c>
      <c r="O159" s="389" t="s">
        <v>1565</v>
      </c>
      <c r="P159" s="382" t="s">
        <v>2052</v>
      </c>
    </row>
    <row r="160" spans="1:16" s="107" customFormat="1" ht="15" hidden="1" customHeight="1">
      <c r="A160" s="277"/>
      <c r="B160" s="382">
        <f>1+B159</f>
        <v>179</v>
      </c>
      <c r="C160" s="387" t="s">
        <v>1540</v>
      </c>
      <c r="D160" s="429" t="s">
        <v>1588</v>
      </c>
      <c r="E160" s="382" t="s">
        <v>1539</v>
      </c>
      <c r="F160" s="382" t="s">
        <v>1396</v>
      </c>
      <c r="G160" s="382" t="s">
        <v>1353</v>
      </c>
      <c r="H160" s="382" t="s">
        <v>1545</v>
      </c>
      <c r="I160" s="382" t="s">
        <v>1408</v>
      </c>
      <c r="J160" s="382" t="s">
        <v>1396</v>
      </c>
      <c r="K160" s="382">
        <v>7452</v>
      </c>
      <c r="L160" s="382">
        <v>2</v>
      </c>
      <c r="M160" s="391">
        <v>2</v>
      </c>
      <c r="N160" s="388" t="s">
        <v>1201</v>
      </c>
      <c r="O160" s="389" t="s">
        <v>1566</v>
      </c>
      <c r="P160" s="382" t="s">
        <v>2052</v>
      </c>
    </row>
    <row r="161" spans="1:16" s="107" customFormat="1" ht="15" hidden="1" customHeight="1">
      <c r="A161" s="277"/>
      <c r="B161" s="382">
        <f>1+B160</f>
        <v>180</v>
      </c>
      <c r="C161" s="387" t="s">
        <v>1540</v>
      </c>
      <c r="D161" s="429" t="s">
        <v>1588</v>
      </c>
      <c r="E161" s="382" t="s">
        <v>1539</v>
      </c>
      <c r="F161" s="382" t="s">
        <v>1397</v>
      </c>
      <c r="G161" s="382" t="s">
        <v>1353</v>
      </c>
      <c r="H161" s="382" t="s">
        <v>1545</v>
      </c>
      <c r="I161" s="382" t="s">
        <v>1408</v>
      </c>
      <c r="J161" s="382" t="s">
        <v>1397</v>
      </c>
      <c r="K161" s="382">
        <v>3622</v>
      </c>
      <c r="L161" s="382">
        <v>2</v>
      </c>
      <c r="M161" s="391">
        <v>3</v>
      </c>
      <c r="N161" s="388" t="s">
        <v>1201</v>
      </c>
      <c r="O161" s="389" t="s">
        <v>1425</v>
      </c>
      <c r="P161" s="303" t="s">
        <v>2060</v>
      </c>
    </row>
    <row r="162" spans="1:16" s="107" customFormat="1" hidden="1">
      <c r="A162" s="277"/>
      <c r="B162" s="259">
        <v>183</v>
      </c>
      <c r="C162" s="281"/>
      <c r="D162" s="305"/>
      <c r="E162" s="273"/>
      <c r="F162" s="308" t="s">
        <v>1398</v>
      </c>
      <c r="G162" s="259"/>
      <c r="H162" s="259"/>
      <c r="I162" s="308"/>
      <c r="J162" s="259" t="s">
        <v>1251</v>
      </c>
      <c r="K162" s="259"/>
      <c r="L162" s="259">
        <v>1</v>
      </c>
      <c r="M162" s="259"/>
      <c r="N162" s="262" t="s">
        <v>1201</v>
      </c>
      <c r="O162" s="284" t="s">
        <v>1399</v>
      </c>
      <c r="P162" s="125"/>
    </row>
    <row r="163" spans="1:16" s="107" customFormat="1" hidden="1">
      <c r="A163" s="277"/>
      <c r="B163" s="382">
        <f t="shared" ref="B163:B169" si="0">1+B162</f>
        <v>184</v>
      </c>
      <c r="C163" s="387" t="s">
        <v>1540</v>
      </c>
      <c r="D163" s="429" t="s">
        <v>1588</v>
      </c>
      <c r="E163" s="382" t="s">
        <v>1539</v>
      </c>
      <c r="F163" s="382" t="s">
        <v>1418</v>
      </c>
      <c r="G163" s="382" t="s">
        <v>1353</v>
      </c>
      <c r="H163" s="382" t="s">
        <v>1545</v>
      </c>
      <c r="I163" s="382" t="s">
        <v>1408</v>
      </c>
      <c r="J163" s="382" t="s">
        <v>1418</v>
      </c>
      <c r="K163" s="382">
        <v>2794</v>
      </c>
      <c r="L163" s="382">
        <v>2</v>
      </c>
      <c r="M163" s="391">
        <v>3</v>
      </c>
      <c r="N163" s="388" t="s">
        <v>1201</v>
      </c>
      <c r="O163" s="389" t="s">
        <v>1419</v>
      </c>
      <c r="P163" s="220" t="s">
        <v>2052</v>
      </c>
    </row>
    <row r="164" spans="1:16" s="107" customFormat="1" hidden="1">
      <c r="A164" s="277"/>
      <c r="B164" s="382">
        <f t="shared" si="0"/>
        <v>185</v>
      </c>
      <c r="C164" s="387" t="s">
        <v>1540</v>
      </c>
      <c r="D164" s="429" t="s">
        <v>1588</v>
      </c>
      <c r="E164" s="382" t="s">
        <v>1539</v>
      </c>
      <c r="F164" s="382" t="s">
        <v>1420</v>
      </c>
      <c r="G164" s="382" t="s">
        <v>1353</v>
      </c>
      <c r="H164" s="382" t="s">
        <v>1545</v>
      </c>
      <c r="I164" s="382" t="s">
        <v>1408</v>
      </c>
      <c r="J164" s="382" t="s">
        <v>1420</v>
      </c>
      <c r="K164" s="382">
        <v>2794</v>
      </c>
      <c r="L164" s="382">
        <v>1</v>
      </c>
      <c r="M164" s="391">
        <v>1</v>
      </c>
      <c r="N164" s="388" t="s">
        <v>1201</v>
      </c>
      <c r="O164" s="389" t="s">
        <v>1567</v>
      </c>
      <c r="P164" s="220" t="s">
        <v>2052</v>
      </c>
    </row>
    <row r="165" spans="1:16" s="107" customFormat="1" hidden="1">
      <c r="A165" s="277"/>
      <c r="B165" s="382">
        <f t="shared" si="0"/>
        <v>186</v>
      </c>
      <c r="C165" s="387" t="s">
        <v>1540</v>
      </c>
      <c r="D165" s="429" t="s">
        <v>1588</v>
      </c>
      <c r="E165" s="382" t="s">
        <v>1539</v>
      </c>
      <c r="F165" s="382" t="s">
        <v>1423</v>
      </c>
      <c r="G165" s="382" t="s">
        <v>1353</v>
      </c>
      <c r="H165" s="382" t="s">
        <v>1545</v>
      </c>
      <c r="I165" s="382" t="s">
        <v>1408</v>
      </c>
      <c r="J165" s="382" t="s">
        <v>1423</v>
      </c>
      <c r="K165" s="382">
        <v>3156</v>
      </c>
      <c r="L165" s="382">
        <v>1</v>
      </c>
      <c r="M165" s="391">
        <v>1</v>
      </c>
      <c r="N165" s="388" t="s">
        <v>1201</v>
      </c>
      <c r="O165" s="389" t="s">
        <v>1424</v>
      </c>
      <c r="P165" s="220" t="s">
        <v>2052</v>
      </c>
    </row>
    <row r="166" spans="1:16" s="107" customFormat="1" hidden="1">
      <c r="A166" s="277"/>
      <c r="B166" s="382">
        <f t="shared" si="0"/>
        <v>187</v>
      </c>
      <c r="C166" s="387" t="s">
        <v>1540</v>
      </c>
      <c r="D166" s="429" t="s">
        <v>1588</v>
      </c>
      <c r="E166" s="382" t="s">
        <v>1539</v>
      </c>
      <c r="F166" s="382" t="s">
        <v>1421</v>
      </c>
      <c r="G166" s="382" t="s">
        <v>1353</v>
      </c>
      <c r="H166" s="382" t="s">
        <v>1545</v>
      </c>
      <c r="I166" s="382" t="s">
        <v>1408</v>
      </c>
      <c r="J166" s="382" t="s">
        <v>1421</v>
      </c>
      <c r="K166" s="382">
        <v>3260</v>
      </c>
      <c r="L166" s="382">
        <v>3</v>
      </c>
      <c r="M166" s="391">
        <v>2</v>
      </c>
      <c r="N166" s="388" t="s">
        <v>1201</v>
      </c>
      <c r="O166" s="389" t="s">
        <v>1422</v>
      </c>
      <c r="P166" s="220" t="s">
        <v>2052</v>
      </c>
    </row>
    <row r="167" spans="1:16" s="107" customFormat="1" ht="15" hidden="1" customHeight="1">
      <c r="A167" s="277"/>
      <c r="B167" s="382">
        <f t="shared" si="0"/>
        <v>188</v>
      </c>
      <c r="C167" s="387" t="s">
        <v>1546</v>
      </c>
      <c r="D167" s="429" t="s">
        <v>1588</v>
      </c>
      <c r="E167" s="382" t="s">
        <v>1547</v>
      </c>
      <c r="F167" s="382" t="s">
        <v>1400</v>
      </c>
      <c r="G167" s="382" t="s">
        <v>1353</v>
      </c>
      <c r="H167" s="382" t="s">
        <v>1545</v>
      </c>
      <c r="I167" s="382" t="s">
        <v>1408</v>
      </c>
      <c r="J167" s="382" t="s">
        <v>1400</v>
      </c>
      <c r="K167" s="382" t="s">
        <v>1587</v>
      </c>
      <c r="L167" s="382">
        <v>7</v>
      </c>
      <c r="M167" s="391">
        <v>0</v>
      </c>
      <c r="N167" s="388" t="s">
        <v>1201</v>
      </c>
      <c r="O167" s="389" t="s">
        <v>1568</v>
      </c>
      <c r="P167" s="220" t="s">
        <v>1541</v>
      </c>
    </row>
    <row r="168" spans="1:16" s="107" customFormat="1" ht="15" hidden="1" customHeight="1">
      <c r="A168" s="277"/>
      <c r="B168" s="382">
        <f t="shared" si="0"/>
        <v>189</v>
      </c>
      <c r="C168" s="387" t="s">
        <v>1546</v>
      </c>
      <c r="D168" s="429" t="s">
        <v>1588</v>
      </c>
      <c r="E168" s="382" t="s">
        <v>1547</v>
      </c>
      <c r="F168" s="382" t="s">
        <v>1564</v>
      </c>
      <c r="G168" s="382" t="s">
        <v>1353</v>
      </c>
      <c r="H168" s="382" t="s">
        <v>1545</v>
      </c>
      <c r="I168" s="382" t="s">
        <v>1408</v>
      </c>
      <c r="J168" s="382" t="s">
        <v>1564</v>
      </c>
      <c r="K168" s="382">
        <v>445</v>
      </c>
      <c r="L168" s="382">
        <v>1</v>
      </c>
      <c r="M168" s="391">
        <v>2</v>
      </c>
      <c r="N168" s="388" t="s">
        <v>1201</v>
      </c>
      <c r="O168" s="389" t="s">
        <v>1569</v>
      </c>
      <c r="P168" s="303" t="s">
        <v>1548</v>
      </c>
    </row>
    <row r="169" spans="1:16" s="107" customFormat="1" ht="15" hidden="1" customHeight="1">
      <c r="A169" s="277"/>
      <c r="B169" s="382">
        <f t="shared" si="0"/>
        <v>190</v>
      </c>
      <c r="C169" s="387" t="s">
        <v>1562</v>
      </c>
      <c r="D169" s="429" t="s">
        <v>1588</v>
      </c>
      <c r="E169" s="382" t="s">
        <v>1549</v>
      </c>
      <c r="F169" s="382" t="s">
        <v>1401</v>
      </c>
      <c r="G169" s="382" t="s">
        <v>1353</v>
      </c>
      <c r="H169" s="382" t="s">
        <v>1545</v>
      </c>
      <c r="I169" s="382" t="s">
        <v>1408</v>
      </c>
      <c r="J169" s="382" t="s">
        <v>1401</v>
      </c>
      <c r="K169" s="382">
        <v>755</v>
      </c>
      <c r="L169" s="382">
        <v>2</v>
      </c>
      <c r="M169" s="391">
        <v>2</v>
      </c>
      <c r="N169" s="388" t="s">
        <v>1201</v>
      </c>
      <c r="O169" s="389" t="s">
        <v>1570</v>
      </c>
      <c r="P169" s="220" t="s">
        <v>1559</v>
      </c>
    </row>
    <row r="170" spans="1:16" s="107" customFormat="1" hidden="1">
      <c r="A170" s="277"/>
      <c r="B170" s="259">
        <v>187</v>
      </c>
      <c r="C170" s="281"/>
      <c r="D170" s="305"/>
      <c r="E170" s="273"/>
      <c r="F170" s="308"/>
      <c r="G170" s="259"/>
      <c r="H170" s="259"/>
      <c r="I170" s="308"/>
      <c r="J170" s="259" t="s">
        <v>1426</v>
      </c>
      <c r="K170" s="259"/>
      <c r="L170" s="259">
        <v>0</v>
      </c>
      <c r="M170" s="259"/>
      <c r="N170" s="262"/>
      <c r="O170" s="284" t="s">
        <v>1427</v>
      </c>
      <c r="P170" s="125"/>
    </row>
    <row r="171" spans="1:16" s="107" customFormat="1" ht="15" hidden="1" customHeight="1">
      <c r="A171" s="277"/>
      <c r="B171" s="382">
        <f t="shared" ref="B171:B186" si="1">1+B170</f>
        <v>188</v>
      </c>
      <c r="C171" s="387" t="s">
        <v>1562</v>
      </c>
      <c r="D171" s="429" t="s">
        <v>1588</v>
      </c>
      <c r="E171" s="382" t="s">
        <v>1549</v>
      </c>
      <c r="F171" s="382" t="s">
        <v>1402</v>
      </c>
      <c r="G171" s="382" t="s">
        <v>1353</v>
      </c>
      <c r="H171" s="382" t="s">
        <v>1545</v>
      </c>
      <c r="I171" s="382" t="s">
        <v>1408</v>
      </c>
      <c r="J171" s="382" t="s">
        <v>1402</v>
      </c>
      <c r="K171" s="382">
        <v>704</v>
      </c>
      <c r="L171" s="382">
        <v>1</v>
      </c>
      <c r="M171" s="391">
        <v>1</v>
      </c>
      <c r="N171" s="388" t="s">
        <v>1201</v>
      </c>
      <c r="O171" s="389" t="s">
        <v>1571</v>
      </c>
      <c r="P171" s="220" t="s">
        <v>2052</v>
      </c>
    </row>
    <row r="172" spans="1:16" s="107" customFormat="1" ht="15" hidden="1" customHeight="1">
      <c r="A172" s="277"/>
      <c r="B172" s="382">
        <f t="shared" si="1"/>
        <v>189</v>
      </c>
      <c r="C172" s="387" t="s">
        <v>1562</v>
      </c>
      <c r="D172" s="429" t="s">
        <v>1588</v>
      </c>
      <c r="E172" s="382" t="s">
        <v>1549</v>
      </c>
      <c r="F172" s="382" t="s">
        <v>1403</v>
      </c>
      <c r="G172" s="382" t="s">
        <v>1353</v>
      </c>
      <c r="H172" s="382" t="s">
        <v>1545</v>
      </c>
      <c r="I172" s="382" t="s">
        <v>1408</v>
      </c>
      <c r="J172" s="382" t="s">
        <v>1403</v>
      </c>
      <c r="K172" s="382">
        <v>975</v>
      </c>
      <c r="L172" s="382">
        <v>1</v>
      </c>
      <c r="M172" s="391">
        <v>1</v>
      </c>
      <c r="N172" s="388" t="s">
        <v>1201</v>
      </c>
      <c r="O172" s="389" t="s">
        <v>1572</v>
      </c>
      <c r="P172" s="220" t="s">
        <v>2052</v>
      </c>
    </row>
    <row r="173" spans="1:16" s="107" customFormat="1" ht="15" hidden="1" customHeight="1">
      <c r="A173" s="277"/>
      <c r="B173" s="382">
        <f t="shared" si="1"/>
        <v>190</v>
      </c>
      <c r="C173" s="387" t="s">
        <v>1562</v>
      </c>
      <c r="D173" s="429" t="s">
        <v>1588</v>
      </c>
      <c r="E173" s="382" t="s">
        <v>1549</v>
      </c>
      <c r="F173" s="382" t="s">
        <v>1553</v>
      </c>
      <c r="G173" s="382" t="s">
        <v>1353</v>
      </c>
      <c r="H173" s="382" t="s">
        <v>1545</v>
      </c>
      <c r="I173" s="382" t="s">
        <v>1408</v>
      </c>
      <c r="J173" s="382" t="s">
        <v>1553</v>
      </c>
      <c r="K173" s="382">
        <v>647</v>
      </c>
      <c r="L173" s="382">
        <v>1</v>
      </c>
      <c r="M173" s="391">
        <v>1</v>
      </c>
      <c r="N173" s="388" t="s">
        <v>1201</v>
      </c>
      <c r="O173" s="389" t="s">
        <v>1573</v>
      </c>
      <c r="P173" s="220" t="s">
        <v>2052</v>
      </c>
    </row>
    <row r="174" spans="1:16" s="107" customFormat="1" ht="15" hidden="1" customHeight="1">
      <c r="A174" s="277"/>
      <c r="B174" s="382">
        <f t="shared" si="1"/>
        <v>191</v>
      </c>
      <c r="C174" s="387" t="s">
        <v>1562</v>
      </c>
      <c r="D174" s="429" t="s">
        <v>1588</v>
      </c>
      <c r="E174" s="382" t="s">
        <v>1549</v>
      </c>
      <c r="F174" s="382" t="s">
        <v>1404</v>
      </c>
      <c r="G174" s="382" t="s">
        <v>1353</v>
      </c>
      <c r="H174" s="382" t="s">
        <v>1545</v>
      </c>
      <c r="I174" s="382" t="s">
        <v>1408</v>
      </c>
      <c r="J174" s="382" t="s">
        <v>1404</v>
      </c>
      <c r="K174" s="382">
        <v>828</v>
      </c>
      <c r="L174" s="382">
        <v>1</v>
      </c>
      <c r="M174" s="391">
        <v>1</v>
      </c>
      <c r="N174" s="388" t="s">
        <v>1201</v>
      </c>
      <c r="O174" s="389" t="s">
        <v>1574</v>
      </c>
      <c r="P174" s="220" t="s">
        <v>2052</v>
      </c>
    </row>
    <row r="175" spans="1:16" s="107" customFormat="1" ht="15" hidden="1" customHeight="1">
      <c r="A175" s="277"/>
      <c r="B175" s="382">
        <f t="shared" si="1"/>
        <v>192</v>
      </c>
      <c r="C175" s="387" t="s">
        <v>1562</v>
      </c>
      <c r="D175" s="429" t="s">
        <v>1588</v>
      </c>
      <c r="E175" s="382" t="s">
        <v>1549</v>
      </c>
      <c r="F175" s="382" t="s">
        <v>1552</v>
      </c>
      <c r="G175" s="382" t="s">
        <v>1353</v>
      </c>
      <c r="H175" s="382" t="s">
        <v>1545</v>
      </c>
      <c r="I175" s="382" t="s">
        <v>1408</v>
      </c>
      <c r="J175" s="382" t="s">
        <v>1552</v>
      </c>
      <c r="K175" s="382">
        <v>704</v>
      </c>
      <c r="L175" s="382">
        <v>1</v>
      </c>
      <c r="M175" s="391">
        <v>1</v>
      </c>
      <c r="N175" s="388" t="s">
        <v>1201</v>
      </c>
      <c r="O175" s="389" t="s">
        <v>1575</v>
      </c>
      <c r="P175" s="220" t="s">
        <v>2052</v>
      </c>
    </row>
    <row r="176" spans="1:16" s="107" customFormat="1" ht="15" hidden="1" customHeight="1">
      <c r="A176" s="277"/>
      <c r="B176" s="382">
        <f t="shared" si="1"/>
        <v>193</v>
      </c>
      <c r="C176" s="387" t="s">
        <v>1562</v>
      </c>
      <c r="D176" s="429" t="s">
        <v>1588</v>
      </c>
      <c r="E176" s="382" t="s">
        <v>1549</v>
      </c>
      <c r="F176" s="382" t="s">
        <v>1405</v>
      </c>
      <c r="G176" s="382" t="s">
        <v>1353</v>
      </c>
      <c r="H176" s="382" t="s">
        <v>1545</v>
      </c>
      <c r="I176" s="382" t="s">
        <v>1408</v>
      </c>
      <c r="J176" s="382" t="s">
        <v>1405</v>
      </c>
      <c r="K176" s="382">
        <v>1040</v>
      </c>
      <c r="L176" s="382">
        <v>1</v>
      </c>
      <c r="M176" s="391">
        <v>1</v>
      </c>
      <c r="N176" s="388" t="s">
        <v>1201</v>
      </c>
      <c r="O176" s="389" t="s">
        <v>1576</v>
      </c>
      <c r="P176" s="220" t="s">
        <v>2052</v>
      </c>
    </row>
    <row r="177" spans="1:16" s="107" customFormat="1" ht="15" hidden="1" customHeight="1">
      <c r="A177" s="277"/>
      <c r="B177" s="382">
        <f t="shared" si="1"/>
        <v>194</v>
      </c>
      <c r="C177" s="387" t="s">
        <v>1562</v>
      </c>
      <c r="D177" s="429" t="s">
        <v>1588</v>
      </c>
      <c r="E177" s="382" t="s">
        <v>1549</v>
      </c>
      <c r="F177" s="382" t="s">
        <v>1406</v>
      </c>
      <c r="G177" s="382" t="s">
        <v>1353</v>
      </c>
      <c r="H177" s="382" t="s">
        <v>1545</v>
      </c>
      <c r="I177" s="382" t="s">
        <v>1408</v>
      </c>
      <c r="J177" s="382" t="s">
        <v>1406</v>
      </c>
      <c r="K177" s="382">
        <v>1521</v>
      </c>
      <c r="L177" s="382">
        <v>1</v>
      </c>
      <c r="M177" s="391">
        <v>1</v>
      </c>
      <c r="N177" s="388" t="s">
        <v>1201</v>
      </c>
      <c r="O177" s="389" t="s">
        <v>1577</v>
      </c>
      <c r="P177" s="220" t="s">
        <v>2052</v>
      </c>
    </row>
    <row r="178" spans="1:16" s="107" customFormat="1" ht="15" hidden="1" customHeight="1">
      <c r="A178" s="277"/>
      <c r="B178" s="382">
        <f t="shared" si="1"/>
        <v>195</v>
      </c>
      <c r="C178" s="387" t="s">
        <v>1562</v>
      </c>
      <c r="D178" s="429" t="s">
        <v>1588</v>
      </c>
      <c r="E178" s="382" t="s">
        <v>1549</v>
      </c>
      <c r="F178" s="382" t="s">
        <v>1563</v>
      </c>
      <c r="G178" s="382" t="s">
        <v>1353</v>
      </c>
      <c r="H178" s="382" t="s">
        <v>1545</v>
      </c>
      <c r="I178" s="382" t="s">
        <v>1408</v>
      </c>
      <c r="J178" s="382" t="s">
        <v>1563</v>
      </c>
      <c r="K178" s="382">
        <v>1560</v>
      </c>
      <c r="L178" s="382">
        <v>2</v>
      </c>
      <c r="M178" s="391">
        <v>2</v>
      </c>
      <c r="N178" s="388" t="s">
        <v>1201</v>
      </c>
      <c r="O178" s="389" t="s">
        <v>1578</v>
      </c>
      <c r="P178" s="220" t="s">
        <v>2052</v>
      </c>
    </row>
    <row r="179" spans="1:16" s="107" customFormat="1" ht="15" hidden="1" customHeight="1">
      <c r="A179" s="277"/>
      <c r="B179" s="382">
        <f t="shared" si="1"/>
        <v>196</v>
      </c>
      <c r="C179" s="387" t="s">
        <v>1562</v>
      </c>
      <c r="D179" s="429" t="s">
        <v>1588</v>
      </c>
      <c r="E179" s="382" t="s">
        <v>1549</v>
      </c>
      <c r="F179" s="382" t="s">
        <v>1426</v>
      </c>
      <c r="G179" s="382" t="s">
        <v>1353</v>
      </c>
      <c r="H179" s="382" t="s">
        <v>1545</v>
      </c>
      <c r="I179" s="382" t="s">
        <v>1408</v>
      </c>
      <c r="J179" s="382" t="s">
        <v>1426</v>
      </c>
      <c r="K179" s="382">
        <v>1460</v>
      </c>
      <c r="L179" s="382">
        <v>1</v>
      </c>
      <c r="M179" s="391">
        <v>1</v>
      </c>
      <c r="N179" s="388" t="s">
        <v>1201</v>
      </c>
      <c r="O179" s="389" t="s">
        <v>1579</v>
      </c>
      <c r="P179" s="220" t="s">
        <v>2052</v>
      </c>
    </row>
    <row r="180" spans="1:16" s="107" customFormat="1" ht="15" hidden="1" customHeight="1">
      <c r="A180" s="277"/>
      <c r="B180" s="382">
        <f t="shared" si="1"/>
        <v>197</v>
      </c>
      <c r="C180" s="387" t="s">
        <v>1554</v>
      </c>
      <c r="D180" s="429" t="s">
        <v>1588</v>
      </c>
      <c r="E180" s="382" t="s">
        <v>1555</v>
      </c>
      <c r="F180" s="382" t="s">
        <v>1409</v>
      </c>
      <c r="G180" s="382" t="s">
        <v>1353</v>
      </c>
      <c r="H180" s="382" t="s">
        <v>1545</v>
      </c>
      <c r="I180" s="382" t="s">
        <v>1408</v>
      </c>
      <c r="J180" s="382" t="s">
        <v>1409</v>
      </c>
      <c r="K180" s="382">
        <v>687</v>
      </c>
      <c r="L180" s="382">
        <v>3</v>
      </c>
      <c r="M180" s="391">
        <v>2</v>
      </c>
      <c r="N180" s="388" t="s">
        <v>1201</v>
      </c>
      <c r="O180" s="389" t="s">
        <v>1580</v>
      </c>
      <c r="P180" s="303" t="s">
        <v>2060</v>
      </c>
    </row>
    <row r="181" spans="1:16" s="107" customFormat="1" ht="15" hidden="1" customHeight="1">
      <c r="A181" s="277"/>
      <c r="B181" s="382">
        <f t="shared" si="1"/>
        <v>198</v>
      </c>
      <c r="C181" s="387" t="s">
        <v>1550</v>
      </c>
      <c r="D181" s="429" t="s">
        <v>1588</v>
      </c>
      <c r="E181" s="382" t="s">
        <v>1556</v>
      </c>
      <c r="F181" s="382" t="s">
        <v>1410</v>
      </c>
      <c r="G181" s="382" t="s">
        <v>1353</v>
      </c>
      <c r="H181" s="382" t="s">
        <v>1545</v>
      </c>
      <c r="I181" s="382" t="s">
        <v>1408</v>
      </c>
      <c r="J181" s="382" t="s">
        <v>1410</v>
      </c>
      <c r="K181" s="382">
        <v>1138</v>
      </c>
      <c r="L181" s="382">
        <v>2</v>
      </c>
      <c r="M181" s="391">
        <v>1</v>
      </c>
      <c r="N181" s="388" t="s">
        <v>1201</v>
      </c>
      <c r="O181" s="389" t="s">
        <v>1581</v>
      </c>
      <c r="P181" s="303" t="s">
        <v>2060</v>
      </c>
    </row>
    <row r="182" spans="1:16" s="107" customFormat="1" ht="15" hidden="1" customHeight="1">
      <c r="A182" s="277"/>
      <c r="B182" s="382">
        <f t="shared" si="1"/>
        <v>199</v>
      </c>
      <c r="C182" s="387" t="s">
        <v>1551</v>
      </c>
      <c r="D182" s="429" t="s">
        <v>1588</v>
      </c>
      <c r="E182" s="382" t="s">
        <v>1556</v>
      </c>
      <c r="F182" s="382" t="s">
        <v>1411</v>
      </c>
      <c r="G182" s="382" t="s">
        <v>1353</v>
      </c>
      <c r="H182" s="382" t="s">
        <v>1545</v>
      </c>
      <c r="I182" s="382" t="s">
        <v>1408</v>
      </c>
      <c r="J182" s="382" t="s">
        <v>1411</v>
      </c>
      <c r="K182" s="382">
        <v>1790</v>
      </c>
      <c r="L182" s="382">
        <v>1</v>
      </c>
      <c r="M182" s="391">
        <v>1</v>
      </c>
      <c r="N182" s="388" t="s">
        <v>1201</v>
      </c>
      <c r="O182" s="389" t="s">
        <v>1581</v>
      </c>
      <c r="P182" s="220" t="s">
        <v>2052</v>
      </c>
    </row>
    <row r="183" spans="1:16" s="107" customFormat="1" ht="15" hidden="1" customHeight="1">
      <c r="A183" s="277"/>
      <c r="B183" s="382">
        <f t="shared" si="1"/>
        <v>200</v>
      </c>
      <c r="C183" s="387" t="s">
        <v>1413</v>
      </c>
      <c r="D183" s="429" t="s">
        <v>1588</v>
      </c>
      <c r="E183" s="382" t="s">
        <v>1557</v>
      </c>
      <c r="F183" s="382" t="s">
        <v>1412</v>
      </c>
      <c r="G183" s="382" t="s">
        <v>1353</v>
      </c>
      <c r="H183" s="382" t="s">
        <v>1545</v>
      </c>
      <c r="I183" s="382" t="s">
        <v>1408</v>
      </c>
      <c r="J183" s="382" t="s">
        <v>1412</v>
      </c>
      <c r="K183" s="382">
        <v>618</v>
      </c>
      <c r="L183" s="382">
        <v>1</v>
      </c>
      <c r="M183" s="391">
        <v>2</v>
      </c>
      <c r="N183" s="388" t="s">
        <v>1201</v>
      </c>
      <c r="O183" s="389" t="s">
        <v>1582</v>
      </c>
      <c r="P183" s="303" t="s">
        <v>2060</v>
      </c>
    </row>
    <row r="184" spans="1:16" s="107" customFormat="1" ht="15" hidden="1" customHeight="1">
      <c r="A184" s="277"/>
      <c r="B184" s="382">
        <f t="shared" si="1"/>
        <v>201</v>
      </c>
      <c r="C184" s="387" t="s">
        <v>1415</v>
      </c>
      <c r="D184" s="429" t="s">
        <v>1588</v>
      </c>
      <c r="E184" s="382" t="s">
        <v>1558</v>
      </c>
      <c r="F184" s="382" t="s">
        <v>1414</v>
      </c>
      <c r="G184" s="382" t="s">
        <v>1353</v>
      </c>
      <c r="H184" s="382" t="s">
        <v>1545</v>
      </c>
      <c r="I184" s="382" t="s">
        <v>1408</v>
      </c>
      <c r="J184" s="382" t="s">
        <v>1414</v>
      </c>
      <c r="K184" s="382">
        <v>2360</v>
      </c>
      <c r="L184" s="382">
        <v>4</v>
      </c>
      <c r="M184" s="391">
        <v>2</v>
      </c>
      <c r="N184" s="388" t="s">
        <v>1201</v>
      </c>
      <c r="O184" s="389" t="s">
        <v>1583</v>
      </c>
      <c r="P184" s="382" t="s">
        <v>2062</v>
      </c>
    </row>
    <row r="185" spans="1:16" s="107" customFormat="1" ht="15" hidden="1" customHeight="1">
      <c r="A185" s="277"/>
      <c r="B185" s="382">
        <f t="shared" si="1"/>
        <v>202</v>
      </c>
      <c r="C185" s="387" t="s">
        <v>1415</v>
      </c>
      <c r="D185" s="429" t="s">
        <v>1588</v>
      </c>
      <c r="E185" s="382" t="s">
        <v>1558</v>
      </c>
      <c r="F185" s="382" t="s">
        <v>1416</v>
      </c>
      <c r="G185" s="382" t="s">
        <v>1353</v>
      </c>
      <c r="H185" s="382" t="s">
        <v>1545</v>
      </c>
      <c r="I185" s="382" t="s">
        <v>1408</v>
      </c>
      <c r="J185" s="382" t="s">
        <v>1416</v>
      </c>
      <c r="K185" s="382">
        <v>2360</v>
      </c>
      <c r="L185" s="382">
        <v>2</v>
      </c>
      <c r="M185" s="391">
        <v>2</v>
      </c>
      <c r="N185" s="388" t="s">
        <v>1201</v>
      </c>
      <c r="O185" s="389" t="s">
        <v>1584</v>
      </c>
      <c r="P185" s="220" t="s">
        <v>2052</v>
      </c>
    </row>
    <row r="186" spans="1:16" s="107" customFormat="1" ht="15" hidden="1" customHeight="1">
      <c r="A186" s="277"/>
      <c r="B186" s="382">
        <f t="shared" si="1"/>
        <v>203</v>
      </c>
      <c r="C186" s="387" t="s">
        <v>1415</v>
      </c>
      <c r="D186" s="429" t="s">
        <v>1588</v>
      </c>
      <c r="E186" s="382" t="s">
        <v>1558</v>
      </c>
      <c r="F186" s="382" t="s">
        <v>1417</v>
      </c>
      <c r="G186" s="382" t="s">
        <v>1353</v>
      </c>
      <c r="H186" s="382" t="s">
        <v>1545</v>
      </c>
      <c r="I186" s="382" t="s">
        <v>1408</v>
      </c>
      <c r="J186" s="382" t="s">
        <v>1417</v>
      </c>
      <c r="K186" s="382">
        <v>932</v>
      </c>
      <c r="L186" s="382">
        <v>2</v>
      </c>
      <c r="M186" s="391">
        <v>2</v>
      </c>
      <c r="N186" s="382" t="s">
        <v>1201</v>
      </c>
      <c r="O186" s="389" t="s">
        <v>1585</v>
      </c>
      <c r="P186" s="382" t="s">
        <v>2063</v>
      </c>
    </row>
    <row r="187" spans="1:16" s="107" customFormat="1" hidden="1">
      <c r="A187" s="277"/>
      <c r="B187" s="259">
        <v>209</v>
      </c>
      <c r="C187" s="282" t="s">
        <v>1430</v>
      </c>
      <c r="D187" s="374"/>
      <c r="E187" s="275"/>
      <c r="F187" s="315" t="s">
        <v>1429</v>
      </c>
      <c r="G187" s="262" t="s">
        <v>1353</v>
      </c>
      <c r="H187" s="262"/>
      <c r="I187" s="315" t="s">
        <v>1428</v>
      </c>
      <c r="J187" s="262">
        <v>40051</v>
      </c>
      <c r="K187" s="262"/>
      <c r="L187" s="262">
        <v>6</v>
      </c>
      <c r="M187" s="262"/>
      <c r="N187" s="262" t="s">
        <v>1201</v>
      </c>
      <c r="O187" s="285" t="s">
        <v>1431</v>
      </c>
      <c r="P187" s="125"/>
    </row>
    <row r="188" spans="1:16" s="125" customFormat="1" hidden="1">
      <c r="A188" s="301"/>
      <c r="B188" s="259">
        <v>211</v>
      </c>
      <c r="C188" s="283" t="s">
        <v>1443</v>
      </c>
      <c r="D188" s="283" t="s">
        <v>1588</v>
      </c>
      <c r="E188" s="269" t="s">
        <v>1435</v>
      </c>
      <c r="F188" s="269" t="s">
        <v>1437</v>
      </c>
      <c r="G188" s="259" t="s">
        <v>1444</v>
      </c>
      <c r="H188" s="259"/>
      <c r="I188" s="259" t="s">
        <v>1434</v>
      </c>
      <c r="J188" s="259" t="s">
        <v>1437</v>
      </c>
      <c r="K188" s="259"/>
      <c r="L188" s="259">
        <v>1</v>
      </c>
      <c r="M188" s="259"/>
      <c r="N188" s="259" t="s">
        <v>1201</v>
      </c>
      <c r="O188" s="284" t="s">
        <v>1436</v>
      </c>
      <c r="P188" s="259" t="s">
        <v>2053</v>
      </c>
    </row>
    <row r="189" spans="1:16" s="125" customFormat="1" hidden="1">
      <c r="A189" s="301"/>
      <c r="B189" s="259">
        <v>212</v>
      </c>
      <c r="C189" s="281" t="s">
        <v>1443</v>
      </c>
      <c r="D189" s="281" t="s">
        <v>1588</v>
      </c>
      <c r="E189" s="259" t="s">
        <v>1648</v>
      </c>
      <c r="F189" s="259" t="s">
        <v>1650</v>
      </c>
      <c r="G189" s="259" t="s">
        <v>1444</v>
      </c>
      <c r="H189" s="259"/>
      <c r="I189" s="259" t="s">
        <v>1434</v>
      </c>
      <c r="J189" s="259" t="s">
        <v>1438</v>
      </c>
      <c r="K189" s="259"/>
      <c r="L189" s="259">
        <v>1</v>
      </c>
      <c r="M189" s="259"/>
      <c r="N189" s="259" t="s">
        <v>1201</v>
      </c>
      <c r="O189" s="284" t="s">
        <v>1440</v>
      </c>
      <c r="P189" s="259" t="s">
        <v>2053</v>
      </c>
    </row>
    <row r="190" spans="1:16" s="125" customFormat="1" hidden="1">
      <c r="A190" s="301"/>
      <c r="B190" s="259">
        <v>213</v>
      </c>
      <c r="C190" s="281" t="s">
        <v>1443</v>
      </c>
      <c r="D190" s="281" t="s">
        <v>1588</v>
      </c>
      <c r="E190" s="259" t="s">
        <v>1441</v>
      </c>
      <c r="F190" s="259" t="s">
        <v>1649</v>
      </c>
      <c r="G190" s="259" t="s">
        <v>1444</v>
      </c>
      <c r="H190" s="259"/>
      <c r="I190" s="259" t="s">
        <v>1434</v>
      </c>
      <c r="J190" s="259" t="s">
        <v>1439</v>
      </c>
      <c r="K190" s="259"/>
      <c r="L190" s="259">
        <v>1</v>
      </c>
      <c r="M190" s="259"/>
      <c r="N190" s="259" t="s">
        <v>1201</v>
      </c>
      <c r="O190" s="284" t="s">
        <v>1442</v>
      </c>
      <c r="P190" s="259" t="s">
        <v>2053</v>
      </c>
    </row>
    <row r="191" spans="1:16" s="309" customFormat="1" hidden="1">
      <c r="A191" s="310"/>
      <c r="B191" s="382"/>
      <c r="C191" s="429" t="s">
        <v>1667</v>
      </c>
      <c r="D191" s="429" t="s">
        <v>1588</v>
      </c>
      <c r="E191" s="400" t="s">
        <v>1654</v>
      </c>
      <c r="F191" s="400" t="s">
        <v>1657</v>
      </c>
      <c r="G191" s="438" t="s">
        <v>1287</v>
      </c>
      <c r="H191" s="439"/>
      <c r="I191" s="440" t="s">
        <v>589</v>
      </c>
      <c r="J191" s="439" t="s">
        <v>1651</v>
      </c>
      <c r="K191" s="439"/>
      <c r="L191" s="439">
        <v>1</v>
      </c>
      <c r="M191" s="390">
        <v>1</v>
      </c>
      <c r="N191" s="401" t="s">
        <v>1201</v>
      </c>
      <c r="O191" s="406" t="s">
        <v>1677</v>
      </c>
      <c r="P191" s="381" t="s">
        <v>2052</v>
      </c>
    </row>
    <row r="192" spans="1:16" s="309" customFormat="1" hidden="1">
      <c r="A192" s="310"/>
      <c r="B192" s="382">
        <v>217</v>
      </c>
      <c r="C192" s="387" t="s">
        <v>1453</v>
      </c>
      <c r="D192" s="387" t="s">
        <v>1588</v>
      </c>
      <c r="E192" s="400" t="s">
        <v>1617</v>
      </c>
      <c r="F192" s="382" t="s">
        <v>1728</v>
      </c>
      <c r="G192" s="426" t="s">
        <v>1287</v>
      </c>
      <c r="H192" s="382"/>
      <c r="I192" s="380" t="s">
        <v>589</v>
      </c>
      <c r="J192" s="382" t="s">
        <v>1454</v>
      </c>
      <c r="K192" s="382"/>
      <c r="L192" s="382">
        <v>1</v>
      </c>
      <c r="M192" s="380">
        <v>1</v>
      </c>
      <c r="N192" s="388" t="s">
        <v>1201</v>
      </c>
      <c r="O192" s="389" t="s">
        <v>1455</v>
      </c>
      <c r="P192" s="381" t="s">
        <v>2052</v>
      </c>
    </row>
    <row r="193" spans="1:16" s="309" customFormat="1" hidden="1">
      <c r="A193" s="310"/>
      <c r="B193" s="382">
        <v>218</v>
      </c>
      <c r="C193" s="387" t="s">
        <v>1460</v>
      </c>
      <c r="D193" s="429" t="s">
        <v>1588</v>
      </c>
      <c r="E193" s="382"/>
      <c r="F193" s="382" t="s">
        <v>1459</v>
      </c>
      <c r="G193" s="426" t="s">
        <v>1287</v>
      </c>
      <c r="H193" s="382"/>
      <c r="I193" s="380" t="s">
        <v>589</v>
      </c>
      <c r="J193" s="382" t="s">
        <v>1457</v>
      </c>
      <c r="K193" s="382"/>
      <c r="L193" s="382">
        <v>1</v>
      </c>
      <c r="M193" s="380">
        <v>1</v>
      </c>
      <c r="N193" s="388" t="s">
        <v>1201</v>
      </c>
      <c r="O193" s="389" t="s">
        <v>1458</v>
      </c>
      <c r="P193" s="381" t="s">
        <v>2052</v>
      </c>
    </row>
    <row r="194" spans="1:16" s="309" customFormat="1" hidden="1">
      <c r="A194" s="310"/>
      <c r="B194" s="382">
        <v>215</v>
      </c>
      <c r="C194" s="387" t="s">
        <v>1744</v>
      </c>
      <c r="D194" s="429" t="s">
        <v>1588</v>
      </c>
      <c r="E194" s="382" t="s">
        <v>1745</v>
      </c>
      <c r="F194" s="381" t="s">
        <v>1449</v>
      </c>
      <c r="G194" s="426" t="s">
        <v>1287</v>
      </c>
      <c r="H194" s="382"/>
      <c r="I194" s="380" t="s">
        <v>589</v>
      </c>
      <c r="J194" s="382" t="s">
        <v>1448</v>
      </c>
      <c r="K194" s="382"/>
      <c r="L194" s="382">
        <v>1</v>
      </c>
      <c r="M194" s="380">
        <v>1</v>
      </c>
      <c r="N194" s="388" t="s">
        <v>1201</v>
      </c>
      <c r="O194" s="389" t="s">
        <v>1746</v>
      </c>
      <c r="P194" s="381" t="s">
        <v>2052</v>
      </c>
    </row>
    <row r="195" spans="1:16" s="309" customFormat="1" hidden="1">
      <c r="A195" s="310"/>
      <c r="B195" s="382">
        <v>214</v>
      </c>
      <c r="C195" s="387" t="s">
        <v>1452</v>
      </c>
      <c r="D195" s="429" t="s">
        <v>1588</v>
      </c>
      <c r="E195" s="382" t="s">
        <v>1656</v>
      </c>
      <c r="F195" s="382" t="s">
        <v>1447</v>
      </c>
      <c r="G195" s="426" t="s">
        <v>1287</v>
      </c>
      <c r="H195" s="382"/>
      <c r="I195" s="380" t="s">
        <v>589</v>
      </c>
      <c r="J195" s="382" t="s">
        <v>1445</v>
      </c>
      <c r="K195" s="382"/>
      <c r="L195" s="382">
        <v>1</v>
      </c>
      <c r="M195" s="380">
        <v>1</v>
      </c>
      <c r="N195" s="388" t="s">
        <v>1201</v>
      </c>
      <c r="O195" s="389" t="s">
        <v>1446</v>
      </c>
      <c r="P195" s="381" t="s">
        <v>2052</v>
      </c>
    </row>
    <row r="196" spans="1:16" s="107" customFormat="1" hidden="1">
      <c r="A196" s="277"/>
      <c r="B196" s="259">
        <v>220</v>
      </c>
      <c r="C196" s="281" t="s">
        <v>1465</v>
      </c>
      <c r="D196" s="305"/>
      <c r="E196" s="273"/>
      <c r="F196" s="308" t="s">
        <v>1467</v>
      </c>
      <c r="G196" s="259"/>
      <c r="H196" s="259"/>
      <c r="I196" s="308" t="s">
        <v>1466</v>
      </c>
      <c r="J196" s="259" t="s">
        <v>1469</v>
      </c>
      <c r="K196" s="259"/>
      <c r="L196" s="259">
        <v>1</v>
      </c>
      <c r="M196" s="259"/>
      <c r="N196" s="262" t="s">
        <v>1201</v>
      </c>
      <c r="O196" s="284" t="s">
        <v>1468</v>
      </c>
      <c r="P196" s="125"/>
    </row>
    <row r="197" spans="1:16" s="107" customFormat="1">
      <c r="A197" s="277"/>
      <c r="B197" s="259">
        <v>221</v>
      </c>
      <c r="C197" s="281" t="s">
        <v>1470</v>
      </c>
      <c r="D197" s="281" t="s">
        <v>1663</v>
      </c>
      <c r="E197" s="259" t="s">
        <v>1877</v>
      </c>
      <c r="F197" s="259" t="s">
        <v>1876</v>
      </c>
      <c r="G197" s="259" t="s">
        <v>1374</v>
      </c>
      <c r="H197" s="259" t="s">
        <v>1875</v>
      </c>
      <c r="I197" s="259" t="s">
        <v>1370</v>
      </c>
      <c r="J197" s="259" t="s">
        <v>1876</v>
      </c>
      <c r="K197" s="259">
        <v>4800</v>
      </c>
      <c r="L197" s="259">
        <v>1</v>
      </c>
      <c r="M197" s="259">
        <v>1</v>
      </c>
      <c r="N197" s="262" t="s">
        <v>1201</v>
      </c>
      <c r="O197" s="284" t="s">
        <v>1471</v>
      </c>
      <c r="P197" s="269"/>
    </row>
    <row r="198" spans="1:16" s="107" customFormat="1" hidden="1">
      <c r="A198" s="277"/>
      <c r="B198" s="259">
        <v>222</v>
      </c>
      <c r="C198" s="281" t="s">
        <v>1261</v>
      </c>
      <c r="D198" s="305"/>
      <c r="E198" s="273"/>
      <c r="F198" s="308" t="s">
        <v>1473</v>
      </c>
      <c r="G198" s="259"/>
      <c r="H198" s="259"/>
      <c r="I198" s="308" t="s">
        <v>1472</v>
      </c>
      <c r="J198" s="259" t="s">
        <v>1251</v>
      </c>
      <c r="K198" s="259"/>
      <c r="L198" s="259">
        <v>1</v>
      </c>
      <c r="M198" s="259"/>
      <c r="N198" s="262" t="s">
        <v>1201</v>
      </c>
      <c r="O198" s="284" t="s">
        <v>1474</v>
      </c>
      <c r="P198" s="125"/>
    </row>
    <row r="199" spans="1:16" s="107" customFormat="1" hidden="1">
      <c r="A199" s="277"/>
      <c r="B199" s="259">
        <v>223</v>
      </c>
      <c r="C199" s="125" t="s">
        <v>1477</v>
      </c>
      <c r="D199" s="368"/>
      <c r="E199" s="274"/>
      <c r="F199" s="368" t="s">
        <v>1476</v>
      </c>
      <c r="G199" s="125"/>
      <c r="H199" s="125"/>
      <c r="I199" s="368" t="s">
        <v>1475</v>
      </c>
      <c r="J199" s="125"/>
      <c r="K199" s="125"/>
      <c r="L199" s="125">
        <v>1</v>
      </c>
      <c r="M199" s="125"/>
      <c r="N199" s="262" t="s">
        <v>1201</v>
      </c>
      <c r="O199" s="268" t="s">
        <v>1478</v>
      </c>
      <c r="P199" s="125"/>
    </row>
    <row r="200" spans="1:16" s="125" customFormat="1">
      <c r="A200" s="301"/>
      <c r="B200" s="259">
        <v>224</v>
      </c>
      <c r="C200" s="281" t="s">
        <v>1481</v>
      </c>
      <c r="D200" s="278" t="s">
        <v>1663</v>
      </c>
      <c r="E200" s="259" t="s">
        <v>1931</v>
      </c>
      <c r="F200" s="259" t="s">
        <v>1479</v>
      </c>
      <c r="G200" s="259" t="s">
        <v>1281</v>
      </c>
      <c r="H200" s="259"/>
      <c r="I200" s="259" t="s">
        <v>1432</v>
      </c>
      <c r="J200" s="259">
        <v>58080204</v>
      </c>
      <c r="K200" s="259">
        <v>1800</v>
      </c>
      <c r="L200" s="259">
        <v>3</v>
      </c>
      <c r="M200" s="259"/>
      <c r="N200" s="259" t="s">
        <v>1201</v>
      </c>
      <c r="O200" s="284" t="s">
        <v>1905</v>
      </c>
      <c r="P200" s="259"/>
    </row>
    <row r="201" spans="1:16" s="107" customFormat="1">
      <c r="A201" s="277"/>
      <c r="B201" s="259">
        <v>225</v>
      </c>
      <c r="C201" s="281" t="s">
        <v>1481</v>
      </c>
      <c r="D201" s="278" t="s">
        <v>1663</v>
      </c>
      <c r="E201" s="259"/>
      <c r="F201" s="259" t="s">
        <v>1483</v>
      </c>
      <c r="G201" s="259" t="s">
        <v>1281</v>
      </c>
      <c r="H201" s="259"/>
      <c r="I201" s="259" t="s">
        <v>1432</v>
      </c>
      <c r="J201" s="259">
        <v>58080203</v>
      </c>
      <c r="K201" s="259">
        <v>1800</v>
      </c>
      <c r="L201" s="259">
        <v>2</v>
      </c>
      <c r="M201" s="259"/>
      <c r="N201" s="259" t="s">
        <v>1201</v>
      </c>
      <c r="O201" s="284" t="s">
        <v>1905</v>
      </c>
      <c r="P201" s="259"/>
    </row>
    <row r="202" spans="1:16" s="107" customFormat="1" hidden="1">
      <c r="A202" s="277"/>
      <c r="B202" s="259">
        <v>226</v>
      </c>
      <c r="C202" s="281"/>
      <c r="D202" s="318"/>
      <c r="E202" s="308"/>
      <c r="F202" s="351"/>
      <c r="G202" s="308"/>
      <c r="H202" s="308"/>
      <c r="I202" s="317"/>
      <c r="J202" s="308"/>
      <c r="K202" s="308"/>
      <c r="L202" s="308"/>
      <c r="M202" s="308"/>
      <c r="N202" s="308"/>
      <c r="O202" s="284"/>
      <c r="P202" s="259"/>
    </row>
    <row r="203" spans="1:16" s="125" customFormat="1" ht="13.5" customHeight="1">
      <c r="A203" s="301"/>
      <c r="B203" s="259">
        <v>227</v>
      </c>
      <c r="C203" s="281"/>
      <c r="D203" s="278" t="s">
        <v>1663</v>
      </c>
      <c r="E203" s="259"/>
      <c r="F203" s="259"/>
      <c r="G203" s="259" t="s">
        <v>1281</v>
      </c>
      <c r="H203" s="259"/>
      <c r="I203" s="123"/>
      <c r="J203" s="259"/>
      <c r="K203" s="259"/>
      <c r="L203" s="259"/>
      <c r="M203" s="259"/>
      <c r="N203" s="259"/>
      <c r="O203" s="284"/>
      <c r="P203" s="259"/>
    </row>
    <row r="204" spans="1:16" s="125" customFormat="1">
      <c r="A204" s="301"/>
      <c r="B204" s="259">
        <v>228</v>
      </c>
      <c r="C204" s="281" t="s">
        <v>1481</v>
      </c>
      <c r="D204" s="278" t="s">
        <v>1663</v>
      </c>
      <c r="E204" s="259" t="s">
        <v>1931</v>
      </c>
      <c r="F204" s="259" t="s">
        <v>1480</v>
      </c>
      <c r="G204" s="259" t="s">
        <v>1281</v>
      </c>
      <c r="H204" s="259"/>
      <c r="I204" s="123" t="s">
        <v>1432</v>
      </c>
      <c r="J204" s="259">
        <v>58080205</v>
      </c>
      <c r="K204" s="259">
        <v>1800</v>
      </c>
      <c r="L204" s="259">
        <v>3</v>
      </c>
      <c r="M204" s="259"/>
      <c r="N204" s="259" t="s">
        <v>1201</v>
      </c>
      <c r="O204" s="284" t="s">
        <v>1932</v>
      </c>
      <c r="P204" s="259"/>
    </row>
    <row r="205" spans="1:16" s="107" customFormat="1" hidden="1">
      <c r="A205" s="277"/>
      <c r="B205" s="259">
        <v>229</v>
      </c>
      <c r="C205" s="125" t="s">
        <v>1477</v>
      </c>
      <c r="D205" s="368"/>
      <c r="E205" s="274"/>
      <c r="F205" s="379" t="s">
        <v>1484</v>
      </c>
      <c r="G205" s="259"/>
      <c r="H205" s="301"/>
      <c r="I205" s="368" t="s">
        <v>1475</v>
      </c>
      <c r="J205" s="259">
        <v>181094</v>
      </c>
      <c r="K205" s="259"/>
      <c r="L205" s="259">
        <v>1</v>
      </c>
      <c r="M205" s="259"/>
      <c r="N205" s="262" t="s">
        <v>1201</v>
      </c>
      <c r="O205" s="284" t="s">
        <v>1485</v>
      </c>
      <c r="P205" s="259"/>
    </row>
    <row r="206" spans="1:16" s="107" customFormat="1" hidden="1">
      <c r="A206" s="277"/>
      <c r="B206" s="259">
        <v>230</v>
      </c>
      <c r="C206" s="281" t="s">
        <v>608</v>
      </c>
      <c r="D206" s="305"/>
      <c r="E206" s="273"/>
      <c r="F206" s="308" t="s">
        <v>1486</v>
      </c>
      <c r="G206" s="259" t="s">
        <v>1335</v>
      </c>
      <c r="H206" s="259"/>
      <c r="I206" s="308" t="s">
        <v>750</v>
      </c>
      <c r="J206" s="259">
        <v>6021124</v>
      </c>
      <c r="K206" s="259"/>
      <c r="L206" s="259">
        <v>1</v>
      </c>
      <c r="M206" s="259"/>
      <c r="N206" s="259" t="s">
        <v>1201</v>
      </c>
      <c r="O206" s="284" t="s">
        <v>1487</v>
      </c>
      <c r="P206" s="259" t="s">
        <v>1488</v>
      </c>
    </row>
    <row r="207" spans="1:16" s="107" customFormat="1" hidden="1">
      <c r="A207" s="277"/>
      <c r="B207" s="259">
        <v>231</v>
      </c>
      <c r="C207" s="281" t="s">
        <v>1490</v>
      </c>
      <c r="D207" s="305"/>
      <c r="E207" s="273"/>
      <c r="F207" s="308" t="s">
        <v>1491</v>
      </c>
      <c r="G207" s="259" t="s">
        <v>1494</v>
      </c>
      <c r="H207" s="259"/>
      <c r="I207" s="308" t="s">
        <v>1493</v>
      </c>
      <c r="J207" s="259" t="s">
        <v>1492</v>
      </c>
      <c r="K207" s="259"/>
      <c r="L207" s="259">
        <v>2</v>
      </c>
      <c r="M207" s="259"/>
      <c r="N207" s="259" t="s">
        <v>1201</v>
      </c>
      <c r="O207" s="284" t="s">
        <v>1489</v>
      </c>
      <c r="P207" s="259" t="s">
        <v>1495</v>
      </c>
    </row>
    <row r="208" spans="1:16" s="107" customFormat="1" ht="19.8" hidden="1">
      <c r="A208" s="277"/>
      <c r="B208" s="259">
        <v>232</v>
      </c>
      <c r="C208" s="281"/>
      <c r="D208" s="305"/>
      <c r="E208" s="273"/>
      <c r="F208" s="308" t="s">
        <v>1497</v>
      </c>
      <c r="G208" s="259" t="s">
        <v>1496</v>
      </c>
      <c r="H208" s="259"/>
      <c r="I208" s="308" t="s">
        <v>188</v>
      </c>
      <c r="J208" s="300">
        <v>98070970</v>
      </c>
      <c r="K208" s="259"/>
      <c r="L208" s="259"/>
      <c r="M208" s="259"/>
      <c r="N208" s="259"/>
      <c r="O208" s="284"/>
      <c r="P208" s="259"/>
    </row>
    <row r="209" spans="1:16" s="107" customFormat="1">
      <c r="A209" s="277"/>
      <c r="B209" s="262">
        <v>233</v>
      </c>
      <c r="C209" s="282" t="s">
        <v>1882</v>
      </c>
      <c r="D209" s="278" t="s">
        <v>1663</v>
      </c>
      <c r="E209" s="262" t="s">
        <v>1884</v>
      </c>
      <c r="F209" s="262" t="s">
        <v>1500</v>
      </c>
      <c r="G209" s="262" t="s">
        <v>1281</v>
      </c>
      <c r="H209" s="262"/>
      <c r="I209" s="262" t="s">
        <v>1499</v>
      </c>
      <c r="J209" s="262">
        <v>58031014</v>
      </c>
      <c r="K209" s="262">
        <v>4200</v>
      </c>
      <c r="L209" s="262">
        <v>1</v>
      </c>
      <c r="M209" s="262">
        <v>1</v>
      </c>
      <c r="N209" s="262" t="s">
        <v>1201</v>
      </c>
      <c r="O209" s="285" t="s">
        <v>1883</v>
      </c>
      <c r="P209" s="262"/>
    </row>
    <row r="210" spans="1:16" s="324" customFormat="1">
      <c r="A210" s="334"/>
      <c r="B210" s="220">
        <v>234</v>
      </c>
      <c r="C210" s="220" t="s">
        <v>1238</v>
      </c>
      <c r="D210" s="227" t="s">
        <v>1663</v>
      </c>
      <c r="E210" s="488" t="s">
        <v>1867</v>
      </c>
      <c r="F210" s="227" t="s">
        <v>1237</v>
      </c>
      <c r="G210" s="461" t="s">
        <v>1242</v>
      </c>
      <c r="H210" s="461"/>
      <c r="I210" s="227" t="s">
        <v>149</v>
      </c>
      <c r="J210" s="227" t="s">
        <v>1501</v>
      </c>
      <c r="K210" s="227">
        <v>7000</v>
      </c>
      <c r="L210" s="227">
        <v>2</v>
      </c>
      <c r="M210" s="227"/>
      <c r="N210" s="260" t="s">
        <v>1849</v>
      </c>
      <c r="O210" s="481" t="s">
        <v>1503</v>
      </c>
      <c r="P210" s="380" t="s">
        <v>2052</v>
      </c>
    </row>
    <row r="211" spans="1:16" s="107" customFormat="1" hidden="1">
      <c r="A211" s="277"/>
      <c r="B211" s="269">
        <v>237</v>
      </c>
      <c r="C211" s="283" t="s">
        <v>1505</v>
      </c>
      <c r="D211" s="306"/>
      <c r="E211" s="276"/>
      <c r="F211" s="307" t="s">
        <v>1506</v>
      </c>
      <c r="G211" s="319" t="s">
        <v>1504</v>
      </c>
      <c r="H211" s="319"/>
      <c r="I211" s="369" t="s">
        <v>994</v>
      </c>
      <c r="J211" s="269" t="s">
        <v>1251</v>
      </c>
      <c r="K211" s="269"/>
      <c r="L211" s="269">
        <v>1</v>
      </c>
      <c r="M211" s="269">
        <v>1</v>
      </c>
      <c r="N211" s="269" t="s">
        <v>1201</v>
      </c>
      <c r="O211" s="286" t="s">
        <v>1507</v>
      </c>
      <c r="P211" s="269" t="s">
        <v>1508</v>
      </c>
    </row>
    <row r="212" spans="1:16" s="107" customFormat="1" hidden="1">
      <c r="A212" s="277"/>
      <c r="B212" s="259">
        <v>238</v>
      </c>
      <c r="C212" s="281" t="s">
        <v>1509</v>
      </c>
      <c r="D212" s="305"/>
      <c r="E212" s="273"/>
      <c r="F212" s="308" t="s">
        <v>1510</v>
      </c>
      <c r="G212" s="293" t="s">
        <v>1504</v>
      </c>
      <c r="H212" s="293"/>
      <c r="I212" s="317" t="s">
        <v>994</v>
      </c>
      <c r="J212" s="259" t="s">
        <v>1251</v>
      </c>
      <c r="K212" s="259"/>
      <c r="L212" s="259" t="s">
        <v>1078</v>
      </c>
      <c r="M212" s="259" t="s">
        <v>1078</v>
      </c>
      <c r="N212" s="259" t="s">
        <v>1201</v>
      </c>
      <c r="O212" s="284" t="s">
        <v>1511</v>
      </c>
      <c r="P212" s="259" t="s">
        <v>1508</v>
      </c>
    </row>
    <row r="213" spans="1:16" s="107" customFormat="1" hidden="1">
      <c r="A213" s="277"/>
      <c r="B213" s="259">
        <v>239</v>
      </c>
      <c r="C213" s="281" t="s">
        <v>1509</v>
      </c>
      <c r="D213" s="305"/>
      <c r="E213" s="273"/>
      <c r="F213" s="308" t="s">
        <v>1513</v>
      </c>
      <c r="G213" s="293" t="s">
        <v>1504</v>
      </c>
      <c r="H213" s="293"/>
      <c r="I213" s="308" t="s">
        <v>585</v>
      </c>
      <c r="J213" s="259" t="s">
        <v>1251</v>
      </c>
      <c r="K213" s="259"/>
      <c r="L213" s="259" t="s">
        <v>1078</v>
      </c>
      <c r="M213" s="259" t="s">
        <v>1078</v>
      </c>
      <c r="N213" s="259" t="s">
        <v>1201</v>
      </c>
      <c r="O213" s="284" t="s">
        <v>1514</v>
      </c>
      <c r="P213" s="259" t="s">
        <v>1508</v>
      </c>
    </row>
    <row r="214" spans="1:16" s="107" customFormat="1" hidden="1">
      <c r="A214" s="277"/>
      <c r="B214" s="259">
        <v>240</v>
      </c>
      <c r="C214" s="281" t="s">
        <v>1519</v>
      </c>
      <c r="D214" s="305"/>
      <c r="E214" s="273"/>
      <c r="F214" s="308" t="s">
        <v>1523</v>
      </c>
      <c r="G214" s="259" t="s">
        <v>1520</v>
      </c>
      <c r="H214" s="259"/>
      <c r="I214" s="308" t="s">
        <v>1522</v>
      </c>
      <c r="J214" s="259"/>
      <c r="K214" s="259">
        <v>0</v>
      </c>
      <c r="L214" s="259">
        <v>0</v>
      </c>
      <c r="M214" s="259">
        <v>0</v>
      </c>
      <c r="N214" s="259"/>
      <c r="O214" s="284" t="s">
        <v>1521</v>
      </c>
      <c r="P214" s="259" t="s">
        <v>1524</v>
      </c>
    </row>
    <row r="215" spans="1:16" s="107" customFormat="1" hidden="1">
      <c r="A215" s="277"/>
      <c r="B215" s="259">
        <v>241</v>
      </c>
      <c r="C215" s="281" t="s">
        <v>1525</v>
      </c>
      <c r="D215" s="305"/>
      <c r="E215" s="273"/>
      <c r="F215" s="308"/>
      <c r="G215" s="259" t="s">
        <v>1526</v>
      </c>
      <c r="H215" s="259"/>
      <c r="I215" s="308"/>
      <c r="J215" s="259"/>
      <c r="K215" s="259"/>
      <c r="L215" s="259"/>
      <c r="M215" s="259"/>
      <c r="N215" s="259"/>
      <c r="O215" s="259"/>
      <c r="P215" s="259"/>
    </row>
    <row r="216" spans="1:16" s="107" customFormat="1" hidden="1">
      <c r="A216" s="277"/>
      <c r="B216" s="259">
        <v>242</v>
      </c>
      <c r="C216" s="259"/>
      <c r="D216" s="308"/>
      <c r="E216" s="273"/>
      <c r="F216" s="308"/>
      <c r="G216" s="259"/>
      <c r="H216" s="259"/>
      <c r="I216" s="308"/>
      <c r="J216" s="259"/>
      <c r="K216" s="259"/>
      <c r="L216" s="259"/>
      <c r="M216" s="259"/>
      <c r="N216" s="259"/>
      <c r="O216" s="259"/>
      <c r="P216" s="259"/>
    </row>
    <row r="217" spans="1:16" s="107" customFormat="1" hidden="1">
      <c r="A217" s="277"/>
      <c r="B217" s="259">
        <v>243</v>
      </c>
      <c r="C217" s="259"/>
      <c r="D217" s="308"/>
      <c r="E217" s="273"/>
      <c r="F217" s="308"/>
      <c r="G217" s="259"/>
      <c r="H217" s="259"/>
      <c r="I217" s="308"/>
      <c r="J217" s="259"/>
      <c r="K217" s="259"/>
      <c r="L217" s="259"/>
      <c r="M217" s="259"/>
      <c r="N217" s="259"/>
      <c r="O217" s="259"/>
      <c r="P217" s="259"/>
    </row>
    <row r="218" spans="1:16" s="107" customFormat="1" hidden="1">
      <c r="A218" s="277"/>
      <c r="B218" s="382">
        <f>1+B217</f>
        <v>244</v>
      </c>
      <c r="C218" s="387" t="s">
        <v>1415</v>
      </c>
      <c r="D218" s="429" t="s">
        <v>1588</v>
      </c>
      <c r="E218" s="382" t="s">
        <v>1558</v>
      </c>
      <c r="F218" s="382" t="s">
        <v>1560</v>
      </c>
      <c r="G218" s="382" t="s">
        <v>1353</v>
      </c>
      <c r="H218" s="382" t="s">
        <v>1545</v>
      </c>
      <c r="I218" s="382" t="s">
        <v>1408</v>
      </c>
      <c r="J218" s="382" t="s">
        <v>1417</v>
      </c>
      <c r="K218" s="382">
        <v>932</v>
      </c>
      <c r="L218" s="382">
        <v>2</v>
      </c>
      <c r="M218" s="391">
        <v>2</v>
      </c>
      <c r="N218" s="382" t="s">
        <v>1201</v>
      </c>
      <c r="O218" s="389" t="s">
        <v>1585</v>
      </c>
      <c r="P218" s="382" t="s">
        <v>2063</v>
      </c>
    </row>
    <row r="219" spans="1:16" s="107" customFormat="1" ht="15" hidden="1" customHeight="1">
      <c r="A219" s="277"/>
      <c r="B219" s="382">
        <f>1+B218</f>
        <v>245</v>
      </c>
      <c r="C219" s="387" t="s">
        <v>1562</v>
      </c>
      <c r="D219" s="429" t="s">
        <v>1588</v>
      </c>
      <c r="E219" s="382" t="s">
        <v>1549</v>
      </c>
      <c r="F219" s="382" t="s">
        <v>1561</v>
      </c>
      <c r="G219" s="382" t="s">
        <v>1353</v>
      </c>
      <c r="H219" s="382" t="s">
        <v>1545</v>
      </c>
      <c r="I219" s="382" t="s">
        <v>1408</v>
      </c>
      <c r="J219" s="382" t="s">
        <v>1561</v>
      </c>
      <c r="K219" s="382">
        <v>1087</v>
      </c>
      <c r="L219" s="382">
        <v>4</v>
      </c>
      <c r="M219" s="391">
        <v>2</v>
      </c>
      <c r="N219" s="382" t="s">
        <v>1201</v>
      </c>
      <c r="O219" s="389" t="s">
        <v>1586</v>
      </c>
      <c r="P219" s="220" t="s">
        <v>2052</v>
      </c>
    </row>
    <row r="220" spans="1:16" s="107" customFormat="1" hidden="1">
      <c r="A220" s="277"/>
      <c r="B220" s="388"/>
      <c r="C220" s="402" t="s">
        <v>1636</v>
      </c>
      <c r="D220" s="402" t="s">
        <v>1588</v>
      </c>
      <c r="E220" s="402" t="s">
        <v>1549</v>
      </c>
      <c r="F220" s="441" t="s">
        <v>1615</v>
      </c>
      <c r="G220" s="402" t="s">
        <v>1591</v>
      </c>
      <c r="H220" s="402" t="s">
        <v>1592</v>
      </c>
      <c r="I220" s="402" t="s">
        <v>1343</v>
      </c>
      <c r="J220" s="402" t="s">
        <v>1620</v>
      </c>
      <c r="K220" s="402" t="s">
        <v>1718</v>
      </c>
      <c r="L220" s="402">
        <v>2</v>
      </c>
      <c r="M220" s="442">
        <v>2</v>
      </c>
      <c r="N220" s="402" t="s">
        <v>1201</v>
      </c>
      <c r="O220" s="394" t="s">
        <v>1621</v>
      </c>
      <c r="P220" s="388" t="s">
        <v>2052</v>
      </c>
    </row>
    <row r="221" spans="1:16" s="107" customFormat="1" hidden="1">
      <c r="A221" s="304"/>
      <c r="B221" s="382"/>
      <c r="C221" s="400" t="s">
        <v>1635</v>
      </c>
      <c r="D221" s="400" t="s">
        <v>1588</v>
      </c>
      <c r="E221" s="400" t="s">
        <v>1549</v>
      </c>
      <c r="F221" s="400" t="s">
        <v>1628</v>
      </c>
      <c r="G221" s="400" t="s">
        <v>1591</v>
      </c>
      <c r="H221" s="400" t="s">
        <v>1592</v>
      </c>
      <c r="I221" s="400" t="s">
        <v>1343</v>
      </c>
      <c r="J221" s="400" t="s">
        <v>1367</v>
      </c>
      <c r="K221" s="400" t="s">
        <v>1719</v>
      </c>
      <c r="L221" s="400">
        <v>4</v>
      </c>
      <c r="M221" s="430">
        <v>2</v>
      </c>
      <c r="N221" s="400" t="s">
        <v>1201</v>
      </c>
      <c r="O221" s="395" t="s">
        <v>1623</v>
      </c>
      <c r="P221" s="382" t="s">
        <v>2064</v>
      </c>
    </row>
    <row r="222" spans="1:16" s="107" customFormat="1" hidden="1">
      <c r="A222" s="304"/>
      <c r="B222" s="382"/>
      <c r="C222" s="400" t="s">
        <v>1633</v>
      </c>
      <c r="D222" s="400" t="s">
        <v>1588</v>
      </c>
      <c r="E222" s="400" t="s">
        <v>1549</v>
      </c>
      <c r="F222" s="400" t="s">
        <v>1614</v>
      </c>
      <c r="G222" s="400" t="s">
        <v>1591</v>
      </c>
      <c r="H222" s="400" t="s">
        <v>1592</v>
      </c>
      <c r="I222" s="400" t="s">
        <v>1343</v>
      </c>
      <c r="J222" s="400" t="s">
        <v>1383</v>
      </c>
      <c r="K222" s="400">
        <v>2948</v>
      </c>
      <c r="L222" s="400">
        <v>1</v>
      </c>
      <c r="M222" s="430">
        <v>2</v>
      </c>
      <c r="N222" s="400" t="s">
        <v>1201</v>
      </c>
      <c r="O222" s="396" t="s">
        <v>1603</v>
      </c>
      <c r="P222" s="382" t="s">
        <v>2065</v>
      </c>
    </row>
    <row r="223" spans="1:16" s="107" customFormat="1" hidden="1">
      <c r="A223" s="304"/>
      <c r="B223" s="382"/>
      <c r="C223" s="400" t="s">
        <v>1632</v>
      </c>
      <c r="D223" s="400" t="s">
        <v>1588</v>
      </c>
      <c r="E223" s="400" t="s">
        <v>1549</v>
      </c>
      <c r="F223" s="400" t="s">
        <v>1625</v>
      </c>
      <c r="G223" s="400" t="s">
        <v>1591</v>
      </c>
      <c r="H223" s="400" t="s">
        <v>1592</v>
      </c>
      <c r="I223" s="400" t="s">
        <v>1343</v>
      </c>
      <c r="J223" s="400" t="s">
        <v>1624</v>
      </c>
      <c r="K223" s="400" t="s">
        <v>1720</v>
      </c>
      <c r="L223" s="400">
        <v>1</v>
      </c>
      <c r="M223" s="430">
        <v>0</v>
      </c>
      <c r="N223" s="400" t="s">
        <v>1201</v>
      </c>
      <c r="O223" s="395" t="s">
        <v>1638</v>
      </c>
      <c r="P223" s="382" t="s">
        <v>2066</v>
      </c>
    </row>
    <row r="224" spans="1:16" s="107" customFormat="1" hidden="1">
      <c r="A224" s="304"/>
      <c r="B224" s="382"/>
      <c r="C224" s="400" t="s">
        <v>1627</v>
      </c>
      <c r="D224" s="400" t="s">
        <v>1588</v>
      </c>
      <c r="E224" s="400" t="s">
        <v>1539</v>
      </c>
      <c r="F224" s="436" t="s">
        <v>1626</v>
      </c>
      <c r="G224" s="400" t="s">
        <v>1591</v>
      </c>
      <c r="H224" s="400" t="s">
        <v>1592</v>
      </c>
      <c r="I224" s="400" t="s">
        <v>1343</v>
      </c>
      <c r="J224" s="400" t="s">
        <v>1637</v>
      </c>
      <c r="K224" s="400" t="s">
        <v>1721</v>
      </c>
      <c r="L224" s="400">
        <v>2</v>
      </c>
      <c r="M224" s="430">
        <v>2</v>
      </c>
      <c r="N224" s="400" t="s">
        <v>1201</v>
      </c>
      <c r="O224" s="395" t="s">
        <v>1639</v>
      </c>
      <c r="P224" s="382" t="s">
        <v>2052</v>
      </c>
    </row>
    <row r="225" spans="1:16" s="107" customFormat="1" hidden="1">
      <c r="A225" s="304"/>
      <c r="B225" s="382"/>
      <c r="C225" s="400" t="s">
        <v>1627</v>
      </c>
      <c r="D225" s="400" t="s">
        <v>1588</v>
      </c>
      <c r="E225" s="400" t="s">
        <v>1539</v>
      </c>
      <c r="F225" s="436" t="s">
        <v>1642</v>
      </c>
      <c r="G225" s="400" t="s">
        <v>1591</v>
      </c>
      <c r="H225" s="400" t="s">
        <v>1592</v>
      </c>
      <c r="I225" s="400" t="s">
        <v>1343</v>
      </c>
      <c r="J225" s="400" t="s">
        <v>1640</v>
      </c>
      <c r="K225" s="400" t="s">
        <v>1722</v>
      </c>
      <c r="L225" s="400">
        <v>1</v>
      </c>
      <c r="M225" s="430">
        <v>1</v>
      </c>
      <c r="N225" s="400" t="s">
        <v>1201</v>
      </c>
      <c r="O225" s="395" t="s">
        <v>1641</v>
      </c>
      <c r="P225" s="382" t="s">
        <v>2052</v>
      </c>
    </row>
    <row r="226" spans="1:16" s="107" customFormat="1" hidden="1">
      <c r="A226" s="304"/>
      <c r="B226" s="382"/>
      <c r="C226" s="400" t="s">
        <v>1644</v>
      </c>
      <c r="D226" s="400" t="s">
        <v>1588</v>
      </c>
      <c r="E226" s="400" t="s">
        <v>1643</v>
      </c>
      <c r="F226" s="400" t="s">
        <v>1647</v>
      </c>
      <c r="G226" s="400" t="s">
        <v>1591</v>
      </c>
      <c r="H226" s="400" t="s">
        <v>1592</v>
      </c>
      <c r="I226" s="400" t="s">
        <v>1343</v>
      </c>
      <c r="J226" s="400" t="s">
        <v>1645</v>
      </c>
      <c r="K226" s="400" t="s">
        <v>1723</v>
      </c>
      <c r="L226" s="400">
        <v>1</v>
      </c>
      <c r="M226" s="430">
        <v>1</v>
      </c>
      <c r="N226" s="400" t="s">
        <v>1201</v>
      </c>
      <c r="O226" s="396" t="s">
        <v>1646</v>
      </c>
      <c r="P226" s="382" t="s">
        <v>2052</v>
      </c>
    </row>
    <row r="227" spans="1:16" s="368" customFormat="1" hidden="1">
      <c r="A227" s="316"/>
      <c r="B227" s="259">
        <v>216</v>
      </c>
      <c r="C227" s="259" t="s">
        <v>1407</v>
      </c>
      <c r="D227" s="443" t="s">
        <v>1588</v>
      </c>
      <c r="E227" s="259" t="s">
        <v>1654</v>
      </c>
      <c r="F227" s="259" t="s">
        <v>1450</v>
      </c>
      <c r="G227" s="122" t="s">
        <v>1287</v>
      </c>
      <c r="H227" s="259"/>
      <c r="I227" s="123" t="s">
        <v>589</v>
      </c>
      <c r="J227" s="259" t="s">
        <v>1451</v>
      </c>
      <c r="K227" s="259"/>
      <c r="L227" s="259">
        <v>1</v>
      </c>
      <c r="M227" s="444">
        <v>1</v>
      </c>
      <c r="N227" s="259" t="s">
        <v>1201</v>
      </c>
      <c r="O227" s="284" t="s">
        <v>1456</v>
      </c>
      <c r="P227" s="259" t="s">
        <v>2053</v>
      </c>
    </row>
    <row r="228" spans="1:16" s="309" customFormat="1">
      <c r="A228" s="310"/>
      <c r="B228" s="382"/>
      <c r="C228" s="400" t="s">
        <v>1666</v>
      </c>
      <c r="D228" s="400" t="s">
        <v>1663</v>
      </c>
      <c r="E228" s="400" t="s">
        <v>1665</v>
      </c>
      <c r="F228" s="400" t="s">
        <v>1213</v>
      </c>
      <c r="G228" s="463" t="s">
        <v>1287</v>
      </c>
      <c r="H228" s="400"/>
      <c r="I228" s="380" t="s">
        <v>589</v>
      </c>
      <c r="J228" s="400" t="s">
        <v>1213</v>
      </c>
      <c r="K228" s="400">
        <v>800</v>
      </c>
      <c r="L228" s="400">
        <v>2</v>
      </c>
      <c r="M228" s="489">
        <v>1</v>
      </c>
      <c r="N228" s="391" t="s">
        <v>1201</v>
      </c>
      <c r="O228" s="395" t="s">
        <v>1676</v>
      </c>
      <c r="P228" s="382" t="s">
        <v>2052</v>
      </c>
    </row>
    <row r="229" spans="1:16" s="309" customFormat="1">
      <c r="A229" s="310"/>
      <c r="B229" s="382">
        <v>123</v>
      </c>
      <c r="C229" s="382" t="s">
        <v>1290</v>
      </c>
      <c r="D229" s="382" t="s">
        <v>1663</v>
      </c>
      <c r="E229" s="382" t="s">
        <v>1673</v>
      </c>
      <c r="F229" s="382" t="s">
        <v>1291</v>
      </c>
      <c r="G229" s="463" t="s">
        <v>1287</v>
      </c>
      <c r="H229" s="463"/>
      <c r="I229" s="380" t="s">
        <v>589</v>
      </c>
      <c r="J229" s="382" t="s">
        <v>1291</v>
      </c>
      <c r="K229" s="382"/>
      <c r="L229" s="382">
        <v>1</v>
      </c>
      <c r="M229" s="428">
        <v>1</v>
      </c>
      <c r="N229" s="391" t="s">
        <v>1201</v>
      </c>
      <c r="O229" s="464" t="s">
        <v>1695</v>
      </c>
      <c r="P229" s="382" t="s">
        <v>2052</v>
      </c>
    </row>
    <row r="230" spans="1:16" s="309" customFormat="1">
      <c r="A230" s="310"/>
      <c r="B230" s="382">
        <v>122</v>
      </c>
      <c r="C230" s="382" t="s">
        <v>1289</v>
      </c>
      <c r="D230" s="388" t="s">
        <v>1663</v>
      </c>
      <c r="E230" s="388" t="s">
        <v>1672</v>
      </c>
      <c r="F230" s="388" t="s">
        <v>1288</v>
      </c>
      <c r="G230" s="463" t="s">
        <v>1287</v>
      </c>
      <c r="H230" s="426"/>
      <c r="I230" s="380" t="s">
        <v>589</v>
      </c>
      <c r="J230" s="388" t="s">
        <v>1288</v>
      </c>
      <c r="K230" s="388"/>
      <c r="L230" s="388">
        <v>1</v>
      </c>
      <c r="M230" s="428">
        <v>1</v>
      </c>
      <c r="N230" s="399" t="s">
        <v>1201</v>
      </c>
      <c r="O230" s="490" t="s">
        <v>1675</v>
      </c>
      <c r="P230" s="382" t="s">
        <v>2052</v>
      </c>
    </row>
    <row r="231" spans="1:16" s="309" customFormat="1">
      <c r="A231" s="310"/>
      <c r="B231" s="382">
        <v>71</v>
      </c>
      <c r="C231" s="463" t="s">
        <v>1123</v>
      </c>
      <c r="D231" s="463" t="s">
        <v>1663</v>
      </c>
      <c r="E231" s="463" t="s">
        <v>1664</v>
      </c>
      <c r="F231" s="391" t="s">
        <v>1109</v>
      </c>
      <c r="G231" s="463" t="s">
        <v>1287</v>
      </c>
      <c r="H231" s="463"/>
      <c r="I231" s="380" t="s">
        <v>589</v>
      </c>
      <c r="J231" s="391" t="s">
        <v>1109</v>
      </c>
      <c r="K231" s="391">
        <v>1300</v>
      </c>
      <c r="L231" s="391">
        <v>2</v>
      </c>
      <c r="M231" s="391">
        <v>1</v>
      </c>
      <c r="N231" s="391" t="s">
        <v>1201</v>
      </c>
      <c r="O231" s="491" t="s">
        <v>1674</v>
      </c>
      <c r="P231" s="382" t="s">
        <v>2052</v>
      </c>
    </row>
    <row r="232" spans="1:16" s="309" customFormat="1">
      <c r="A232" s="310"/>
      <c r="B232" s="107"/>
      <c r="C232" s="492" t="s">
        <v>1753</v>
      </c>
      <c r="D232" s="492" t="s">
        <v>1663</v>
      </c>
      <c r="E232" s="492" t="s">
        <v>1752</v>
      </c>
      <c r="F232" s="492" t="s">
        <v>1749</v>
      </c>
      <c r="G232" s="492" t="s">
        <v>1751</v>
      </c>
      <c r="H232" s="492" t="s">
        <v>1078</v>
      </c>
      <c r="I232" s="492" t="s">
        <v>1748</v>
      </c>
      <c r="J232" s="492"/>
      <c r="K232" s="492"/>
      <c r="L232" s="492"/>
      <c r="M232" s="493"/>
      <c r="N232" s="492"/>
      <c r="O232" s="494" t="s">
        <v>1750</v>
      </c>
      <c r="P232" s="107"/>
    </row>
    <row r="233" spans="1:16" s="309" customFormat="1">
      <c r="A233" s="310"/>
      <c r="B233" s="107"/>
      <c r="C233" s="492"/>
      <c r="D233" s="282" t="s">
        <v>1663</v>
      </c>
      <c r="E233" s="492"/>
      <c r="F233" s="492"/>
      <c r="G233" s="492"/>
      <c r="H233" s="492"/>
      <c r="I233" s="492"/>
      <c r="J233" s="492"/>
      <c r="K233" s="492"/>
      <c r="L233" s="492"/>
      <c r="M233" s="493"/>
      <c r="N233" s="492"/>
      <c r="O233" s="246"/>
      <c r="P233" s="107"/>
    </row>
    <row r="234" spans="1:16">
      <c r="A234" s="325"/>
      <c r="B234" s="220"/>
      <c r="C234" s="227" t="s">
        <v>1754</v>
      </c>
      <c r="D234" s="227" t="s">
        <v>1663</v>
      </c>
      <c r="E234" s="227" t="s">
        <v>1755</v>
      </c>
      <c r="F234" s="227" t="s">
        <v>1756</v>
      </c>
      <c r="G234" s="461" t="s">
        <v>1242</v>
      </c>
      <c r="H234" s="227"/>
      <c r="I234" s="227" t="s">
        <v>149</v>
      </c>
      <c r="J234" s="227" t="s">
        <v>1757</v>
      </c>
      <c r="K234" s="227">
        <v>15000</v>
      </c>
      <c r="L234" s="227">
        <v>1</v>
      </c>
      <c r="M234" s="260"/>
      <c r="N234" s="260" t="s">
        <v>1201</v>
      </c>
      <c r="O234" s="495" t="s">
        <v>1758</v>
      </c>
      <c r="P234" s="380" t="s">
        <v>2052</v>
      </c>
    </row>
    <row r="235" spans="1:16">
      <c r="A235" s="325"/>
      <c r="B235" s="220"/>
      <c r="C235" s="227" t="s">
        <v>1763</v>
      </c>
      <c r="D235" s="227" t="s">
        <v>1663</v>
      </c>
      <c r="E235" s="227" t="s">
        <v>1762</v>
      </c>
      <c r="F235" s="227" t="s">
        <v>1761</v>
      </c>
      <c r="G235" s="461" t="s">
        <v>1242</v>
      </c>
      <c r="H235" s="227"/>
      <c r="I235" s="227" t="s">
        <v>149</v>
      </c>
      <c r="J235" s="227" t="s">
        <v>1759</v>
      </c>
      <c r="K235" s="227">
        <v>10000</v>
      </c>
      <c r="L235" s="227">
        <v>1</v>
      </c>
      <c r="M235" s="260"/>
      <c r="N235" s="260" t="s">
        <v>1201</v>
      </c>
      <c r="O235" s="495" t="s">
        <v>1760</v>
      </c>
      <c r="P235" s="380" t="s">
        <v>2052</v>
      </c>
    </row>
    <row r="236" spans="1:16">
      <c r="A236" s="325"/>
      <c r="B236" s="220"/>
      <c r="C236" s="227" t="s">
        <v>1774</v>
      </c>
      <c r="D236" s="227" t="s">
        <v>1663</v>
      </c>
      <c r="E236" s="483" t="s">
        <v>1773</v>
      </c>
      <c r="F236" s="227" t="s">
        <v>1771</v>
      </c>
      <c r="G236" s="461" t="s">
        <v>1242</v>
      </c>
      <c r="H236" s="227"/>
      <c r="I236" s="227" t="s">
        <v>149</v>
      </c>
      <c r="J236" s="483" t="s">
        <v>1502</v>
      </c>
      <c r="K236" s="227">
        <v>3000</v>
      </c>
      <c r="L236" s="227">
        <v>1</v>
      </c>
      <c r="M236" s="260"/>
      <c r="N236" s="260" t="s">
        <v>1201</v>
      </c>
      <c r="O236" s="495" t="s">
        <v>1772</v>
      </c>
      <c r="P236" s="380" t="s">
        <v>2052</v>
      </c>
    </row>
    <row r="237" spans="1:16" ht="28.8">
      <c r="A237" s="325"/>
      <c r="B237" s="220"/>
      <c r="C237" s="227" t="s">
        <v>1778</v>
      </c>
      <c r="D237" s="227" t="s">
        <v>1663</v>
      </c>
      <c r="E237" s="227" t="s">
        <v>1777</v>
      </c>
      <c r="F237" s="496" t="s">
        <v>1776</v>
      </c>
      <c r="G237" s="461" t="s">
        <v>1242</v>
      </c>
      <c r="H237" s="227"/>
      <c r="I237" s="227" t="s">
        <v>149</v>
      </c>
      <c r="J237" s="227">
        <v>71396245</v>
      </c>
      <c r="K237" s="227">
        <v>3500</v>
      </c>
      <c r="L237" s="227">
        <v>2</v>
      </c>
      <c r="M237" s="260"/>
      <c r="N237" s="260" t="s">
        <v>1201</v>
      </c>
      <c r="O237" s="495" t="s">
        <v>1775</v>
      </c>
      <c r="P237" s="380" t="s">
        <v>2052</v>
      </c>
    </row>
    <row r="238" spans="1:16" ht="28.8">
      <c r="A238" s="325"/>
      <c r="B238" s="220"/>
      <c r="C238" s="227" t="s">
        <v>1782</v>
      </c>
      <c r="D238" s="227" t="s">
        <v>1663</v>
      </c>
      <c r="E238" s="496" t="s">
        <v>1781</v>
      </c>
      <c r="F238" s="496" t="s">
        <v>1780</v>
      </c>
      <c r="G238" s="461" t="s">
        <v>1242</v>
      </c>
      <c r="H238" s="227"/>
      <c r="I238" s="227" t="s">
        <v>149</v>
      </c>
      <c r="J238" s="227">
        <v>71354114</v>
      </c>
      <c r="K238" s="227">
        <v>6500</v>
      </c>
      <c r="L238" s="227">
        <v>1</v>
      </c>
      <c r="M238" s="260"/>
      <c r="N238" s="260" t="s">
        <v>1201</v>
      </c>
      <c r="O238" s="495" t="s">
        <v>1779</v>
      </c>
      <c r="P238" s="380" t="s">
        <v>2052</v>
      </c>
    </row>
    <row r="239" spans="1:16">
      <c r="A239" s="325"/>
      <c r="B239" s="220"/>
      <c r="C239" s="227" t="s">
        <v>1792</v>
      </c>
      <c r="D239" s="227" t="s">
        <v>1663</v>
      </c>
      <c r="E239" s="483" t="s">
        <v>1791</v>
      </c>
      <c r="F239" s="227" t="s">
        <v>1789</v>
      </c>
      <c r="G239" s="461" t="s">
        <v>1242</v>
      </c>
      <c r="H239" s="227"/>
      <c r="I239" s="227" t="s">
        <v>149</v>
      </c>
      <c r="J239" s="227" t="s">
        <v>1790</v>
      </c>
      <c r="K239" s="227">
        <v>7000</v>
      </c>
      <c r="L239" s="227">
        <v>2</v>
      </c>
      <c r="M239" s="260"/>
      <c r="N239" s="260" t="s">
        <v>1201</v>
      </c>
      <c r="O239" s="495" t="s">
        <v>1788</v>
      </c>
      <c r="P239" s="380" t="s">
        <v>2052</v>
      </c>
    </row>
    <row r="240" spans="1:16">
      <c r="A240" s="325"/>
      <c r="B240" s="220"/>
      <c r="C240" s="227" t="s">
        <v>1804</v>
      </c>
      <c r="D240" s="227" t="s">
        <v>1663</v>
      </c>
      <c r="E240" s="483" t="s">
        <v>1798</v>
      </c>
      <c r="F240" s="483" t="s">
        <v>1799</v>
      </c>
      <c r="G240" s="461" t="s">
        <v>1242</v>
      </c>
      <c r="H240" s="227"/>
      <c r="I240" s="227" t="s">
        <v>149</v>
      </c>
      <c r="J240" s="227" t="s">
        <v>1797</v>
      </c>
      <c r="K240" s="227">
        <v>3000</v>
      </c>
      <c r="L240" s="227">
        <v>1</v>
      </c>
      <c r="M240" s="260"/>
      <c r="N240" s="260" t="s">
        <v>1201</v>
      </c>
      <c r="O240" s="495" t="s">
        <v>1796</v>
      </c>
      <c r="P240" s="380" t="s">
        <v>2052</v>
      </c>
    </row>
    <row r="241" spans="1:16">
      <c r="A241" s="325"/>
      <c r="B241" s="220"/>
      <c r="C241" s="227" t="s">
        <v>1802</v>
      </c>
      <c r="D241" s="227" t="s">
        <v>1663</v>
      </c>
      <c r="E241" s="483" t="s">
        <v>1803</v>
      </c>
      <c r="F241" s="483" t="s">
        <v>1801</v>
      </c>
      <c r="G241" s="461" t="s">
        <v>1242</v>
      </c>
      <c r="H241" s="227"/>
      <c r="I241" s="227" t="s">
        <v>149</v>
      </c>
      <c r="J241" s="483" t="s">
        <v>1872</v>
      </c>
      <c r="K241" s="227">
        <v>3000</v>
      </c>
      <c r="L241" s="227">
        <v>2</v>
      </c>
      <c r="M241" s="260"/>
      <c r="N241" s="260" t="s">
        <v>1873</v>
      </c>
      <c r="O241" s="495" t="s">
        <v>1800</v>
      </c>
      <c r="P241" s="380" t="s">
        <v>2052</v>
      </c>
    </row>
    <row r="242" spans="1:16">
      <c r="A242" s="325"/>
      <c r="B242" s="220"/>
      <c r="C242" s="227" t="s">
        <v>1805</v>
      </c>
      <c r="D242" s="227" t="s">
        <v>1663</v>
      </c>
      <c r="E242" s="483" t="s">
        <v>1798</v>
      </c>
      <c r="F242" s="227" t="s">
        <v>1807</v>
      </c>
      <c r="G242" s="461" t="s">
        <v>1242</v>
      </c>
      <c r="H242" s="227"/>
      <c r="I242" s="227" t="s">
        <v>149</v>
      </c>
      <c r="J242" s="227" t="s">
        <v>1806</v>
      </c>
      <c r="K242" s="227">
        <v>3000</v>
      </c>
      <c r="L242" s="227">
        <v>1</v>
      </c>
      <c r="M242" s="260"/>
      <c r="N242" s="260" t="s">
        <v>1201</v>
      </c>
      <c r="O242" s="495" t="s">
        <v>1808</v>
      </c>
      <c r="P242" s="380" t="s">
        <v>2052</v>
      </c>
    </row>
    <row r="243" spans="1:16">
      <c r="A243" s="325"/>
      <c r="B243" s="220"/>
      <c r="C243" s="227" t="s">
        <v>1816</v>
      </c>
      <c r="D243" s="227" t="s">
        <v>1663</v>
      </c>
      <c r="E243" s="483" t="s">
        <v>1798</v>
      </c>
      <c r="F243" s="483" t="s">
        <v>1809</v>
      </c>
      <c r="G243" s="461" t="s">
        <v>1242</v>
      </c>
      <c r="H243" s="227"/>
      <c r="I243" s="227" t="s">
        <v>149</v>
      </c>
      <c r="J243" s="479" t="s">
        <v>1809</v>
      </c>
      <c r="K243" s="227">
        <v>5000</v>
      </c>
      <c r="L243" s="227">
        <v>1</v>
      </c>
      <c r="M243" s="260"/>
      <c r="N243" s="260" t="s">
        <v>1201</v>
      </c>
      <c r="O243" s="495" t="s">
        <v>1810</v>
      </c>
      <c r="P243" s="380" t="s">
        <v>2052</v>
      </c>
    </row>
    <row r="244" spans="1:16">
      <c r="A244" s="325"/>
      <c r="B244" s="220"/>
      <c r="C244" s="227" t="s">
        <v>1811</v>
      </c>
      <c r="D244" s="227" t="s">
        <v>1663</v>
      </c>
      <c r="E244" s="485" t="s">
        <v>1791</v>
      </c>
      <c r="F244" s="483" t="s">
        <v>1812</v>
      </c>
      <c r="G244" s="461" t="s">
        <v>1242</v>
      </c>
      <c r="H244" s="227"/>
      <c r="I244" s="227" t="s">
        <v>149</v>
      </c>
      <c r="J244" s="479" t="s">
        <v>1813</v>
      </c>
      <c r="K244" s="227">
        <v>5800</v>
      </c>
      <c r="L244" s="227">
        <v>1</v>
      </c>
      <c r="M244" s="260"/>
      <c r="N244" s="260" t="s">
        <v>1201</v>
      </c>
      <c r="O244" s="495" t="s">
        <v>1814</v>
      </c>
      <c r="P244" s="380" t="s">
        <v>2052</v>
      </c>
    </row>
    <row r="245" spans="1:16">
      <c r="A245" s="325"/>
      <c r="B245" s="220"/>
      <c r="C245" s="227" t="s">
        <v>1815</v>
      </c>
      <c r="D245" s="227" t="s">
        <v>1663</v>
      </c>
      <c r="E245" s="485" t="s">
        <v>1798</v>
      </c>
      <c r="F245" s="483" t="s">
        <v>1817</v>
      </c>
      <c r="G245" s="461" t="s">
        <v>1242</v>
      </c>
      <c r="H245" s="227"/>
      <c r="I245" s="227" t="s">
        <v>149</v>
      </c>
      <c r="J245" s="479" t="s">
        <v>1818</v>
      </c>
      <c r="K245" s="227">
        <v>5000</v>
      </c>
      <c r="L245" s="227">
        <v>3</v>
      </c>
      <c r="M245" s="260"/>
      <c r="N245" s="260" t="s">
        <v>1201</v>
      </c>
      <c r="O245" s="495" t="s">
        <v>1819</v>
      </c>
      <c r="P245" s="380" t="s">
        <v>2052</v>
      </c>
    </row>
    <row r="246" spans="1:16">
      <c r="A246" s="325"/>
      <c r="B246" s="220"/>
      <c r="C246" s="227" t="s">
        <v>1823</v>
      </c>
      <c r="D246" s="227" t="s">
        <v>1663</v>
      </c>
      <c r="E246" s="488" t="s">
        <v>1820</v>
      </c>
      <c r="F246" s="227" t="s">
        <v>1821</v>
      </c>
      <c r="G246" s="461" t="s">
        <v>1242</v>
      </c>
      <c r="H246" s="227"/>
      <c r="I246" s="227" t="s">
        <v>149</v>
      </c>
      <c r="J246" s="479" t="s">
        <v>1822</v>
      </c>
      <c r="K246" s="227">
        <v>1000</v>
      </c>
      <c r="L246" s="227">
        <v>2</v>
      </c>
      <c r="M246" s="260"/>
      <c r="N246" s="260" t="s">
        <v>1201</v>
      </c>
      <c r="O246" s="495" t="s">
        <v>1826</v>
      </c>
      <c r="P246" s="380" t="s">
        <v>2052</v>
      </c>
    </row>
    <row r="247" spans="1:16">
      <c r="A247" s="325"/>
      <c r="B247" s="220"/>
      <c r="C247" s="227" t="s">
        <v>1824</v>
      </c>
      <c r="D247" s="227" t="s">
        <v>1663</v>
      </c>
      <c r="E247" s="488" t="s">
        <v>1820</v>
      </c>
      <c r="F247" s="227" t="s">
        <v>1821</v>
      </c>
      <c r="G247" s="461" t="s">
        <v>1242</v>
      </c>
      <c r="H247" s="227"/>
      <c r="I247" s="227" t="s">
        <v>149</v>
      </c>
      <c r="J247" s="479" t="s">
        <v>1825</v>
      </c>
      <c r="K247" s="227">
        <v>1000</v>
      </c>
      <c r="L247" s="227">
        <v>1</v>
      </c>
      <c r="M247" s="260"/>
      <c r="N247" s="260" t="s">
        <v>1201</v>
      </c>
      <c r="O247" s="495" t="s">
        <v>1827</v>
      </c>
      <c r="P247" s="380" t="s">
        <v>2052</v>
      </c>
    </row>
    <row r="248" spans="1:16" ht="28.8">
      <c r="A248" s="325"/>
      <c r="B248" s="220"/>
      <c r="C248" s="227" t="s">
        <v>1829</v>
      </c>
      <c r="D248" s="227" t="s">
        <v>1663</v>
      </c>
      <c r="E248" s="497" t="s">
        <v>1830</v>
      </c>
      <c r="F248" s="496" t="s">
        <v>1831</v>
      </c>
      <c r="G248" s="461" t="s">
        <v>1242</v>
      </c>
      <c r="H248" s="227"/>
      <c r="I248" s="227" t="s">
        <v>149</v>
      </c>
      <c r="J248" s="479" t="s">
        <v>1828</v>
      </c>
      <c r="K248" s="227">
        <v>1000</v>
      </c>
      <c r="L248" s="227">
        <v>1</v>
      </c>
      <c r="M248" s="260"/>
      <c r="N248" s="260" t="s">
        <v>1201</v>
      </c>
      <c r="O248" s="495" t="s">
        <v>1832</v>
      </c>
      <c r="P248" s="380" t="s">
        <v>2052</v>
      </c>
    </row>
    <row r="249" spans="1:16">
      <c r="A249" s="325"/>
      <c r="B249" s="220"/>
      <c r="C249" s="227" t="s">
        <v>1868</v>
      </c>
      <c r="D249" s="227" t="s">
        <v>1663</v>
      </c>
      <c r="E249" s="485" t="s">
        <v>1833</v>
      </c>
      <c r="F249" s="485" t="s">
        <v>1208</v>
      </c>
      <c r="G249" s="461" t="s">
        <v>1242</v>
      </c>
      <c r="H249" s="227"/>
      <c r="I249" s="227" t="s">
        <v>149</v>
      </c>
      <c r="J249" s="479" t="s">
        <v>1834</v>
      </c>
      <c r="K249" s="227">
        <v>3000</v>
      </c>
      <c r="L249" s="227">
        <v>1</v>
      </c>
      <c r="M249" s="260"/>
      <c r="N249" s="260" t="s">
        <v>1201</v>
      </c>
      <c r="O249" s="495" t="s">
        <v>1835</v>
      </c>
      <c r="P249" s="380" t="s">
        <v>2052</v>
      </c>
    </row>
    <row r="250" spans="1:16">
      <c r="A250" s="325"/>
      <c r="B250" s="220"/>
      <c r="C250" s="227" t="s">
        <v>1836</v>
      </c>
      <c r="D250" s="227" t="s">
        <v>1663</v>
      </c>
      <c r="E250" s="227" t="s">
        <v>1798</v>
      </c>
      <c r="F250" s="483" t="s">
        <v>1837</v>
      </c>
      <c r="G250" s="461" t="s">
        <v>1242</v>
      </c>
      <c r="H250" s="227"/>
      <c r="I250" s="227" t="s">
        <v>149</v>
      </c>
      <c r="J250" s="479" t="s">
        <v>1837</v>
      </c>
      <c r="K250" s="227">
        <v>4500</v>
      </c>
      <c r="L250" s="227">
        <v>1</v>
      </c>
      <c r="M250" s="260"/>
      <c r="N250" s="260" t="s">
        <v>1201</v>
      </c>
      <c r="O250" s="495" t="s">
        <v>1838</v>
      </c>
      <c r="P250" s="380" t="s">
        <v>2052</v>
      </c>
    </row>
    <row r="251" spans="1:16">
      <c r="A251" s="325"/>
      <c r="B251" s="220"/>
      <c r="C251" s="227" t="s">
        <v>1842</v>
      </c>
      <c r="D251" s="227" t="s">
        <v>1663</v>
      </c>
      <c r="E251" s="227" t="s">
        <v>1798</v>
      </c>
      <c r="F251" s="483" t="s">
        <v>1799</v>
      </c>
      <c r="G251" s="461" t="s">
        <v>1242</v>
      </c>
      <c r="H251" s="227"/>
      <c r="I251" s="227" t="s">
        <v>149</v>
      </c>
      <c r="J251" s="479" t="s">
        <v>1844</v>
      </c>
      <c r="K251" s="227">
        <v>4500</v>
      </c>
      <c r="L251" s="227">
        <v>1</v>
      </c>
      <c r="M251" s="260"/>
      <c r="N251" s="260" t="s">
        <v>1201</v>
      </c>
      <c r="O251" s="495" t="s">
        <v>1845</v>
      </c>
      <c r="P251" s="380" t="s">
        <v>2052</v>
      </c>
    </row>
    <row r="252" spans="1:16">
      <c r="A252" s="325"/>
      <c r="B252" s="220"/>
      <c r="C252" s="227" t="s">
        <v>1840</v>
      </c>
      <c r="D252" s="227" t="s">
        <v>1663</v>
      </c>
      <c r="E252" s="485" t="s">
        <v>1839</v>
      </c>
      <c r="F252" s="483" t="s">
        <v>1206</v>
      </c>
      <c r="G252" s="461" t="s">
        <v>1242</v>
      </c>
      <c r="H252" s="227"/>
      <c r="I252" s="227" t="s">
        <v>149</v>
      </c>
      <c r="J252" s="479" t="s">
        <v>1841</v>
      </c>
      <c r="K252" s="227">
        <v>5500</v>
      </c>
      <c r="L252" s="227">
        <v>1</v>
      </c>
      <c r="M252" s="260"/>
      <c r="N252" s="260" t="s">
        <v>1201</v>
      </c>
      <c r="O252" s="495" t="s">
        <v>1843</v>
      </c>
      <c r="P252" s="380" t="s">
        <v>2052</v>
      </c>
    </row>
    <row r="253" spans="1:16">
      <c r="A253" s="325"/>
      <c r="B253" s="220"/>
      <c r="C253" s="227" t="s">
        <v>1509</v>
      </c>
      <c r="D253" s="227" t="s">
        <v>1663</v>
      </c>
      <c r="E253" s="485" t="s">
        <v>1846</v>
      </c>
      <c r="F253" s="483" t="s">
        <v>1793</v>
      </c>
      <c r="G253" s="461" t="s">
        <v>1242</v>
      </c>
      <c r="H253" s="227"/>
      <c r="I253" s="227" t="s">
        <v>149</v>
      </c>
      <c r="J253" s="227" t="s">
        <v>1848</v>
      </c>
      <c r="K253" s="227">
        <v>3500</v>
      </c>
      <c r="L253" s="227">
        <v>1</v>
      </c>
      <c r="M253" s="260"/>
      <c r="N253" s="260" t="s">
        <v>1201</v>
      </c>
      <c r="O253" s="495" t="s">
        <v>1847</v>
      </c>
      <c r="P253" s="380" t="s">
        <v>2052</v>
      </c>
    </row>
    <row r="254" spans="1:16" s="336" customFormat="1">
      <c r="A254" s="335"/>
      <c r="B254" s="220"/>
      <c r="C254" s="220" t="s">
        <v>159</v>
      </c>
      <c r="D254" s="227" t="s">
        <v>1663</v>
      </c>
      <c r="E254" s="485" t="s">
        <v>1855</v>
      </c>
      <c r="F254" s="227" t="s">
        <v>1860</v>
      </c>
      <c r="G254" s="461" t="s">
        <v>1242</v>
      </c>
      <c r="H254" s="227"/>
      <c r="I254" s="227" t="s">
        <v>149</v>
      </c>
      <c r="J254" s="227" t="s">
        <v>1856</v>
      </c>
      <c r="K254" s="227">
        <v>4000</v>
      </c>
      <c r="L254" s="227">
        <v>1</v>
      </c>
      <c r="M254" s="260"/>
      <c r="N254" s="227" t="s">
        <v>1201</v>
      </c>
      <c r="O254" s="495" t="s">
        <v>1857</v>
      </c>
      <c r="P254" s="380" t="s">
        <v>2052</v>
      </c>
    </row>
    <row r="255" spans="1:16">
      <c r="A255" s="325"/>
      <c r="B255" s="220"/>
      <c r="C255" s="220" t="s">
        <v>1233</v>
      </c>
      <c r="D255" s="227" t="s">
        <v>1663</v>
      </c>
      <c r="E255" s="485" t="s">
        <v>1865</v>
      </c>
      <c r="F255" s="485" t="s">
        <v>1863</v>
      </c>
      <c r="G255" s="461" t="s">
        <v>1242</v>
      </c>
      <c r="H255" s="227"/>
      <c r="I255" s="227" t="s">
        <v>149</v>
      </c>
      <c r="J255" s="227" t="s">
        <v>1866</v>
      </c>
      <c r="K255" s="227">
        <v>6000</v>
      </c>
      <c r="L255" s="227">
        <v>1</v>
      </c>
      <c r="M255" s="260"/>
      <c r="N255" s="227" t="s">
        <v>1201</v>
      </c>
      <c r="O255" s="495" t="s">
        <v>1864</v>
      </c>
      <c r="P255" s="380" t="s">
        <v>2052</v>
      </c>
    </row>
    <row r="256" spans="1:16">
      <c r="A256" s="325"/>
      <c r="B256" s="220"/>
      <c r="C256" s="227" t="s">
        <v>1869</v>
      </c>
      <c r="D256" s="227" t="s">
        <v>1663</v>
      </c>
      <c r="E256" s="485" t="s">
        <v>1852</v>
      </c>
      <c r="F256" s="485" t="s">
        <v>1851</v>
      </c>
      <c r="G256" s="461" t="s">
        <v>1242</v>
      </c>
      <c r="H256" s="227"/>
      <c r="I256" s="227" t="s">
        <v>149</v>
      </c>
      <c r="J256" s="485" t="s">
        <v>1227</v>
      </c>
      <c r="K256" s="227">
        <v>3000</v>
      </c>
      <c r="L256" s="227">
        <v>1</v>
      </c>
      <c r="M256" s="260"/>
      <c r="N256" s="260" t="s">
        <v>1201</v>
      </c>
      <c r="O256" s="495" t="s">
        <v>1870</v>
      </c>
      <c r="P256" s="380" t="s">
        <v>2052</v>
      </c>
    </row>
    <row r="257" spans="1:16" ht="13.5" customHeight="1">
      <c r="A257" s="325"/>
      <c r="B257" s="445"/>
      <c r="C257" s="359" t="s">
        <v>1886</v>
      </c>
      <c r="D257" s="359" t="s">
        <v>1663</v>
      </c>
      <c r="E257" s="359" t="s">
        <v>1888</v>
      </c>
      <c r="F257" s="359" t="s">
        <v>1887</v>
      </c>
      <c r="G257" s="262" t="s">
        <v>1281</v>
      </c>
      <c r="H257" s="359"/>
      <c r="I257" s="259" t="s">
        <v>1432</v>
      </c>
      <c r="J257" s="359">
        <v>58091518</v>
      </c>
      <c r="K257" s="359">
        <v>2500</v>
      </c>
      <c r="L257" s="359">
        <v>2</v>
      </c>
      <c r="M257" s="449">
        <v>1</v>
      </c>
      <c r="N257" s="262" t="s">
        <v>1201</v>
      </c>
      <c r="O257" s="498" t="s">
        <v>1885</v>
      </c>
      <c r="P257" s="262"/>
    </row>
    <row r="258" spans="1:16" ht="13.5" customHeight="1">
      <c r="A258" s="325"/>
      <c r="B258" s="445"/>
      <c r="C258" s="359" t="s">
        <v>1889</v>
      </c>
      <c r="D258" s="359" t="s">
        <v>1663</v>
      </c>
      <c r="E258" s="359" t="s">
        <v>1890</v>
      </c>
      <c r="F258" s="359" t="s">
        <v>1891</v>
      </c>
      <c r="G258" s="262" t="s">
        <v>1281</v>
      </c>
      <c r="H258" s="359"/>
      <c r="I258" s="259" t="s">
        <v>1432</v>
      </c>
      <c r="J258" s="359">
        <v>58080005</v>
      </c>
      <c r="K258" s="359">
        <v>2000</v>
      </c>
      <c r="L258" s="359">
        <v>1</v>
      </c>
      <c r="M258" s="449">
        <v>1</v>
      </c>
      <c r="N258" s="262" t="s">
        <v>1201</v>
      </c>
      <c r="O258" s="407" t="s">
        <v>1885</v>
      </c>
      <c r="P258" s="262"/>
    </row>
    <row r="259" spans="1:16" ht="13.5" customHeight="1">
      <c r="A259" s="325"/>
      <c r="B259" s="445"/>
      <c r="C259" s="359" t="s">
        <v>1894</v>
      </c>
      <c r="D259" s="359" t="s">
        <v>1663</v>
      </c>
      <c r="E259" s="465" t="s">
        <v>1893</v>
      </c>
      <c r="F259" s="465" t="s">
        <v>1895</v>
      </c>
      <c r="G259" s="262" t="s">
        <v>1281</v>
      </c>
      <c r="H259" s="359"/>
      <c r="I259" s="123" t="s">
        <v>101</v>
      </c>
      <c r="J259" s="359">
        <v>30300481</v>
      </c>
      <c r="K259" s="359">
        <v>300</v>
      </c>
      <c r="L259" s="359">
        <v>3</v>
      </c>
      <c r="M259" s="449">
        <v>1</v>
      </c>
      <c r="N259" s="262" t="s">
        <v>1201</v>
      </c>
      <c r="O259" s="498" t="s">
        <v>1892</v>
      </c>
      <c r="P259" s="262"/>
    </row>
    <row r="260" spans="1:16" ht="13.5" customHeight="1">
      <c r="A260" s="325"/>
      <c r="B260" s="445"/>
      <c r="C260" s="359" t="s">
        <v>1898</v>
      </c>
      <c r="D260" s="359" t="s">
        <v>1663</v>
      </c>
      <c r="E260" s="359" t="s">
        <v>1899</v>
      </c>
      <c r="F260" s="465" t="s">
        <v>1897</v>
      </c>
      <c r="G260" s="262" t="s">
        <v>1281</v>
      </c>
      <c r="H260" s="359"/>
      <c r="I260" s="123" t="s">
        <v>101</v>
      </c>
      <c r="J260" s="359">
        <v>30280777</v>
      </c>
      <c r="K260" s="359">
        <v>7300</v>
      </c>
      <c r="L260" s="359">
        <v>2</v>
      </c>
      <c r="M260" s="449">
        <v>1</v>
      </c>
      <c r="N260" s="262" t="s">
        <v>1201</v>
      </c>
      <c r="O260" s="498" t="s">
        <v>1896</v>
      </c>
      <c r="P260" s="262"/>
    </row>
    <row r="261" spans="1:16" ht="15.75" customHeight="1">
      <c r="A261" s="325"/>
      <c r="B261" s="445"/>
      <c r="C261" s="359" t="s">
        <v>1903</v>
      </c>
      <c r="D261" s="359" t="s">
        <v>1663</v>
      </c>
      <c r="E261" s="359" t="s">
        <v>1902</v>
      </c>
      <c r="F261" s="465" t="s">
        <v>1901</v>
      </c>
      <c r="G261" s="262" t="s">
        <v>1281</v>
      </c>
      <c r="H261" s="359"/>
      <c r="I261" s="123" t="s">
        <v>101</v>
      </c>
      <c r="J261" s="359">
        <v>52121348</v>
      </c>
      <c r="K261" s="359">
        <v>2500</v>
      </c>
      <c r="L261" s="359">
        <v>1</v>
      </c>
      <c r="M261" s="449">
        <v>1</v>
      </c>
      <c r="N261" s="262" t="s">
        <v>1201</v>
      </c>
      <c r="O261" s="498" t="s">
        <v>1900</v>
      </c>
      <c r="P261" s="262"/>
    </row>
    <row r="262" spans="1:16" ht="28.8">
      <c r="A262" s="325"/>
      <c r="B262" s="445"/>
      <c r="C262" s="359" t="s">
        <v>1907</v>
      </c>
      <c r="D262" s="359" t="s">
        <v>1663</v>
      </c>
      <c r="E262" s="359" t="s">
        <v>1906</v>
      </c>
      <c r="F262" s="359" t="s">
        <v>1480</v>
      </c>
      <c r="G262" s="262" t="s">
        <v>1281</v>
      </c>
      <c r="H262" s="359"/>
      <c r="I262" s="359" t="s">
        <v>1432</v>
      </c>
      <c r="J262" s="359">
        <v>58080205</v>
      </c>
      <c r="K262" s="359">
        <v>1800</v>
      </c>
      <c r="L262" s="359">
        <v>3</v>
      </c>
      <c r="M262" s="449"/>
      <c r="N262" s="262" t="s">
        <v>1201</v>
      </c>
      <c r="O262" s="498" t="s">
        <v>1905</v>
      </c>
      <c r="P262" s="262"/>
    </row>
    <row r="263" spans="1:16" ht="28.8">
      <c r="A263" s="325"/>
      <c r="B263" s="445"/>
      <c r="C263" s="359" t="s">
        <v>1911</v>
      </c>
      <c r="D263" s="359" t="s">
        <v>1663</v>
      </c>
      <c r="E263" s="359" t="s">
        <v>1912</v>
      </c>
      <c r="F263" s="359" t="s">
        <v>1916</v>
      </c>
      <c r="G263" s="262" t="s">
        <v>1281</v>
      </c>
      <c r="H263" s="359"/>
      <c r="I263" s="123" t="s">
        <v>101</v>
      </c>
      <c r="J263" s="465">
        <v>52300110</v>
      </c>
      <c r="K263" s="359">
        <v>750</v>
      </c>
      <c r="L263" s="359">
        <v>1</v>
      </c>
      <c r="M263" s="449"/>
      <c r="N263" s="262" t="s">
        <v>1201</v>
      </c>
      <c r="O263" s="498" t="s">
        <v>1915</v>
      </c>
      <c r="P263" s="262"/>
    </row>
    <row r="264" spans="1:16">
      <c r="A264" s="325"/>
      <c r="B264" s="445"/>
      <c r="C264" s="359"/>
      <c r="D264" s="359" t="s">
        <v>1663</v>
      </c>
      <c r="E264" s="446"/>
      <c r="F264" s="499"/>
      <c r="G264" s="262"/>
      <c r="H264" s="359"/>
      <c r="I264" s="123"/>
      <c r="J264" s="359"/>
      <c r="K264" s="359"/>
      <c r="L264" s="359"/>
      <c r="M264" s="449"/>
      <c r="N264" s="262"/>
      <c r="O264" s="407"/>
      <c r="P264" s="262"/>
    </row>
    <row r="265" spans="1:16" ht="16.8" hidden="1">
      <c r="A265" s="325"/>
      <c r="B265" s="320"/>
      <c r="C265" s="321"/>
      <c r="D265" s="321"/>
      <c r="E265" s="355"/>
      <c r="F265" s="356"/>
      <c r="G265" s="315"/>
      <c r="H265" s="321"/>
      <c r="I265" s="317"/>
      <c r="J265" s="321"/>
      <c r="K265" s="321"/>
      <c r="L265" s="321"/>
      <c r="M265" s="322"/>
      <c r="N265" s="315"/>
      <c r="O265" s="337"/>
      <c r="P265" s="262"/>
    </row>
    <row r="266" spans="1:16">
      <c r="A266" s="325"/>
      <c r="B266" s="445"/>
      <c r="C266" s="359" t="s">
        <v>1945</v>
      </c>
      <c r="D266" s="295" t="s">
        <v>1663</v>
      </c>
      <c r="E266" s="359" t="s">
        <v>1943</v>
      </c>
      <c r="F266" s="359" t="s">
        <v>1944</v>
      </c>
      <c r="G266" s="156" t="s">
        <v>1934</v>
      </c>
      <c r="H266" s="359"/>
      <c r="I266" s="156" t="s">
        <v>1935</v>
      </c>
      <c r="J266" s="359">
        <v>529027</v>
      </c>
      <c r="K266" s="359">
        <v>700</v>
      </c>
      <c r="L266" s="359">
        <v>1</v>
      </c>
      <c r="M266" s="449"/>
      <c r="N266" s="156" t="s">
        <v>1201</v>
      </c>
      <c r="O266" s="498" t="s">
        <v>1942</v>
      </c>
      <c r="P266" s="358"/>
    </row>
    <row r="267" spans="1:16">
      <c r="A267" s="325"/>
      <c r="B267" s="445"/>
      <c r="C267" s="359" t="s">
        <v>1949</v>
      </c>
      <c r="D267" s="295" t="s">
        <v>1663</v>
      </c>
      <c r="E267" s="500" t="s">
        <v>1948</v>
      </c>
      <c r="F267" s="473" t="s">
        <v>1947</v>
      </c>
      <c r="G267" s="156" t="s">
        <v>1934</v>
      </c>
      <c r="H267" s="359"/>
      <c r="I267" s="156" t="s">
        <v>1935</v>
      </c>
      <c r="J267" s="501">
        <v>533360</v>
      </c>
      <c r="K267" s="359">
        <v>700</v>
      </c>
      <c r="L267" s="359">
        <v>1</v>
      </c>
      <c r="M267" s="449"/>
      <c r="N267" s="156" t="s">
        <v>1201</v>
      </c>
      <c r="O267" s="498" t="s">
        <v>1946</v>
      </c>
      <c r="P267" s="358"/>
    </row>
    <row r="268" spans="1:16">
      <c r="A268" s="325"/>
      <c r="B268" s="445"/>
      <c r="C268" s="359" t="s">
        <v>1953</v>
      </c>
      <c r="D268" s="295" t="s">
        <v>1663</v>
      </c>
      <c r="E268" s="500" t="s">
        <v>1952</v>
      </c>
      <c r="F268" s="447" t="s">
        <v>1951</v>
      </c>
      <c r="G268" s="156" t="s">
        <v>1934</v>
      </c>
      <c r="H268" s="359"/>
      <c r="I268" s="156" t="s">
        <v>1935</v>
      </c>
      <c r="J268" s="359">
        <v>195746</v>
      </c>
      <c r="K268" s="359">
        <v>1300</v>
      </c>
      <c r="L268" s="359">
        <v>1</v>
      </c>
      <c r="M268" s="449"/>
      <c r="N268" s="156" t="s">
        <v>1201</v>
      </c>
      <c r="O268" s="498" t="s">
        <v>1950</v>
      </c>
      <c r="P268" s="358"/>
    </row>
    <row r="269" spans="1:16">
      <c r="B269" s="445"/>
      <c r="C269" s="359" t="s">
        <v>1956</v>
      </c>
      <c r="D269" s="295" t="s">
        <v>1663</v>
      </c>
      <c r="E269" s="502" t="s">
        <v>606</v>
      </c>
      <c r="F269" s="359" t="s">
        <v>1955</v>
      </c>
      <c r="G269" s="156" t="s">
        <v>1934</v>
      </c>
      <c r="H269" s="359"/>
      <c r="I269" s="156" t="s">
        <v>1935</v>
      </c>
      <c r="J269" s="503">
        <v>543815</v>
      </c>
      <c r="K269" s="359">
        <v>1300</v>
      </c>
      <c r="L269" s="359">
        <v>1</v>
      </c>
      <c r="M269" s="449"/>
      <c r="N269" s="156" t="s">
        <v>1201</v>
      </c>
      <c r="O269" s="498" t="s">
        <v>1954</v>
      </c>
      <c r="P269" s="358"/>
    </row>
    <row r="270" spans="1:16" ht="28.8">
      <c r="B270" s="445"/>
      <c r="C270" s="359" t="s">
        <v>1969</v>
      </c>
      <c r="D270" s="295" t="s">
        <v>1663</v>
      </c>
      <c r="E270" s="359" t="s">
        <v>1959</v>
      </c>
      <c r="F270" s="359" t="s">
        <v>1958</v>
      </c>
      <c r="G270" s="156" t="s">
        <v>1934</v>
      </c>
      <c r="H270" s="359"/>
      <c r="I270" s="156" t="s">
        <v>1935</v>
      </c>
      <c r="J270" s="500" t="s">
        <v>1958</v>
      </c>
      <c r="K270" s="359">
        <v>5300</v>
      </c>
      <c r="L270" s="359">
        <v>1</v>
      </c>
      <c r="M270" s="449"/>
      <c r="N270" s="156" t="s">
        <v>1201</v>
      </c>
      <c r="O270" s="498" t="s">
        <v>1957</v>
      </c>
      <c r="P270" s="358" t="s">
        <v>2067</v>
      </c>
    </row>
    <row r="271" spans="1:16">
      <c r="B271" s="445"/>
      <c r="C271" s="359" t="s">
        <v>1963</v>
      </c>
      <c r="D271" s="295" t="s">
        <v>1663</v>
      </c>
      <c r="E271" s="359" t="s">
        <v>1962</v>
      </c>
      <c r="F271" s="501" t="s">
        <v>1961</v>
      </c>
      <c r="G271" s="156" t="s">
        <v>1934</v>
      </c>
      <c r="H271" s="359"/>
      <c r="I271" s="156" t="s">
        <v>1935</v>
      </c>
      <c r="J271" s="359">
        <v>18527</v>
      </c>
      <c r="K271" s="359">
        <v>100</v>
      </c>
      <c r="L271" s="359">
        <v>2</v>
      </c>
      <c r="M271" s="449"/>
      <c r="N271" s="156" t="s">
        <v>1201</v>
      </c>
      <c r="O271" s="498" t="s">
        <v>1960</v>
      </c>
      <c r="P271" s="359"/>
    </row>
    <row r="272" spans="1:16">
      <c r="B272" s="445"/>
      <c r="C272" s="359" t="s">
        <v>1966</v>
      </c>
      <c r="D272" s="295" t="s">
        <v>1663</v>
      </c>
      <c r="E272" s="359" t="s">
        <v>1937</v>
      </c>
      <c r="F272" s="473" t="s">
        <v>1964</v>
      </c>
      <c r="G272" s="156" t="s">
        <v>1934</v>
      </c>
      <c r="H272" s="359"/>
      <c r="I272" s="156" t="s">
        <v>1935</v>
      </c>
      <c r="J272" s="503">
        <v>573410</v>
      </c>
      <c r="K272" s="359">
        <v>253</v>
      </c>
      <c r="L272" s="359">
        <v>3</v>
      </c>
      <c r="M272" s="449"/>
      <c r="N272" s="156" t="s">
        <v>1201</v>
      </c>
      <c r="O272" s="498" t="s">
        <v>1965</v>
      </c>
      <c r="P272" s="359"/>
    </row>
    <row r="273" spans="2:16">
      <c r="B273" s="445"/>
      <c r="C273" s="359" t="s">
        <v>1970</v>
      </c>
      <c r="D273" s="295" t="s">
        <v>1663</v>
      </c>
      <c r="E273" s="359" t="s">
        <v>1937</v>
      </c>
      <c r="F273" s="359" t="s">
        <v>1968</v>
      </c>
      <c r="G273" s="156" t="s">
        <v>1934</v>
      </c>
      <c r="H273" s="359"/>
      <c r="I273" s="156" t="s">
        <v>1935</v>
      </c>
      <c r="J273" s="503">
        <v>533347</v>
      </c>
      <c r="K273" s="359">
        <v>250</v>
      </c>
      <c r="L273" s="359">
        <v>3</v>
      </c>
      <c r="M273" s="449"/>
      <c r="N273" s="156" t="s">
        <v>1201</v>
      </c>
      <c r="O273" s="498" t="s">
        <v>1967</v>
      </c>
      <c r="P273" s="359"/>
    </row>
    <row r="274" spans="2:16">
      <c r="B274" s="504"/>
      <c r="C274" s="363" t="s">
        <v>1973</v>
      </c>
      <c r="D274" s="505" t="s">
        <v>1663</v>
      </c>
      <c r="E274" s="363" t="s">
        <v>1937</v>
      </c>
      <c r="F274" s="363" t="s">
        <v>1972</v>
      </c>
      <c r="G274" s="364" t="s">
        <v>1934</v>
      </c>
      <c r="H274" s="363"/>
      <c r="I274" s="364" t="s">
        <v>1935</v>
      </c>
      <c r="J274" s="506">
        <v>526996</v>
      </c>
      <c r="K274" s="363">
        <v>250</v>
      </c>
      <c r="L274" s="363">
        <v>11</v>
      </c>
      <c r="M274" s="507"/>
      <c r="N274" s="364" t="s">
        <v>1201</v>
      </c>
      <c r="O274" s="508" t="s">
        <v>1971</v>
      </c>
      <c r="P274" s="363"/>
    </row>
    <row r="275" spans="2:16">
      <c r="B275" s="445"/>
      <c r="C275" s="359" t="s">
        <v>1977</v>
      </c>
      <c r="D275" s="359" t="s">
        <v>1663</v>
      </c>
      <c r="E275" s="502" t="s">
        <v>1976</v>
      </c>
      <c r="F275" s="359" t="s">
        <v>1975</v>
      </c>
      <c r="G275" s="359" t="s">
        <v>1934</v>
      </c>
      <c r="H275" s="359"/>
      <c r="I275" s="359" t="s">
        <v>1935</v>
      </c>
      <c r="J275" s="509">
        <v>4527</v>
      </c>
      <c r="K275" s="359">
        <v>50</v>
      </c>
      <c r="L275" s="359">
        <v>3</v>
      </c>
      <c r="M275" s="449"/>
      <c r="N275" s="364" t="s">
        <v>1201</v>
      </c>
      <c r="O275" s="498" t="s">
        <v>1974</v>
      </c>
      <c r="P275" s="359"/>
    </row>
    <row r="276" spans="2:16" ht="28.8">
      <c r="B276" s="445"/>
      <c r="C276" s="359" t="s">
        <v>1983</v>
      </c>
      <c r="D276" s="359" t="s">
        <v>1663</v>
      </c>
      <c r="E276" s="467" t="s">
        <v>1984</v>
      </c>
      <c r="F276" s="468" t="s">
        <v>1982</v>
      </c>
      <c r="G276" s="447" t="s">
        <v>1987</v>
      </c>
      <c r="H276" s="359"/>
      <c r="I276" s="156" t="s">
        <v>753</v>
      </c>
      <c r="J276" s="468" t="s">
        <v>1982</v>
      </c>
      <c r="K276" s="359">
        <v>150</v>
      </c>
      <c r="L276" s="359">
        <v>2</v>
      </c>
      <c r="M276" s="449"/>
      <c r="N276" s="156" t="s">
        <v>1997</v>
      </c>
      <c r="O276" s="498" t="s">
        <v>1981</v>
      </c>
      <c r="P276" s="156"/>
    </row>
    <row r="277" spans="2:16" ht="28.8">
      <c r="B277" s="445"/>
      <c r="C277" s="359" t="s">
        <v>1990</v>
      </c>
      <c r="D277" s="359" t="s">
        <v>1663</v>
      </c>
      <c r="E277" s="446" t="s">
        <v>1989</v>
      </c>
      <c r="F277" s="468" t="s">
        <v>1988</v>
      </c>
      <c r="G277" s="447" t="s">
        <v>1987</v>
      </c>
      <c r="H277" s="359"/>
      <c r="I277" s="156" t="s">
        <v>753</v>
      </c>
      <c r="J277" s="510" t="s">
        <v>1986</v>
      </c>
      <c r="K277" s="359">
        <v>1400</v>
      </c>
      <c r="L277" s="359">
        <v>1</v>
      </c>
      <c r="M277" s="449"/>
      <c r="N277" s="156" t="s">
        <v>1201</v>
      </c>
      <c r="O277" s="498" t="s">
        <v>1985</v>
      </c>
      <c r="P277" s="156"/>
    </row>
    <row r="278" spans="2:16" ht="28.8">
      <c r="B278" s="445"/>
      <c r="C278" s="359" t="s">
        <v>2031</v>
      </c>
      <c r="D278" s="359" t="s">
        <v>1663</v>
      </c>
      <c r="E278" s="511" t="s">
        <v>1991</v>
      </c>
      <c r="F278" s="359" t="s">
        <v>1992</v>
      </c>
      <c r="G278" s="447" t="s">
        <v>1987</v>
      </c>
      <c r="H278" s="359"/>
      <c r="I278" s="156" t="s">
        <v>753</v>
      </c>
      <c r="J278" s="512" t="s">
        <v>1992</v>
      </c>
      <c r="K278" s="359">
        <v>750</v>
      </c>
      <c r="L278" s="359">
        <v>1</v>
      </c>
      <c r="M278" s="449"/>
      <c r="N278" s="156" t="s">
        <v>1201</v>
      </c>
      <c r="O278" s="498" t="s">
        <v>1993</v>
      </c>
      <c r="P278" s="156"/>
    </row>
    <row r="279" spans="2:16" ht="28.8">
      <c r="B279" s="445"/>
      <c r="C279" s="359" t="s">
        <v>2031</v>
      </c>
      <c r="D279" s="359" t="s">
        <v>1663</v>
      </c>
      <c r="E279" s="511" t="s">
        <v>1994</v>
      </c>
      <c r="F279" s="359" t="s">
        <v>1995</v>
      </c>
      <c r="G279" s="447" t="s">
        <v>1987</v>
      </c>
      <c r="H279" s="359"/>
      <c r="I279" s="156" t="s">
        <v>753</v>
      </c>
      <c r="J279" s="448" t="s">
        <v>1995</v>
      </c>
      <c r="K279" s="359">
        <v>1125</v>
      </c>
      <c r="L279" s="359">
        <v>1</v>
      </c>
      <c r="M279" s="449"/>
      <c r="N279" s="156" t="s">
        <v>1201</v>
      </c>
      <c r="O279" s="498" t="s">
        <v>1996</v>
      </c>
      <c r="P279" s="156"/>
    </row>
    <row r="280" spans="2:16">
      <c r="B280" s="445"/>
      <c r="C280" s="279" t="s">
        <v>2024</v>
      </c>
      <c r="D280" s="278" t="s">
        <v>1663</v>
      </c>
      <c r="E280" s="446" t="s">
        <v>2025</v>
      </c>
      <c r="F280" s="359" t="s">
        <v>2023</v>
      </c>
      <c r="G280" s="122" t="s">
        <v>2000</v>
      </c>
      <c r="H280" s="359" t="s">
        <v>2001</v>
      </c>
      <c r="I280" s="123" t="s">
        <v>301</v>
      </c>
      <c r="J280" s="448"/>
      <c r="K280" s="359">
        <v>3500</v>
      </c>
      <c r="L280" s="359">
        <v>3</v>
      </c>
      <c r="M280" s="449"/>
      <c r="N280" s="123" t="s">
        <v>1201</v>
      </c>
      <c r="O280" s="407" t="s">
        <v>2026</v>
      </c>
      <c r="P280" s="123"/>
    </row>
    <row r="281" spans="2:16">
      <c r="B281" s="445"/>
      <c r="C281" s="359" t="s">
        <v>2031</v>
      </c>
      <c r="D281" s="359" t="s">
        <v>1663</v>
      </c>
      <c r="E281" s="446" t="s">
        <v>2027</v>
      </c>
      <c r="F281" s="359" t="s">
        <v>2036</v>
      </c>
      <c r="G281" s="447" t="s">
        <v>2028</v>
      </c>
      <c r="H281" s="359"/>
      <c r="I281" s="513" t="s">
        <v>2035</v>
      </c>
      <c r="J281" s="448" t="s">
        <v>2030</v>
      </c>
      <c r="K281" s="359">
        <v>2000</v>
      </c>
      <c r="L281" s="359">
        <v>1</v>
      </c>
      <c r="M281" s="449"/>
      <c r="N281" s="123" t="s">
        <v>1201</v>
      </c>
      <c r="O281" s="498" t="s">
        <v>2029</v>
      </c>
      <c r="P281" s="123"/>
    </row>
    <row r="282" spans="2:16">
      <c r="B282" s="445"/>
      <c r="C282" s="359" t="s">
        <v>2037</v>
      </c>
      <c r="D282" s="359" t="s">
        <v>1663</v>
      </c>
      <c r="E282" s="446" t="s">
        <v>2034</v>
      </c>
      <c r="F282" s="359">
        <v>265</v>
      </c>
      <c r="G282" s="447" t="s">
        <v>2032</v>
      </c>
      <c r="H282" s="359"/>
      <c r="I282" s="359" t="s">
        <v>2033</v>
      </c>
      <c r="J282" s="448">
        <v>265</v>
      </c>
      <c r="K282" s="359">
        <v>1150</v>
      </c>
      <c r="L282" s="359">
        <v>1</v>
      </c>
      <c r="M282" s="449"/>
      <c r="N282" s="123" t="s">
        <v>1201</v>
      </c>
      <c r="O282" s="407" t="s">
        <v>2039</v>
      </c>
      <c r="P282" s="123"/>
    </row>
    <row r="283" spans="2:16">
      <c r="B283" s="445"/>
      <c r="C283" s="359" t="s">
        <v>2038</v>
      </c>
      <c r="D283" s="359" t="s">
        <v>1663</v>
      </c>
      <c r="E283" s="446" t="s">
        <v>2034</v>
      </c>
      <c r="F283" s="359">
        <v>265</v>
      </c>
      <c r="G283" s="447" t="s">
        <v>2032</v>
      </c>
      <c r="H283" s="359"/>
      <c r="I283" s="359" t="s">
        <v>2033</v>
      </c>
      <c r="J283" s="448">
        <v>265</v>
      </c>
      <c r="K283" s="359">
        <v>1150</v>
      </c>
      <c r="L283" s="359">
        <v>1</v>
      </c>
      <c r="M283" s="449"/>
      <c r="N283" s="123" t="s">
        <v>1201</v>
      </c>
      <c r="O283" s="407" t="s">
        <v>2039</v>
      </c>
      <c r="P283" s="123"/>
    </row>
    <row r="284" spans="2:16" ht="28.8">
      <c r="B284" s="445"/>
      <c r="C284" s="359" t="s">
        <v>2041</v>
      </c>
      <c r="D284" s="359" t="s">
        <v>1663</v>
      </c>
      <c r="E284" s="446" t="s">
        <v>2044</v>
      </c>
      <c r="F284" s="359" t="s">
        <v>2045</v>
      </c>
      <c r="G284" s="447" t="s">
        <v>2046</v>
      </c>
      <c r="H284" s="359"/>
      <c r="I284" s="359" t="s">
        <v>2043</v>
      </c>
      <c r="J284" s="448" t="s">
        <v>2042</v>
      </c>
      <c r="K284" s="359">
        <v>200</v>
      </c>
      <c r="L284" s="359">
        <v>1</v>
      </c>
      <c r="M284" s="449"/>
      <c r="N284" s="123" t="s">
        <v>1201</v>
      </c>
      <c r="O284" s="498" t="s">
        <v>2040</v>
      </c>
      <c r="P284" s="122" t="s">
        <v>2068</v>
      </c>
    </row>
    <row r="285" spans="2:16">
      <c r="B285" s="445"/>
      <c r="C285" s="359" t="s">
        <v>2050</v>
      </c>
      <c r="D285" s="359" t="s">
        <v>1663</v>
      </c>
      <c r="E285" s="446" t="s">
        <v>2051</v>
      </c>
      <c r="F285" s="476">
        <v>800325</v>
      </c>
      <c r="G285" s="447" t="s">
        <v>2049</v>
      </c>
      <c r="H285" s="359"/>
      <c r="I285" s="359" t="s">
        <v>2048</v>
      </c>
      <c r="J285" s="448">
        <v>800325</v>
      </c>
      <c r="K285" s="359" t="s">
        <v>2047</v>
      </c>
      <c r="L285" s="359">
        <v>1</v>
      </c>
      <c r="M285" s="449"/>
      <c r="N285" s="123" t="s">
        <v>1201</v>
      </c>
      <c r="O285" s="407"/>
      <c r="P285" s="359"/>
    </row>
    <row r="286" spans="2:16">
      <c r="B286" s="445"/>
      <c r="C286" s="359"/>
      <c r="D286" s="359"/>
      <c r="E286" s="446"/>
      <c r="G286" s="447"/>
      <c r="H286" s="359"/>
      <c r="I286" s="359"/>
      <c r="J286" s="448"/>
      <c r="K286" s="359"/>
      <c r="L286" s="359"/>
      <c r="M286" s="449"/>
      <c r="N286" s="359"/>
      <c r="O286" s="407"/>
      <c r="P286" s="359"/>
    </row>
    <row r="287" spans="2:16">
      <c r="B287" s="445"/>
      <c r="C287" s="359"/>
      <c r="D287" s="359"/>
      <c r="E287" s="446"/>
      <c r="G287" s="447"/>
      <c r="H287" s="359"/>
      <c r="I287" s="359"/>
      <c r="J287" s="448"/>
      <c r="K287" s="359"/>
      <c r="L287" s="359"/>
      <c r="M287" s="449"/>
      <c r="N287" s="359"/>
      <c r="O287" s="407"/>
      <c r="P287" s="359"/>
    </row>
    <row r="288" spans="2:16">
      <c r="B288" s="445"/>
      <c r="C288" s="359"/>
      <c r="D288" s="359"/>
      <c r="E288" s="446"/>
      <c r="G288" s="447"/>
      <c r="H288" s="359"/>
      <c r="I288" s="359"/>
      <c r="J288" s="448"/>
      <c r="K288" s="359"/>
      <c r="L288" s="359"/>
      <c r="M288" s="449"/>
      <c r="N288" s="359"/>
      <c r="O288" s="407"/>
      <c r="P288" s="359"/>
    </row>
    <row r="289" spans="2:16">
      <c r="B289" s="445"/>
      <c r="C289" s="359"/>
      <c r="D289" s="359"/>
      <c r="E289" s="446"/>
      <c r="G289" s="447"/>
      <c r="H289" s="359"/>
      <c r="I289" s="359"/>
      <c r="J289" s="448"/>
      <c r="K289" s="359"/>
      <c r="L289" s="359"/>
      <c r="M289" s="449"/>
      <c r="N289" s="359"/>
      <c r="O289" s="407"/>
      <c r="P289" s="359"/>
    </row>
    <row r="290" spans="2:16">
      <c r="B290" s="445"/>
      <c r="C290" s="359"/>
      <c r="D290" s="359"/>
      <c r="E290" s="446"/>
      <c r="G290" s="447"/>
      <c r="H290" s="359"/>
      <c r="I290" s="359"/>
      <c r="J290" s="448"/>
      <c r="K290" s="359"/>
      <c r="L290" s="359"/>
      <c r="M290" s="449"/>
      <c r="N290" s="359"/>
      <c r="O290" s="407"/>
      <c r="P290" s="359"/>
    </row>
    <row r="291" spans="2:16">
      <c r="B291" s="445"/>
      <c r="C291" s="359"/>
      <c r="D291" s="359"/>
      <c r="E291" s="446"/>
      <c r="G291" s="447"/>
      <c r="H291" s="359"/>
      <c r="I291" s="359"/>
      <c r="J291" s="448"/>
      <c r="K291" s="359"/>
      <c r="L291" s="359"/>
      <c r="M291" s="449"/>
      <c r="N291" s="359"/>
      <c r="O291" s="407"/>
      <c r="P291" s="359"/>
    </row>
    <row r="292" spans="2:16">
      <c r="B292" s="445"/>
      <c r="C292" s="359"/>
      <c r="D292" s="359"/>
      <c r="E292" s="446"/>
      <c r="G292" s="447"/>
      <c r="H292" s="359"/>
      <c r="I292" s="359"/>
      <c r="J292" s="448"/>
      <c r="K292" s="359"/>
      <c r="L292" s="359"/>
      <c r="M292" s="449"/>
      <c r="N292" s="359"/>
      <c r="O292" s="407"/>
      <c r="P292" s="359"/>
    </row>
    <row r="293" spans="2:16">
      <c r="B293" s="445"/>
      <c r="C293" s="359"/>
      <c r="D293" s="359"/>
      <c r="E293" s="446"/>
      <c r="G293" s="447"/>
      <c r="H293" s="359"/>
      <c r="I293" s="359"/>
      <c r="J293" s="448"/>
      <c r="K293" s="359"/>
      <c r="L293" s="359"/>
      <c r="M293" s="449"/>
      <c r="N293" s="359"/>
      <c r="O293" s="407"/>
      <c r="P293" s="359"/>
    </row>
    <row r="294" spans="2:16">
      <c r="B294" s="445"/>
      <c r="C294" s="359"/>
      <c r="D294" s="359"/>
      <c r="E294" s="446"/>
      <c r="G294" s="447"/>
      <c r="H294" s="359"/>
      <c r="I294" s="359"/>
      <c r="J294" s="448"/>
      <c r="K294" s="359"/>
      <c r="L294" s="359"/>
      <c r="M294" s="449"/>
      <c r="N294" s="359"/>
      <c r="O294" s="407"/>
      <c r="P294" s="359"/>
    </row>
    <row r="295" spans="2:16">
      <c r="B295" s="445"/>
      <c r="C295" s="359"/>
      <c r="D295" s="359"/>
      <c r="E295" s="446"/>
      <c r="G295" s="447"/>
      <c r="H295" s="359"/>
      <c r="I295" s="359"/>
      <c r="J295" s="448"/>
      <c r="K295" s="359"/>
      <c r="L295" s="359"/>
      <c r="M295" s="449"/>
      <c r="N295" s="359"/>
      <c r="O295" s="407"/>
      <c r="P295" s="359"/>
    </row>
    <row r="296" spans="2:16">
      <c r="B296" s="445"/>
      <c r="C296" s="359"/>
      <c r="D296" s="359"/>
      <c r="E296" s="446"/>
      <c r="G296" s="447"/>
      <c r="H296" s="359"/>
      <c r="I296" s="359"/>
      <c r="J296" s="448"/>
      <c r="K296" s="359"/>
      <c r="L296" s="359"/>
      <c r="M296" s="449"/>
      <c r="N296" s="359"/>
      <c r="O296" s="407"/>
      <c r="P296" s="359"/>
    </row>
    <row r="297" spans="2:16">
      <c r="B297" s="445"/>
      <c r="C297" s="359"/>
      <c r="D297" s="359"/>
      <c r="E297" s="446"/>
      <c r="G297" s="447"/>
      <c r="H297" s="359"/>
      <c r="I297" s="359"/>
      <c r="J297" s="448"/>
      <c r="K297" s="359"/>
      <c r="L297" s="359"/>
      <c r="M297" s="449"/>
      <c r="N297" s="359"/>
      <c r="O297" s="407"/>
      <c r="P297" s="359"/>
    </row>
    <row r="298" spans="2:16">
      <c r="B298" s="445"/>
      <c r="C298" s="359"/>
      <c r="D298" s="359"/>
      <c r="E298" s="446"/>
      <c r="G298" s="447"/>
      <c r="H298" s="359"/>
      <c r="I298" s="359"/>
      <c r="J298" s="448"/>
      <c r="K298" s="359"/>
      <c r="L298" s="359"/>
      <c r="M298" s="449"/>
      <c r="N298" s="359"/>
      <c r="O298" s="407"/>
      <c r="P298" s="359"/>
    </row>
    <row r="299" spans="2:16">
      <c r="B299" s="445"/>
      <c r="C299" s="359"/>
      <c r="D299" s="359"/>
      <c r="E299" s="446"/>
      <c r="G299" s="447"/>
      <c r="H299" s="359"/>
      <c r="I299" s="359"/>
      <c r="J299" s="448"/>
      <c r="K299" s="359"/>
      <c r="L299" s="359"/>
      <c r="M299" s="449"/>
      <c r="N299" s="359"/>
      <c r="O299" s="407"/>
      <c r="P299" s="359"/>
    </row>
    <row r="300" spans="2:16">
      <c r="B300" s="445"/>
      <c r="C300" s="359"/>
      <c r="D300" s="359"/>
      <c r="E300" s="446"/>
      <c r="G300" s="447"/>
      <c r="H300" s="359"/>
      <c r="I300" s="359"/>
      <c r="J300" s="448"/>
      <c r="K300" s="359"/>
      <c r="L300" s="359"/>
      <c r="M300" s="449"/>
      <c r="N300" s="359"/>
      <c r="O300" s="407"/>
      <c r="P300" s="359"/>
    </row>
    <row r="301" spans="2:16">
      <c r="B301" s="445"/>
      <c r="C301" s="359"/>
      <c r="D301" s="359"/>
      <c r="E301" s="446"/>
      <c r="G301" s="447"/>
      <c r="H301" s="359"/>
      <c r="I301" s="359"/>
      <c r="J301" s="448"/>
      <c r="K301" s="359"/>
      <c r="L301" s="359"/>
      <c r="M301" s="449"/>
      <c r="N301" s="359"/>
      <c r="O301" s="407"/>
      <c r="P301" s="359"/>
    </row>
    <row r="302" spans="2:16">
      <c r="B302" s="445"/>
      <c r="C302" s="359"/>
      <c r="D302" s="359"/>
      <c r="E302" s="446"/>
      <c r="G302" s="447"/>
      <c r="H302" s="359"/>
      <c r="I302" s="359"/>
      <c r="J302" s="448"/>
      <c r="K302" s="359"/>
      <c r="L302" s="359"/>
      <c r="M302" s="449"/>
      <c r="N302" s="359"/>
      <c r="O302" s="407"/>
      <c r="P302" s="359"/>
    </row>
    <row r="303" spans="2:16">
      <c r="B303" s="445"/>
      <c r="C303" s="359"/>
      <c r="D303" s="359"/>
      <c r="E303" s="446"/>
      <c r="G303" s="447"/>
      <c r="H303" s="359"/>
      <c r="I303" s="359"/>
      <c r="J303" s="448"/>
      <c r="K303" s="359"/>
      <c r="L303" s="359"/>
      <c r="M303" s="449"/>
      <c r="N303" s="359"/>
      <c r="O303" s="407"/>
      <c r="P303" s="359"/>
    </row>
    <row r="304" spans="2:16">
      <c r="B304" s="445"/>
      <c r="C304" s="359"/>
      <c r="D304" s="359"/>
      <c r="E304" s="446"/>
      <c r="G304" s="447"/>
      <c r="H304" s="359"/>
      <c r="I304" s="359"/>
      <c r="J304" s="448"/>
      <c r="K304" s="359"/>
      <c r="L304" s="359"/>
      <c r="M304" s="449"/>
      <c r="N304" s="359"/>
      <c r="O304" s="407"/>
      <c r="P304" s="359"/>
    </row>
    <row r="305" spans="2:16">
      <c r="B305" s="445"/>
      <c r="C305" s="359"/>
      <c r="D305" s="359"/>
      <c r="E305" s="446"/>
      <c r="G305" s="447"/>
      <c r="H305" s="359"/>
      <c r="I305" s="359"/>
      <c r="J305" s="448"/>
      <c r="K305" s="359"/>
      <c r="L305" s="359"/>
      <c r="M305" s="449"/>
      <c r="N305" s="359"/>
      <c r="O305" s="407"/>
      <c r="P305" s="359"/>
    </row>
    <row r="306" spans="2:16">
      <c r="B306" s="445"/>
      <c r="C306" s="359"/>
      <c r="D306" s="359"/>
      <c r="E306" s="446"/>
      <c r="G306" s="447"/>
      <c r="H306" s="359"/>
      <c r="I306" s="359"/>
      <c r="J306" s="448"/>
      <c r="K306" s="359"/>
      <c r="L306" s="359"/>
      <c r="M306" s="449"/>
      <c r="N306" s="359"/>
      <c r="O306" s="407"/>
      <c r="P306" s="359"/>
    </row>
    <row r="307" spans="2:16">
      <c r="B307" s="445"/>
      <c r="C307" s="359"/>
      <c r="D307" s="359"/>
      <c r="E307" s="446"/>
      <c r="G307" s="447"/>
      <c r="H307" s="359"/>
      <c r="I307" s="359"/>
      <c r="J307" s="448"/>
      <c r="K307" s="359"/>
      <c r="L307" s="359"/>
      <c r="M307" s="449"/>
      <c r="N307" s="359"/>
      <c r="O307" s="407"/>
      <c r="P307" s="359"/>
    </row>
    <row r="308" spans="2:16">
      <c r="B308" s="445"/>
      <c r="C308" s="359"/>
      <c r="D308" s="359"/>
      <c r="E308" s="446"/>
      <c r="G308" s="447"/>
      <c r="H308" s="359"/>
      <c r="I308" s="359"/>
      <c r="J308" s="448"/>
      <c r="K308" s="359"/>
      <c r="L308" s="359"/>
      <c r="M308" s="449"/>
      <c r="N308" s="359"/>
      <c r="O308" s="407"/>
      <c r="P308" s="359"/>
    </row>
    <row r="309" spans="2:16">
      <c r="B309" s="445"/>
      <c r="C309" s="359"/>
      <c r="D309" s="359"/>
      <c r="E309" s="446"/>
      <c r="G309" s="447"/>
      <c r="H309" s="359"/>
      <c r="I309" s="359"/>
      <c r="J309" s="448"/>
      <c r="K309" s="359"/>
      <c r="L309" s="359"/>
      <c r="M309" s="449"/>
      <c r="N309" s="359"/>
      <c r="O309" s="407"/>
      <c r="P309" s="359"/>
    </row>
    <row r="310" spans="2:16">
      <c r="B310" s="445"/>
      <c r="C310" s="359"/>
      <c r="D310" s="359"/>
      <c r="E310" s="446"/>
      <c r="G310" s="447"/>
      <c r="H310" s="359"/>
      <c r="I310" s="359"/>
      <c r="J310" s="448"/>
      <c r="K310" s="359"/>
      <c r="L310" s="359"/>
      <c r="M310" s="449"/>
      <c r="N310" s="359"/>
      <c r="O310" s="407"/>
      <c r="P310" s="359"/>
    </row>
    <row r="311" spans="2:16">
      <c r="B311" s="445"/>
      <c r="C311" s="359"/>
      <c r="D311" s="359"/>
      <c r="E311" s="446"/>
      <c r="G311" s="447"/>
      <c r="H311" s="359"/>
      <c r="I311" s="359"/>
      <c r="J311" s="448"/>
      <c r="K311" s="359"/>
      <c r="L311" s="359"/>
      <c r="M311" s="449"/>
      <c r="N311" s="359"/>
      <c r="O311" s="407"/>
      <c r="P311" s="359"/>
    </row>
    <row r="312" spans="2:16">
      <c r="B312" s="445"/>
      <c r="C312" s="359"/>
      <c r="D312" s="359"/>
      <c r="E312" s="446"/>
      <c r="G312" s="447"/>
      <c r="H312" s="359"/>
      <c r="I312" s="359"/>
      <c r="J312" s="448"/>
      <c r="K312" s="359"/>
      <c r="L312" s="359"/>
      <c r="M312" s="449"/>
      <c r="N312" s="359"/>
      <c r="O312" s="407"/>
      <c r="P312" s="359"/>
    </row>
    <row r="313" spans="2:16">
      <c r="B313" s="445"/>
      <c r="C313" s="359"/>
      <c r="D313" s="359"/>
      <c r="E313" s="446"/>
      <c r="G313" s="447"/>
      <c r="H313" s="359"/>
      <c r="I313" s="359"/>
      <c r="J313" s="448"/>
      <c r="K313" s="359"/>
      <c r="L313" s="359"/>
      <c r="M313" s="449"/>
      <c r="N313" s="359"/>
      <c r="O313" s="407"/>
      <c r="P313" s="359"/>
    </row>
    <row r="314" spans="2:16">
      <c r="B314" s="445"/>
      <c r="C314" s="359"/>
      <c r="D314" s="359"/>
      <c r="E314" s="446"/>
      <c r="G314" s="447"/>
      <c r="H314" s="359"/>
      <c r="I314" s="359"/>
      <c r="J314" s="448"/>
      <c r="K314" s="359"/>
      <c r="L314" s="359"/>
      <c r="M314" s="449"/>
      <c r="N314" s="359"/>
      <c r="O314" s="407"/>
      <c r="P314" s="359"/>
    </row>
    <row r="315" spans="2:16">
      <c r="B315" s="445"/>
      <c r="C315" s="359"/>
      <c r="D315" s="359"/>
      <c r="E315" s="446"/>
      <c r="G315" s="447"/>
      <c r="H315" s="359"/>
      <c r="I315" s="359"/>
      <c r="J315" s="448"/>
      <c r="K315" s="359"/>
      <c r="L315" s="359"/>
      <c r="M315" s="449"/>
      <c r="N315" s="359"/>
      <c r="O315" s="407"/>
      <c r="P315" s="359"/>
    </row>
    <row r="316" spans="2:16">
      <c r="B316" s="445"/>
      <c r="C316" s="359"/>
      <c r="D316" s="359"/>
      <c r="E316" s="446"/>
      <c r="G316" s="447"/>
      <c r="H316" s="359"/>
      <c r="I316" s="359"/>
      <c r="J316" s="448"/>
      <c r="K316" s="359"/>
      <c r="L316" s="359"/>
      <c r="M316" s="449"/>
      <c r="N316" s="359"/>
      <c r="O316" s="407"/>
      <c r="P316" s="359"/>
    </row>
    <row r="317" spans="2:16">
      <c r="B317" s="445"/>
      <c r="C317" s="359"/>
      <c r="D317" s="359"/>
      <c r="E317" s="446"/>
      <c r="G317" s="447"/>
      <c r="H317" s="359"/>
      <c r="I317" s="359"/>
      <c r="J317" s="448"/>
      <c r="K317" s="359"/>
      <c r="L317" s="359"/>
      <c r="M317" s="449"/>
      <c r="N317" s="359"/>
      <c r="O317" s="407"/>
      <c r="P317" s="359"/>
    </row>
    <row r="318" spans="2:16">
      <c r="B318" s="445"/>
      <c r="C318" s="359"/>
      <c r="D318" s="359"/>
      <c r="E318" s="446"/>
      <c r="G318" s="447"/>
      <c r="H318" s="359"/>
      <c r="I318" s="359"/>
      <c r="J318" s="448"/>
      <c r="K318" s="359"/>
      <c r="L318" s="359"/>
      <c r="M318" s="449"/>
      <c r="N318" s="359"/>
      <c r="O318" s="407"/>
      <c r="P318" s="359"/>
    </row>
    <row r="319" spans="2:16">
      <c r="B319" s="445"/>
      <c r="C319" s="359"/>
      <c r="D319" s="359"/>
      <c r="E319" s="446"/>
      <c r="G319" s="447"/>
      <c r="H319" s="359"/>
      <c r="I319" s="359"/>
      <c r="J319" s="448"/>
      <c r="K319" s="359"/>
      <c r="L319" s="359"/>
      <c r="M319" s="449"/>
      <c r="N319" s="359"/>
      <c r="O319" s="407"/>
      <c r="P319" s="359"/>
    </row>
    <row r="320" spans="2:16">
      <c r="B320" s="445"/>
      <c r="C320" s="359"/>
      <c r="D320" s="359"/>
      <c r="E320" s="446"/>
      <c r="G320" s="447"/>
      <c r="H320" s="359"/>
      <c r="I320" s="359"/>
      <c r="J320" s="448"/>
      <c r="K320" s="359"/>
      <c r="L320" s="359"/>
      <c r="M320" s="449"/>
      <c r="N320" s="359"/>
      <c r="O320" s="407"/>
      <c r="P320" s="359"/>
    </row>
    <row r="321" spans="2:16">
      <c r="B321" s="445"/>
      <c r="C321" s="359"/>
      <c r="D321" s="359"/>
      <c r="E321" s="446"/>
      <c r="G321" s="447"/>
      <c r="H321" s="359"/>
      <c r="I321" s="359"/>
      <c r="J321" s="448"/>
      <c r="K321" s="359"/>
      <c r="L321" s="359"/>
      <c r="M321" s="449"/>
      <c r="N321" s="359"/>
      <c r="O321" s="407"/>
      <c r="P321" s="359"/>
    </row>
    <row r="322" spans="2:16">
      <c r="B322" s="445"/>
      <c r="C322" s="359"/>
      <c r="D322" s="359"/>
      <c r="E322" s="446"/>
      <c r="G322" s="447"/>
      <c r="H322" s="359"/>
      <c r="I322" s="359"/>
      <c r="J322" s="448"/>
      <c r="K322" s="359"/>
      <c r="L322" s="359"/>
      <c r="M322" s="449"/>
      <c r="N322" s="359"/>
      <c r="O322" s="407"/>
      <c r="P322" s="359"/>
    </row>
  </sheetData>
  <autoFilter ref="B4:Q285" xr:uid="{00000000-0009-0000-0000-000005000000}">
    <filterColumn colId="2">
      <filters>
        <filter val="INS"/>
      </filters>
    </filterColumn>
    <sortState ref="B21:Q244">
      <sortCondition ref="J4:J244"/>
    </sortState>
  </autoFilter>
  <hyperlinks>
    <hyperlink ref="O121" r:id="rId1" xr:uid="{00000000-0004-0000-0500-000000000000}"/>
    <hyperlink ref="O124" r:id="rId2" xr:uid="{00000000-0004-0000-0500-000001000000}"/>
    <hyperlink ref="O126" r:id="rId3" location="technicaldataid" xr:uid="{00000000-0004-0000-0500-000002000000}"/>
    <hyperlink ref="O127" r:id="rId4" xr:uid="{00000000-0004-0000-0500-000003000000}"/>
    <hyperlink ref="O128" r:id="rId5" xr:uid="{00000000-0004-0000-0500-000004000000}"/>
    <hyperlink ref="O129" r:id="rId6" xr:uid="{00000000-0004-0000-0500-000005000000}"/>
    <hyperlink ref="O130" r:id="rId7" xr:uid="{00000000-0004-0000-0500-000006000000}"/>
    <hyperlink ref="O132" r:id="rId8" xr:uid="{00000000-0004-0000-0500-000007000000}"/>
    <hyperlink ref="O136" r:id="rId9" xr:uid="{00000000-0004-0000-0500-000008000000}"/>
    <hyperlink ref="O134" r:id="rId10" xr:uid="{00000000-0004-0000-0500-000009000000}"/>
    <hyperlink ref="O137" r:id="rId11" xr:uid="{00000000-0004-0000-0500-00000A000000}"/>
    <hyperlink ref="O138" r:id="rId12" xr:uid="{00000000-0004-0000-0500-00000B000000}"/>
    <hyperlink ref="O139" r:id="rId13" xr:uid="{00000000-0004-0000-0500-00000C000000}"/>
    <hyperlink ref="O141" r:id="rId14" xr:uid="{00000000-0004-0000-0500-00000D000000}"/>
    <hyperlink ref="O140" r:id="rId15" xr:uid="{00000000-0004-0000-0500-00000E000000}"/>
    <hyperlink ref="O162" r:id="rId16" xr:uid="{00000000-0004-0000-0500-00000F000000}"/>
    <hyperlink ref="O187" r:id="rId17" xr:uid="{00000000-0004-0000-0500-000010000000}"/>
    <hyperlink ref="O189" r:id="rId18" xr:uid="{00000000-0004-0000-0500-000011000000}"/>
    <hyperlink ref="O190" r:id="rId19" xr:uid="{00000000-0004-0000-0500-000012000000}"/>
    <hyperlink ref="O195" r:id="rId20" xr:uid="{00000000-0004-0000-0500-000013000000}"/>
    <hyperlink ref="O192" r:id="rId21" xr:uid="{00000000-0004-0000-0500-000014000000}"/>
    <hyperlink ref="O227" r:id="rId22" xr:uid="{00000000-0004-0000-0500-000015000000}"/>
    <hyperlink ref="O193" r:id="rId23" xr:uid="{00000000-0004-0000-0500-000016000000}"/>
    <hyperlink ref="O20" r:id="rId24" xr:uid="{00000000-0004-0000-0500-000017000000}"/>
    <hyperlink ref="O196" r:id="rId25" xr:uid="{00000000-0004-0000-0500-000018000000}"/>
    <hyperlink ref="O197" r:id="rId26" xr:uid="{00000000-0004-0000-0500-000019000000}"/>
    <hyperlink ref="O198" r:id="rId27" xr:uid="{00000000-0004-0000-0500-00001A000000}"/>
    <hyperlink ref="O199" r:id="rId28" xr:uid="{00000000-0004-0000-0500-00001B000000}"/>
    <hyperlink ref="O89" r:id="rId29" xr:uid="{00000000-0004-0000-0500-00001C000000}"/>
    <hyperlink ref="O205" r:id="rId30" xr:uid="{00000000-0004-0000-0500-00001D000000}"/>
    <hyperlink ref="O206" r:id="rId31" xr:uid="{00000000-0004-0000-0500-00001E000000}"/>
    <hyperlink ref="O207" r:id="rId32" xr:uid="{00000000-0004-0000-0500-00001F000000}"/>
    <hyperlink ref="O210" r:id="rId33" xr:uid="{00000000-0004-0000-0500-000020000000}"/>
    <hyperlink ref="O211" r:id="rId34" xr:uid="{00000000-0004-0000-0500-000021000000}"/>
    <hyperlink ref="O212" r:id="rId35" xr:uid="{00000000-0004-0000-0500-000022000000}"/>
    <hyperlink ref="O213" r:id="rId36" xr:uid="{00000000-0004-0000-0500-000023000000}"/>
    <hyperlink ref="O113" r:id="rId37" xr:uid="{00000000-0004-0000-0500-000024000000}"/>
    <hyperlink ref="O214" r:id="rId38" xr:uid="{00000000-0004-0000-0500-000025000000}"/>
    <hyperlink ref="O142" r:id="rId39" xr:uid="{00000000-0004-0000-0500-000026000000}"/>
    <hyperlink ref="O143" r:id="rId40" xr:uid="{00000000-0004-0000-0500-000027000000}"/>
    <hyperlink ref="O144" r:id="rId41" xr:uid="{00000000-0004-0000-0500-000028000000}"/>
    <hyperlink ref="O158" r:id="rId42" xr:uid="{00000000-0004-0000-0500-000029000000}"/>
    <hyperlink ref="O157" r:id="rId43" xr:uid="{00000000-0004-0000-0500-00002A000000}"/>
    <hyperlink ref="O159" r:id="rId44" xr:uid="{00000000-0004-0000-0500-00002B000000}"/>
    <hyperlink ref="O160" r:id="rId45" xr:uid="{00000000-0004-0000-0500-00002C000000}"/>
    <hyperlink ref="O161" r:id="rId46" xr:uid="{00000000-0004-0000-0500-00002D000000}"/>
    <hyperlink ref="O163" r:id="rId47" xr:uid="{00000000-0004-0000-0500-00002E000000}"/>
    <hyperlink ref="O164" r:id="rId48" xr:uid="{00000000-0004-0000-0500-00002F000000}"/>
    <hyperlink ref="O165" r:id="rId49" xr:uid="{00000000-0004-0000-0500-000030000000}"/>
    <hyperlink ref="O166" r:id="rId50" xr:uid="{00000000-0004-0000-0500-000031000000}"/>
    <hyperlink ref="O167" r:id="rId51" xr:uid="{00000000-0004-0000-0500-000032000000}"/>
    <hyperlink ref="O168" r:id="rId52" xr:uid="{00000000-0004-0000-0500-000033000000}"/>
    <hyperlink ref="O169" r:id="rId53" xr:uid="{00000000-0004-0000-0500-000034000000}"/>
    <hyperlink ref="O171" r:id="rId54" xr:uid="{00000000-0004-0000-0500-000035000000}"/>
    <hyperlink ref="O172" r:id="rId55" xr:uid="{00000000-0004-0000-0500-000036000000}"/>
    <hyperlink ref="O173" r:id="rId56" xr:uid="{00000000-0004-0000-0500-000037000000}"/>
    <hyperlink ref="O174" r:id="rId57" xr:uid="{00000000-0004-0000-0500-000038000000}"/>
    <hyperlink ref="O175" r:id="rId58" xr:uid="{00000000-0004-0000-0500-000039000000}"/>
    <hyperlink ref="O176" r:id="rId59" xr:uid="{00000000-0004-0000-0500-00003A000000}"/>
    <hyperlink ref="O177" r:id="rId60" xr:uid="{00000000-0004-0000-0500-00003B000000}"/>
    <hyperlink ref="O178" r:id="rId61" xr:uid="{00000000-0004-0000-0500-00003C000000}"/>
    <hyperlink ref="O179" r:id="rId62" xr:uid="{00000000-0004-0000-0500-00003D000000}"/>
    <hyperlink ref="O180" r:id="rId63" xr:uid="{00000000-0004-0000-0500-00003E000000}"/>
    <hyperlink ref="O181" r:id="rId64" xr:uid="{00000000-0004-0000-0500-00003F000000}"/>
    <hyperlink ref="O182" r:id="rId65" xr:uid="{00000000-0004-0000-0500-000040000000}"/>
    <hyperlink ref="O183" r:id="rId66" xr:uid="{00000000-0004-0000-0500-000041000000}"/>
    <hyperlink ref="O184" r:id="rId67" xr:uid="{00000000-0004-0000-0500-000042000000}"/>
    <hyperlink ref="O185" r:id="rId68" xr:uid="{00000000-0004-0000-0500-000043000000}"/>
    <hyperlink ref="O186" r:id="rId69" xr:uid="{00000000-0004-0000-0500-000044000000}"/>
    <hyperlink ref="O218" r:id="rId70" xr:uid="{00000000-0004-0000-0500-000045000000}"/>
    <hyperlink ref="O219" r:id="rId71" xr:uid="{00000000-0004-0000-0500-000046000000}"/>
    <hyperlink ref="O145" r:id="rId72" xr:uid="{00000000-0004-0000-0500-000047000000}"/>
    <hyperlink ref="O146" r:id="rId73" xr:uid="{00000000-0004-0000-0500-000048000000}"/>
    <hyperlink ref="O151" r:id="rId74" xr:uid="{00000000-0004-0000-0500-000049000000}"/>
    <hyperlink ref="O152" r:id="rId75" xr:uid="{00000000-0004-0000-0500-00004A000000}"/>
    <hyperlink ref="O153" r:id="rId76" xr:uid="{00000000-0004-0000-0500-00004B000000}"/>
    <hyperlink ref="O154" r:id="rId77" xr:uid="{00000000-0004-0000-0500-00004C000000}"/>
    <hyperlink ref="O155" r:id="rId78" xr:uid="{00000000-0004-0000-0500-00004D000000}"/>
    <hyperlink ref="O156" r:id="rId79" xr:uid="{00000000-0004-0000-0500-00004E000000}"/>
    <hyperlink ref="O220" r:id="rId80" xr:uid="{00000000-0004-0000-0500-00004F000000}"/>
    <hyperlink ref="O148" r:id="rId81" xr:uid="{00000000-0004-0000-0500-000050000000}"/>
    <hyperlink ref="O221" r:id="rId82" xr:uid="{00000000-0004-0000-0500-000051000000}"/>
    <hyperlink ref="O223" r:id="rId83" xr:uid="{00000000-0004-0000-0500-000052000000}"/>
    <hyperlink ref="O224" r:id="rId84" xr:uid="{00000000-0004-0000-0500-000053000000}"/>
    <hyperlink ref="O225" r:id="rId85" xr:uid="{00000000-0004-0000-0500-000054000000}"/>
    <hyperlink ref="O231" r:id="rId86" xr:uid="{00000000-0004-0000-0500-000055000000}"/>
    <hyperlink ref="O230" r:id="rId87" xr:uid="{00000000-0004-0000-0500-000056000000}"/>
    <hyperlink ref="O228" r:id="rId88" xr:uid="{00000000-0004-0000-0500-000057000000}"/>
    <hyperlink ref="O191" r:id="rId89" xr:uid="{00000000-0004-0000-0500-000058000000}"/>
    <hyperlink ref="O116" r:id="rId90" xr:uid="{00000000-0004-0000-0500-000059000000}"/>
    <hyperlink ref="O117" r:id="rId91" xr:uid="{00000000-0004-0000-0500-00005A000000}"/>
    <hyperlink ref="O75" r:id="rId92" xr:uid="{00000000-0004-0000-0500-00005B000000}"/>
    <hyperlink ref="O80" r:id="rId93" xr:uid="{00000000-0004-0000-0500-00005C000000}"/>
    <hyperlink ref="O229" r:id="rId94" xr:uid="{00000000-0004-0000-0500-00005D000000}"/>
    <hyperlink ref="O28" r:id="rId95" xr:uid="{00000000-0004-0000-0500-00005E000000}"/>
    <hyperlink ref="O232" r:id="rId96" xr:uid="{00000000-0004-0000-0500-00005F000000}"/>
    <hyperlink ref="O234" r:id="rId97" xr:uid="{00000000-0004-0000-0500-000060000000}"/>
    <hyperlink ref="O235" r:id="rId98" xr:uid="{00000000-0004-0000-0500-000061000000}"/>
    <hyperlink ref="O92" r:id="rId99" xr:uid="{00000000-0004-0000-0500-000062000000}"/>
    <hyperlink ref="O95" r:id="rId100" xr:uid="{00000000-0004-0000-0500-000063000000}"/>
    <hyperlink ref="O27" r:id="rId101" xr:uid="{00000000-0004-0000-0500-000064000000}"/>
    <hyperlink ref="O237" r:id="rId102" xr:uid="{00000000-0004-0000-0500-000065000000}"/>
    <hyperlink ref="O238" r:id="rId103" xr:uid="{00000000-0004-0000-0500-000066000000}"/>
    <hyperlink ref="O70" r:id="rId104" xr:uid="{00000000-0004-0000-0500-000067000000}"/>
    <hyperlink ref="O78" r:id="rId105" xr:uid="{00000000-0004-0000-0500-000068000000}"/>
    <hyperlink ref="O239" r:id="rId106" xr:uid="{00000000-0004-0000-0500-000069000000}"/>
    <hyperlink ref="O94" r:id="rId107" xr:uid="{00000000-0004-0000-0500-00006A000000}"/>
    <hyperlink ref="O240" r:id="rId108" xr:uid="{00000000-0004-0000-0500-00006B000000}"/>
    <hyperlink ref="O241" r:id="rId109" xr:uid="{00000000-0004-0000-0500-00006C000000}"/>
    <hyperlink ref="O242" r:id="rId110" xr:uid="{00000000-0004-0000-0500-00006D000000}"/>
    <hyperlink ref="O243" r:id="rId111" xr:uid="{00000000-0004-0000-0500-00006E000000}"/>
    <hyperlink ref="O244" r:id="rId112" xr:uid="{00000000-0004-0000-0500-00006F000000}"/>
    <hyperlink ref="O245" r:id="rId113" xr:uid="{00000000-0004-0000-0500-000070000000}"/>
    <hyperlink ref="O246" r:id="rId114" xr:uid="{00000000-0004-0000-0500-000071000000}"/>
    <hyperlink ref="O247" r:id="rId115" xr:uid="{00000000-0004-0000-0500-000072000000}"/>
    <hyperlink ref="O248" r:id="rId116" xr:uid="{00000000-0004-0000-0500-000073000000}"/>
    <hyperlink ref="O249" r:id="rId117" xr:uid="{00000000-0004-0000-0500-000074000000}"/>
    <hyperlink ref="O250" r:id="rId118" xr:uid="{00000000-0004-0000-0500-000075000000}"/>
    <hyperlink ref="O252" r:id="rId119" xr:uid="{00000000-0004-0000-0500-000076000000}"/>
    <hyperlink ref="O251" r:id="rId120" xr:uid="{00000000-0004-0000-0500-000077000000}"/>
    <hyperlink ref="O253" r:id="rId121" xr:uid="{00000000-0004-0000-0500-000078000000}"/>
    <hyperlink ref="O96" r:id="rId122" xr:uid="{00000000-0004-0000-0500-000079000000}"/>
    <hyperlink ref="O91" r:id="rId123" xr:uid="{00000000-0004-0000-0500-00007A000000}"/>
    <hyperlink ref="O254" r:id="rId124" xr:uid="{00000000-0004-0000-0500-00007B000000}"/>
    <hyperlink ref="O105" r:id="rId125" xr:uid="{00000000-0004-0000-0500-00007C000000}"/>
    <hyperlink ref="O103" r:id="rId126" xr:uid="{00000000-0004-0000-0500-00007D000000}"/>
    <hyperlink ref="O104" r:id="rId127" xr:uid="{00000000-0004-0000-0500-00007E000000}"/>
    <hyperlink ref="O255" r:id="rId128" xr:uid="{00000000-0004-0000-0500-00007F000000}"/>
    <hyperlink ref="O256" r:id="rId129" xr:uid="{00000000-0004-0000-0500-000080000000}"/>
    <hyperlink ref="O9" r:id="rId130" xr:uid="{00000000-0004-0000-0500-000081000000}"/>
    <hyperlink ref="O209" r:id="rId131" xr:uid="{00000000-0004-0000-0500-000082000000}"/>
    <hyperlink ref="O257" r:id="rId132" xr:uid="{00000000-0004-0000-0500-000083000000}"/>
    <hyperlink ref="O259" r:id="rId133" xr:uid="{00000000-0004-0000-0500-000084000000}"/>
    <hyperlink ref="O261" r:id="rId134" xr:uid="{00000000-0004-0000-0500-000085000000}"/>
    <hyperlink ref="O262" r:id="rId135" xr:uid="{00000000-0004-0000-0500-000086000000}"/>
    <hyperlink ref="O200" r:id="rId136" xr:uid="{00000000-0004-0000-0500-000087000000}"/>
    <hyperlink ref="O88" r:id="rId137" xr:uid="{00000000-0004-0000-0500-000088000000}"/>
    <hyperlink ref="O263" r:id="rId138" xr:uid="{00000000-0004-0000-0500-000089000000}"/>
    <hyperlink ref="O93" r:id="rId139" xr:uid="{00000000-0004-0000-0500-00008A000000}"/>
    <hyperlink ref="O81" r:id="rId140" xr:uid="{00000000-0004-0000-0500-00008B000000}"/>
    <hyperlink ref="O82" r:id="rId141" xr:uid="{00000000-0004-0000-0500-00008C000000}"/>
    <hyperlink ref="O266" r:id="rId142" xr:uid="{00000000-0004-0000-0500-00008D000000}"/>
    <hyperlink ref="O267" r:id="rId143" xr:uid="{00000000-0004-0000-0500-00008E000000}"/>
    <hyperlink ref="O268" r:id="rId144" xr:uid="{00000000-0004-0000-0500-00008F000000}"/>
    <hyperlink ref="O269" r:id="rId145" xr:uid="{00000000-0004-0000-0500-000090000000}"/>
    <hyperlink ref="O270" r:id="rId146" xr:uid="{00000000-0004-0000-0500-000091000000}"/>
    <hyperlink ref="O271" r:id="rId147" xr:uid="{00000000-0004-0000-0500-000092000000}"/>
    <hyperlink ref="O272" r:id="rId148" xr:uid="{00000000-0004-0000-0500-000093000000}"/>
    <hyperlink ref="O273" r:id="rId149" xr:uid="{00000000-0004-0000-0500-000094000000}"/>
    <hyperlink ref="O274" r:id="rId150" xr:uid="{00000000-0004-0000-0500-000095000000}"/>
    <hyperlink ref="O275" r:id="rId151" xr:uid="{00000000-0004-0000-0500-000096000000}"/>
    <hyperlink ref="O76" r:id="rId152" xr:uid="{00000000-0004-0000-0500-000097000000}"/>
    <hyperlink ref="O276" r:id="rId153" xr:uid="{00000000-0004-0000-0500-000098000000}"/>
    <hyperlink ref="O277" r:id="rId154" xr:uid="{00000000-0004-0000-0500-000099000000}"/>
    <hyperlink ref="O278" r:id="rId155" xr:uid="{00000000-0004-0000-0500-00009A000000}"/>
    <hyperlink ref="O279" r:id="rId156" xr:uid="{00000000-0004-0000-0500-00009B000000}"/>
    <hyperlink ref="O34" r:id="rId157" xr:uid="{00000000-0004-0000-0500-00009C000000}"/>
    <hyperlink ref="O36" r:id="rId158" xr:uid="{00000000-0004-0000-0500-00009D000000}"/>
    <hyperlink ref="O37" r:id="rId159" xr:uid="{00000000-0004-0000-0500-00009E000000}"/>
    <hyperlink ref="O281" r:id="rId160" xr:uid="{00000000-0004-0000-0500-00009F000000}"/>
    <hyperlink ref="O284" r:id="rId161" xr:uid="{00000000-0004-0000-0500-0000A0000000}"/>
  </hyperlinks>
  <pageMargins left="0.7" right="0.7" top="0.75" bottom="0.75" header="0.3" footer="0.3"/>
  <pageSetup paperSize="9" orientation="portrait" r:id="rId162"/>
  <legacyDrawing r:id="rId16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רשימת מכשור 2015</vt:lpstr>
      <vt:lpstr>חח מכשור - מידע והחלטה 2015</vt:lpstr>
      <vt:lpstr>חלקי חילוף מכשור </vt:lpstr>
      <vt:lpstr>חח מכשור - מלאי מינימום 2015</vt:lpstr>
      <vt:lpstr>רשימת מכשור לרכישה </vt:lpstr>
      <vt:lpstr>מכשור וציוד בקרה מלאי חח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2024-08-29T09:03:27Z</dcterms:modified>
</cp:coreProperties>
</file>