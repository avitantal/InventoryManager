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ta\Claude_Projects\InventoryManager\"/>
    </mc:Choice>
  </mc:AlternateContent>
  <xr:revisionPtr revIDLastSave="0" documentId="13_ncr:1_{AA112C30-7410-4887-8900-292B7024C8AA}" xr6:coauthVersionLast="47" xr6:coauthVersionMax="47" xr10:uidLastSave="{00000000-0000-0000-0000-000000000000}"/>
  <bookViews>
    <workbookView xWindow="-110" yWindow="-110" windowWidth="19420" windowHeight="10300" xr2:uid="{9000D82B-36E9-4154-84FC-F633E24955DE}"/>
  </bookViews>
  <sheets>
    <sheet name="Dashboard" sheetId="2" r:id="rId1"/>
    <sheet name="Items_Master" sheetId="3" r:id="rId2"/>
    <sheet name="Inventory" sheetId="4" r:id="rId3"/>
    <sheet name="Min_Stock" sheetId="5" r:id="rId4"/>
    <sheet name="Transactions" sheetId="6" r:id="rId5"/>
    <sheet name="Suppliers" sheetId="7" r:id="rId6"/>
    <sheet name="Purchase_Followup" sheetId="8" r:id="rId7"/>
    <sheet name="Assets_Link" sheetId="9" r:id="rId8"/>
    <sheet name="Lists" sheetId="10" r:id="rId9"/>
    <sheet name="Settings" sheetId="11" r:id="rId10"/>
    <sheet name="Archive" sheetId="12" r:id="rId11"/>
  </sheets>
  <functionGroups builtInGroupCount="19"/>
  <definedNames>
    <definedName name="cfg_NextItemSeq">Settings!$B$16</definedName>
    <definedName name="cfg_NextPOSeq">Settings!$B$18</definedName>
    <definedName name="cfg_NextSupplierSeq">Settings!$B$19</definedName>
    <definedName name="cfg_NextTxnSeq">Settings!$B$17</definedName>
    <definedName name="dash_ActiveItems">Dashboard!$B$7</definedName>
    <definedName name="dash_CriticalZero">Dashboard!$B$11</definedName>
    <definedName name="dash_LastRefreshed">Dashboard!$G$3</definedName>
    <definedName name="dash_MonthTxns">Dashboard!$B$13</definedName>
    <definedName name="dash_OpenPOs">Dashboard!$B$12</definedName>
    <definedName name="dash_ShortageCount">Dashboard!$B$10</definedName>
    <definedName name="dash_StockValue">Dashboard!$B$9</definedName>
    <definedName name="dash_TotalItems">Dashboard!$B$6</definedName>
    <definedName name="dash_TotalUnits">Dashboard!$B$8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  <c r="B12" i="2"/>
  <c r="B11" i="2"/>
  <c r="B10" i="2"/>
  <c r="B9" i="2"/>
  <c r="B8" i="2"/>
  <c r="B7" i="2"/>
  <c r="B6" i="2"/>
</calcChain>
</file>

<file path=xl/sharedStrings.xml><?xml version="1.0" encoding="utf-8"?>
<sst xmlns="http://schemas.openxmlformats.org/spreadsheetml/2006/main" count="6765" uniqueCount="1418">
  <si>
    <t>Categories</t>
  </si>
  <si>
    <t>Transmitter</t>
  </si>
  <si>
    <t>Sensor / Switch</t>
  </si>
  <si>
    <t>Analyzer</t>
  </si>
  <si>
    <t>Positioner / Actuator</t>
  </si>
  <si>
    <t>Control Valve</t>
  </si>
  <si>
    <t>PLC / Controller</t>
  </si>
  <si>
    <t>I/O Card / Module</t>
  </si>
  <si>
    <t>HMI / Panel</t>
  </si>
  <si>
    <t>Power Supply</t>
  </si>
  <si>
    <t>Comm Module</t>
  </si>
  <si>
    <t>Relay / Solenoid</t>
  </si>
  <si>
    <t>Instrument Accessory</t>
  </si>
  <si>
    <t>Electronic Control Part</t>
  </si>
  <si>
    <t>Cable / Connector</t>
  </si>
  <si>
    <t>Other</t>
  </si>
  <si>
    <t>Manufacturers</t>
  </si>
  <si>
    <t>ABB</t>
  </si>
  <si>
    <t>ABB ISRAEL</t>
  </si>
  <si>
    <t>E+H (Endress+Hauser)</t>
  </si>
  <si>
    <t>E+H ISRAEL</t>
  </si>
  <si>
    <t>FESTO</t>
  </si>
  <si>
    <t>FESTO ISRAEL</t>
  </si>
  <si>
    <t>SIEMENS</t>
  </si>
  <si>
    <t>LABOM</t>
  </si>
  <si>
    <t>KAMA</t>
  </si>
  <si>
    <t>GEA</t>
  </si>
  <si>
    <t>NEGELE</t>
  </si>
  <si>
    <t>THORNTON</t>
  </si>
  <si>
    <t>METTLER TOLEDO</t>
  </si>
  <si>
    <t>MODCON</t>
  </si>
  <si>
    <t>CONTROTEC</t>
  </si>
  <si>
    <t>INSTARMETRIX</t>
  </si>
  <si>
    <t>MADID</t>
  </si>
  <si>
    <t>CONTEL</t>
  </si>
  <si>
    <t>UNITED</t>
  </si>
  <si>
    <t>BECK</t>
  </si>
  <si>
    <t>STONEWALL</t>
  </si>
  <si>
    <t>ROTEX</t>
  </si>
  <si>
    <t>WIKA</t>
  </si>
  <si>
    <t>VEGA</t>
  </si>
  <si>
    <t>EMERSON</t>
  </si>
  <si>
    <t>YOKOGAWA</t>
  </si>
  <si>
    <t>HONEYWELL</t>
  </si>
  <si>
    <t>PEPPERL+FUCHS</t>
  </si>
  <si>
    <t>TURCK</t>
  </si>
  <si>
    <t>BALLUFF</t>
  </si>
  <si>
    <t>PHOENIX CONTACT</t>
  </si>
  <si>
    <t>MURR</t>
  </si>
  <si>
    <t>SICK</t>
  </si>
  <si>
    <t>IFM</t>
  </si>
  <si>
    <t>DANFOSS</t>
  </si>
  <si>
    <t>BURKERT</t>
  </si>
  <si>
    <t>VALTEK</t>
  </si>
  <si>
    <t>METSO</t>
  </si>
  <si>
    <t>SAMSON</t>
  </si>
  <si>
    <t>FISHER</t>
  </si>
  <si>
    <t>NELES</t>
  </si>
  <si>
    <t>BIFFI</t>
  </si>
  <si>
    <t>FLOWSERVE</t>
  </si>
  <si>
    <t>SPIRAX SARCO</t>
  </si>
  <si>
    <t>Locations</t>
  </si>
  <si>
    <t>מחסן בקרה</t>
  </si>
  <si>
    <t>מחסן בקרה - כיולים</t>
  </si>
  <si>
    <t>גג / ROOF 2</t>
  </si>
  <si>
    <t>מחסן אחזקה</t>
  </si>
  <si>
    <t>מחסן כללי</t>
  </si>
  <si>
    <t>שטח</t>
  </si>
  <si>
    <t>TxnTypes</t>
  </si>
  <si>
    <t>IN</t>
  </si>
  <si>
    <t>OUT</t>
  </si>
  <si>
    <t>ADJUST</t>
  </si>
  <si>
    <t>INITIAL</t>
  </si>
  <si>
    <t>Units</t>
  </si>
  <si>
    <t>יח'</t>
  </si>
  <si>
    <t>זוג</t>
  </si>
  <si>
    <t>סט</t>
  </si>
  <si>
    <t>מ"מ</t>
  </si>
  <si>
    <t>מטר</t>
  </si>
  <si>
    <t>ליטר</t>
  </si>
  <si>
    <t>ק"ג</t>
  </si>
  <si>
    <t>ItemStatus</t>
  </si>
  <si>
    <t>Active</t>
  </si>
  <si>
    <t>Inactive</t>
  </si>
  <si>
    <t>Obsolete</t>
  </si>
  <si>
    <t>POStatus</t>
  </si>
  <si>
    <t>Pending</t>
  </si>
  <si>
    <t>Partial</t>
  </si>
  <si>
    <t>Received</t>
  </si>
  <si>
    <t>Cancelled</t>
  </si>
  <si>
    <t>YesNo</t>
  </si>
  <si>
    <t>Yes</t>
  </si>
  <si>
    <t>No</t>
  </si>
  <si>
    <t>ItemTypes</t>
  </si>
  <si>
    <t>INS</t>
  </si>
  <si>
    <t>CON</t>
  </si>
  <si>
    <t>Reasons</t>
  </si>
  <si>
    <t>תקלה בשטח</t>
  </si>
  <si>
    <t>החלפה שוטפת</t>
  </si>
  <si>
    <t>תחזוקה מונעת</t>
  </si>
  <si>
    <t>קליטת רכש</t>
  </si>
  <si>
    <t>תיקון/החזרה</t>
  </si>
  <si>
    <t>גריעה מהמלאי</t>
  </si>
  <si>
    <t>תיקון מלאי</t>
  </si>
  <si>
    <t>העברה בין מיקומים</t>
  </si>
  <si>
    <t>בדיקה</t>
  </si>
  <si>
    <t>אחר</t>
  </si>
  <si>
    <t>שם המפעל</t>
  </si>
  <si>
    <t>(הכנס שם מפעל)</t>
  </si>
  <si>
    <t>מחלקה</t>
  </si>
  <si>
    <t>מכשור ובקרה</t>
  </si>
  <si>
    <t>Item ID Prefix</t>
  </si>
  <si>
    <t>ITM</t>
  </si>
  <si>
    <t>Txn ID Prefix</t>
  </si>
  <si>
    <t>TXN</t>
  </si>
  <si>
    <t>PO ID Prefix</t>
  </si>
  <si>
    <t>PO</t>
  </si>
  <si>
    <t>cfg_NextItemSeq</t>
  </si>
  <si>
    <t>cfg_NextTxnSeq</t>
  </si>
  <si>
    <t>cfg_NextPOSeq</t>
  </si>
  <si>
    <t>cfg_NextSupplierSeq</t>
  </si>
  <si>
    <t>Item_ID</t>
  </si>
  <si>
    <t>Item_Name_HE</t>
  </si>
  <si>
    <t>Item_Name_EN</t>
  </si>
  <si>
    <t>Category</t>
  </si>
  <si>
    <t>Sub_Category</t>
  </si>
  <si>
    <t>Manufacturer</t>
  </si>
  <si>
    <t>Model</t>
  </si>
  <si>
    <t>Part_Number</t>
  </si>
  <si>
    <t>Item_Type</t>
  </si>
  <si>
    <t>Unit</t>
  </si>
  <si>
    <t>Unit_Price_ILS</t>
  </si>
  <si>
    <t>Lead_Time_Months</t>
  </si>
  <si>
    <t>Storage_Location</t>
  </si>
  <si>
    <t>Supplier1_ID</t>
  </si>
  <si>
    <t>Supplier2_ID</t>
  </si>
  <si>
    <t>Datasheet_URL</t>
  </si>
  <si>
    <t>Is_Critical</t>
  </si>
  <si>
    <t>Failure_Probability</t>
  </si>
  <si>
    <t>Shutdown_Cost_Day</t>
  </si>
  <si>
    <t>Service_Agreement</t>
  </si>
  <si>
    <t>Status</t>
  </si>
  <si>
    <t>Notes</t>
  </si>
  <si>
    <t>Created_Date</t>
  </si>
  <si>
    <t>Created_By</t>
  </si>
  <si>
    <t>Modified_Date</t>
  </si>
  <si>
    <t>Qty_On_Hand</t>
  </si>
  <si>
    <t>Min_Qty</t>
  </si>
  <si>
    <t>Shortage_Flag</t>
  </si>
  <si>
    <t>Alert_Level</t>
  </si>
  <si>
    <t>Stock_Value_ILS</t>
  </si>
  <si>
    <t>Last_Transaction_Date</t>
  </si>
  <si>
    <t>Last_Transaction_Type</t>
  </si>
  <si>
    <t>Reorder_Qty</t>
  </si>
  <si>
    <t>Priority_Score</t>
  </si>
  <si>
    <t>Review_Date</t>
  </si>
  <si>
    <t>Txn_ID</t>
  </si>
  <si>
    <t>Txn_Date</t>
  </si>
  <si>
    <t>Txn_Type</t>
  </si>
  <si>
    <t>Qty_Change</t>
  </si>
  <si>
    <t>Qty_Before</t>
  </si>
  <si>
    <t>Qty_After</t>
  </si>
  <si>
    <t>Reason</t>
  </si>
  <si>
    <t>PO_Number</t>
  </si>
  <si>
    <t>Work_Order</t>
  </si>
  <si>
    <t>Technician</t>
  </si>
  <si>
    <t>Recorded_By</t>
  </si>
  <si>
    <t>Recorded_DateTime</t>
  </si>
  <si>
    <t>Related_Asset_Tag</t>
  </si>
  <si>
    <t>Supplier_ID</t>
  </si>
  <si>
    <t>Supplier_Name_HE</t>
  </si>
  <si>
    <t>Supplier_Name_EN</t>
  </si>
  <si>
    <t>Contact_Person</t>
  </si>
  <si>
    <t>Phone</t>
  </si>
  <si>
    <t>Email</t>
  </si>
  <si>
    <t>Manufacturer_Represented</t>
  </si>
  <si>
    <t>Lead_Time_Typical_Months</t>
  </si>
  <si>
    <t>PO_ID</t>
  </si>
  <si>
    <t>PO_Date</t>
  </si>
  <si>
    <t>Qty_Ordered</t>
  </si>
  <si>
    <t>Qty_Received</t>
  </si>
  <si>
    <t>Total_Price_ILS</t>
  </si>
  <si>
    <t>Expected_Delivery</t>
  </si>
  <si>
    <t>Actual_Delivery</t>
  </si>
  <si>
    <t>PO_Status</t>
  </si>
  <si>
    <t>Priority</t>
  </si>
  <si>
    <t>Requested_By</t>
  </si>
  <si>
    <t>Asset_Tag</t>
  </si>
  <si>
    <t>Asset_Name_HE</t>
  </si>
  <si>
    <t>System</t>
  </si>
  <si>
    <t>Item_ID_1</t>
  </si>
  <si>
    <t>Item_ID_2</t>
  </si>
  <si>
    <t>Item_ID_3</t>
  </si>
  <si>
    <t>Item_ID_4</t>
  </si>
  <si>
    <t>Archive_Date</t>
  </si>
  <si>
    <t>Archive_Reason</t>
  </si>
  <si>
    <t>ניהול מלאי חלקי חילוף – מכשור ובקרה</t>
  </si>
  <si>
    <t>מחלקת מכשור, אוטומציה ובקרה</t>
  </si>
  <si>
    <t>▌ מדדי מפתח (לחץ F9 או 'רענן' לעדכון)</t>
  </si>
  <si>
    <t>סה"כ פריטים במאגר</t>
  </si>
  <si>
    <t>פריטים פעילים</t>
  </si>
  <si>
    <t>סה"כ יחידות במלאי</t>
  </si>
  <si>
    <t>שווי מלאי כולל ₪</t>
  </si>
  <si>
    <t>פריטים בחסר</t>
  </si>
  <si>
    <t>פריטים קריטיים בחסר</t>
  </si>
  <si>
    <t>הזמנות פתוחות</t>
  </si>
  <si>
    <t>תנועות החודש</t>
  </si>
  <si>
    <t>▌ פריטים קריטיים בחסר</t>
  </si>
  <si>
    <t>מזהה פריט</t>
  </si>
  <si>
    <t>שם פריט</t>
  </si>
  <si>
    <t>יצרן</t>
  </si>
  <si>
    <t>מלאי</t>
  </si>
  <si>
    <t>מינימום</t>
  </si>
  <si>
    <t>▌ כל הפריטים בחסר</t>
  </si>
  <si>
    <t>מזהה</t>
  </si>
  <si>
    <t>קריטי</t>
  </si>
  <si>
    <t>▌ תנועות אחרונות</t>
  </si>
  <si>
    <t>מזהה תנועה</t>
  </si>
  <si>
    <t>תאריך</t>
  </si>
  <si>
    <t>סוג</t>
  </si>
  <si>
    <t>כמות</t>
  </si>
  <si>
    <t>טכנאי</t>
  </si>
  <si>
    <t>סיבה</t>
  </si>
  <si>
    <t>ITM-2026-0001</t>
  </si>
  <si>
    <t>TOC</t>
  </si>
  <si>
    <t>פרויקט  TOC</t>
  </si>
  <si>
    <t>avita</t>
  </si>
  <si>
    <t>ITM-2026-0002</t>
  </si>
  <si>
    <t>מנורת UV TOC</t>
  </si>
  <si>
    <t>ITM-2026-0003</t>
  </si>
  <si>
    <t>ספק כח מנורת UV</t>
  </si>
  <si>
    <t>ITM-2026-0004</t>
  </si>
  <si>
    <t>סליל דגימה</t>
  </si>
  <si>
    <t>ITM-2026-0005</t>
  </si>
  <si>
    <t>מתמר, משדר  רב ערוצי</t>
  </si>
  <si>
    <t>Analyzer/Transmitter   Multiparameter</t>
  </si>
  <si>
    <t>THORNTON 770MAX</t>
  </si>
  <si>
    <t>770MAX</t>
  </si>
  <si>
    <t>מודקון</t>
  </si>
  <si>
    <t>ITM-2026-0006</t>
  </si>
  <si>
    <t>מתמר לחץ</t>
  </si>
  <si>
    <t>Carabar M</t>
  </si>
  <si>
    <t>D800AB0112A</t>
  </si>
  <si>
    <t>ITM-2026-0007</t>
  </si>
  <si>
    <t>Baumer</t>
  </si>
  <si>
    <t>PBMH 25B72RA14481202000</t>
  </si>
  <si>
    <t>מזקקת</t>
  </si>
  <si>
    <t>ITM-2026-0008</t>
  </si>
  <si>
    <t>LOAD CELL</t>
  </si>
  <si>
    <t>TEDEA</t>
  </si>
  <si>
    <t>ITM-2026-0009</t>
  </si>
  <si>
    <t>מתמר PH</t>
  </si>
  <si>
    <t>PH-2100e</t>
  </si>
  <si>
    <t>משומש פורק לא שמיש</t>
  </si>
  <si>
    <t>ITM-2026-0010</t>
  </si>
  <si>
    <t>אלקטרודת מוליכות</t>
  </si>
  <si>
    <t>Inpro 7108 1.5"TC 5200800</t>
  </si>
  <si>
    <t>כיולים</t>
  </si>
  <si>
    <t>באחריות צוות כיול</t>
  </si>
  <si>
    <t>ITM-2026-0011</t>
  </si>
  <si>
    <t>ITM-2026-0012</t>
  </si>
  <si>
    <t>EUTECH
 INSTRUMENT
Thermo SCIENTIFIC</t>
  </si>
  <si>
    <t>Alpha COND 500 2-wire Conductivity Transmitter
TSCONCTP0500</t>
  </si>
  <si>
    <t>ITM-2026-0013</t>
  </si>
  <si>
    <t>מתמר מוליכות</t>
  </si>
  <si>
    <t>Alpha pH500 2-wire pH/ORP Transmitter
TSPHCTP0500</t>
  </si>
  <si>
    <t>ITM-2026-0014</t>
  </si>
  <si>
    <t>בקר פנל SIEMENS Axima צ'ילרים</t>
  </si>
  <si>
    <t>Touch Panel</t>
  </si>
  <si>
    <t>TP177B PN/DP-6 CSTH</t>
  </si>
  <si>
    <t>6AV6642-0BA01-1AX1</t>
  </si>
  <si>
    <t>Contel</t>
  </si>
  <si>
    <t>ד.סער</t>
  </si>
  <si>
    <t>נקלט</t>
  </si>
  <si>
    <t>ITM-2026-0015</t>
  </si>
  <si>
    <t>אלקטרודת PH</t>
  </si>
  <si>
    <t>Inpro 3253/120/PT100
pH2100</t>
  </si>
  <si>
    <t>ITM-2026-0016</t>
  </si>
  <si>
    <t>InPro 3253i/SG/120</t>
  </si>
  <si>
    <t>ITM-2026-0017</t>
  </si>
  <si>
    <t>מפסק זרימה</t>
  </si>
  <si>
    <t>EGE</t>
  </si>
  <si>
    <t>Flow sensor ST 4211 KH-A4</t>
  </si>
  <si>
    <t>P10437</t>
  </si>
  <si>
    <t>United</t>
  </si>
  <si>
    <t>ITM-2026-0018</t>
  </si>
  <si>
    <t>מפסק גובה</t>
  </si>
  <si>
    <t>Custom Biogenic system</t>
  </si>
  <si>
    <t>LA-2B</t>
  </si>
  <si>
    <t>ITM-2026-0019</t>
  </si>
  <si>
    <t>InPro 3250i/SG/120</t>
  </si>
  <si>
    <t>ITM-2026-0020</t>
  </si>
  <si>
    <t>InPro 3250/120/PT100</t>
  </si>
  <si>
    <t>ITM-2026-0021</t>
  </si>
  <si>
    <t>מתמר טמפרטורה</t>
  </si>
  <si>
    <t>Temperature, Transmitter</t>
  </si>
  <si>
    <t>E+H</t>
  </si>
  <si>
    <t>TMT121</t>
  </si>
  <si>
    <t>iTemp-A31BB</t>
  </si>
  <si>
    <t>אינסטרומטריקס</t>
  </si>
  <si>
    <t>ITM-2026-0022</t>
  </si>
  <si>
    <t>מתמר לחץ הפרשי</t>
  </si>
  <si>
    <t>Pressure Transmitter</t>
  </si>
  <si>
    <t>Micatrone</t>
  </si>
  <si>
    <t>MF-P 50PA</t>
  </si>
  <si>
    <t>P/N: 60-5420-11</t>
  </si>
  <si>
    <t>controtec</t>
  </si>
  <si>
    <t>N/A</t>
  </si>
  <si>
    <t>ITM-2026-0023</t>
  </si>
  <si>
    <t>MF-PD 100PA</t>
  </si>
  <si>
    <t>P/N: 60-5426-11</t>
  </si>
  <si>
    <t>ITM-2026-0024</t>
  </si>
  <si>
    <t>MF-P 30PA</t>
  </si>
  <si>
    <t>P/N: 60-5420-10</t>
  </si>
  <si>
    <t>ITM-2026-0025</t>
  </si>
  <si>
    <t>MF-P 1000PA</t>
  </si>
  <si>
    <t>P/N: 60-5426-15</t>
  </si>
  <si>
    <t>ITM-2026-0026</t>
  </si>
  <si>
    <t>MF-P 100PA</t>
  </si>
  <si>
    <t>ITM-2026-0027</t>
  </si>
  <si>
    <t>MF-P 500PA</t>
  </si>
  <si>
    <t>P/N: 60-5420-14</t>
  </si>
  <si>
    <t>ITM-2026-0028</t>
  </si>
  <si>
    <t>משדר מודד לחות יחסית, טמפרטורה ונקודת טל תעלה.</t>
  </si>
  <si>
    <t>Measures relative humidity, temperature and dew point</t>
  </si>
  <si>
    <t>ROTRONIC</t>
  </si>
  <si>
    <t>HF5 Duct version</t>
  </si>
  <si>
    <t>HF532-DB1XD1XX</t>
  </si>
  <si>
    <t>Madid</t>
  </si>
  <si>
    <t>Conrotec</t>
  </si>
  <si>
    <t>ITM-2026-0029</t>
  </si>
  <si>
    <t>משדר מודד לחות יחסית, טמפרטורה ונקודת טל קיר.</t>
  </si>
  <si>
    <t>HF5 Wall version</t>
  </si>
  <si>
    <t>HF532-WB1XD1XX</t>
  </si>
  <si>
    <t>ITM-2026-0030</t>
  </si>
  <si>
    <t>משדר מודד טמפרטורה  קיר.</t>
  </si>
  <si>
    <t>Measures temperature</t>
  </si>
  <si>
    <t>TF5 Wall version</t>
  </si>
  <si>
    <t>TF532-WT1XD1</t>
  </si>
  <si>
    <t>ITM-2026-0031</t>
  </si>
  <si>
    <t>סנסר לחות  טמפרטורה ונקודת טל של HF5</t>
  </si>
  <si>
    <t>Humidity probe from HF5</t>
  </si>
  <si>
    <t>HygroClip 2HC2A-S</t>
  </si>
  <si>
    <t>HC2A-S</t>
  </si>
  <si>
    <t>ITM-2026-0032</t>
  </si>
  <si>
    <t>משדר לחות טמפרטורה דקורטיבי  לחדר</t>
  </si>
  <si>
    <t>Décor temperature humidity tramsmitter for the room</t>
  </si>
  <si>
    <t>HF332-SB1XD1XX</t>
  </si>
  <si>
    <t>ITM-2026-0033</t>
  </si>
  <si>
    <t>מד ספיקה</t>
  </si>
  <si>
    <t>ARAD DALIA</t>
  </si>
  <si>
    <t>M20 REED-SWITCH</t>
  </si>
  <si>
    <t>נמצא במחסן אחזקה גג</t>
  </si>
  <si>
    <t>ITM-2026-0034</t>
  </si>
  <si>
    <t>מתמר זרימה</t>
  </si>
  <si>
    <t>arad dalia</t>
  </si>
  <si>
    <t>m40</t>
  </si>
  <si>
    <t>ITM-2026-0035</t>
  </si>
  <si>
    <t>m25</t>
  </si>
  <si>
    <t>ITM-2026-0036</t>
  </si>
  <si>
    <t>ACI</t>
  </si>
  <si>
    <t>LPseries</t>
  </si>
  <si>
    <t>ITM-2026-0037</t>
  </si>
  <si>
    <t>מתמר טמפרטורה לפס DIN</t>
  </si>
  <si>
    <t>T32.3S.ONI-Z</t>
  </si>
  <si>
    <t>טכנו מד</t>
  </si>
  <si>
    <t>ITM-2026-0038</t>
  </si>
  <si>
    <t>A/RH2</t>
  </si>
  <si>
    <t>ITM-2026-0039</t>
  </si>
  <si>
    <t>FRIGOR</t>
  </si>
  <si>
    <t>CATIC - TT321</t>
  </si>
  <si>
    <t>ITM-2026-0040</t>
  </si>
  <si>
    <t>Mescon</t>
  </si>
  <si>
    <t>PT100 TH</t>
  </si>
  <si>
    <t>ITM-2026-0041</t>
  </si>
  <si>
    <t>אינקודר</t>
  </si>
  <si>
    <t>Autonics</t>
  </si>
  <si>
    <t>E50S8-500-3-T-24</t>
  </si>
  <si>
    <t>ITM-2026-0042</t>
  </si>
  <si>
    <t>מפסק לחץ</t>
  </si>
  <si>
    <t>crouzet</t>
  </si>
  <si>
    <t>81 513 552</t>
  </si>
  <si>
    <t>ITM-2026-0043</t>
  </si>
  <si>
    <t>johnson control</t>
  </si>
  <si>
    <t>עלה</t>
  </si>
  <si>
    <t>ITM-2026-0044</t>
  </si>
  <si>
    <t>מפסק לחץ הפרשי</t>
  </si>
  <si>
    <t>Beck</t>
  </si>
  <si>
    <t>ITM-2026-0045</t>
  </si>
  <si>
    <t>ראש שקילה</t>
  </si>
  <si>
    <t>Mindman</t>
  </si>
  <si>
    <t>MP-10P-03-F3</t>
  </si>
  <si>
    <t>ITM-2026-0046</t>
  </si>
  <si>
    <t>צג לחץ</t>
  </si>
  <si>
    <t>MEGATRON</t>
  </si>
  <si>
    <t>MDI-CDC-LCD</t>
  </si>
  <si>
    <t>ITM-2026-0047</t>
  </si>
  <si>
    <t>צג לחץ הפרשי</t>
  </si>
  <si>
    <t>ACI/LCD 4-20mA</t>
  </si>
  <si>
    <t>ITM-2026-0048</t>
  </si>
  <si>
    <t>Dwyer</t>
  </si>
  <si>
    <t>ADPS-03</t>
  </si>
  <si>
    <t>ITM-2026-0049</t>
  </si>
  <si>
    <t>Beck.</t>
  </si>
  <si>
    <t>ITM-2026-0050</t>
  </si>
  <si>
    <t>גשש קירבה</t>
  </si>
  <si>
    <t>PR18-5DP</t>
  </si>
  <si>
    <t>ITM-2026-0051</t>
  </si>
  <si>
    <t>ADPS-01</t>
  </si>
  <si>
    <t>ITM-2026-0052</t>
  </si>
  <si>
    <t>IME12-04BPSZC0S</t>
  </si>
  <si>
    <t>סיק ישראל</t>
  </si>
  <si>
    <t>ITM-2026-0053</t>
  </si>
  <si>
    <t>מפסק מפלס נמוך</t>
  </si>
  <si>
    <t>GES</t>
  </si>
  <si>
    <t>מצוף עמיד בכימיקלים</t>
  </si>
  <si>
    <t>מיכל כלור</t>
  </si>
  <si>
    <t>ITM-2026-0054</t>
  </si>
  <si>
    <t>סולונואיד</t>
  </si>
  <si>
    <t>SMC</t>
  </si>
  <si>
    <t>3/2 SQ1A31N</t>
  </si>
  <si>
    <t>בקרה</t>
  </si>
  <si>
    <t>ITM-2026-0055</t>
  </si>
  <si>
    <t>ממסר 24Vdc</t>
  </si>
  <si>
    <t>WEIMULLER</t>
  </si>
  <si>
    <t>MRS24Vdc</t>
  </si>
  <si>
    <t>ITM-2026-0056</t>
  </si>
  <si>
    <t>OMRON</t>
  </si>
  <si>
    <t>G2R-1-SNI</t>
  </si>
  <si>
    <t>ITM-2026-0057</t>
  </si>
  <si>
    <t>מד מסה</t>
  </si>
  <si>
    <t>MICRO MOSHION</t>
  </si>
  <si>
    <t>H100S138NQBZEZZZZ+1700R12ABZEZZZ</t>
  </si>
  <si>
    <t>הוזמן עבור הפיילוט (פרויקט בוטל)נמצא במחסן אחזקה גג</t>
  </si>
  <si>
    <t>ITM-2026-0058</t>
  </si>
  <si>
    <t>מד לחץ</t>
  </si>
  <si>
    <t>1.5" חיבור אחורי 1/8 0-4באר</t>
  </si>
  <si>
    <t>ITM-2026-0059</t>
  </si>
  <si>
    <t>1.5" חיבור אחורי 1/8 0-10באר</t>
  </si>
  <si>
    <t>ITM-2026-0060</t>
  </si>
  <si>
    <t>1.5" חיבור אחורי 1/8 - 0.. ..1-באר</t>
  </si>
  <si>
    <t>ITM-2026-0061</t>
  </si>
  <si>
    <t>מדיד</t>
  </si>
  <si>
    <t>1.5tri-clamp 0-6bar</t>
  </si>
  <si>
    <t>ITM-2026-0062</t>
  </si>
  <si>
    <t>1.5tri-clamp 0-10bar</t>
  </si>
  <si>
    <t>ITM-2026-0063</t>
  </si>
  <si>
    <t>בית זרימה לאלקטרודת כלור</t>
  </si>
  <si>
    <t>Flowfit</t>
  </si>
  <si>
    <t>FLOWFIT-W CCA250</t>
  </si>
  <si>
    <t>CCA250-A0</t>
  </si>
  <si>
    <t>ITM-2026-0064</t>
  </si>
  <si>
    <t>סעפת אוויר</t>
  </si>
  <si>
    <t>3/212 סולונואידים כפולים</t>
  </si>
  <si>
    <t>ITM-2026-0065</t>
  </si>
  <si>
    <t>מפעיל לברז בקרה</t>
  </si>
  <si>
    <t>BELIMO</t>
  </si>
  <si>
    <t>LR24A-SR</t>
  </si>
  <si>
    <t>ITM-2026-0066</t>
  </si>
  <si>
    <t>LF24-SR</t>
  </si>
  <si>
    <t>ITM-2026-0067</t>
  </si>
  <si>
    <t>NF24A</t>
  </si>
  <si>
    <t>דמפר אש</t>
  </si>
  <si>
    <t>ITM-2026-0068</t>
  </si>
  <si>
    <t>מסך מגע</t>
  </si>
  <si>
    <t>Simatic HMI</t>
  </si>
  <si>
    <t>TP177B PN/DP</t>
  </si>
  <si>
    <t>for Axima Chiller נקלט</t>
  </si>
  <si>
    <t>ITM-2026-0069</t>
  </si>
  <si>
    <t>מתמר טמפרטורה ולחות בצורה צינור 150מ"מ</t>
  </si>
  <si>
    <t>Temperature and humidity duct probe 150mm</t>
  </si>
  <si>
    <t>COMET</t>
  </si>
  <si>
    <t>T0213</t>
  </si>
  <si>
    <t>electric industries itd</t>
  </si>
  <si>
    <t>ITM-2026-0070</t>
  </si>
  <si>
    <t>Anderson-Negele</t>
  </si>
  <si>
    <t>FKS-141</t>
  </si>
  <si>
    <t>110001448353/001</t>
  </si>
  <si>
    <t>ITM-2026-0071</t>
  </si>
  <si>
    <t>Flowfit CCA151</t>
  </si>
  <si>
    <t>CCA151</t>
  </si>
  <si>
    <t>ITM-2026-0072</t>
  </si>
  <si>
    <t>Inpro7100/12/425/4435</t>
  </si>
  <si>
    <t>ITM-2026-0073</t>
  </si>
  <si>
    <t>בקר סימנס 300 ראשי</t>
  </si>
  <si>
    <t>Central Processing Unit</t>
  </si>
  <si>
    <t>Simatic S7-300</t>
  </si>
  <si>
    <t>6ES7 314-6BH04-0AB0</t>
  </si>
  <si>
    <t>ITM-2026-0074</t>
  </si>
  <si>
    <t>Solenoid valve</t>
  </si>
  <si>
    <t>MFH-5-1/4</t>
  </si>
  <si>
    <t>festo israel</t>
  </si>
  <si>
    <t>ITM-2026-0075</t>
  </si>
  <si>
    <t>תת-בסיס של סעפת TCP/IP</t>
  </si>
  <si>
    <t>Sub-base</t>
  </si>
  <si>
    <t>VMPA1-FB-AP-4-1</t>
  </si>
  <si>
    <t>ITM-2026-0076</t>
  </si>
  <si>
    <t>NR24A-SR</t>
  </si>
  <si>
    <t>ITM-2026-0077</t>
  </si>
  <si>
    <t>LF24</t>
  </si>
  <si>
    <t>ITM-2026-0078</t>
  </si>
  <si>
    <t>REVERE</t>
  </si>
  <si>
    <t>RLC</t>
  </si>
  <si>
    <t>ITM-2026-0079</t>
  </si>
  <si>
    <t>מד ספיקה טורביני</t>
  </si>
  <si>
    <t>Sponsler</t>
  </si>
  <si>
    <t>SP3/4-CS-PHL-3/4G-6MCIX3A</t>
  </si>
  <si>
    <t>leereng.com</t>
  </si>
  <si>
    <t>ITM-2026-0080</t>
  </si>
  <si>
    <t>כבל אלקטרודה pH inPRO ISM</t>
  </si>
  <si>
    <t>Cable to connect the InPRO ISM</t>
  </si>
  <si>
    <t>AK9/10m</t>
  </si>
  <si>
    <t>ITM-2026-0081</t>
  </si>
  <si>
    <t>כבל אלקטרודה pH,O2</t>
  </si>
  <si>
    <t>Cable VP for PH &amp; Oxygen</t>
  </si>
  <si>
    <t>VP6-ST/5m</t>
  </si>
  <si>
    <t>ITM-2026-0082</t>
  </si>
  <si>
    <t>כיסוי מגן שרוולי כולל גומיות 5,7מ"מ לאלקטרודה</t>
  </si>
  <si>
    <t>SLEEVE PROTECTOR INFIT761</t>
  </si>
  <si>
    <t>METTLER TOLEDO 52401518 SLEEVE PROTECTOR INFIT761-NPT 678</t>
  </si>
  <si>
    <t>ITM-2026-0083</t>
  </si>
  <si>
    <t>מתמר כלור Chlorine</t>
  </si>
  <si>
    <t>One-channel transmitter</t>
  </si>
  <si>
    <t>Liquisys M CCM253</t>
  </si>
  <si>
    <t>CCM253-EK0005</t>
  </si>
  <si>
    <t>ROOF 2</t>
  </si>
  <si>
    <t>ITM-2026-0084</t>
  </si>
  <si>
    <t>מפסק מפלס צנטרפוגה היצור</t>
  </si>
  <si>
    <t>Level switch</t>
  </si>
  <si>
    <t>Liquiphant M FTL50H</t>
  </si>
  <si>
    <t>FTL50H-ATT2ADAG6B</t>
  </si>
  <si>
    <t>ITM-2026-0085</t>
  </si>
  <si>
    <t>CSMSTRL  בקר- ממיר פרוטוקול</t>
  </si>
  <si>
    <t>CSMSTRLE - PROTOCOL CONVERTER</t>
  </si>
  <si>
    <t>RED LION</t>
  </si>
  <si>
    <t>CSMSTRLE</t>
  </si>
  <si>
    <t>GALOZ</t>
  </si>
  <si>
    <t>לא נקלט</t>
  </si>
  <si>
    <t>ITM-2026-0086</t>
  </si>
  <si>
    <t>משדר לחץ</t>
  </si>
  <si>
    <t>Pressure switch and 4...20 mA analog</t>
  </si>
  <si>
    <t>Ceraphant PTP33B</t>
  </si>
  <si>
    <t>Absolute and
gauge pressure
Ceraphant PTP33B</t>
  </si>
  <si>
    <t>ITM-2026-0087</t>
  </si>
  <si>
    <t>משדר מפלס קיבולי</t>
  </si>
  <si>
    <t>Level, Guided Radar</t>
  </si>
  <si>
    <t>Liquicap M FMI52</t>
  </si>
  <si>
    <t>FMI52-A1ATJJA1A1A</t>
  </si>
  <si>
    <t>ITM-2026-0088</t>
  </si>
  <si>
    <t>מפסק טמפרטורה 35מ"ממ</t>
  </si>
  <si>
    <t>Temperature, Resistor RTD</t>
  </si>
  <si>
    <t>Thermophant T TTR35</t>
  </si>
  <si>
    <t>TTR35-A2A121DB1BAB</t>
  </si>
  <si>
    <t>ITM-2026-0089</t>
  </si>
  <si>
    <t>ברז ברזל תלת דרכי</t>
  </si>
  <si>
    <t>R3040-16B3</t>
  </si>
  <si>
    <t>רק גוף</t>
  </si>
  <si>
    <t>ITM-2026-0090</t>
  </si>
  <si>
    <t>NR24A-MF</t>
  </si>
  <si>
    <t>ITM-2026-0091</t>
  </si>
  <si>
    <t>SV24A-SR-TPC</t>
  </si>
  <si>
    <t>PW PILOT 1500N כוח</t>
  </si>
  <si>
    <t>ITM-2026-0092</t>
  </si>
  <si>
    <t>מתמר טמפרטורה מגע Clamp לצנרת</t>
  </si>
  <si>
    <t>Labom</t>
  </si>
  <si>
    <t>GA2610</t>
  </si>
  <si>
    <t>9990-0235-751 number from GEA</t>
  </si>
  <si>
    <t>צנטרפוגה</t>
  </si>
  <si>
    <t>ITM-2026-0093</t>
  </si>
  <si>
    <t>Cabel VP6-ST/HT     (3-meter)   52300108</t>
  </si>
  <si>
    <t>מחסן בקרה צוות כיילים</t>
  </si>
  <si>
    <t>ITM-2026-0094</t>
  </si>
  <si>
    <t>Pressure, Process</t>
  </si>
  <si>
    <t>Cerabar M PMP55</t>
  </si>
  <si>
    <t>PWP55-6N14/0</t>
  </si>
  <si>
    <t>ITM-2026-0095</t>
  </si>
  <si>
    <t>מגבר-מתמר לפס DIN</t>
  </si>
  <si>
    <t>Flow amplifier</t>
  </si>
  <si>
    <t>P10530</t>
  </si>
  <si>
    <t>ITM-2026-0096</t>
  </si>
  <si>
    <t>בקר זרימה ללא מגבר ומתמר 1/2הברגה</t>
  </si>
  <si>
    <t>Flow controller</t>
  </si>
  <si>
    <t>SN 450/1-A4-GR</t>
  </si>
  <si>
    <t>יש ישן תקין ,מפורק ע'' סלבה ואלון מחדר מים 2500 להחליף לחדש?</t>
  </si>
  <si>
    <t>ITM-2026-0097</t>
  </si>
  <si>
    <t>מתמר לחץ הברגה 1/4"</t>
  </si>
  <si>
    <t>S-10</t>
  </si>
  <si>
    <t>ITM-2026-0098</t>
  </si>
  <si>
    <t>מתמר לחץ סוג Flush</t>
  </si>
  <si>
    <t>S-11</t>
  </si>
  <si>
    <t>ITM-2026-0099</t>
  </si>
  <si>
    <t>מד לחץ נייד</t>
  </si>
  <si>
    <t>UPT-20</t>
  </si>
  <si>
    <t>ITM-2026-0100</t>
  </si>
  <si>
    <t>מתמר טמפרטורה טבליה</t>
  </si>
  <si>
    <t>T32.1S.OIS-Z</t>
  </si>
  <si>
    <t>ITM-2026-0101</t>
  </si>
  <si>
    <t>מד לחץ נייד BAROLI</t>
  </si>
  <si>
    <t>BD SENSORS</t>
  </si>
  <si>
    <t>BAROLI 02</t>
  </si>
  <si>
    <t>MOE-1000-0-B2-0K0-N40-1-1-1-1-000</t>
  </si>
  <si>
    <t>אלקון</t>
  </si>
  <si>
    <t>accracy 0.125%</t>
  </si>
  <si>
    <t>ITM-2026-0102</t>
  </si>
  <si>
    <t>מד טמפרטורה נייד</t>
  </si>
  <si>
    <t>TFR5</t>
  </si>
  <si>
    <t>TFR5-A906.0000.0000</t>
  </si>
  <si>
    <t>ITM-2026-0103</t>
  </si>
  <si>
    <t>מפסק לחץ 0.2-6  bar</t>
  </si>
  <si>
    <t>Danfoss</t>
  </si>
  <si>
    <t>RT200</t>
  </si>
  <si>
    <t>017-523766</t>
  </si>
  <si>
    <t>ITM-2026-0104</t>
  </si>
  <si>
    <t>מודול כניסות/יציאות דיגטליות</t>
  </si>
  <si>
    <t>Digital input/output</t>
  </si>
  <si>
    <t>plc module</t>
  </si>
  <si>
    <t>6ES7 323-1BL00-0AA0</t>
  </si>
  <si>
    <t>ITM-2026-0105</t>
  </si>
  <si>
    <t>מפסק זרימה  1" עלה</t>
  </si>
  <si>
    <t>LKB-01</t>
  </si>
  <si>
    <t>CHINA</t>
  </si>
  <si>
    <t>אין</t>
  </si>
  <si>
    <t>Rotal</t>
  </si>
  <si>
    <t>דגם סיני פשוט עבור מי צ'ילר</t>
  </si>
  <si>
    <t>ITM-2026-0106</t>
  </si>
  <si>
    <t>שעון לחץ צינור בורדון   0-6 Bar</t>
  </si>
  <si>
    <t>Nuova Fima</t>
  </si>
  <si>
    <t>Pressure gauges</t>
  </si>
  <si>
    <t>SP3AC-AAE7ATOSQ1</t>
  </si>
  <si>
    <t>Manoraz</t>
  </si>
  <si>
    <t>הוזמן עבור קובי PILOT . אבל קובי לא לקח CC210/17</t>
  </si>
  <si>
    <t>ITM-2026-0107</t>
  </si>
  <si>
    <t>מפסק לחץ הפשרי 150-1000mbar</t>
  </si>
  <si>
    <t>Huba Control</t>
  </si>
  <si>
    <t>Differential pressure switch</t>
  </si>
  <si>
    <t>עבור צ'ילרים מחסן 4</t>
  </si>
  <si>
    <t>ITM-2026-0108</t>
  </si>
  <si>
    <t>שעון לחץ צינור בורדון BSP " 0-10bar      1/4</t>
  </si>
  <si>
    <t>tecsis</t>
  </si>
  <si>
    <t>P2033B075001</t>
  </si>
  <si>
    <t>לא ידעה</t>
  </si>
  <si>
    <t>ITM-2026-0109</t>
  </si>
  <si>
    <t>Bravo</t>
  </si>
  <si>
    <t>Tri clamp  0-4Bar</t>
  </si>
  <si>
    <t>ITM-2026-0110</t>
  </si>
  <si>
    <t>משדר לחץ       5…. 1  -Bar</t>
  </si>
  <si>
    <t>P3269</t>
  </si>
  <si>
    <t>P3269B045001</t>
  </si>
  <si>
    <t>ITM-2026-0111</t>
  </si>
  <si>
    <t>רגש מוליכות/טמפ</t>
  </si>
  <si>
    <t>Thermo SCIENTIFIC EUROTECH</t>
  </si>
  <si>
    <t>EC-CS10-0-1S</t>
  </si>
  <si>
    <t>אל חמה</t>
  </si>
  <si>
    <t>עבור 604-CIT-001 604-CIT-002 להזמין</t>
  </si>
  <si>
    <t>ITM-2026-0112</t>
  </si>
  <si>
    <t>משדר לחץ למדידה רציפה</t>
  </si>
  <si>
    <t>PBMH25B72RA14481202000</t>
  </si>
  <si>
    <t>ITM-2026-0113</t>
  </si>
  <si>
    <t>רגש קרבה אופטי</t>
  </si>
  <si>
    <t>MHF15-21NG1HSM</t>
  </si>
  <si>
    <t>עבור חדר שרטים</t>
  </si>
  <si>
    <t>ITM-2026-0114</t>
  </si>
  <si>
    <t>JUMO</t>
  </si>
  <si>
    <t>Pressure Transmitter dTRANS p30</t>
  </si>
  <si>
    <t>מנוזר</t>
  </si>
  <si>
    <t>Tri clamp -200-300mbar</t>
  </si>
  <si>
    <t>ITM-2026-0115</t>
  </si>
  <si>
    <t>Pressure Transmitter dTRANS p31</t>
  </si>
  <si>
    <t>ITM-2026-0116</t>
  </si>
  <si>
    <t>בקר  שאסי</t>
  </si>
  <si>
    <t>PLC</t>
  </si>
  <si>
    <t>A&amp;B</t>
  </si>
  <si>
    <t>MICROLOGIX 1500</t>
  </si>
  <si>
    <t>1764-28BXB</t>
  </si>
  <si>
    <t>MMA</t>
  </si>
  <si>
    <t>נקלט, אחד חדש ואחד משומש</t>
  </si>
  <si>
    <t>ITM-2026-0117</t>
  </si>
  <si>
    <t>בקר-ממיר פרוטוקול ומערכת רכישת נתונים DA10D</t>
  </si>
  <si>
    <t>Protocol Converter and Data Acquisition System</t>
  </si>
  <si>
    <t>DA10D</t>
  </si>
  <si>
    <t>DA10DA</t>
  </si>
  <si>
    <t>ITM-2026-0118</t>
  </si>
  <si>
    <t>Ethernet TCP/IP switch</t>
  </si>
  <si>
    <t>schneider-electric</t>
  </si>
  <si>
    <t>TCSESU053FN0</t>
  </si>
  <si>
    <t>מ.מ.א</t>
  </si>
  <si>
    <t>ITM-2026-0119</t>
  </si>
  <si>
    <t>מעבד</t>
  </si>
  <si>
    <t>CPU</t>
  </si>
  <si>
    <t>MicroLogix™ 1500 Processor</t>
  </si>
  <si>
    <t>1764-LRP</t>
  </si>
  <si>
    <t>נקלט, אחד חדש ואחד משומש  (לבדוק האם קיים פריט אחד או שניים)</t>
  </si>
  <si>
    <t>ITM-2026-0120</t>
  </si>
  <si>
    <t>סוללה גיבוי</t>
  </si>
  <si>
    <t>Battery</t>
  </si>
  <si>
    <t>Battery 1769-BA</t>
  </si>
  <si>
    <t>1769-BA</t>
  </si>
  <si>
    <t>ITM-2026-0121</t>
  </si>
  <si>
    <t>כרטיס אנלוגי</t>
  </si>
  <si>
    <t>IO card</t>
  </si>
  <si>
    <t>Analog current and voltage output</t>
  </si>
  <si>
    <t>1769-OF2</t>
  </si>
  <si>
    <t>ITM-2026-0122</t>
  </si>
  <si>
    <t>כרטיס דיגיטלי כניסות</t>
  </si>
  <si>
    <t>Sink/Source Input</t>
  </si>
  <si>
    <t>1769-IQ32</t>
  </si>
  <si>
    <t>ITM-2026-0123</t>
  </si>
  <si>
    <t>כרטיס דיגיטלי יציאות</t>
  </si>
  <si>
    <t>source output</t>
  </si>
  <si>
    <t>1769-OB16</t>
  </si>
  <si>
    <t>ITM-2026-0124</t>
  </si>
  <si>
    <t>POINT I/O 8 Point Digital Input Module</t>
  </si>
  <si>
    <t>1734-IB8</t>
  </si>
  <si>
    <t>ITM-2026-0125</t>
  </si>
  <si>
    <t>מתאם תקשורת RS-232/422 DF1 to Ethernet/IP</t>
  </si>
  <si>
    <t>Ethernet/IP Communication Gateway</t>
  </si>
  <si>
    <t>MOXA</t>
  </si>
  <si>
    <t>MGate EIP3170</t>
  </si>
  <si>
    <t>EDCO</t>
  </si>
  <si>
    <t>CAMPION</t>
  </si>
  <si>
    <t>ITM-2026-0126</t>
  </si>
  <si>
    <t>סוגר הרחבות בקר אלן ברדלי</t>
  </si>
  <si>
    <t>End Cap</t>
  </si>
  <si>
    <t>Right End Cap</t>
  </si>
  <si>
    <t>1769-ECR</t>
  </si>
  <si>
    <t>נקלט, אחד חדש ושניים משומש</t>
  </si>
  <si>
    <t>ITM-2026-0127</t>
  </si>
  <si>
    <t>כרטיס 16 ערוצים כניסות זרם אנאלוגי</t>
  </si>
  <si>
    <t>16 Point A/I Current Module</t>
  </si>
  <si>
    <t>1769-IF16C</t>
  </si>
  <si>
    <t>ITM-2026-0128</t>
  </si>
  <si>
    <t>כרטיס 4 ערוצים כניסות ויציאות</t>
  </si>
  <si>
    <t>4 Point A/O C and V Module</t>
  </si>
  <si>
    <t>1769-OF4</t>
  </si>
  <si>
    <t>ITM-2026-0129</t>
  </si>
  <si>
    <t>כרטיס 8 ערוצים יציאות</t>
  </si>
  <si>
    <t>8 Point A/O Current Module</t>
  </si>
  <si>
    <t>1769-OF8C</t>
  </si>
  <si>
    <t>ITM-2026-0130</t>
  </si>
  <si>
    <t>כרטיס 4 ערוצים יציאות</t>
  </si>
  <si>
    <t>8 Point 24VDC D/O Module</t>
  </si>
  <si>
    <t>1769-OB8</t>
  </si>
  <si>
    <t>ITM-2026-0131</t>
  </si>
  <si>
    <t>כרטיס 4 ערוצים כניסות אנלוגיות</t>
  </si>
  <si>
    <t>4 Point A/I C and V Module</t>
  </si>
  <si>
    <t>1769-IF4</t>
  </si>
  <si>
    <t>ITM-2026-0132</t>
  </si>
  <si>
    <t>כרטיס תקשורת</t>
  </si>
  <si>
    <t>Ethernet Adaptor</t>
  </si>
  <si>
    <t>ser C</t>
  </si>
  <si>
    <t>1734-AENT</t>
  </si>
  <si>
    <t>ITM-2026-0133</t>
  </si>
  <si>
    <t>כרטיס 4 ערוצים כניסות  אנאלוגי</t>
  </si>
  <si>
    <t>4 Point Analog Input Module</t>
  </si>
  <si>
    <t>1734-IE4C</t>
  </si>
  <si>
    <t>ITM-2026-0134</t>
  </si>
  <si>
    <t>כרטיס 2 ערוצים כניסות  אנאלוגי</t>
  </si>
  <si>
    <t>2 Point Analog Input Module</t>
  </si>
  <si>
    <t>1734-IE2V</t>
  </si>
  <si>
    <t>ITM-2026-0135</t>
  </si>
  <si>
    <t>כרטיס 8 ערוצים כניסות דיגיטליות</t>
  </si>
  <si>
    <t>8 Point Digital Output Module</t>
  </si>
  <si>
    <t>1734-OB8E</t>
  </si>
  <si>
    <t>ITM-2026-0136</t>
  </si>
  <si>
    <t>כרטיס 2 ערוצים יצאות אנלוגי</t>
  </si>
  <si>
    <t>2 Point Analog Output Module</t>
  </si>
  <si>
    <t>1734-OE2C</t>
  </si>
  <si>
    <t>ITM-2026-0137</t>
  </si>
  <si>
    <t>כרטיס 4 ערוצים ציאות אנלוגיות</t>
  </si>
  <si>
    <t>4 Point Analog Output Module</t>
  </si>
  <si>
    <t>1734-OE4C</t>
  </si>
  <si>
    <t>ITM-2026-0138</t>
  </si>
  <si>
    <t>ספק כוח</t>
  </si>
  <si>
    <t>1769-PA4</t>
  </si>
  <si>
    <t>ITM-2026-0139</t>
  </si>
  <si>
    <t>בקר מתוכנת</t>
  </si>
  <si>
    <t>unitronics</t>
  </si>
  <si>
    <t>V280-18-B20B</t>
  </si>
  <si>
    <t>NA</t>
  </si>
  <si>
    <t>נקלט, לא בשימוש במפעל, קיים במלאי</t>
  </si>
  <si>
    <t>ITM-2026-0140</t>
  </si>
  <si>
    <t>V230-13-B20B</t>
  </si>
  <si>
    <t>נקלט, סלבה צריך לבדוק מה מהם תקין</t>
  </si>
  <si>
    <t>ITM-2026-0141</t>
  </si>
  <si>
    <t>V570-57-T20B/J</t>
  </si>
  <si>
    <t>ITM-2026-0142</t>
  </si>
  <si>
    <t>V1210-T20BJ</t>
  </si>
  <si>
    <t>ITM-2026-0143</t>
  </si>
  <si>
    <t>V120-22-RA22</t>
  </si>
  <si>
    <t>נקלט, להשלים למלאי מינימום</t>
  </si>
  <si>
    <t>ITM-2026-0144</t>
  </si>
  <si>
    <t>V120-22-T1</t>
  </si>
  <si>
    <t>ITM-2026-0145</t>
  </si>
  <si>
    <t>V120-22-R1</t>
  </si>
  <si>
    <t>ITM-2026-0146</t>
  </si>
  <si>
    <t>V120-22-T2C</t>
  </si>
  <si>
    <t>ITM-2026-0147</t>
  </si>
  <si>
    <t>V120-22-R6C</t>
  </si>
  <si>
    <t>ITM-2026-0148</t>
  </si>
  <si>
    <t>כרטיס הרחבה</t>
  </si>
  <si>
    <t>Expanstion unit</t>
  </si>
  <si>
    <t>EX-A1</t>
  </si>
  <si>
    <t>לא בשימוש במפעל, קיים במלאי</t>
  </si>
  <si>
    <t>ITM-2026-0149</t>
  </si>
  <si>
    <t>EX-A2X</t>
  </si>
  <si>
    <t>להשלים למלאי מינימום</t>
  </si>
  <si>
    <t>ITM-2026-0150</t>
  </si>
  <si>
    <t>כרטיס IO</t>
  </si>
  <si>
    <t>IO-TO16</t>
  </si>
  <si>
    <t>משומש - 1</t>
  </si>
  <si>
    <t>ITM-2026-0151</t>
  </si>
  <si>
    <t>IO-DI8-RO4</t>
  </si>
  <si>
    <t>ITM-2026-0152</t>
  </si>
  <si>
    <t>IO-DI16</t>
  </si>
  <si>
    <t>ITM-2026-0153</t>
  </si>
  <si>
    <t>IO-RO8</t>
  </si>
  <si>
    <t>ITM-2026-0154</t>
  </si>
  <si>
    <t>IO-AI4-AO2</t>
  </si>
  <si>
    <t>ITM-2026-0155</t>
  </si>
  <si>
    <t>IO-DI8-TO8</t>
  </si>
  <si>
    <t>ITM-2026-0156</t>
  </si>
  <si>
    <t>IO-PT400</t>
  </si>
  <si>
    <t>ITM-2026-0157</t>
  </si>
  <si>
    <t>IO-AO6X</t>
  </si>
  <si>
    <t>ITM-2026-0158</t>
  </si>
  <si>
    <t>IO-AI8</t>
  </si>
  <si>
    <t>ITM-2026-0159</t>
  </si>
  <si>
    <t>IO-ATC8</t>
  </si>
  <si>
    <t>ITM-2026-0160</t>
  </si>
  <si>
    <t>כרטיס תקשורת Unican</t>
  </si>
  <si>
    <t>Unican adaptor</t>
  </si>
  <si>
    <t>EX-RC1</t>
  </si>
  <si>
    <t>ITM-2026-0161</t>
  </si>
  <si>
    <t>כרטיס  LOAD CELL</t>
  </si>
  <si>
    <t>LC card</t>
  </si>
  <si>
    <t>IO-LC1</t>
  </si>
  <si>
    <t>ITM-2026-0162</t>
  </si>
  <si>
    <t>IO-LC3</t>
  </si>
  <si>
    <t>ITM-2026-0163</t>
  </si>
  <si>
    <t>LAN adaptor</t>
  </si>
  <si>
    <t>V200-19-ET2</t>
  </si>
  <si>
    <t>ITM-2026-0164</t>
  </si>
  <si>
    <t>כרטיס SNAP</t>
  </si>
  <si>
    <t>SNAP IO card</t>
  </si>
  <si>
    <t>V200-18-E3XB</t>
  </si>
  <si>
    <t>נקלט, שניים משומש</t>
  </si>
  <si>
    <t>ITM-2026-0165</t>
  </si>
  <si>
    <t>V200-18-E4XB</t>
  </si>
  <si>
    <t>ITM-2026-0166</t>
  </si>
  <si>
    <t>V200-18-E1B</t>
  </si>
  <si>
    <t>נקלט, אחד משומש</t>
  </si>
  <si>
    <t>ITM-2026-0167</t>
  </si>
  <si>
    <t>מפצל Modbus network</t>
  </si>
  <si>
    <t>Schneider-electric</t>
  </si>
  <si>
    <t>VW3A8306TF03</t>
  </si>
  <si>
    <t>ITM-2026-0168</t>
  </si>
  <si>
    <t>בקר ALERTON</t>
  </si>
  <si>
    <t>Ascent Control Module</t>
  </si>
  <si>
    <t>Alerton</t>
  </si>
  <si>
    <t>ALERTON 1743</t>
  </si>
  <si>
    <t>Radion</t>
  </si>
  <si>
    <t>ITM-2026-0169</t>
  </si>
  <si>
    <t>Programmable logic controller</t>
  </si>
  <si>
    <t>VLC-1188</t>
  </si>
  <si>
    <t>ALERTON VLC-1188</t>
  </si>
  <si>
    <t>ITM-2026-0170</t>
  </si>
  <si>
    <t>Programmable logic controlle 16 inputs</t>
  </si>
  <si>
    <t>VLC-1600</t>
  </si>
  <si>
    <t>ALERTON VLC-1600</t>
  </si>
  <si>
    <t>ITM-2026-0171</t>
  </si>
  <si>
    <t>ספק כוח SIEMENS</t>
  </si>
  <si>
    <t>POWER SUPPLY Simatic S7</t>
  </si>
  <si>
    <t>6ES7307-1EA01-0AA0</t>
  </si>
  <si>
    <t>ITM-2026-0172</t>
  </si>
  <si>
    <t>בקר SIEMENS</t>
  </si>
  <si>
    <t>SIMATIC S7-300, CPU 314C-2PN/DP Compact CPU with 192 KB work memory, 24 DI/16 DO, 4 AI, 2 AO, 1 Pt100, 4 high-speed counters</t>
  </si>
  <si>
    <t>6ES7314-6EH04-0AB0</t>
  </si>
  <si>
    <t>ITM-2026-0173</t>
  </si>
  <si>
    <t>כרטיס כניסות /יצאיות דיגיטליות</t>
  </si>
  <si>
    <t>Digital module DI/DO</t>
  </si>
  <si>
    <t>Digital module SM 323, isolated, 16 DI and 16 DO</t>
  </si>
  <si>
    <t>6ES7323-1BL00-0AA0</t>
  </si>
  <si>
    <t>ITM-2026-0174</t>
  </si>
  <si>
    <t>כרטיס אנלוגי 8AI</t>
  </si>
  <si>
    <t>Analog input module</t>
  </si>
  <si>
    <t>Analog input SM 331, Isolated 8 AI</t>
  </si>
  <si>
    <t>6ES7331-1KF02-0AB0</t>
  </si>
  <si>
    <t>ITM-2026-0175</t>
  </si>
  <si>
    <t>ממיר RS-232 to RS-485</t>
  </si>
  <si>
    <t>ICP CON</t>
  </si>
  <si>
    <t>I-7520 RS-232 To RS-485 Converter</t>
  </si>
  <si>
    <t>I-7520 CR</t>
  </si>
  <si>
    <t>ITM-2026-0176</t>
  </si>
  <si>
    <t>Ethernet switches 8-port</t>
  </si>
  <si>
    <t>16-port managed Ethernet switches</t>
  </si>
  <si>
    <t>EDS-516A</t>
  </si>
  <si>
    <t>ITM-2026-0177</t>
  </si>
  <si>
    <t>ADZ NAGANO</t>
  </si>
  <si>
    <t>SML 10.0</t>
  </si>
  <si>
    <t>ITM-2026-0178</t>
  </si>
  <si>
    <t>גשש אינדוקטיבי</t>
  </si>
  <si>
    <t>NJ5-18GK-N-150</t>
  </si>
  <si>
    <t>ITM-2026-0179</t>
  </si>
  <si>
    <t>כבל  אלקטרודה מוליכות</t>
  </si>
  <si>
    <t>Conductivity / Resistivity Sensor Cable,  VP Sensors</t>
  </si>
  <si>
    <t>Mettler-Toledo Thornton</t>
  </si>
  <si>
    <t>VP Patch Cables 7.6 meter</t>
  </si>
  <si>
    <t>ITM-2026-0180</t>
  </si>
  <si>
    <t>VP Patch Cables 3 meter</t>
  </si>
  <si>
    <t>ITM-2026-0181</t>
  </si>
  <si>
    <t>VP Patch Cables 15 meter</t>
  </si>
  <si>
    <t>ITM-2026-0182</t>
  </si>
  <si>
    <t>NCB2-12GM35-NO</t>
  </si>
  <si>
    <t>ITM-2026-0183</t>
  </si>
  <si>
    <t>IME12-02B-N-ZWO</t>
  </si>
  <si>
    <t>עבור מחסן 2G-113    1-2-2010-RE-58 רגש דלת שמאל</t>
  </si>
  <si>
    <t>ITM-2026-0184</t>
  </si>
  <si>
    <t>בקר טמפרטורה-טרמו סויצי</t>
  </si>
  <si>
    <t>Pixsys</t>
  </si>
  <si>
    <t>ATR 111</t>
  </si>
  <si>
    <t>ATR11-AD</t>
  </si>
  <si>
    <t>Elcon</t>
  </si>
  <si>
    <t>עבור 5000</t>
  </si>
  <si>
    <t>ITM-2026-0185</t>
  </si>
  <si>
    <t>סנסור מוליכות עם SMART SENSOR</t>
  </si>
  <si>
    <t>2-Electrode Conductivity Sensor</t>
  </si>
  <si>
    <t>Mettler Toledo's Thornton</t>
  </si>
  <si>
    <t>CONDUCTIVITY SENSOR, 0.1C SS, 1.5" TRI-CLAMP, W/CERT, THORNTON 58031014</t>
  </si>
  <si>
    <t>ITM-2026-0186</t>
  </si>
  <si>
    <t>מתמר מוליכות Conductivity</t>
  </si>
  <si>
    <t>Liquisys M CLM253</t>
  </si>
  <si>
    <t>CLM253-CD8005</t>
  </si>
  <si>
    <t>ITM-2026-0187</t>
  </si>
  <si>
    <t>מתמר לחץ עם צג לחץ אויר מדחסים גג וחדר 202</t>
  </si>
  <si>
    <t>ISE30A-01-F</t>
  </si>
  <si>
    <t>תחום:                       MPA  1.0  ÷ 0.1   -</t>
  </si>
  <si>
    <t>ITM-2026-0188</t>
  </si>
  <si>
    <t>מפסק לחץ עם צג</t>
  </si>
  <si>
    <t>ISE40A-01-R</t>
  </si>
  <si>
    <t>ITM-2026-0189</t>
  </si>
  <si>
    <t>MP20P-03-F3</t>
  </si>
  <si>
    <t>ITM-2026-0190</t>
  </si>
  <si>
    <t>MICHELL DEW POINT</t>
  </si>
  <si>
    <t>MICHELL INSTRUMENTS</t>
  </si>
  <si>
    <t>EA2-TX-100</t>
  </si>
  <si>
    <t>Controtech</t>
  </si>
  <si>
    <t>אויר דחוס</t>
  </si>
  <si>
    <t>ITM-2026-0191</t>
  </si>
  <si>
    <t>V200-18-E</t>
  </si>
  <si>
    <t>ITM-2026-0192</t>
  </si>
  <si>
    <t>IO-RO16</t>
  </si>
  <si>
    <t>ITM-2026-0193</t>
  </si>
  <si>
    <t>כרטיס 32 ערוצים יצאות דיגיטליות</t>
  </si>
  <si>
    <t>32 Point 24VDC D/O Module</t>
  </si>
  <si>
    <t>נקלט, שניים חדש ושניים משומש</t>
  </si>
  <si>
    <t>ITM-2026-0194</t>
  </si>
  <si>
    <t>כרטיס 8 ערוצים כניסות זרם אנאלוגי</t>
  </si>
  <si>
    <t>8 Point Analog Input Module</t>
  </si>
  <si>
    <t>1769-IF8</t>
  </si>
  <si>
    <t>נקלט, אחד חדש אחד משומש</t>
  </si>
  <si>
    <t>ITM-2026-0195</t>
  </si>
  <si>
    <t>כרטיס כניסות RTD</t>
  </si>
  <si>
    <t>6 Point  RTD Module</t>
  </si>
  <si>
    <t>1769-IR6</t>
  </si>
  <si>
    <t>נקלט, לא נמצא בשימוש במפעל</t>
  </si>
  <si>
    <t>ITM-2026-0196</t>
  </si>
  <si>
    <t>בקר</t>
  </si>
  <si>
    <t>CompactLogix L32E</t>
  </si>
  <si>
    <t>1769-L32E</t>
  </si>
  <si>
    <t>ITM-2026-0197</t>
  </si>
  <si>
    <t>CompactLogix L33E</t>
  </si>
  <si>
    <t>1769-L33E</t>
  </si>
  <si>
    <t>ITM-2026-0198</t>
  </si>
  <si>
    <t>פנל הפעלה</t>
  </si>
  <si>
    <t>PanelView</t>
  </si>
  <si>
    <t>PanelView Plus Display Module</t>
  </si>
  <si>
    <t>2711P-RDT10C</t>
  </si>
  <si>
    <t>ITM-2026-0199</t>
  </si>
  <si>
    <t>כרטיס אנלוגי יציאות</t>
  </si>
  <si>
    <t>Analog output module</t>
  </si>
  <si>
    <t>Analog output SM 332, isolated, 4 AO, U/I</t>
  </si>
  <si>
    <t>6ES7332-5HD01-0AB0</t>
  </si>
  <si>
    <t>ITM-2026-0200</t>
  </si>
  <si>
    <t>מפעיל ברז סיבובי</t>
  </si>
  <si>
    <t>Rotary-type actuator</t>
  </si>
  <si>
    <t>GMA161.9E</t>
  </si>
  <si>
    <t>ITM-2026-0201</t>
  </si>
  <si>
    <t>מתמר טמפרטורה תעלה</t>
  </si>
  <si>
    <t>Immersion Temp. Sensor</t>
  </si>
  <si>
    <t>QAE2120.010</t>
  </si>
  <si>
    <t>ITM-2026-0202</t>
  </si>
  <si>
    <t>משדר הפרש לחצים   0-4 bar 0-10 V</t>
  </si>
  <si>
    <t>Diff. Pressure Sensor</t>
  </si>
  <si>
    <t>QBE64-DP4</t>
  </si>
  <si>
    <t>ITM-2026-0203</t>
  </si>
  <si>
    <t>Valve Actuator</t>
  </si>
  <si>
    <t>SAX61.03</t>
  </si>
  <si>
    <t>ITM-2026-0204</t>
  </si>
  <si>
    <t>גלאי חמצן O2</t>
  </si>
  <si>
    <t>Oxygen detector gas concentration</t>
  </si>
  <si>
    <t>KIMESSA AG</t>
  </si>
  <si>
    <t>MONOline 404</t>
  </si>
  <si>
    <t>אוריונטק הנדסה בע"מ</t>
  </si>
  <si>
    <t>ITM-2026-0205</t>
  </si>
  <si>
    <t>משדר מפלס RADAR</t>
  </si>
  <si>
    <t>Level, Radar</t>
  </si>
  <si>
    <t>MICROPILOT M</t>
  </si>
  <si>
    <t>FMR245-ABKDKAA2A</t>
  </si>
  <si>
    <t>ITM-2026-0206</t>
  </si>
  <si>
    <t>משדר מפלס כבל RADAR</t>
  </si>
  <si>
    <t>LEVELFLEX M</t>
  </si>
  <si>
    <t>FMP41C-AATDKB21A2A</t>
  </si>
  <si>
    <t>ITM-2026-0207</t>
  </si>
  <si>
    <t>אלקטרודה מוליכות</t>
  </si>
  <si>
    <t>Conductive conductivity sensor</t>
  </si>
  <si>
    <t>Condumax CLS21</t>
  </si>
  <si>
    <t>CLS21-C1E4A</t>
  </si>
  <si>
    <t>ITM-2026-0208</t>
  </si>
  <si>
    <t>אלקטרודה כלור חופשי</t>
  </si>
  <si>
    <t>Free chlorine sensor</t>
  </si>
  <si>
    <t>Memosens CCS51D</t>
  </si>
  <si>
    <t>ITM-2026-0209</t>
  </si>
  <si>
    <t>משדר חד ערוצי</t>
  </si>
  <si>
    <t>1-channel transmitter</t>
  </si>
  <si>
    <t>Liquiline Compact CM82</t>
  </si>
  <si>
    <t>ITM-2026-0210</t>
  </si>
  <si>
    <t>משדר דו ערוצי</t>
  </si>
  <si>
    <t>Analysis, Multiparameter</t>
  </si>
  <si>
    <t>Liquiline CM442</t>
  </si>
  <si>
    <t>CM442-2D56/0</t>
  </si>
  <si>
    <t>ITM-2026-0211</t>
  </si>
  <si>
    <t>אלקטרודה מוליכות חיבור1.5" Tri Clamp</t>
  </si>
  <si>
    <t>Analysis, Conductivity</t>
  </si>
  <si>
    <t>Memosens CLS82E</t>
  </si>
  <si>
    <t>CLS82E-1592/0</t>
  </si>
  <si>
    <t>ITM-2026-0212</t>
  </si>
  <si>
    <t>אלקטרודה pH</t>
  </si>
  <si>
    <t>Memosens 2.0 pH electrode</t>
  </si>
  <si>
    <t>Memosens CPS11E</t>
  </si>
  <si>
    <t>CPS11E-AA7BAA2</t>
  </si>
  <si>
    <t>ITM-2026-0213</t>
  </si>
  <si>
    <t>אלקטרודה מוליכות חיבור 2 " Tri Clamp</t>
  </si>
  <si>
    <t>Memosens CLS82D</t>
  </si>
  <si>
    <t>CLS82D-1KA9/0</t>
  </si>
  <si>
    <t>ITM-2026-0214</t>
  </si>
  <si>
    <t>אלקטרודה מוליכות בייגלה חיבור 2 " Tri Clamp</t>
  </si>
  <si>
    <t>Indumax CLS54D</t>
  </si>
  <si>
    <t>ITM-2026-0215</t>
  </si>
  <si>
    <t>משדר רב פרמטרים</t>
  </si>
  <si>
    <t>Liquiline M CM42</t>
  </si>
  <si>
    <t>CM442-LAA000EAEA00</t>
  </si>
  <si>
    <t>ITM-2026-0216</t>
  </si>
  <si>
    <t>אלקטרודה מוליכות בייגלה</t>
  </si>
  <si>
    <t>Indumax CLS50</t>
  </si>
  <si>
    <t>CLS50-A1A2</t>
  </si>
  <si>
    <t>ITM-2026-0217</t>
  </si>
  <si>
    <t>כבל 3 מטר לחיישני  Memosens</t>
  </si>
  <si>
    <t>Memosens data cable for all sensors</t>
  </si>
  <si>
    <t>Memosens CYK10</t>
  </si>
  <si>
    <t>CYK10-A031</t>
  </si>
  <si>
    <t>ITM-2026-0218</t>
  </si>
  <si>
    <t>כבל 10 מטר מעריךחיישני Memosens ללא קונקטור</t>
  </si>
  <si>
    <t>Digital extension cable</t>
  </si>
  <si>
    <t>CYK11</t>
  </si>
  <si>
    <t>CYK11-AA10AA</t>
  </si>
  <si>
    <t>ITM-2026-0219</t>
  </si>
  <si>
    <t>מפסק זרימה תרמי30 מ"מ</t>
  </si>
  <si>
    <t>Flow, Thermal</t>
  </si>
  <si>
    <t>Flowphant T DTT35</t>
  </si>
  <si>
    <t>DTT35-A1A111DB2ACF</t>
  </si>
  <si>
    <t>ITM-2026-0220</t>
  </si>
  <si>
    <t>CLS82E-AAPG30</t>
  </si>
  <si>
    <t>ITM-2026-0221</t>
  </si>
  <si>
    <t>Cerabar M PMP46</t>
  </si>
  <si>
    <t>PMP46-RE13SBJPDGD</t>
  </si>
  <si>
    <t>ITM-2026-0222</t>
  </si>
  <si>
    <t>משדר לחץ הידרוסטטי</t>
  </si>
  <si>
    <t>Pressure, Hydrostatic</t>
  </si>
  <si>
    <t>Deltapilot S FMB70</t>
  </si>
  <si>
    <t>FMB70-ABR1F32TDCAA</t>
  </si>
  <si>
    <t>ITM-2026-0223</t>
  </si>
  <si>
    <t>ספק כוח של מנורת UV</t>
  </si>
  <si>
    <t>5000TOC UV Lamp Power Supply</t>
  </si>
  <si>
    <t>UV Lamp Power Supply (58 091 518)</t>
  </si>
  <si>
    <t>ITM-2026-0224</t>
  </si>
  <si>
    <t>כבל יעודי של  770MAX and Smart Sensor</t>
  </si>
  <si>
    <t>Smart Sensor and Patch Cord Dimensions</t>
  </si>
  <si>
    <t>Smart Sensor and Patch Cord Dimensions 58080005</t>
  </si>
  <si>
    <t>ITM-2026-0225</t>
  </si>
  <si>
    <t>מתאם פנל של M300/400</t>
  </si>
  <si>
    <t>Panel Mounting Kit for 1/2 DIN</t>
  </si>
  <si>
    <t>Thornton 30300481</t>
  </si>
  <si>
    <t>ITM-2026-0226</t>
  </si>
  <si>
    <t>מתמר עם 2ערוצים M300 WATER</t>
  </si>
  <si>
    <t>Transmitter M300 Water 2-CH</t>
  </si>
  <si>
    <t>Transmitter M300 Water 2-CH ½DIN</t>
  </si>
  <si>
    <t>ITM-2026-0227</t>
  </si>
  <si>
    <t>מתמר עם 2ערוצים M400 WATER</t>
  </si>
  <si>
    <t>Transmitter M400  1-CH</t>
  </si>
  <si>
    <t>Transmitter M400 Type 1,1 Chanel pH,Cond</t>
  </si>
  <si>
    <t>ITM-2026-0228</t>
  </si>
  <si>
    <t>VP6-ST/10m</t>
  </si>
  <si>
    <t>ITM-2026-0229</t>
  </si>
  <si>
    <t>מפסק לחץ (צינטריפוגה)</t>
  </si>
  <si>
    <t>Pressure sensor</t>
  </si>
  <si>
    <t>SDE5-D10-FP-Q6E-P-K</t>
  </si>
  <si>
    <t>ITM-2026-0230</t>
  </si>
  <si>
    <t>מודול אלקטרוניקה של סעפת TCP/IP</t>
  </si>
  <si>
    <t>Electronics module</t>
  </si>
  <si>
    <t>VMPA1-FB-EMS-8</t>
  </si>
  <si>
    <t>ITM-2026-0231</t>
  </si>
  <si>
    <t>בלוק מקשר של סעפת TCP/IP</t>
  </si>
  <si>
    <t>Interlinking block</t>
  </si>
  <si>
    <t>CPX-GE-EV-S</t>
  </si>
  <si>
    <t>ITM-2026-0232</t>
  </si>
  <si>
    <t>כרטיס כניסות של סעפת TCP/IP</t>
  </si>
  <si>
    <t>CPX-16DE</t>
  </si>
  <si>
    <t>ITM-2026-0233</t>
  </si>
  <si>
    <t>סעפת עם ביסי שלמה TCP/I  עבור CRUDE FABRY</t>
  </si>
  <si>
    <t>Valve manifold from CRUDE FABRY</t>
  </si>
  <si>
    <t>3S7PMQMNDZW</t>
  </si>
  <si>
    <t>סט שלם בנוי ע'' יצרן FESTO  לפי QR code 3S7PMQMNDZW</t>
  </si>
  <si>
    <t>ITM-2026-0234</t>
  </si>
  <si>
    <t>תקע חשמל של סעפת TCP/IP</t>
  </si>
  <si>
    <t>Plug socket</t>
  </si>
  <si>
    <t>NTSD-WD-9</t>
  </si>
  <si>
    <t>ITM-2026-0235</t>
  </si>
  <si>
    <t>שסתום סולנואיד סעפת צנטריפוגה יצור</t>
  </si>
  <si>
    <t>VUVG-B10-T32C-AZT-F-1T1L</t>
  </si>
  <si>
    <t>ITM-2026-0236</t>
  </si>
  <si>
    <t>שסתום סולנואיד סעפת TCP/I  עבור CRUDE FABRY</t>
  </si>
  <si>
    <t>VMPA1-M1H-K-PI</t>
  </si>
  <si>
    <t>ITM-2026-0237</t>
  </si>
  <si>
    <t>שסתום סולנואיד סעפת</t>
  </si>
  <si>
    <t>CPASC1-M1H-K-P-2,5</t>
  </si>
  <si>
    <t>ITM-2026-0238</t>
  </si>
  <si>
    <t>סליל סולנואיד כולל</t>
  </si>
  <si>
    <t>Solenoid coil</t>
  </si>
  <si>
    <t>MSFG-24/42-50/60</t>
  </si>
  <si>
    <t>ITM-2026-0239</t>
  </si>
  <si>
    <t>כבל לכוונון משדרי COMET דרך יציאת USB</t>
  </si>
  <si>
    <t>Cable for COMET transmitter adjustment via USB port</t>
  </si>
  <si>
    <t>SP003</t>
  </si>
  <si>
    <t>מחסן בקרה כיולים</t>
  </si>
  <si>
    <t>ITM-2026-0240</t>
  </si>
  <si>
    <t>משדר טמפרטורה ולחות חיצונית</t>
  </si>
  <si>
    <t>Temperature and humidity outdoor, indoor probe</t>
  </si>
  <si>
    <t>T3110</t>
  </si>
  <si>
    <t>ITM-2026-0241</t>
  </si>
  <si>
    <t>משדר טמפרטורה ולחות פנימי דיקורטיבי לקיר</t>
  </si>
  <si>
    <t>Interior temperature transmitter</t>
  </si>
  <si>
    <t>T0118</t>
  </si>
  <si>
    <t>ITM-2026-0242</t>
  </si>
  <si>
    <t>Interior temperature, humidity transmitter</t>
  </si>
  <si>
    <t>T3118</t>
  </si>
  <si>
    <t>ITM-2026-0243</t>
  </si>
  <si>
    <t>סנסר לחות  טמפרטורה ונקודת טל של מתמר HF5  (HC2-IE302)הברגה לתהליך</t>
  </si>
  <si>
    <t>Temperature humidity and dew point sensor of the HF5 transducer (HC2-IE302) screwing for the process</t>
  </si>
  <si>
    <t>HygroClip 2 HC2-IE302</t>
  </si>
  <si>
    <t>ITM-2026-0244</t>
  </si>
  <si>
    <t>Temperature and humidity transmitter</t>
  </si>
  <si>
    <t>testo-6621</t>
  </si>
  <si>
    <t>testo6621</t>
  </si>
  <si>
    <t>Order no. 0555 6621</t>
  </si>
  <si>
    <t>מנורז</t>
  </si>
  <si>
    <t>ITM-2026-0245</t>
  </si>
  <si>
    <t>מתמר לחץ דיפרנציאלי נמוך 0-500Pa</t>
  </si>
  <si>
    <t>Low Differential Pressure Transducer</t>
  </si>
  <si>
    <t>setra</t>
  </si>
  <si>
    <t>ITM-2026-0246</t>
  </si>
  <si>
    <t>משדר טמפרטורה 0-50</t>
  </si>
  <si>
    <t>Temperature Sensor/Transmitter</t>
  </si>
  <si>
    <t>CATIC /TEREN</t>
  </si>
  <si>
    <t>TEREN TT321</t>
  </si>
  <si>
    <t>TT321</t>
  </si>
  <si>
    <t>frigor</t>
  </si>
  <si>
    <t>http://www.catic-i.com/en  יצרן יש</t>
  </si>
  <si>
    <t>ITM-2026-0247</t>
  </si>
  <si>
    <t>חיישן מהירות</t>
  </si>
  <si>
    <t>VELOCITY SENSOR</t>
  </si>
  <si>
    <t>TSI</t>
  </si>
  <si>
    <t>כרמל מעבדות בע"מ</t>
  </si>
  <si>
    <t>TXN-20260420-0001</t>
  </si>
  <si>
    <t>פתיחת מערכת - ייבוא מהדורה 1</t>
  </si>
  <si>
    <t>TXN-20260420-0002</t>
  </si>
  <si>
    <t>TXN-20260420-0003</t>
  </si>
  <si>
    <t>TXN-20260420-0004</t>
  </si>
  <si>
    <t>TXN-20260420-0005</t>
  </si>
  <si>
    <t>TXN-20260420-0006</t>
  </si>
  <si>
    <t>TXN-20260420-0007</t>
  </si>
  <si>
    <t>TXN-20260420-0008</t>
  </si>
  <si>
    <t>TXN-20260420-0009</t>
  </si>
  <si>
    <t>TXN-20260420-0010</t>
  </si>
  <si>
    <t>TXN-20260420-0011</t>
  </si>
  <si>
    <t>TXN-20260420-0012</t>
  </si>
  <si>
    <t>TXN-20260420-0013</t>
  </si>
  <si>
    <t>TXN-20260420-0014</t>
  </si>
  <si>
    <t>TXN-20260420-0015</t>
  </si>
  <si>
    <t>TXN-20260420-0016</t>
  </si>
  <si>
    <t>TXN-20260420-0017</t>
  </si>
  <si>
    <t>TXN-20260420-0018</t>
  </si>
  <si>
    <t>TXN-20260420-0019</t>
  </si>
  <si>
    <t>TXN-20260420-0020</t>
  </si>
  <si>
    <t>TXN-20260420-0021</t>
  </si>
  <si>
    <t>TXN-20260420-0022</t>
  </si>
  <si>
    <t>TXN-20260420-0023</t>
  </si>
  <si>
    <t>TXN-20260420-0024</t>
  </si>
  <si>
    <t>TXN-20260420-0025</t>
  </si>
  <si>
    <t>TXN-20260420-0026</t>
  </si>
  <si>
    <t>TXN-20260420-0027</t>
  </si>
  <si>
    <t>TXN-20260420-0028</t>
  </si>
  <si>
    <t>TXN-20260420-0029</t>
  </si>
  <si>
    <t>TXN-20260420-0030</t>
  </si>
  <si>
    <t>TXN-20260420-0031</t>
  </si>
  <si>
    <t>TXN-20260420-0032</t>
  </si>
  <si>
    <t>TXN-20260420-0033</t>
  </si>
  <si>
    <t>TXN-20260420-0034</t>
  </si>
  <si>
    <t>TXN-20260420-0035</t>
  </si>
  <si>
    <t>TXN-20260420-0036</t>
  </si>
  <si>
    <t>TXN-20260420-0037</t>
  </si>
  <si>
    <t>TXN-20260420-0038</t>
  </si>
  <si>
    <t>TXN-20260420-0039</t>
  </si>
  <si>
    <t>TXN-20260420-0040</t>
  </si>
  <si>
    <t>TXN-20260420-0041</t>
  </si>
  <si>
    <t>TXN-20260420-0042</t>
  </si>
  <si>
    <t>TXN-20260420-0043</t>
  </si>
  <si>
    <t>TXN-20260420-0044</t>
  </si>
  <si>
    <t>TXN-20260420-0045</t>
  </si>
  <si>
    <t>TXN-20260420-0046</t>
  </si>
  <si>
    <t>TXN-20260420-0047</t>
  </si>
  <si>
    <t>TXN-20260420-0048</t>
  </si>
  <si>
    <t>TXN-20260420-0049</t>
  </si>
  <si>
    <t>TXN-20260420-0050</t>
  </si>
  <si>
    <t>TXN-20260420-0051</t>
  </si>
  <si>
    <t>TXN-20260420-0052</t>
  </si>
  <si>
    <t>TXN-20260420-0053</t>
  </si>
  <si>
    <t>TXN-20260420-0054</t>
  </si>
  <si>
    <t>TXN-20260420-0055</t>
  </si>
  <si>
    <t>TXN-20260420-0056</t>
  </si>
  <si>
    <t>TXN-20260420-0057</t>
  </si>
  <si>
    <t>TXN-20260420-0058</t>
  </si>
  <si>
    <t>TXN-20260420-0059</t>
  </si>
  <si>
    <t>TXN-20260420-0060</t>
  </si>
  <si>
    <t>TXN-20260420-0061</t>
  </si>
  <si>
    <t>TXN-20260420-0062</t>
  </si>
  <si>
    <t>TXN-20260420-0063</t>
  </si>
  <si>
    <t>TXN-20260420-0064</t>
  </si>
  <si>
    <t>TXN-20260420-0065</t>
  </si>
  <si>
    <t>TXN-20260420-0066</t>
  </si>
  <si>
    <t>TXN-20260420-0067</t>
  </si>
  <si>
    <t>TXN-20260420-0068</t>
  </si>
  <si>
    <t>TXN-20260420-0069</t>
  </si>
  <si>
    <t>TXN-20260420-0070</t>
  </si>
  <si>
    <t>TXN-20260420-0071</t>
  </si>
  <si>
    <t>TXN-20260420-0072</t>
  </si>
  <si>
    <t>TXN-20260420-0073</t>
  </si>
  <si>
    <t>TXN-20260420-0074</t>
  </si>
  <si>
    <t>TXN-20260420-0075</t>
  </si>
  <si>
    <t>TXN-20260420-0076</t>
  </si>
  <si>
    <t>TXN-20260420-0077</t>
  </si>
  <si>
    <t>TXN-20260420-0078</t>
  </si>
  <si>
    <t>TXN-20260420-0079</t>
  </si>
  <si>
    <t>TXN-20260420-0080</t>
  </si>
  <si>
    <t>TXN-20260420-0081</t>
  </si>
  <si>
    <t>TXN-20260420-0082</t>
  </si>
  <si>
    <t>TXN-20260420-0083</t>
  </si>
  <si>
    <t>TXN-20260420-0084</t>
  </si>
  <si>
    <t>TXN-20260420-0085</t>
  </si>
  <si>
    <t>TXN-20260420-0086</t>
  </si>
  <si>
    <t>TXN-20260420-0087</t>
  </si>
  <si>
    <t>TXN-20260420-0088</t>
  </si>
  <si>
    <t>TXN-20260420-0089</t>
  </si>
  <si>
    <t>TXN-20260420-0090</t>
  </si>
  <si>
    <t>TXN-20260420-0091</t>
  </si>
  <si>
    <t>TXN-20260420-0092</t>
  </si>
  <si>
    <t>TXN-20260420-0093</t>
  </si>
  <si>
    <t>TXN-20260420-0094</t>
  </si>
  <si>
    <t>TXN-20260420-0095</t>
  </si>
  <si>
    <t>TXN-20260420-0096</t>
  </si>
  <si>
    <t>TXN-20260420-0097</t>
  </si>
  <si>
    <t>TXN-20260420-0098</t>
  </si>
  <si>
    <t>TXN-20260420-0099</t>
  </si>
  <si>
    <t>TXN-20260420-0100</t>
  </si>
  <si>
    <t>TXN-20260420-0101</t>
  </si>
  <si>
    <t>TXN-20260420-0102</t>
  </si>
  <si>
    <t>TXN-20260420-0103</t>
  </si>
  <si>
    <t>TXN-20260420-0104</t>
  </si>
  <si>
    <t>TXN-20260420-0105</t>
  </si>
  <si>
    <t>TXN-20260420-0106</t>
  </si>
  <si>
    <t>TXN-20260420-0107</t>
  </si>
  <si>
    <t>TXN-20260420-0108</t>
  </si>
  <si>
    <t>TXN-20260420-0109</t>
  </si>
  <si>
    <t>TXN-20260420-0110</t>
  </si>
  <si>
    <t>TXN-20260420-0111</t>
  </si>
  <si>
    <t>TXN-20260420-0112</t>
  </si>
  <si>
    <t>TXN-20260420-0113</t>
  </si>
  <si>
    <t>TXN-20260420-0114</t>
  </si>
  <si>
    <t>TXN-20260420-0115</t>
  </si>
  <si>
    <t>TXN-20260420-0116</t>
  </si>
  <si>
    <t>TXN-20260420-0117</t>
  </si>
  <si>
    <t>TXN-20260420-0118</t>
  </si>
  <si>
    <t>TXN-20260420-0119</t>
  </si>
  <si>
    <t>TXN-20260420-0120</t>
  </si>
  <si>
    <t>TXN-20260420-0121</t>
  </si>
  <si>
    <t>TXN-20260420-0122</t>
  </si>
  <si>
    <t>TXN-20260420-0123</t>
  </si>
  <si>
    <t>TXN-20260420-0124</t>
  </si>
  <si>
    <t>TXN-20260420-0125</t>
  </si>
  <si>
    <t>TXN-20260420-0126</t>
  </si>
  <si>
    <t>TXN-20260420-0127</t>
  </si>
  <si>
    <t>TXN-20260420-0128</t>
  </si>
  <si>
    <t>TXN-20260420-0129</t>
  </si>
  <si>
    <t>TXN-20260420-0130</t>
  </si>
  <si>
    <t>TXN-20260420-0131</t>
  </si>
  <si>
    <t>TXN-20260420-0132</t>
  </si>
  <si>
    <t>TXN-20260420-0133</t>
  </si>
  <si>
    <t>TXN-20260420-0134</t>
  </si>
  <si>
    <t>TXN-20260420-0135</t>
  </si>
  <si>
    <t>TXN-20260420-0136</t>
  </si>
  <si>
    <t>TXN-20260420-0137</t>
  </si>
  <si>
    <t>TXN-20260420-0138</t>
  </si>
  <si>
    <t>TXN-20260420-0139</t>
  </si>
  <si>
    <t>TXN-20260420-0140</t>
  </si>
  <si>
    <t>TXN-20260420-0141</t>
  </si>
  <si>
    <t>TXN-20260420-0142</t>
  </si>
  <si>
    <t>TXN-20260420-0143</t>
  </si>
  <si>
    <t>TXN-20260420-0144</t>
  </si>
  <si>
    <t>TXN-20260420-0145</t>
  </si>
  <si>
    <t>TXN-20260420-0146</t>
  </si>
  <si>
    <t>TXN-20260420-0147</t>
  </si>
  <si>
    <t>TXN-20260420-0148</t>
  </si>
  <si>
    <t>TXN-20260420-0149</t>
  </si>
  <si>
    <t>TXN-20260420-0150</t>
  </si>
  <si>
    <t>TXN-20260420-0151</t>
  </si>
  <si>
    <t>TXN-20260420-0152</t>
  </si>
  <si>
    <t>TXN-20260420-0153</t>
  </si>
  <si>
    <t>TXN-20260420-0154</t>
  </si>
  <si>
    <t>TXN-20260420-0155</t>
  </si>
  <si>
    <t>TXN-20260420-0156</t>
  </si>
  <si>
    <t>TXN-20260420-0157</t>
  </si>
  <si>
    <t>TXN-20260420-0158</t>
  </si>
  <si>
    <t>TXN-20260420-0159</t>
  </si>
  <si>
    <t>TXN-20260420-0160</t>
  </si>
  <si>
    <t>TXN-20260420-0161</t>
  </si>
  <si>
    <t>TXN-20260420-0162</t>
  </si>
  <si>
    <t>TXN-20260420-0163</t>
  </si>
  <si>
    <t>TXN-20260420-0164</t>
  </si>
  <si>
    <t>TXN-20260420-0165</t>
  </si>
  <si>
    <t>TXN-20260420-0166</t>
  </si>
  <si>
    <t>TXN-20260420-0167</t>
  </si>
  <si>
    <t>TXN-20260420-0168</t>
  </si>
  <si>
    <t>TXN-20260420-0169</t>
  </si>
  <si>
    <t>TXN-20260420-0170</t>
  </si>
  <si>
    <t>TXN-20260420-0171</t>
  </si>
  <si>
    <t>TXN-20260420-0172</t>
  </si>
  <si>
    <t>TXN-20260420-0173</t>
  </si>
  <si>
    <t>TXN-20260420-0174</t>
  </si>
  <si>
    <t>TXN-20260420-0175</t>
  </si>
  <si>
    <t>TXN-20260420-0176</t>
  </si>
  <si>
    <t>TXN-20260420-0177</t>
  </si>
  <si>
    <t>TXN-20260420-0178</t>
  </si>
  <si>
    <t>TXN-20260420-0179</t>
  </si>
  <si>
    <t>TXN-20260420-0180</t>
  </si>
  <si>
    <t>TXN-20260420-0181</t>
  </si>
  <si>
    <t>TXN-20260420-0182</t>
  </si>
  <si>
    <t>TXN-20260420-0183</t>
  </si>
  <si>
    <t>TXN-20260420-0184</t>
  </si>
  <si>
    <t>TXN-20260420-0185</t>
  </si>
  <si>
    <t>TXN-20260420-0186</t>
  </si>
  <si>
    <t>TXN-20260420-0187</t>
  </si>
  <si>
    <t>TXN-20260420-0188</t>
  </si>
  <si>
    <t>TXN-20260420-0189</t>
  </si>
  <si>
    <t>TXN-20260420-0190</t>
  </si>
  <si>
    <t>TXN-20260420-0191</t>
  </si>
  <si>
    <t>TXN-20260420-0192</t>
  </si>
  <si>
    <t>TXN-20260420-0193</t>
  </si>
  <si>
    <t>TXN-20260420-0194</t>
  </si>
  <si>
    <t>TXN-20260420-0195</t>
  </si>
  <si>
    <t>TXN-20260420-0196</t>
  </si>
  <si>
    <t>TXN-20260420-0197</t>
  </si>
  <si>
    <t>TXN-20260420-0198</t>
  </si>
  <si>
    <t>TXN-20260420-0199</t>
  </si>
  <si>
    <t>TXN-20260420-0200</t>
  </si>
  <si>
    <t>TXN-20260420-0201</t>
  </si>
  <si>
    <t>TXN-20260420-0202</t>
  </si>
  <si>
    <t>TXN-20260420-0203</t>
  </si>
  <si>
    <t>TXN-20260420-0204</t>
  </si>
  <si>
    <t>TXN-20260420-0205</t>
  </si>
  <si>
    <t>TXN-20260420-0206</t>
  </si>
  <si>
    <t>TXN-20260420-0207</t>
  </si>
  <si>
    <t>TXN-20260420-0208</t>
  </si>
  <si>
    <t>TXN-20260420-0209</t>
  </si>
  <si>
    <t>TXN-20260420-0210</t>
  </si>
  <si>
    <t>TXN-20260420-0211</t>
  </si>
  <si>
    <t>TXN-20260420-0212</t>
  </si>
  <si>
    <t>TXN-20260420-0213</t>
  </si>
  <si>
    <t>TXN-20260420-0214</t>
  </si>
  <si>
    <t>TXN-20260420-0215</t>
  </si>
  <si>
    <t>TXN-20260420-0216</t>
  </si>
  <si>
    <t>TXN-20260420-0217</t>
  </si>
  <si>
    <t>TXN-20260420-0218</t>
  </si>
  <si>
    <t>TXN-20260420-0219</t>
  </si>
  <si>
    <t>TXN-20260420-0220</t>
  </si>
  <si>
    <t>TXN-20260420-0221</t>
  </si>
  <si>
    <t>TXN-20260420-0222</t>
  </si>
  <si>
    <t>TXN-20260420-0223</t>
  </si>
  <si>
    <t>TXN-20260420-0224</t>
  </si>
  <si>
    <t>TXN-20260420-0225</t>
  </si>
  <si>
    <t>TXN-20260420-0226</t>
  </si>
  <si>
    <t>TXN-20260420-0227</t>
  </si>
  <si>
    <t>TXN-20260420-0228</t>
  </si>
  <si>
    <t>TXN-20260420-0229</t>
  </si>
  <si>
    <t>TXN-20260420-0230</t>
  </si>
  <si>
    <t>TXN-20260420-0231</t>
  </si>
  <si>
    <t>TXN-20260420-0232</t>
  </si>
  <si>
    <t>TXN-20260420-0233</t>
  </si>
  <si>
    <t>TXN-20260420-0234</t>
  </si>
  <si>
    <t>TXN-20260420-0235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</si>
</sst>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charset val="177"/>
      <scheme val="minor"/>
    </font>
    <font>
      <b/>
      <sz val="16"/>
      <color rgb="FFFFFFFF"/>
      <name val="Arial"/>
      <family val="2"/>
      <scheme val="minor"/>
    </font>
    <font>
      <sz val="11"/>
      <color rgb="FF4472C4"/>
      <name val="Arial"/>
      <family val="2"/>
      <charset val="177"/>
      <scheme val="minor"/>
    </font>
    <font>
      <b/>
      <sz val="12"/>
      <color rgb="FF4472C4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rgb="FFFFFFFF"/>
      <name val="Arial"/>
      <family val="2"/>
      <scheme val="minor"/>
    </font>
    <font>
      <b/>
      <sz val="11"/>
      <color rgb="FFFFFFFF"/>
      <name val="Arial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55A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6" fillId="3" borderId="0" xfId="0" applyFont="1" applyFill="1"/>
    <xf numFmtId="0" fontId="6" fillId="4" borderId="0" xfId="0" applyFont="1" applyFill="1"/>
    <xf numFmtId="0" fontId="6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/>
    <xf numFmtId="0" fontId="5" fillId="3" borderId="0" xfId="0" applyFont="1" applyFill="1"/>
    <xf numFmtId="0" fontId="5" fillId="4" borderId="0" xfId="0" applyFont="1" applyFill="1"/>
    <xf numFmtId="0" fontId="5" fillId="2" borderId="0" xfId="0" applyFont="1" applyFill="1"/>
    <xf numFmtId="11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25400</xdr:rowOff>
        </xdr:from>
        <xdr:to>
          <xdr:col>4</xdr:col>
          <xdr:colOff>635000</xdr:colOff>
          <xdr:row>5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פתח תפריט ראשי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6</xdr:row>
          <xdr:rowOff>25400</xdr:rowOff>
        </xdr:from>
        <xdr:to>
          <xdr:col>4</xdr:col>
          <xdr:colOff>635000</xdr:colOff>
          <xdr:row>6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הוספת פריט חדש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7</xdr:row>
          <xdr:rowOff>25400</xdr:rowOff>
        </xdr:from>
        <xdr:to>
          <xdr:col>4</xdr:col>
          <xdr:colOff>635000</xdr:colOff>
          <xdr:row>7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קבלת מלאי (IN)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8</xdr:row>
          <xdr:rowOff>25400</xdr:rowOff>
        </xdr:from>
        <xdr:to>
          <xdr:col>4</xdr:col>
          <xdr:colOff>635000</xdr:colOff>
          <xdr:row>8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הוצאת מלאי (OUT)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9</xdr:row>
          <xdr:rowOff>25400</xdr:rowOff>
        </xdr:from>
        <xdr:to>
          <xdr:col>4</xdr:col>
          <xdr:colOff>635000</xdr:colOff>
          <xdr:row>9</xdr:row>
          <xdr:rowOff>203200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תיקון מלאי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10</xdr:row>
          <xdr:rowOff>25400</xdr:rowOff>
        </xdr:from>
        <xdr:to>
          <xdr:col>4</xdr:col>
          <xdr:colOff>635000</xdr:colOff>
          <xdr:row>10</xdr:row>
          <xdr:rowOff>203200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חיפוש פריט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11</xdr:row>
          <xdr:rowOff>25400</xdr:rowOff>
        </xdr:from>
        <xdr:to>
          <xdr:col>4</xdr:col>
          <xdr:colOff>635000</xdr:colOff>
          <xdr:row>11</xdr:row>
          <xdr:rowOff>203200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דוח חוסרים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12</xdr:row>
          <xdr:rowOff>25400</xdr:rowOff>
        </xdr:from>
        <xdr:to>
          <xdr:col>4</xdr:col>
          <xdr:colOff>635000</xdr:colOff>
          <xdr:row>12</xdr:row>
          <xdr:rowOff>203200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ייבוא ממהדורה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9F18AA-6EE3-4586-8011-A4F75B706425}" name="tbl_Items" displayName="tbl_Items" ref="A1:Y248" totalsRowShown="0">
  <autoFilter ref="A1:Y248" xr:uid="{C09F18AA-6EE3-4586-8011-A4F75B706425}"/>
  <tableColumns count="25">
    <tableColumn id="1" xr3:uid="{DF2E2530-A878-4B3B-A431-A2E09DCFF277}" name="Item_ID"/>
    <tableColumn id="2" xr3:uid="{606977B5-52FF-42AF-B08E-03E6CEB784CE}" name="Item_Name_HE"/>
    <tableColumn id="3" xr3:uid="{3627CAE1-1294-473D-9B44-11A448E21ED5}" name="Item_Name_EN"/>
    <tableColumn id="4" xr3:uid="{2AE74AE7-0A38-4F0A-8409-8CE1B1635E61}" name="Category"/>
    <tableColumn id="5" xr3:uid="{B79FFB2C-46DE-4BE6-8243-6BD9476BEAC0}" name="Sub_Category"/>
    <tableColumn id="6" xr3:uid="{81B86835-E1ED-4183-9002-597F9FE0461A}" name="Manufacturer"/>
    <tableColumn id="7" xr3:uid="{C9CCEF41-E0C4-43E8-BF43-12B0DF321CD7}" name="Model"/>
    <tableColumn id="8" xr3:uid="{C2BF8331-CE39-424E-A823-67CBAFB63218}" name="Part_Number"/>
    <tableColumn id="9" xr3:uid="{371C670F-394E-4A5D-9EFA-43EC0FA9E2F2}" name="Item_Type"/>
    <tableColumn id="10" xr3:uid="{1FF92092-1DF1-4CA3-A8DB-31B565EFB15D}" name="Unit"/>
    <tableColumn id="11" xr3:uid="{676C56AB-0009-4701-B034-5381AE3D7ED1}" name="Unit_Price_ILS"/>
    <tableColumn id="12" xr3:uid="{E7A2072A-DCB2-4BDC-9D60-4609553BF225}" name="Lead_Time_Months"/>
    <tableColumn id="13" xr3:uid="{154D62D5-0B72-484F-AA4E-59E5C60FD521}" name="Storage_Location"/>
    <tableColumn id="14" xr3:uid="{09FC2D0E-17CA-4308-AB66-652367E05CD0}" name="Supplier1_ID"/>
    <tableColumn id="15" xr3:uid="{E5A30376-D885-4670-B24C-AF3CD7CDED75}" name="Supplier2_ID"/>
    <tableColumn id="16" xr3:uid="{40C838DC-D586-4328-B514-63E6D92D0667}" name="Datasheet_URL"/>
    <tableColumn id="17" xr3:uid="{206C39A7-6DF9-4F50-8AE9-D4C44064E3FF}" name="Is_Critical"/>
    <tableColumn id="18" xr3:uid="{B5C09EBF-6232-4052-BBF3-04DB725287F6}" name="Failure_Probability"/>
    <tableColumn id="19" xr3:uid="{5DF38A44-1F92-40CF-8C2E-B8A9B56615D6}" name="Shutdown_Cost_Day"/>
    <tableColumn id="20" xr3:uid="{9A2D6C9E-F5E6-456C-BE8F-1DE370C921B8}" name="Service_Agreement"/>
    <tableColumn id="21" xr3:uid="{3DC3B804-38D8-4D7B-8726-B559E15F5707}" name="Status"/>
    <tableColumn id="22" xr3:uid="{8717F40B-2CF0-4385-BED7-20DF6ACD1ABB}" name="Notes"/>
    <tableColumn id="23" xr3:uid="{7A0B17DB-A307-4F2E-816C-83C1B48250BF}" name="Created_Date"/>
    <tableColumn id="24" xr3:uid="{34547A5F-D1BB-4742-A37B-6D38390467F7}" name="Created_By"/>
    <tableColumn id="25" xr3:uid="{6A4663CC-563A-441C-9A3E-870333945C6E}" name="Modified_D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BEDBDD-81B5-461C-82D1-12C9D088A72B}" name="tbl_Inventory" displayName="tbl_Inventory" ref="A1:N248" totalsRowShown="0">
  <autoFilter ref="A1:N248" xr:uid="{69BEDBDD-81B5-461C-82D1-12C9D088A72B}"/>
  <tableColumns count="14">
    <tableColumn id="1" xr3:uid="{658CD1C7-FF69-49C1-B1B6-6C340626500B}" name="Item_ID"/>
    <tableColumn id="2" xr3:uid="{7C782CA5-7F78-47E8-BC32-A46F917C5F47}" name="Item_Name_HE"/>
    <tableColumn id="3" xr3:uid="{5AB5613F-532F-49FC-8D8D-801D069E4A5C}" name="Category"/>
    <tableColumn id="4" xr3:uid="{F4FF9C6A-25A8-421F-8DDB-6750A1F4F57F}" name="Manufacturer"/>
    <tableColumn id="5" xr3:uid="{E3EF2B18-4620-46D3-8EDA-2EE441EAE745}" name="Model"/>
    <tableColumn id="6" xr3:uid="{3877DF31-8FA0-4A01-A7C3-12B3F3A781A4}" name="Qty_On_Hand"/>
    <tableColumn id="7" xr3:uid="{6F31FBBB-B2E0-492C-947C-12727E269311}" name="Min_Qty"/>
    <tableColumn id="8" xr3:uid="{08BD03CA-A8F2-40A5-A84E-45BBD1F238A4}" name="Shortage_Flag"/>
    <tableColumn id="9" xr3:uid="{7EA00EA0-6CEB-4B98-B162-D4A33C29DC6B}" name="Is_Critical"/>
    <tableColumn id="10" xr3:uid="{54F834A7-6FE8-40D2-9439-0A30B10BB39E}" name="Alert_Level"/>
    <tableColumn id="11" xr3:uid="{A8A92FAB-AC96-461B-B840-34B6CC801EC8}" name="Unit_Price_ILS"/>
    <tableColumn id="12" xr3:uid="{792825B4-B22C-4D83-9F5B-510B97167ADD}" name="Stock_Value_ILS"/>
    <tableColumn id="13" xr3:uid="{245D3708-7548-4EDC-B127-3ECAD0A4D2B4}" name="Last_Transaction_Date"/>
    <tableColumn id="14" xr3:uid="{982F1CC7-66B5-4030-86EE-C8BE874593E3}" name="Last_Transaction_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16AD88E-162D-455B-86D8-C4DA92657B4F}" name="tbl_MinStock" displayName="tbl_MinStock" ref="A1:I2" insertRow="1" totalsRowShown="0">
  <autoFilter ref="A1:I2" xr:uid="{D16AD88E-162D-455B-86D8-C4DA92657B4F}"/>
  <tableColumns count="9">
    <tableColumn id="1" xr3:uid="{C098EC30-D9B6-4F6C-AADD-93C576A9B577}" name="Item_ID"/>
    <tableColumn id="2" xr3:uid="{6B7F6386-8264-4970-B18A-6AE1E78198BD}" name="Item_Name_HE"/>
    <tableColumn id="3" xr3:uid="{8E5E49F6-AD38-4674-8F52-5F9F8C56E29C}" name="Min_Qty"/>
    <tableColumn id="4" xr3:uid="{EA2A0681-0946-4EC0-ABA8-FC368260E075}" name="Reorder_Qty"/>
    <tableColumn id="5" xr3:uid="{E2CF0766-B7D5-41F5-AAC1-B89663198402}" name="Is_Critical"/>
    <tableColumn id="6" xr3:uid="{3874BFBA-0552-4D59-ADB2-F4EA67DFF0FF}" name="Shutdown_Cost_Day"/>
    <tableColumn id="7" xr3:uid="{37F90DDF-A453-4F2F-9CCE-787ADFAD132E}" name="Priority_Score"/>
    <tableColumn id="8" xr3:uid="{061AA02B-4FE8-424F-AAD7-FD9B57C39FAC}" name="Review_Date"/>
    <tableColumn id="9" xr3:uid="{07583A86-8032-4843-87B5-38A19E933384}" name="Note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1AAF09D-B497-457C-BFED-ADE25D6BAE53}" name="tbl_Transactions" displayName="tbl_Transactions" ref="A1:P236" totalsRowShown="0">
  <autoFilter ref="A1:P236" xr:uid="{F1AAF09D-B497-457C-BFED-ADE25D6BAE53}"/>
  <tableColumns count="16">
    <tableColumn id="1" xr3:uid="{53438D06-D413-4B70-BCCB-48B0C038FE38}" name="Txn_ID"/>
    <tableColumn id="2" xr3:uid="{5B5EA014-C5F6-4FA2-AE68-E09180DC783D}" name="Txn_Date"/>
    <tableColumn id="3" xr3:uid="{04C625EB-A268-4043-A824-2660D409ECD6}" name="Txn_Type"/>
    <tableColumn id="4" xr3:uid="{3BEE423E-CF77-4F2F-8739-FE7EDD0FD145}" name="Item_ID"/>
    <tableColumn id="5" xr3:uid="{85C065CB-3F34-4C01-872A-554E27D268BF}" name="Item_Name_HE"/>
    <tableColumn id="6" xr3:uid="{3A4CA0A3-C3B1-4D84-AB3D-83E60AF4217E}" name="Qty_Change"/>
    <tableColumn id="7" xr3:uid="{656CFC93-DB7E-4BB8-AA82-4F57589E99A7}" name="Qty_Before"/>
    <tableColumn id="8" xr3:uid="{B84898C7-5870-4592-B740-3148253F8EEC}" name="Qty_After"/>
    <tableColumn id="9" xr3:uid="{216B0D13-5783-4CF2-8670-EEB8F2AA8349}" name="Unit_Price_ILS"/>
    <tableColumn id="10" xr3:uid="{CA6A670C-6743-4C81-8F5D-54A997786C92}" name="Reason"/>
    <tableColumn id="11" xr3:uid="{DDFB91D9-93C7-4350-B57B-EAC081D09F11}" name="PO_Number"/>
    <tableColumn id="12" xr3:uid="{EB915554-228A-45A7-B8BC-1791EAFB66C7}" name="Work_Order"/>
    <tableColumn id="13" xr3:uid="{F5ADCDBB-CB29-4BBE-9F1A-5044C636D9CE}" name="Technician"/>
    <tableColumn id="14" xr3:uid="{7D7C2862-7076-4834-A61D-4286DB3CE7D1}" name="Recorded_By"/>
    <tableColumn id="15" xr3:uid="{0906FF97-B08B-4A03-A547-2D682127D79B}" name="Recorded_DateTime"/>
    <tableColumn id="16" xr3:uid="{216D701E-275B-4906-A0B3-6B549432FE92}" name="Related_Asset_Ta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B718622-6C70-4910-A8C6-3D62EAA7A883}" name="tbl_Suppliers" displayName="tbl_Suppliers" ref="A1:J2" insertRow="1" totalsRowShown="0">
  <autoFilter ref="A1:J2" xr:uid="{BB718622-6C70-4910-A8C6-3D62EAA7A883}"/>
  <tableColumns count="10">
    <tableColumn id="1" xr3:uid="{29D6DFE3-0209-4E6F-B7DB-AA53C073E98A}" name="Supplier_ID"/>
    <tableColumn id="2" xr3:uid="{705C8F0A-B02F-4428-913A-5ECC01798B0F}" name="Supplier_Name_HE"/>
    <tableColumn id="3" xr3:uid="{6FA14A2F-A35F-4DAD-ACBD-DA4130D6278E}" name="Supplier_Name_EN"/>
    <tableColumn id="4" xr3:uid="{F166A08C-58DC-4037-9DA8-64B65FA0AEDF}" name="Contact_Person"/>
    <tableColumn id="5" xr3:uid="{628E613D-D5FD-4E83-9043-D416F28FB19F}" name="Phone"/>
    <tableColumn id="6" xr3:uid="{FF2ADD89-25D2-4319-A161-CAB62A7C6819}" name="Email"/>
    <tableColumn id="7" xr3:uid="{59C4657A-4BA0-42E6-BAA3-7A6FE59A1602}" name="Manufacturer_Represented"/>
    <tableColumn id="8" xr3:uid="{6A575C39-F47A-43D7-8E16-47A3938FCC50}" name="Lead_Time_Typical_Months"/>
    <tableColumn id="9" xr3:uid="{C7A16D67-C640-425A-B13F-107B754FB8C0}" name="Notes"/>
    <tableColumn id="10" xr3:uid="{37FBECCF-2BE1-4894-ABDA-0BC23D7DC5B2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E0DDA95-30F0-487D-90CF-306D7742BFBF}" name="tbl_PurchaseOrders" displayName="tbl_PurchaseOrders" ref="A1:O2" insertRow="1" totalsRowShown="0">
  <autoFilter ref="A1:O2" xr:uid="{AE0DDA95-30F0-487D-90CF-306D7742BFBF}"/>
  <tableColumns count="15">
    <tableColumn id="1" xr3:uid="{AC3A7CE9-442C-4DE1-B28F-49CD71E15328}" name="PO_ID"/>
    <tableColumn id="2" xr3:uid="{1DF9E4CC-B893-4D5E-8CE1-5010DDB97A4D}" name="PO_Date"/>
    <tableColumn id="3" xr3:uid="{20F07028-EFF8-4793-BC51-FCAB2E7A3299}" name="Item_ID"/>
    <tableColumn id="4" xr3:uid="{627C89E1-774C-4F0B-BAB3-C0DEFE81FAF1}" name="Item_Name_HE"/>
    <tableColumn id="5" xr3:uid="{75BE014B-E442-4036-9D39-C92FCE0CC721}" name="Supplier_ID"/>
    <tableColumn id="6" xr3:uid="{454DAD85-60EC-4711-A7A5-31EBD49E48F8}" name="Qty_Ordered"/>
    <tableColumn id="7" xr3:uid="{7B4F3EF2-24CD-4490-8FB8-52A2F18B7902}" name="Qty_Received"/>
    <tableColumn id="8" xr3:uid="{64452AC9-D297-411D-98A1-645DA051E449}" name="Unit_Price_ILS"/>
    <tableColumn id="9" xr3:uid="{5874E26E-FDBF-4DDB-BDA2-C5F829495DBD}" name="Total_Price_ILS"/>
    <tableColumn id="10" xr3:uid="{4FC1E075-5456-455D-A651-B9B687A81E70}" name="Expected_Delivery"/>
    <tableColumn id="11" xr3:uid="{91185F4D-15C0-45FF-A5B1-F8AE4D47A1AB}" name="Actual_Delivery"/>
    <tableColumn id="12" xr3:uid="{01987578-73EC-4AB9-AE32-14CE5DDB35B3}" name="PO_Status"/>
    <tableColumn id="13" xr3:uid="{747705D2-A71B-436B-937D-3CDF232270D5}" name="Priority"/>
    <tableColumn id="14" xr3:uid="{AE837D21-E651-44AA-9D49-738097E134D1}" name="Requested_By"/>
    <tableColumn id="15" xr3:uid="{5B405F8E-8F66-4BE5-83CE-5AB4E45A6E0F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8633AF-4543-4A4A-A6A0-E9B46E430BBD}" name="tbl_AssetsLink" displayName="tbl_AssetsLink" ref="A1:K2" insertRow="1" totalsRowShown="0">
  <autoFilter ref="A1:K2" xr:uid="{828633AF-4543-4A4A-A6A0-E9B46E430BBD}"/>
  <tableColumns count="11">
    <tableColumn id="1" xr3:uid="{7C1B5281-2B9C-4729-869F-E171823E11A5}" name="Asset_Tag"/>
    <tableColumn id="2" xr3:uid="{7CF3E5B0-172B-4DC1-B5A6-663A4574195B}" name="Asset_Name_HE"/>
    <tableColumn id="3" xr3:uid="{FED40099-AA99-4131-AD12-64DB4C5CB433}" name="System"/>
    <tableColumn id="4" xr3:uid="{69A28922-4930-4F4B-80C9-52BEBCD6F748}" name="Manufacturer"/>
    <tableColumn id="5" xr3:uid="{100F4083-76AF-4A68-B14A-E941934110A1}" name="Model"/>
    <tableColumn id="6" xr3:uid="{73B842CA-367F-42D5-BFEE-4411D1315FDD}" name="Is_Critical"/>
    <tableColumn id="7" xr3:uid="{D3954E0B-7DE6-4D33-AE50-DF726D1BBBA0}" name="Item_ID_1"/>
    <tableColumn id="8" xr3:uid="{D3329177-0065-4DF1-BD5D-274C1033AE47}" name="Item_ID_2"/>
    <tableColumn id="9" xr3:uid="{60F10177-BC33-45E4-B72A-DE0909571488}" name="Item_ID_3"/>
    <tableColumn id="10" xr3:uid="{E827F2DF-BEEB-4CD7-AA5C-9F6AEADF3074}" name="Item_ID_4"/>
    <tableColumn id="11" xr3:uid="{DCA54844-ACFE-4AD4-BFC1-215C95F0F93D}" name="Notes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DDCE28-ADAE-4B66-B184-F35B32570831}" name="tbl_Categories" displayName="tbl_Categories" ref="A1:A16" totalsRowShown="0">
  <autoFilter ref="A1:A16" xr:uid="{1DDDCE28-ADAE-4B66-B184-F35B32570831}"/>
  <tableColumns count="1">
    <tableColumn id="1" xr3:uid="{CD21DFDF-E9FE-4B8E-B869-F35D6407391A}" name="Categori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1611A7-5F45-45CF-81B6-B08F95BE21C9}" name="tbl_Manufacturers" displayName="tbl_Manufacturers" ref="C1:C46" totalsRowShown="0">
  <autoFilter ref="C1:C46" xr:uid="{AB1611A7-5F45-45CF-81B6-B08F95BE21C9}"/>
  <tableColumns count="1">
    <tableColumn id="1" xr3:uid="{BCEA329B-BB95-4056-9598-B407FA19B708}" name="Manufacturer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808621-9894-4CA0-9B1C-A36793BC5BFE}" name="tbl_Locations" displayName="tbl_Locations" ref="E1:E7" totalsRowShown="0">
  <autoFilter ref="E1:E7" xr:uid="{56808621-9894-4CA0-9B1C-A36793BC5BFE}"/>
  <tableColumns count="1">
    <tableColumn id="1" xr3:uid="{9D2CBC2D-54C5-4774-8A21-046AFFDD1CEF}" name="Location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71AAF2-F044-4178-94D4-85139DDFC554}" name="tbl_TxnTypes" displayName="tbl_TxnTypes" ref="G1:G5" totalsRowShown="0">
  <autoFilter ref="G1:G5" xr:uid="{1771AAF2-F044-4178-94D4-85139DDFC554}"/>
  <tableColumns count="1">
    <tableColumn id="1" xr3:uid="{49BF0CB4-D337-4B27-B324-692F7B60EF92}" name="TxnTyp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CAEB60-F42F-430F-BAAC-960CA7C1FF8C}" name="tbl_Units" displayName="tbl_Units" ref="I1:I8" totalsRowShown="0">
  <autoFilter ref="I1:I8" xr:uid="{FDCAEB60-F42F-430F-BAAC-960CA7C1FF8C}"/>
  <tableColumns count="1">
    <tableColumn id="1" xr3:uid="{642AA24A-4AB0-450E-AF44-58192F2AE784}" name="Uni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389C411-C775-45BB-9F4C-C55C1E33B3EC}" name="tbl_ItemStatus" displayName="tbl_ItemStatus" ref="K1:K4" totalsRowShown="0">
  <autoFilter ref="K1:K4" xr:uid="{F389C411-C775-45BB-9F4C-C55C1E33B3EC}"/>
  <tableColumns count="1">
    <tableColumn id="1" xr3:uid="{025D9585-00A8-424A-9D38-0B1DFB18BE05}" name="Item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6238BC-9DF4-4015-BD62-B3B9082E4990}" name="tbl_POStatus" displayName="tbl_POStatus" ref="M1:M5" totalsRowShown="0">
  <autoFilter ref="M1:M5" xr:uid="{BB6238BC-9DF4-4015-BD62-B3B9082E4990}"/>
  <tableColumns count="1">
    <tableColumn id="1" xr3:uid="{DA3E4873-7201-47CF-B594-136DB4B919B5}" name="PO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B86C75-0593-4D97-BDC6-2D857E22F999}" name="tbl_YesNo" displayName="tbl_YesNo" ref="O1:O3" totalsRowShown="0">
  <autoFilter ref="O1:O3" xr:uid="{84B86C75-0593-4D97-BDC6-2D857E22F999}"/>
  <tableColumns count="1">
    <tableColumn id="1" xr3:uid="{852707FE-35BF-4BA4-9BF9-78D8310D2A86}" name="YesN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1252EE-5ED2-4AFF-A90A-64AA328D8E0C}" name="tbl_ItemTypes" displayName="tbl_ItemTypes" ref="Q1:Q3" totalsRowShown="0">
  <autoFilter ref="Q1:Q3" xr:uid="{831252EE-5ED2-4AFF-A90A-64AA328D8E0C}"/>
  <tableColumns count="1">
    <tableColumn id="1" xr3:uid="{88D189DC-B808-4C0C-81F8-7D17A6E699A3}" name="ItemTyp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195400C-7A3E-4468-BF31-04CACF877193}" name="tbl_Reasons" displayName="tbl_Reasons" ref="S1:S11" totalsRowShown="0">
  <autoFilter ref="S1:S11" xr:uid="{F195400C-7A3E-4468-BF31-04CACF877193}"/>
  <tableColumns count="1">
    <tableColumn id="1" xr3:uid="{905931D8-D2D2-4D84-9B32-70ECA0193482}" name="Reason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3A44DF-CD8B-4498-922D-CB94D474F7C9}" name="tbl_Archive" displayName="tbl_Archive" ref="A1:R2" insertRow="1" totalsRowShown="0">
  <autoFilter ref="A1:R2" xr:uid="{B13A44DF-CD8B-4498-922D-CB94D474F7C9}"/>
  <tableColumns count="18">
    <tableColumn id="1" xr3:uid="{A71DD9F6-E130-49D0-B2B2-2603DDCA76C5}" name="Txn_ID"/>
    <tableColumn id="2" xr3:uid="{ADDAD343-437B-4C94-ABFA-32CAAD88739E}" name="Txn_Date"/>
    <tableColumn id="3" xr3:uid="{0BE775C6-F584-41AF-A4CE-864FF3F870FB}" name="Txn_Type"/>
    <tableColumn id="4" xr3:uid="{F29CC720-F037-4CF7-8ABD-1B2BB5E1423D}" name="Item_ID"/>
    <tableColumn id="5" xr3:uid="{0F6F41B3-EF72-4079-85AE-BAEDE3749FC2}" name="Item_Name_HE"/>
    <tableColumn id="6" xr3:uid="{BE7352CC-BB7E-4B0B-9012-BEF6240B887E}" name="Qty_Change"/>
    <tableColumn id="7" xr3:uid="{0764AADC-8CCA-4A4C-9AAD-E6E350ABC04B}" name="Qty_Before"/>
    <tableColumn id="8" xr3:uid="{57C1AB81-6870-404C-843E-4D5CB7669615}" name="Qty_After"/>
    <tableColumn id="9" xr3:uid="{E7BDB36C-7B67-4B0B-AB18-4FDC9149CF9C}" name="Unit_Price_ILS"/>
    <tableColumn id="10" xr3:uid="{62178890-5AE7-4159-81B5-5324EF725C0A}" name="Reason"/>
    <tableColumn id="11" xr3:uid="{73BB7380-C4EB-4E61-BEFE-27A54C06C8C8}" name="PO_Number"/>
    <tableColumn id="12" xr3:uid="{F691F182-1E5C-4664-93C2-B6F8C1E05C7C}" name="Work_Order"/>
    <tableColumn id="13" xr3:uid="{8F2D3107-57BB-40D8-A317-6BD9DADF383C}" name="Technician"/>
    <tableColumn id="14" xr3:uid="{24C0A28E-66E9-4481-82BC-78362F1BEAB3}" name="Recorded_By"/>
    <tableColumn id="15" xr3:uid="{989D4DE0-A1BA-47AC-867A-460CEA1DF48E}" name="Recorded_DateTime"/>
    <tableColumn id="16" xr3:uid="{99E59912-F0F0-499F-BE22-A1168F97E82B}" name="Related_Asset_Tag"/>
    <tableColumn id="17" xr3:uid="{5CD9A1B5-1533-4426-A998-92CFF96CED05}" name="Archive_Date"/>
    <tableColumn id="18" xr3:uid="{F5F84CFE-AAD4-4BFA-AAAD-9719A7FE3CAF}" name="Archive_Reas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AC1B-81BE-4B24-B411-2810100E5400}">
  <sheetPr codeName="Sheet1">
    <tabColor rgb="FF4472C4"/>
  </sheetPr>
  <dimension ref="A1:J79"/>
  <sheetViews>
    <sheetView rightToLeft="1" tabSelected="1" workbookViewId="0">
      <selection sqref="A1:J1"/>
    </sheetView>
  </sheetViews>
  <sheetFormatPr defaultRowHeight="14" x14ac:dyDescent="0.3"/>
  <cols>
    <col min="1" max="1" width="32.58203125" customWidth="1"/>
    <col min="2" max="2" width="18.58203125" customWidth="1"/>
  </cols>
  <sheetData>
    <row r="1" spans="1:10" ht="38" customHeight="1" x14ac:dyDescent="0.4">
      <c r="A1" s="7" t="s">
        <v>196</v>
      </c>
      <c r="B1" s="8"/>
      <c r="C1" s="8"/>
      <c r="D1" s="8"/>
      <c r="E1" s="8"/>
      <c r="F1" s="8"/>
      <c r="G1" s="8"/>
      <c r="H1" s="8"/>
      <c r="I1" s="8"/>
      <c r="J1" s="8"/>
    </row>
    <row r="2" spans="1:10" x14ac:dyDescent="0.3">
      <c r="A2" s="9" t="s">
        <v>197</v>
      </c>
      <c r="B2" s="8"/>
      <c r="C2" s="8"/>
      <c r="D2" s="8"/>
      <c r="E2" s="8"/>
      <c r="F2" s="8"/>
      <c r="G2" s="8"/>
      <c r="H2" s="8"/>
      <c r="I2" s="8"/>
      <c r="J2" s="8"/>
    </row>
    <row r="3" spans="1:10" x14ac:dyDescent="0.3">
      <c r="G3" s="1"/>
    </row>
    <row r="5" spans="1:10" ht="15.5" x14ac:dyDescent="0.35">
      <c r="A5" s="10" t="s">
        <v>198</v>
      </c>
      <c r="B5" s="11"/>
      <c r="C5" s="11"/>
      <c r="D5" s="11"/>
      <c r="E5" s="11"/>
      <c r="F5" s="11"/>
      <c r="G5" s="11"/>
      <c r="H5" s="11"/>
      <c r="I5" s="11"/>
      <c r="J5" s="11"/>
    </row>
    <row r="6" spans="1:10" ht="18" x14ac:dyDescent="0.4">
      <c r="A6" s="2" t="s">
        <v>199</v>
      </c>
      <c r="B6" s="3">
        <f>COUNTA(tbl_Items[Item_ID])</f>
        <v>247</v>
      </c>
    </row>
    <row r="7" spans="1:10" ht="18" x14ac:dyDescent="0.4">
      <c r="A7" s="2" t="s">
        <v>200</v>
      </c>
      <c r="B7" s="3">
        <f>COUNTIF(tbl_Items[Status],"Active")</f>
        <v>247</v>
      </c>
    </row>
    <row r="8" spans="1:10" ht="18" x14ac:dyDescent="0.4">
      <c r="A8" s="2" t="s">
        <v>201</v>
      </c>
      <c r="B8" s="3">
        <f>SUM(tbl_Inventory[Qty_On_Hand])</f>
        <v>401</v>
      </c>
    </row>
    <row r="9" spans="1:10" ht="18" x14ac:dyDescent="0.4">
      <c r="A9" s="2" t="s">
        <v>202</v>
      </c>
      <c r="B9" s="3">
        <f>SUMPRODUCT(tbl_Inventory[Qty_On_Hand]*tbl_Inventory[Unit_Price_ILS])</f>
        <v>707983</v>
      </c>
    </row>
    <row r="10" spans="1:10" ht="18" x14ac:dyDescent="0.4">
      <c r="A10" s="2" t="s">
        <v>203</v>
      </c>
      <c r="B10" s="3">
        <f>COUNTIF(tbl_Inventory[Shortage_Flag],"חסר")</f>
        <v>0</v>
      </c>
    </row>
    <row r="11" spans="1:10" ht="18" x14ac:dyDescent="0.4">
      <c r="A11" s="2" t="s">
        <v>204</v>
      </c>
      <c r="B11" s="3">
        <f>COUNTIF(tbl_Inventory[Alert_Level],"RED_ALERT")</f>
        <v>0</v>
      </c>
    </row>
    <row r="12" spans="1:10" ht="18" x14ac:dyDescent="0.4">
      <c r="A12" s="2" t="s">
        <v>205</v>
      </c>
      <c r="B12" s="3">
        <f>COUNTIF(tbl_PurchaseOrders[PO_Status],"Pending")+COUNTIF(tbl_PurchaseOrders[PO_Status],"Partial")</f>
        <v>0</v>
      </c>
    </row>
    <row r="13" spans="1:10" ht="18" x14ac:dyDescent="0.4">
      <c r="A13" s="2" t="s">
        <v>206</v>
      </c>
      <c r="B13" s="3">
        <f ca="1">COUNTIFS(tbl_Transactions[Txn_Date],"&gt;="&amp;DATE(YEAR(TODAY()),MONTH(TODAY()),1),tbl_Transactions[Txn_Date],"&lt;="&amp;TODAY())</f>
        <v>0</v>
      </c>
    </row>
    <row r="20" spans="1:10" ht="15.5" x14ac:dyDescent="0.35">
      <c r="A20" s="12" t="s">
        <v>207</v>
      </c>
      <c r="B20" s="11"/>
      <c r="C20" s="11"/>
      <c r="D20" s="11"/>
      <c r="E20" s="11"/>
      <c r="F20" s="11"/>
      <c r="G20" s="11"/>
      <c r="H20" s="11"/>
      <c r="I20" s="11"/>
      <c r="J20" s="11"/>
    </row>
    <row r="21" spans="1:10" x14ac:dyDescent="0.3">
      <c r="B21" s="4" t="s">
        <v>208</v>
      </c>
      <c r="C21" s="4" t="s">
        <v>209</v>
      </c>
      <c r="D21" s="4" t="s">
        <v>210</v>
      </c>
      <c r="E21" s="4" t="s">
        <v>211</v>
      </c>
      <c r="F21" s="4" t="s">
        <v>212</v>
      </c>
      <c r="G21" s="4"/>
    </row>
    <row r="44" spans="1:10" ht="15.5" x14ac:dyDescent="0.35">
      <c r="A44" s="13" t="s">
        <v>213</v>
      </c>
      <c r="B44" s="11"/>
      <c r="C44" s="11"/>
      <c r="D44" s="11"/>
      <c r="E44" s="11"/>
      <c r="F44" s="11"/>
      <c r="G44" s="11"/>
      <c r="H44" s="11"/>
      <c r="I44" s="11"/>
      <c r="J44" s="11"/>
    </row>
    <row r="45" spans="1:10" x14ac:dyDescent="0.3">
      <c r="B45" s="5" t="s">
        <v>214</v>
      </c>
      <c r="C45" s="5" t="s">
        <v>209</v>
      </c>
      <c r="D45" s="5" t="s">
        <v>211</v>
      </c>
      <c r="E45" s="5" t="s">
        <v>212</v>
      </c>
      <c r="F45" s="5" t="s">
        <v>215</v>
      </c>
      <c r="G45" s="5"/>
    </row>
    <row r="78" spans="1:10" ht="15.5" x14ac:dyDescent="0.35">
      <c r="A78" s="14" t="s">
        <v>216</v>
      </c>
      <c r="B78" s="11"/>
      <c r="C78" s="11"/>
      <c r="D78" s="11"/>
      <c r="E78" s="11"/>
      <c r="F78" s="11"/>
      <c r="G78" s="11"/>
      <c r="H78" s="11"/>
      <c r="I78" s="11"/>
      <c r="J78" s="11"/>
    </row>
    <row r="79" spans="1:10" x14ac:dyDescent="0.3">
      <c r="B79" s="6" t="s">
        <v>217</v>
      </c>
      <c r="C79" s="6" t="s">
        <v>218</v>
      </c>
      <c r="D79" s="6" t="s">
        <v>219</v>
      </c>
      <c r="E79" s="6" t="s">
        <v>214</v>
      </c>
      <c r="F79" s="6" t="s">
        <v>209</v>
      </c>
      <c r="G79" s="6" t="s">
        <v>220</v>
      </c>
      <c r="H79" s="6" t="s">
        <v>221</v>
      </c>
      <c r="I79" s="6" t="s">
        <v>222</v>
      </c>
    </row>
  </sheetData>
  <mergeCells count="6">
    <mergeCell ref="A78:J78"/>
    <mergeCell ref="A1:J1"/>
    <mergeCell ref="A2:J2"/>
    <mergeCell ref="A5:J5"/>
    <mergeCell ref="A20:J20"/>
    <mergeCell ref="A44:J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OpenMenu">
                <anchor moveWithCells="1" sizeWithCells="1">
                  <from>
                    <xdr:col>4</xdr:col>
                    <xdr:colOff>25400</xdr:colOff>
                    <xdr:row>5</xdr:row>
                    <xdr:rowOff>25400</xdr:rowOff>
                  </from>
                  <to>
                    <xdr:col>4</xdr:col>
                    <xdr:colOff>635000</xdr:colOff>
                    <xdr:row>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BtnAddItem">
                <anchor moveWithCells="1" sizeWithCells="1">
                  <from>
                    <xdr:col>4</xdr:col>
                    <xdr:colOff>25400</xdr:colOff>
                    <xdr:row>6</xdr:row>
                    <xdr:rowOff>25400</xdr:rowOff>
                  </from>
                  <to>
                    <xdr:col>4</xdr:col>
                    <xdr:colOff>635000</xdr:colOff>
                    <xdr:row>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BtnStockIn">
                <anchor moveWithCells="1" sizeWithCells="1">
                  <from>
                    <xdr:col>4</xdr:col>
                    <xdr:colOff>25400</xdr:colOff>
                    <xdr:row>7</xdr:row>
                    <xdr:rowOff>25400</xdr:rowOff>
                  </from>
                  <to>
                    <xdr:col>4</xdr:col>
                    <xdr:colOff>635000</xdr:colOff>
                    <xdr:row>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BtnStockOut">
                <anchor moveWithCells="1" sizeWithCells="1">
                  <from>
                    <xdr:col>4</xdr:col>
                    <xdr:colOff>25400</xdr:colOff>
                    <xdr:row>8</xdr:row>
                    <xdr:rowOff>25400</xdr:rowOff>
                  </from>
                  <to>
                    <xdr:col>4</xdr:col>
                    <xdr:colOff>635000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BtnAdjust">
                <anchor moveWithCells="1" sizeWithCells="1">
                  <from>
                    <xdr:col>4</xdr:col>
                    <xdr:colOff>25400</xdr:colOff>
                    <xdr:row>9</xdr:row>
                    <xdr:rowOff>25400</xdr:rowOff>
                  </from>
                  <to>
                    <xdr:col>4</xdr:col>
                    <xdr:colOff>635000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BtnSearch">
                <anchor moveWithCells="1" sizeWithCells="1">
                  <from>
                    <xdr:col>4</xdr:col>
                    <xdr:colOff>25400</xdr:colOff>
                    <xdr:row>10</xdr:row>
                    <xdr:rowOff>25400</xdr:rowOff>
                  </from>
                  <to>
                    <xdr:col>4</xdr:col>
                    <xdr:colOff>635000</xdr:colOff>
                    <xdr:row>10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BtnOrders">
                <anchor moveWithCells="1" sizeWithCells="1">
                  <from>
                    <xdr:col>4</xdr:col>
                    <xdr:colOff>25400</xdr:colOff>
                    <xdr:row>11</xdr:row>
                    <xdr:rowOff>25400</xdr:rowOff>
                  </from>
                  <to>
                    <xdr:col>4</xdr:col>
                    <xdr:colOff>635000</xdr:colOff>
                    <xdr:row>11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BtnMigrate">
                <anchor moveWithCells="1" sizeWithCells="1">
                  <from>
                    <xdr:col>4</xdr:col>
                    <xdr:colOff>25400</xdr:colOff>
                    <xdr:row>12</xdr:row>
                    <xdr:rowOff>25400</xdr:rowOff>
                  </from>
                  <to>
                    <xdr:col>4</xdr:col>
                    <xdr:colOff>635000</xdr:colOff>
                    <xdr:row>12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EAE55-91F6-4504-B7F4-F5619C0A75C2}">
  <sheetPr codeName="Sheet2">
    <tabColor rgb="FF70AD47"/>
  </sheetPr>
  <dimension ref="A1:Y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5.6640625" customWidth="1"/>
    <col min="4" max="4" width="10.25" customWidth="1"/>
    <col min="5" max="5" width="14.6640625" customWidth="1"/>
    <col min="6" max="7" width="22.58203125" customWidth="1"/>
    <col min="8" max="8" width="13.83203125" customWidth="1"/>
    <col min="9" max="9" width="11.4140625" customWidth="1"/>
    <col min="11" max="11" width="15.08203125" customWidth="1"/>
    <col min="12" max="12" width="19.25" customWidth="1"/>
    <col min="13" max="13" width="17.58203125" customWidth="1"/>
    <col min="14" max="15" width="13.33203125" customWidth="1"/>
    <col min="16" max="16" width="15.9140625" customWidth="1"/>
    <col min="17" max="17" width="10.83203125" customWidth="1"/>
    <col min="18" max="18" width="18.1640625" customWidth="1"/>
    <col min="19" max="19" width="20.6640625" customWidth="1"/>
    <col min="20" max="20" width="19.25" customWidth="1"/>
    <col min="23" max="23" width="14.1640625" customWidth="1"/>
    <col min="24" max="24" width="12.5" customWidth="1"/>
    <col min="25" max="25" width="14.58203125" customWidth="1"/>
  </cols>
  <sheetData>
    <row r="1" spans="1:25" x14ac:dyDescent="0.3">
      <c r="A1" t="s">
        <v>121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</row>
    <row r="2" spans="1:25" x14ac:dyDescent="0.3">
      <c r="A2" t="s">
        <v>223</v>
      </c>
      <c r="B2" t="s">
        <v>224</v>
      </c>
      <c r="D2" t="s">
        <v>15</v>
      </c>
      <c r="F2" t="s">
        <v>28</v>
      </c>
      <c r="G2">
        <v>5000</v>
      </c>
      <c r="I2" t="s">
        <v>94</v>
      </c>
      <c r="J2" t="s">
        <v>74</v>
      </c>
      <c r="K2">
        <v>50000</v>
      </c>
      <c r="Q2" t="s">
        <v>92</v>
      </c>
      <c r="U2" t="s">
        <v>82</v>
      </c>
      <c r="V2" t="s">
        <v>225</v>
      </c>
      <c r="W2" s="1">
        <v>46132.309305555558</v>
      </c>
      <c r="X2" t="s">
        <v>226</v>
      </c>
      <c r="Y2" s="1">
        <v>46132.309305555558</v>
      </c>
    </row>
    <row r="3" spans="1:25" x14ac:dyDescent="0.3">
      <c r="A3" t="s">
        <v>227</v>
      </c>
      <c r="B3" t="s">
        <v>228</v>
      </c>
      <c r="D3" t="s">
        <v>15</v>
      </c>
      <c r="F3" t="s">
        <v>28</v>
      </c>
      <c r="G3">
        <v>58079513</v>
      </c>
      <c r="I3" t="s">
        <v>94</v>
      </c>
      <c r="J3" t="s">
        <v>74</v>
      </c>
      <c r="K3">
        <v>2000</v>
      </c>
      <c r="Q3" t="s">
        <v>92</v>
      </c>
      <c r="U3" t="s">
        <v>82</v>
      </c>
      <c r="W3" s="1">
        <v>46132.309305555558</v>
      </c>
      <c r="X3" t="s">
        <v>226</v>
      </c>
      <c r="Y3" s="1">
        <v>46132.309305555558</v>
      </c>
    </row>
    <row r="4" spans="1:25" x14ac:dyDescent="0.3">
      <c r="A4" t="s">
        <v>229</v>
      </c>
      <c r="B4" t="s">
        <v>230</v>
      </c>
      <c r="D4" t="s">
        <v>15</v>
      </c>
      <c r="F4" t="s">
        <v>28</v>
      </c>
      <c r="G4">
        <v>58091518</v>
      </c>
      <c r="I4" t="s">
        <v>94</v>
      </c>
      <c r="J4" t="s">
        <v>74</v>
      </c>
      <c r="K4">
        <v>800</v>
      </c>
      <c r="Q4" t="s">
        <v>92</v>
      </c>
      <c r="U4" t="s">
        <v>82</v>
      </c>
      <c r="W4" s="1">
        <v>46132.309305555558</v>
      </c>
      <c r="X4" t="s">
        <v>226</v>
      </c>
      <c r="Y4" s="1">
        <v>46132.309305555558</v>
      </c>
    </row>
    <row r="5" spans="1:25" x14ac:dyDescent="0.3">
      <c r="A5" t="s">
        <v>231</v>
      </c>
      <c r="B5" t="s">
        <v>232</v>
      </c>
      <c r="D5" t="s">
        <v>15</v>
      </c>
      <c r="F5" t="s">
        <v>28</v>
      </c>
      <c r="G5">
        <v>58079518</v>
      </c>
      <c r="I5" t="s">
        <v>94</v>
      </c>
      <c r="J5" t="s">
        <v>74</v>
      </c>
      <c r="K5">
        <v>500</v>
      </c>
      <c r="Q5" t="s">
        <v>92</v>
      </c>
      <c r="U5" t="s">
        <v>82</v>
      </c>
      <c r="W5" s="1">
        <v>46132.309305555558</v>
      </c>
      <c r="X5" t="s">
        <v>226</v>
      </c>
      <c r="Y5" s="1">
        <v>46132.309305555558</v>
      </c>
    </row>
    <row r="6" spans="1:25" x14ac:dyDescent="0.3">
      <c r="A6" t="s">
        <v>233</v>
      </c>
      <c r="B6" t="s">
        <v>234</v>
      </c>
      <c r="C6" t="s">
        <v>235</v>
      </c>
      <c r="D6" t="s">
        <v>15</v>
      </c>
      <c r="F6" t="s">
        <v>29</v>
      </c>
      <c r="G6" t="s">
        <v>236</v>
      </c>
      <c r="H6" t="s">
        <v>237</v>
      </c>
      <c r="I6" t="s">
        <v>94</v>
      </c>
      <c r="J6" t="s">
        <v>74</v>
      </c>
      <c r="K6">
        <v>10000</v>
      </c>
      <c r="M6" t="s">
        <v>62</v>
      </c>
      <c r="N6" t="s">
        <v>238</v>
      </c>
      <c r="Q6" t="s">
        <v>92</v>
      </c>
      <c r="U6" t="s">
        <v>82</v>
      </c>
      <c r="W6" s="1">
        <v>46132.309305555558</v>
      </c>
      <c r="X6" t="s">
        <v>226</v>
      </c>
      <c r="Y6" s="1">
        <v>46132.309305555558</v>
      </c>
    </row>
    <row r="7" spans="1:25" x14ac:dyDescent="0.3">
      <c r="A7" t="s">
        <v>239</v>
      </c>
      <c r="B7" t="s">
        <v>240</v>
      </c>
      <c r="D7" t="s">
        <v>15</v>
      </c>
      <c r="F7" t="s">
        <v>241</v>
      </c>
      <c r="G7" t="s">
        <v>242</v>
      </c>
      <c r="I7" t="s">
        <v>94</v>
      </c>
      <c r="J7" t="s">
        <v>74</v>
      </c>
      <c r="K7">
        <v>6000</v>
      </c>
      <c r="Q7" t="s">
        <v>92</v>
      </c>
      <c r="U7" t="s">
        <v>82</v>
      </c>
      <c r="W7" s="1">
        <v>46132.309305555558</v>
      </c>
      <c r="X7" t="s">
        <v>226</v>
      </c>
      <c r="Y7" s="1">
        <v>46132.309305555558</v>
      </c>
    </row>
    <row r="8" spans="1:25" x14ac:dyDescent="0.3">
      <c r="A8" t="s">
        <v>243</v>
      </c>
      <c r="B8" t="s">
        <v>240</v>
      </c>
      <c r="D8" t="s">
        <v>15</v>
      </c>
      <c r="F8" t="s">
        <v>244</v>
      </c>
      <c r="G8" t="s">
        <v>245</v>
      </c>
      <c r="I8" t="s">
        <v>94</v>
      </c>
      <c r="J8" t="s">
        <v>74</v>
      </c>
      <c r="K8">
        <v>5000</v>
      </c>
      <c r="Q8" t="s">
        <v>92</v>
      </c>
      <c r="U8" t="s">
        <v>82</v>
      </c>
      <c r="V8" t="s">
        <v>246</v>
      </c>
      <c r="W8" s="1">
        <v>46132.309305555558</v>
      </c>
      <c r="X8" t="s">
        <v>226</v>
      </c>
      <c r="Y8" s="1">
        <v>46132.309305555558</v>
      </c>
    </row>
    <row r="9" spans="1:25" x14ac:dyDescent="0.3">
      <c r="A9" t="s">
        <v>247</v>
      </c>
      <c r="B9" t="s">
        <v>248</v>
      </c>
      <c r="D9" t="s">
        <v>15</v>
      </c>
      <c r="F9" t="s">
        <v>249</v>
      </c>
      <c r="G9">
        <v>3410</v>
      </c>
      <c r="I9" t="s">
        <v>94</v>
      </c>
      <c r="J9" t="s">
        <v>74</v>
      </c>
      <c r="K9">
        <v>1500</v>
      </c>
      <c r="Q9" t="s">
        <v>92</v>
      </c>
      <c r="U9" t="s">
        <v>82</v>
      </c>
      <c r="W9" s="1">
        <v>46132.309305555558</v>
      </c>
      <c r="X9" t="s">
        <v>226</v>
      </c>
      <c r="Y9" s="1">
        <v>46132.309305555558</v>
      </c>
    </row>
    <row r="10" spans="1:25" x14ac:dyDescent="0.3">
      <c r="A10" t="s">
        <v>250</v>
      </c>
      <c r="B10" t="s">
        <v>251</v>
      </c>
      <c r="D10" t="s">
        <v>15</v>
      </c>
      <c r="F10" t="s">
        <v>29</v>
      </c>
      <c r="G10" t="s">
        <v>252</v>
      </c>
      <c r="I10" t="s">
        <v>94</v>
      </c>
      <c r="J10" t="s">
        <v>74</v>
      </c>
      <c r="K10">
        <v>4000</v>
      </c>
      <c r="M10" t="s">
        <v>62</v>
      </c>
      <c r="N10" t="s">
        <v>238</v>
      </c>
      <c r="Q10" t="s">
        <v>92</v>
      </c>
      <c r="U10" t="s">
        <v>82</v>
      </c>
      <c r="V10" t="s">
        <v>253</v>
      </c>
      <c r="W10" s="1">
        <v>46132.309305555558</v>
      </c>
      <c r="X10" t="s">
        <v>226</v>
      </c>
      <c r="Y10" s="1">
        <v>46132.309305555558</v>
      </c>
    </row>
    <row r="11" spans="1:25" x14ac:dyDescent="0.3">
      <c r="A11" t="s">
        <v>254</v>
      </c>
      <c r="B11" t="s">
        <v>255</v>
      </c>
      <c r="D11" t="s">
        <v>15</v>
      </c>
      <c r="F11" t="s">
        <v>29</v>
      </c>
      <c r="G11" t="s">
        <v>256</v>
      </c>
      <c r="I11" t="s">
        <v>94</v>
      </c>
      <c r="J11" t="s">
        <v>74</v>
      </c>
      <c r="K11">
        <v>4000</v>
      </c>
      <c r="M11" t="s">
        <v>257</v>
      </c>
      <c r="N11" t="s">
        <v>238</v>
      </c>
      <c r="Q11" t="s">
        <v>92</v>
      </c>
      <c r="U11" t="s">
        <v>82</v>
      </c>
      <c r="V11" t="s">
        <v>258</v>
      </c>
      <c r="W11" s="1">
        <v>46132.309305555558</v>
      </c>
      <c r="X11" t="s">
        <v>226</v>
      </c>
      <c r="Y11" s="1">
        <v>46132.309305555558</v>
      </c>
    </row>
    <row r="12" spans="1:25" x14ac:dyDescent="0.3">
      <c r="A12" t="s">
        <v>259</v>
      </c>
      <c r="B12" t="s">
        <v>255</v>
      </c>
      <c r="D12" t="s">
        <v>15</v>
      </c>
      <c r="F12" t="s">
        <v>29</v>
      </c>
      <c r="G12" s="15">
        <v>2.3300000000000001E+225</v>
      </c>
      <c r="I12" t="s">
        <v>94</v>
      </c>
      <c r="J12" t="s">
        <v>74</v>
      </c>
      <c r="K12">
        <v>3500</v>
      </c>
      <c r="N12" t="s">
        <v>238</v>
      </c>
      <c r="Q12" t="s">
        <v>92</v>
      </c>
      <c r="U12" t="s">
        <v>82</v>
      </c>
      <c r="V12" t="s">
        <v>258</v>
      </c>
      <c r="W12" s="1">
        <v>46132.309305555558</v>
      </c>
      <c r="X12" t="s">
        <v>226</v>
      </c>
      <c r="Y12" s="1">
        <v>46132.309305555558</v>
      </c>
    </row>
    <row r="13" spans="1:25" ht="42" x14ac:dyDescent="0.3">
      <c r="A13" t="s">
        <v>260</v>
      </c>
      <c r="B13" t="s">
        <v>255</v>
      </c>
      <c r="D13" t="s">
        <v>15</v>
      </c>
      <c r="F13" s="16" t="s">
        <v>261</v>
      </c>
      <c r="G13" s="17" t="s">
        <v>262</v>
      </c>
      <c r="I13" t="s">
        <v>94</v>
      </c>
      <c r="J13" t="s">
        <v>74</v>
      </c>
      <c r="K13">
        <v>2000</v>
      </c>
      <c r="M13" t="s">
        <v>62</v>
      </c>
      <c r="Q13" t="s">
        <v>92</v>
      </c>
      <c r="U13" t="s">
        <v>82</v>
      </c>
      <c r="W13" s="1">
        <v>46132.309305555558</v>
      </c>
      <c r="X13" t="s">
        <v>226</v>
      </c>
      <c r="Y13" s="1">
        <v>46132.309305555558</v>
      </c>
    </row>
    <row r="14" spans="1:25" ht="42" x14ac:dyDescent="0.3">
      <c r="A14" t="s">
        <v>263</v>
      </c>
      <c r="B14" t="s">
        <v>264</v>
      </c>
      <c r="D14" t="s">
        <v>15</v>
      </c>
      <c r="F14" s="16" t="s">
        <v>261</v>
      </c>
      <c r="G14" s="17" t="s">
        <v>265</v>
      </c>
      <c r="I14" t="s">
        <v>94</v>
      </c>
      <c r="J14" t="s">
        <v>74</v>
      </c>
      <c r="K14">
        <v>1862</v>
      </c>
      <c r="M14" t="s">
        <v>62</v>
      </c>
      <c r="Q14" t="s">
        <v>92</v>
      </c>
      <c r="U14" t="s">
        <v>82</v>
      </c>
      <c r="W14" s="1">
        <v>46132.309305555558</v>
      </c>
      <c r="X14" t="s">
        <v>226</v>
      </c>
      <c r="Y14" s="1">
        <v>46132.309305555558</v>
      </c>
    </row>
    <row r="15" spans="1:25" x14ac:dyDescent="0.3">
      <c r="A15" t="s">
        <v>266</v>
      </c>
      <c r="B15" t="s">
        <v>267</v>
      </c>
      <c r="C15" t="s">
        <v>268</v>
      </c>
      <c r="D15" t="s">
        <v>15</v>
      </c>
      <c r="F15" s="16" t="s">
        <v>23</v>
      </c>
      <c r="G15" s="17" t="s">
        <v>269</v>
      </c>
      <c r="H15" t="s">
        <v>270</v>
      </c>
      <c r="I15" t="s">
        <v>95</v>
      </c>
      <c r="J15" t="s">
        <v>74</v>
      </c>
      <c r="M15" t="s">
        <v>62</v>
      </c>
      <c r="N15" t="s">
        <v>271</v>
      </c>
      <c r="O15" t="s">
        <v>272</v>
      </c>
      <c r="Q15" t="s">
        <v>92</v>
      </c>
      <c r="U15" t="s">
        <v>82</v>
      </c>
      <c r="V15" t="s">
        <v>273</v>
      </c>
      <c r="W15" s="1">
        <v>46132.309305555558</v>
      </c>
      <c r="X15" t="s">
        <v>226</v>
      </c>
      <c r="Y15" s="1">
        <v>46132.309305555558</v>
      </c>
    </row>
    <row r="16" spans="1:25" ht="28" x14ac:dyDescent="0.3">
      <c r="A16" t="s">
        <v>274</v>
      </c>
      <c r="B16" t="s">
        <v>275</v>
      </c>
      <c r="D16" t="s">
        <v>15</v>
      </c>
      <c r="F16" s="16" t="s">
        <v>29</v>
      </c>
      <c r="G16" s="17" t="s">
        <v>276</v>
      </c>
      <c r="I16" t="s">
        <v>94</v>
      </c>
      <c r="J16" t="s">
        <v>74</v>
      </c>
      <c r="K16">
        <v>2000</v>
      </c>
      <c r="M16" t="s">
        <v>257</v>
      </c>
      <c r="N16" t="s">
        <v>238</v>
      </c>
      <c r="Q16" t="s">
        <v>92</v>
      </c>
      <c r="U16" t="s">
        <v>82</v>
      </c>
      <c r="V16" t="s">
        <v>258</v>
      </c>
      <c r="W16" s="1">
        <v>46132.309305555558</v>
      </c>
      <c r="X16" t="s">
        <v>226</v>
      </c>
      <c r="Y16" s="1">
        <v>46132.309305555558</v>
      </c>
    </row>
    <row r="17" spans="1:25" x14ac:dyDescent="0.3">
      <c r="A17" t="s">
        <v>277</v>
      </c>
      <c r="B17" t="s">
        <v>275</v>
      </c>
      <c r="D17" t="s">
        <v>15</v>
      </c>
      <c r="F17" s="16" t="s">
        <v>29</v>
      </c>
      <c r="G17" s="17" t="s">
        <v>278</v>
      </c>
      <c r="I17" t="s">
        <v>94</v>
      </c>
      <c r="J17" t="s">
        <v>74</v>
      </c>
      <c r="K17">
        <v>1505</v>
      </c>
      <c r="M17" t="s">
        <v>257</v>
      </c>
      <c r="N17" t="s">
        <v>238</v>
      </c>
      <c r="Q17" t="s">
        <v>92</v>
      </c>
      <c r="U17" t="s">
        <v>82</v>
      </c>
      <c r="V17" t="s">
        <v>258</v>
      </c>
      <c r="W17" s="1">
        <v>46132.309305555558</v>
      </c>
      <c r="X17" t="s">
        <v>226</v>
      </c>
      <c r="Y17" s="1">
        <v>46132.309305555558</v>
      </c>
    </row>
    <row r="18" spans="1:25" ht="28" x14ac:dyDescent="0.3">
      <c r="A18" t="s">
        <v>279</v>
      </c>
      <c r="B18" t="s">
        <v>280</v>
      </c>
      <c r="D18" t="s">
        <v>15</v>
      </c>
      <c r="F18" s="16" t="s">
        <v>281</v>
      </c>
      <c r="G18" s="17" t="s">
        <v>282</v>
      </c>
      <c r="H18" t="s">
        <v>283</v>
      </c>
      <c r="I18" t="s">
        <v>94</v>
      </c>
      <c r="J18" t="s">
        <v>74</v>
      </c>
      <c r="K18">
        <v>1500</v>
      </c>
      <c r="M18" t="s">
        <v>62</v>
      </c>
      <c r="N18" t="s">
        <v>284</v>
      </c>
      <c r="Q18" t="s">
        <v>92</v>
      </c>
      <c r="U18" t="s">
        <v>82</v>
      </c>
      <c r="W18" s="1">
        <v>46132.309305555558</v>
      </c>
      <c r="X18" t="s">
        <v>226</v>
      </c>
      <c r="Y18" s="1">
        <v>46132.309305555558</v>
      </c>
    </row>
    <row r="19" spans="1:25" x14ac:dyDescent="0.3">
      <c r="A19" t="s">
        <v>285</v>
      </c>
      <c r="B19" t="s">
        <v>286</v>
      </c>
      <c r="D19" t="s">
        <v>15</v>
      </c>
      <c r="F19" s="16" t="s">
        <v>287</v>
      </c>
      <c r="G19" s="17" t="s">
        <v>288</v>
      </c>
      <c r="I19" t="s">
        <v>94</v>
      </c>
      <c r="J19" t="s">
        <v>74</v>
      </c>
      <c r="K19">
        <v>1500</v>
      </c>
      <c r="Q19" t="s">
        <v>92</v>
      </c>
      <c r="U19" t="s">
        <v>82</v>
      </c>
      <c r="W19" s="1">
        <v>46132.309305555558</v>
      </c>
      <c r="X19" t="s">
        <v>226</v>
      </c>
      <c r="Y19" s="1">
        <v>46132.309305555558</v>
      </c>
    </row>
    <row r="20" spans="1:25" x14ac:dyDescent="0.3">
      <c r="A20" t="s">
        <v>289</v>
      </c>
      <c r="B20" t="s">
        <v>275</v>
      </c>
      <c r="D20" t="s">
        <v>15</v>
      </c>
      <c r="F20" s="16" t="s">
        <v>29</v>
      </c>
      <c r="G20" s="17" t="s">
        <v>290</v>
      </c>
      <c r="I20" t="s">
        <v>94</v>
      </c>
      <c r="J20" t="s">
        <v>74</v>
      </c>
      <c r="K20">
        <v>1820</v>
      </c>
      <c r="M20" t="s">
        <v>257</v>
      </c>
      <c r="N20" t="s">
        <v>238</v>
      </c>
      <c r="Q20" t="s">
        <v>92</v>
      </c>
      <c r="U20" t="s">
        <v>82</v>
      </c>
      <c r="V20" t="s">
        <v>258</v>
      </c>
      <c r="W20" s="1">
        <v>46132.309305555558</v>
      </c>
      <c r="X20" t="s">
        <v>226</v>
      </c>
      <c r="Y20" s="1">
        <v>46132.309305555558</v>
      </c>
    </row>
    <row r="21" spans="1:25" x14ac:dyDescent="0.3">
      <c r="A21" t="s">
        <v>291</v>
      </c>
      <c r="B21" t="s">
        <v>275</v>
      </c>
      <c r="D21" t="s">
        <v>15</v>
      </c>
      <c r="F21" s="16" t="s">
        <v>29</v>
      </c>
      <c r="G21" s="17" t="s">
        <v>292</v>
      </c>
      <c r="I21" t="s">
        <v>94</v>
      </c>
      <c r="J21" t="s">
        <v>74</v>
      </c>
      <c r="K21">
        <v>1467</v>
      </c>
      <c r="M21" t="s">
        <v>257</v>
      </c>
      <c r="N21" t="s">
        <v>238</v>
      </c>
      <c r="Q21" t="s">
        <v>92</v>
      </c>
      <c r="U21" t="s">
        <v>82</v>
      </c>
      <c r="V21" t="s">
        <v>258</v>
      </c>
      <c r="W21" s="1">
        <v>46132.309305555558</v>
      </c>
      <c r="X21" t="s">
        <v>226</v>
      </c>
      <c r="Y21" s="1">
        <v>46132.309305555558</v>
      </c>
    </row>
    <row r="22" spans="1:25" x14ac:dyDescent="0.3">
      <c r="A22" t="s">
        <v>293</v>
      </c>
      <c r="B22" t="s">
        <v>294</v>
      </c>
      <c r="C22" t="s">
        <v>295</v>
      </c>
      <c r="D22" t="s">
        <v>15</v>
      </c>
      <c r="F22" s="16" t="s">
        <v>296</v>
      </c>
      <c r="G22" s="17" t="s">
        <v>297</v>
      </c>
      <c r="H22" t="s">
        <v>298</v>
      </c>
      <c r="I22" t="s">
        <v>94</v>
      </c>
      <c r="J22" t="s">
        <v>74</v>
      </c>
      <c r="K22">
        <v>770</v>
      </c>
      <c r="M22" t="s">
        <v>62</v>
      </c>
      <c r="N22" t="s">
        <v>299</v>
      </c>
      <c r="Q22" t="s">
        <v>92</v>
      </c>
      <c r="U22" t="s">
        <v>82</v>
      </c>
      <c r="V22" t="s">
        <v>273</v>
      </c>
      <c r="W22" s="1">
        <v>46132.309305555558</v>
      </c>
      <c r="X22" t="s">
        <v>226</v>
      </c>
      <c r="Y22" s="1">
        <v>46132.309305555558</v>
      </c>
    </row>
    <row r="23" spans="1:25" x14ac:dyDescent="0.3">
      <c r="A23" t="s">
        <v>300</v>
      </c>
      <c r="B23" t="s">
        <v>301</v>
      </c>
      <c r="C23" t="s">
        <v>302</v>
      </c>
      <c r="D23" t="s">
        <v>15</v>
      </c>
      <c r="F23" s="16" t="s">
        <v>303</v>
      </c>
      <c r="G23" s="17" t="s">
        <v>304</v>
      </c>
      <c r="H23" t="s">
        <v>305</v>
      </c>
      <c r="I23" t="s">
        <v>94</v>
      </c>
      <c r="J23" t="s">
        <v>74</v>
      </c>
      <c r="K23">
        <v>1200</v>
      </c>
      <c r="M23" t="s">
        <v>62</v>
      </c>
      <c r="N23" t="s">
        <v>306</v>
      </c>
      <c r="O23" t="s">
        <v>307</v>
      </c>
      <c r="Q23" t="s">
        <v>92</v>
      </c>
      <c r="U23" t="s">
        <v>82</v>
      </c>
      <c r="V23" t="s">
        <v>273</v>
      </c>
      <c r="W23" s="1">
        <v>46132.309305555558</v>
      </c>
      <c r="X23" t="s">
        <v>226</v>
      </c>
      <c r="Y23" s="1">
        <v>46132.309305555558</v>
      </c>
    </row>
    <row r="24" spans="1:25" x14ac:dyDescent="0.3">
      <c r="A24" t="s">
        <v>308</v>
      </c>
      <c r="B24" t="s">
        <v>301</v>
      </c>
      <c r="C24" t="s">
        <v>302</v>
      </c>
      <c r="D24" t="s">
        <v>15</v>
      </c>
      <c r="F24" s="16" t="s">
        <v>303</v>
      </c>
      <c r="G24" s="17" t="s">
        <v>309</v>
      </c>
      <c r="H24" t="s">
        <v>310</v>
      </c>
      <c r="I24" t="s">
        <v>94</v>
      </c>
      <c r="J24" t="s">
        <v>74</v>
      </c>
      <c r="K24">
        <v>1400</v>
      </c>
      <c r="M24" t="s">
        <v>62</v>
      </c>
      <c r="N24" t="s">
        <v>306</v>
      </c>
      <c r="O24" t="s">
        <v>307</v>
      </c>
      <c r="Q24" t="s">
        <v>92</v>
      </c>
      <c r="U24" t="s">
        <v>82</v>
      </c>
      <c r="V24" t="s">
        <v>273</v>
      </c>
      <c r="W24" s="1">
        <v>46132.309305555558</v>
      </c>
      <c r="X24" t="s">
        <v>226</v>
      </c>
      <c r="Y24" s="1">
        <v>46132.309305555558</v>
      </c>
    </row>
    <row r="25" spans="1:25" x14ac:dyDescent="0.3">
      <c r="A25" t="s">
        <v>311</v>
      </c>
      <c r="B25" t="s">
        <v>301</v>
      </c>
      <c r="C25" t="s">
        <v>302</v>
      </c>
      <c r="D25" t="s">
        <v>15</v>
      </c>
      <c r="F25" s="16" t="s">
        <v>303</v>
      </c>
      <c r="G25" s="17" t="s">
        <v>312</v>
      </c>
      <c r="H25" t="s">
        <v>313</v>
      </c>
      <c r="I25" t="s">
        <v>94</v>
      </c>
      <c r="J25" t="s">
        <v>74</v>
      </c>
      <c r="K25">
        <v>1200</v>
      </c>
      <c r="M25" t="s">
        <v>62</v>
      </c>
      <c r="N25" t="s">
        <v>306</v>
      </c>
      <c r="O25" t="s">
        <v>307</v>
      </c>
      <c r="Q25" t="s">
        <v>92</v>
      </c>
      <c r="U25" t="s">
        <v>82</v>
      </c>
      <c r="V25" t="s">
        <v>273</v>
      </c>
      <c r="W25" s="1">
        <v>46132.309305555558</v>
      </c>
      <c r="X25" t="s">
        <v>226</v>
      </c>
      <c r="Y25" s="1">
        <v>46132.309305555558</v>
      </c>
    </row>
    <row r="26" spans="1:25" x14ac:dyDescent="0.3">
      <c r="A26" t="s">
        <v>314</v>
      </c>
      <c r="B26" t="s">
        <v>301</v>
      </c>
      <c r="C26" t="s">
        <v>302</v>
      </c>
      <c r="D26" t="s">
        <v>15</v>
      </c>
      <c r="F26" s="16" t="s">
        <v>303</v>
      </c>
      <c r="G26" s="17" t="s">
        <v>315</v>
      </c>
      <c r="H26" t="s">
        <v>316</v>
      </c>
      <c r="I26" t="s">
        <v>94</v>
      </c>
      <c r="J26" t="s">
        <v>74</v>
      </c>
      <c r="K26">
        <v>1200</v>
      </c>
      <c r="M26" t="s">
        <v>62</v>
      </c>
      <c r="N26" t="s">
        <v>306</v>
      </c>
      <c r="O26" t="s">
        <v>307</v>
      </c>
      <c r="Q26" t="s">
        <v>92</v>
      </c>
      <c r="U26" t="s">
        <v>82</v>
      </c>
      <c r="V26" t="s">
        <v>273</v>
      </c>
      <c r="W26" s="1">
        <v>46132.309305555558</v>
      </c>
      <c r="X26" t="s">
        <v>226</v>
      </c>
      <c r="Y26" s="1">
        <v>46132.309305555558</v>
      </c>
    </row>
    <row r="27" spans="1:25" x14ac:dyDescent="0.3">
      <c r="A27" t="s">
        <v>317</v>
      </c>
      <c r="B27" t="s">
        <v>301</v>
      </c>
      <c r="C27" t="s">
        <v>302</v>
      </c>
      <c r="D27" t="s">
        <v>15</v>
      </c>
      <c r="F27" s="16" t="s">
        <v>303</v>
      </c>
      <c r="G27" s="17" t="s">
        <v>318</v>
      </c>
      <c r="H27" t="s">
        <v>305</v>
      </c>
      <c r="I27" t="s">
        <v>94</v>
      </c>
      <c r="J27" t="s">
        <v>74</v>
      </c>
      <c r="K27">
        <v>1200</v>
      </c>
      <c r="M27" t="s">
        <v>62</v>
      </c>
      <c r="N27" t="s">
        <v>306</v>
      </c>
      <c r="O27" t="s">
        <v>307</v>
      </c>
      <c r="Q27" t="s">
        <v>92</v>
      </c>
      <c r="U27" t="s">
        <v>82</v>
      </c>
      <c r="V27" t="s">
        <v>273</v>
      </c>
      <c r="W27" s="1">
        <v>46132.309305555558</v>
      </c>
      <c r="X27" t="s">
        <v>226</v>
      </c>
      <c r="Y27" s="1">
        <v>46132.309305555558</v>
      </c>
    </row>
    <row r="28" spans="1:25" x14ac:dyDescent="0.3">
      <c r="A28" t="s">
        <v>319</v>
      </c>
      <c r="B28" t="s">
        <v>301</v>
      </c>
      <c r="C28" t="s">
        <v>302</v>
      </c>
      <c r="D28" t="s">
        <v>15</v>
      </c>
      <c r="F28" s="16" t="s">
        <v>303</v>
      </c>
      <c r="G28" s="17" t="s">
        <v>320</v>
      </c>
      <c r="H28" t="s">
        <v>321</v>
      </c>
      <c r="I28" t="s">
        <v>94</v>
      </c>
      <c r="J28" t="s">
        <v>74</v>
      </c>
      <c r="K28">
        <v>1200</v>
      </c>
      <c r="M28" t="s">
        <v>62</v>
      </c>
      <c r="N28" t="s">
        <v>306</v>
      </c>
      <c r="O28" t="s">
        <v>307</v>
      </c>
      <c r="Q28" t="s">
        <v>92</v>
      </c>
      <c r="U28" t="s">
        <v>82</v>
      </c>
      <c r="V28" t="s">
        <v>273</v>
      </c>
      <c r="W28" s="1">
        <v>46132.309305555558</v>
      </c>
      <c r="X28" t="s">
        <v>226</v>
      </c>
      <c r="Y28" s="1">
        <v>46132.309305555558</v>
      </c>
    </row>
    <row r="29" spans="1:25" x14ac:dyDescent="0.3">
      <c r="A29" t="s">
        <v>322</v>
      </c>
      <c r="B29" t="s">
        <v>323</v>
      </c>
      <c r="C29" t="s">
        <v>324</v>
      </c>
      <c r="D29" t="s">
        <v>15</v>
      </c>
      <c r="F29" s="16" t="s">
        <v>325</v>
      </c>
      <c r="G29" s="17" t="s">
        <v>326</v>
      </c>
      <c r="H29" t="s">
        <v>327</v>
      </c>
      <c r="I29" t="s">
        <v>94</v>
      </c>
      <c r="J29" t="s">
        <v>74</v>
      </c>
      <c r="K29">
        <v>2700</v>
      </c>
      <c r="M29" t="s">
        <v>62</v>
      </c>
      <c r="N29" t="s">
        <v>328</v>
      </c>
      <c r="O29" t="s">
        <v>329</v>
      </c>
      <c r="Q29" t="s">
        <v>92</v>
      </c>
      <c r="U29" t="s">
        <v>82</v>
      </c>
      <c r="W29" s="1">
        <v>46132.309305555558</v>
      </c>
      <c r="X29" t="s">
        <v>226</v>
      </c>
      <c r="Y29" s="1">
        <v>46132.309305555558</v>
      </c>
    </row>
    <row r="30" spans="1:25" x14ac:dyDescent="0.3">
      <c r="A30" t="s">
        <v>330</v>
      </c>
      <c r="B30" t="s">
        <v>331</v>
      </c>
      <c r="C30" t="s">
        <v>324</v>
      </c>
      <c r="D30" t="s">
        <v>15</v>
      </c>
      <c r="F30" s="16" t="s">
        <v>325</v>
      </c>
      <c r="G30" s="17" t="s">
        <v>332</v>
      </c>
      <c r="H30" t="s">
        <v>333</v>
      </c>
      <c r="I30" t="s">
        <v>94</v>
      </c>
      <c r="J30" t="s">
        <v>74</v>
      </c>
      <c r="K30">
        <v>2700</v>
      </c>
      <c r="M30" t="s">
        <v>62</v>
      </c>
      <c r="N30" t="s">
        <v>328</v>
      </c>
      <c r="O30" t="s">
        <v>329</v>
      </c>
      <c r="Q30" t="s">
        <v>92</v>
      </c>
      <c r="U30" t="s">
        <v>82</v>
      </c>
      <c r="W30" s="1">
        <v>46132.309305555558</v>
      </c>
      <c r="X30" t="s">
        <v>226</v>
      </c>
      <c r="Y30" s="1">
        <v>46132.309305555558</v>
      </c>
    </row>
    <row r="31" spans="1:25" x14ac:dyDescent="0.3">
      <c r="A31" t="s">
        <v>334</v>
      </c>
      <c r="B31" t="s">
        <v>335</v>
      </c>
      <c r="C31" t="s">
        <v>336</v>
      </c>
      <c r="D31" t="s">
        <v>15</v>
      </c>
      <c r="F31" s="16" t="s">
        <v>325</v>
      </c>
      <c r="G31" s="17" t="s">
        <v>337</v>
      </c>
      <c r="H31" t="s">
        <v>338</v>
      </c>
      <c r="I31" t="s">
        <v>94</v>
      </c>
      <c r="J31" t="s">
        <v>74</v>
      </c>
      <c r="K31">
        <v>2500</v>
      </c>
      <c r="M31" t="s">
        <v>62</v>
      </c>
      <c r="N31" t="s">
        <v>328</v>
      </c>
      <c r="Q31" t="s">
        <v>92</v>
      </c>
      <c r="U31" t="s">
        <v>82</v>
      </c>
      <c r="W31" s="1">
        <v>46132.309305555558</v>
      </c>
      <c r="X31" t="s">
        <v>226</v>
      </c>
      <c r="Y31" s="1">
        <v>46132.309305555558</v>
      </c>
    </row>
    <row r="32" spans="1:25" x14ac:dyDescent="0.3">
      <c r="A32" t="s">
        <v>339</v>
      </c>
      <c r="B32" t="s">
        <v>340</v>
      </c>
      <c r="C32" t="s">
        <v>341</v>
      </c>
      <c r="D32" t="s">
        <v>15</v>
      </c>
      <c r="F32" s="16" t="s">
        <v>325</v>
      </c>
      <c r="G32" s="17" t="s">
        <v>342</v>
      </c>
      <c r="H32" t="s">
        <v>343</v>
      </c>
      <c r="I32" t="s">
        <v>94</v>
      </c>
      <c r="J32" t="s">
        <v>74</v>
      </c>
      <c r="K32">
        <v>950</v>
      </c>
      <c r="M32" t="s">
        <v>62</v>
      </c>
      <c r="N32" t="s">
        <v>328</v>
      </c>
      <c r="O32" t="s">
        <v>329</v>
      </c>
      <c r="Q32" t="s">
        <v>92</v>
      </c>
      <c r="U32" t="s">
        <v>82</v>
      </c>
      <c r="W32" s="1">
        <v>46132.309305555558</v>
      </c>
      <c r="X32" t="s">
        <v>226</v>
      </c>
      <c r="Y32" s="1">
        <v>46132.309305555558</v>
      </c>
    </row>
    <row r="33" spans="1:25" x14ac:dyDescent="0.3">
      <c r="A33" t="s">
        <v>344</v>
      </c>
      <c r="B33" t="s">
        <v>345</v>
      </c>
      <c r="C33" t="s">
        <v>346</v>
      </c>
      <c r="D33" t="s">
        <v>15</v>
      </c>
      <c r="F33" s="16" t="s">
        <v>325</v>
      </c>
      <c r="G33" s="17" t="s">
        <v>347</v>
      </c>
      <c r="H33" t="s">
        <v>347</v>
      </c>
      <c r="I33" t="s">
        <v>94</v>
      </c>
      <c r="J33" t="s">
        <v>74</v>
      </c>
      <c r="K33">
        <v>1960</v>
      </c>
      <c r="M33" t="s">
        <v>62</v>
      </c>
      <c r="N33" t="s">
        <v>328</v>
      </c>
      <c r="Q33" t="s">
        <v>92</v>
      </c>
      <c r="U33" t="s">
        <v>82</v>
      </c>
      <c r="W33" s="1">
        <v>46132.309305555558</v>
      </c>
      <c r="X33" t="s">
        <v>226</v>
      </c>
      <c r="Y33" s="1">
        <v>46132.309305555558</v>
      </c>
    </row>
    <row r="34" spans="1:25" x14ac:dyDescent="0.3">
      <c r="A34" t="s">
        <v>348</v>
      </c>
      <c r="B34" t="s">
        <v>349</v>
      </c>
      <c r="D34" t="s">
        <v>15</v>
      </c>
      <c r="F34" s="16" t="s">
        <v>350</v>
      </c>
      <c r="G34" s="17" t="s">
        <v>351</v>
      </c>
      <c r="I34" t="s">
        <v>94</v>
      </c>
      <c r="J34" t="s">
        <v>74</v>
      </c>
      <c r="K34">
        <v>1000</v>
      </c>
      <c r="Q34" t="s">
        <v>92</v>
      </c>
      <c r="U34" t="s">
        <v>82</v>
      </c>
      <c r="V34" t="s">
        <v>352</v>
      </c>
      <c r="W34" s="1">
        <v>46132.309305555558</v>
      </c>
      <c r="X34" t="s">
        <v>226</v>
      </c>
      <c r="Y34" s="1">
        <v>46132.309305555558</v>
      </c>
    </row>
    <row r="35" spans="1:25" x14ac:dyDescent="0.3">
      <c r="A35" t="s">
        <v>353</v>
      </c>
      <c r="B35" t="s">
        <v>354</v>
      </c>
      <c r="D35" t="s">
        <v>15</v>
      </c>
      <c r="F35" s="16" t="s">
        <v>355</v>
      </c>
      <c r="G35" s="17" t="s">
        <v>356</v>
      </c>
      <c r="I35" t="s">
        <v>94</v>
      </c>
      <c r="J35" t="s">
        <v>74</v>
      </c>
      <c r="K35">
        <v>1000</v>
      </c>
      <c r="Q35" t="s">
        <v>92</v>
      </c>
      <c r="U35" t="s">
        <v>82</v>
      </c>
      <c r="V35" t="s">
        <v>352</v>
      </c>
      <c r="W35" s="1">
        <v>46132.309305555558</v>
      </c>
      <c r="X35" t="s">
        <v>226</v>
      </c>
      <c r="Y35" s="1">
        <v>46132.309305555558</v>
      </c>
    </row>
    <row r="36" spans="1:25" x14ac:dyDescent="0.3">
      <c r="A36" t="s">
        <v>357</v>
      </c>
      <c r="B36" t="s">
        <v>354</v>
      </c>
      <c r="D36" t="s">
        <v>15</v>
      </c>
      <c r="F36" s="16" t="s">
        <v>355</v>
      </c>
      <c r="G36" s="17" t="s">
        <v>358</v>
      </c>
      <c r="I36" t="s">
        <v>94</v>
      </c>
      <c r="J36" t="s">
        <v>74</v>
      </c>
      <c r="K36">
        <v>1000</v>
      </c>
      <c r="Q36" t="s">
        <v>92</v>
      </c>
      <c r="U36" t="s">
        <v>82</v>
      </c>
      <c r="V36" t="s">
        <v>352</v>
      </c>
      <c r="W36" s="1">
        <v>46132.309305555558</v>
      </c>
      <c r="X36" t="s">
        <v>226</v>
      </c>
      <c r="Y36" s="1">
        <v>46132.309305555558</v>
      </c>
    </row>
    <row r="37" spans="1:25" x14ac:dyDescent="0.3">
      <c r="A37" t="s">
        <v>359</v>
      </c>
      <c r="B37" t="s">
        <v>301</v>
      </c>
      <c r="D37" t="s">
        <v>15</v>
      </c>
      <c r="F37" s="16" t="s">
        <v>360</v>
      </c>
      <c r="G37" s="17" t="s">
        <v>361</v>
      </c>
      <c r="I37" t="s">
        <v>94</v>
      </c>
      <c r="J37" t="s">
        <v>74</v>
      </c>
      <c r="K37">
        <v>1000</v>
      </c>
      <c r="Q37" t="s">
        <v>92</v>
      </c>
      <c r="U37" t="s">
        <v>82</v>
      </c>
      <c r="W37" s="1">
        <v>46132.309305555558</v>
      </c>
      <c r="X37" t="s">
        <v>226</v>
      </c>
      <c r="Y37" s="1">
        <v>46132.309305555558</v>
      </c>
    </row>
    <row r="38" spans="1:25" x14ac:dyDescent="0.3">
      <c r="A38" t="s">
        <v>362</v>
      </c>
      <c r="B38" t="s">
        <v>363</v>
      </c>
      <c r="D38" t="s">
        <v>15</v>
      </c>
      <c r="F38" s="16" t="s">
        <v>39</v>
      </c>
      <c r="G38" s="17" t="s">
        <v>364</v>
      </c>
      <c r="I38" t="s">
        <v>94</v>
      </c>
      <c r="J38" t="s">
        <v>74</v>
      </c>
      <c r="M38" t="s">
        <v>62</v>
      </c>
      <c r="N38" t="s">
        <v>365</v>
      </c>
      <c r="Q38" t="s">
        <v>92</v>
      </c>
      <c r="U38" t="s">
        <v>82</v>
      </c>
      <c r="W38" s="1">
        <v>46132.309305555558</v>
      </c>
      <c r="X38" t="s">
        <v>226</v>
      </c>
      <c r="Y38" s="1">
        <v>46132.309305555558</v>
      </c>
    </row>
    <row r="39" spans="1:25" x14ac:dyDescent="0.3">
      <c r="A39" t="s">
        <v>366</v>
      </c>
      <c r="B39" t="s">
        <v>294</v>
      </c>
      <c r="D39" t="s">
        <v>15</v>
      </c>
      <c r="F39" s="16" t="s">
        <v>360</v>
      </c>
      <c r="G39" s="17" t="s">
        <v>367</v>
      </c>
      <c r="I39" t="s">
        <v>94</v>
      </c>
      <c r="J39" t="s">
        <v>74</v>
      </c>
      <c r="K39">
        <v>800</v>
      </c>
      <c r="Q39" t="s">
        <v>92</v>
      </c>
      <c r="U39" t="s">
        <v>82</v>
      </c>
      <c r="W39" s="1">
        <v>46132.309305555558</v>
      </c>
      <c r="X39" t="s">
        <v>226</v>
      </c>
      <c r="Y39" s="1">
        <v>46132.309305555558</v>
      </c>
    </row>
    <row r="40" spans="1:25" x14ac:dyDescent="0.3">
      <c r="A40" t="s">
        <v>368</v>
      </c>
      <c r="B40" t="s">
        <v>294</v>
      </c>
      <c r="D40" t="s">
        <v>15</v>
      </c>
      <c r="F40" s="16" t="s">
        <v>369</v>
      </c>
      <c r="G40" s="17" t="s">
        <v>370</v>
      </c>
      <c r="I40" t="s">
        <v>94</v>
      </c>
      <c r="J40" t="s">
        <v>74</v>
      </c>
      <c r="K40">
        <v>800</v>
      </c>
      <c r="Q40" t="s">
        <v>92</v>
      </c>
      <c r="U40" t="s">
        <v>82</v>
      </c>
      <c r="W40" s="1">
        <v>46132.309305555558</v>
      </c>
      <c r="X40" t="s">
        <v>226</v>
      </c>
      <c r="Y40" s="1">
        <v>46132.309305555558</v>
      </c>
    </row>
    <row r="41" spans="1:25" x14ac:dyDescent="0.3">
      <c r="A41" t="s">
        <v>371</v>
      </c>
      <c r="B41" t="s">
        <v>294</v>
      </c>
      <c r="D41" t="s">
        <v>15</v>
      </c>
      <c r="F41" s="16" t="s">
        <v>372</v>
      </c>
      <c r="G41" s="17" t="s">
        <v>373</v>
      </c>
      <c r="I41" t="s">
        <v>94</v>
      </c>
      <c r="J41" t="s">
        <v>74</v>
      </c>
      <c r="K41">
        <v>800</v>
      </c>
      <c r="Q41" t="s">
        <v>92</v>
      </c>
      <c r="U41" t="s">
        <v>82</v>
      </c>
      <c r="W41" s="1">
        <v>46132.309305555558</v>
      </c>
      <c r="X41" t="s">
        <v>226</v>
      </c>
      <c r="Y41" s="1">
        <v>46132.309305555558</v>
      </c>
    </row>
    <row r="42" spans="1:25" x14ac:dyDescent="0.3">
      <c r="A42" t="s">
        <v>374</v>
      </c>
      <c r="B42" t="s">
        <v>375</v>
      </c>
      <c r="D42" t="s">
        <v>15</v>
      </c>
      <c r="F42" s="16" t="s">
        <v>376</v>
      </c>
      <c r="G42" s="17" t="s">
        <v>377</v>
      </c>
      <c r="I42" t="s">
        <v>94</v>
      </c>
      <c r="J42" t="s">
        <v>74</v>
      </c>
      <c r="K42">
        <v>800</v>
      </c>
      <c r="Q42" t="s">
        <v>92</v>
      </c>
      <c r="U42" t="s">
        <v>82</v>
      </c>
      <c r="W42" s="1">
        <v>46132.309305555558</v>
      </c>
      <c r="X42" t="s">
        <v>226</v>
      </c>
      <c r="Y42" s="1">
        <v>46132.309305555558</v>
      </c>
    </row>
    <row r="43" spans="1:25" x14ac:dyDescent="0.3">
      <c r="A43" t="s">
        <v>378</v>
      </c>
      <c r="B43" t="s">
        <v>379</v>
      </c>
      <c r="D43" t="s">
        <v>15</v>
      </c>
      <c r="F43" s="16" t="s">
        <v>380</v>
      </c>
      <c r="G43" s="17" t="s">
        <v>381</v>
      </c>
      <c r="I43" t="s">
        <v>94</v>
      </c>
      <c r="J43" t="s">
        <v>74</v>
      </c>
      <c r="K43">
        <v>500</v>
      </c>
      <c r="Q43" t="s">
        <v>92</v>
      </c>
      <c r="U43" t="s">
        <v>82</v>
      </c>
      <c r="W43" s="1">
        <v>46132.309305555558</v>
      </c>
      <c r="X43" t="s">
        <v>226</v>
      </c>
      <c r="Y43" s="1">
        <v>46132.309305555558</v>
      </c>
    </row>
    <row r="44" spans="1:25" x14ac:dyDescent="0.3">
      <c r="A44" t="s">
        <v>382</v>
      </c>
      <c r="B44" t="s">
        <v>280</v>
      </c>
      <c r="D44" t="s">
        <v>15</v>
      </c>
      <c r="F44" s="16" t="s">
        <v>383</v>
      </c>
      <c r="G44" s="17" t="s">
        <v>384</v>
      </c>
      <c r="I44" t="s">
        <v>94</v>
      </c>
      <c r="J44" t="s">
        <v>74</v>
      </c>
      <c r="K44">
        <v>400</v>
      </c>
      <c r="Q44" t="s">
        <v>92</v>
      </c>
      <c r="U44" t="s">
        <v>82</v>
      </c>
      <c r="W44" s="1">
        <v>46132.309305555558</v>
      </c>
      <c r="X44" t="s">
        <v>226</v>
      </c>
      <c r="Y44" s="1">
        <v>46132.309305555558</v>
      </c>
    </row>
    <row r="45" spans="1:25" x14ac:dyDescent="0.3">
      <c r="A45" t="s">
        <v>385</v>
      </c>
      <c r="B45" t="s">
        <v>386</v>
      </c>
      <c r="D45" t="s">
        <v>15</v>
      </c>
      <c r="F45" s="16" t="s">
        <v>387</v>
      </c>
      <c r="G45" s="17">
        <v>930.83</v>
      </c>
      <c r="I45" t="s">
        <v>94</v>
      </c>
      <c r="J45" t="s">
        <v>74</v>
      </c>
      <c r="K45">
        <v>300</v>
      </c>
      <c r="Q45" t="s">
        <v>92</v>
      </c>
      <c r="U45" t="s">
        <v>82</v>
      </c>
      <c r="W45" s="1">
        <v>46132.309305555558</v>
      </c>
      <c r="X45" t="s">
        <v>226</v>
      </c>
      <c r="Y45" s="1">
        <v>46132.309305555558</v>
      </c>
    </row>
    <row r="46" spans="1:25" x14ac:dyDescent="0.3">
      <c r="A46" t="s">
        <v>388</v>
      </c>
      <c r="B46" t="s">
        <v>389</v>
      </c>
      <c r="D46" t="s">
        <v>15</v>
      </c>
      <c r="F46" s="16" t="s">
        <v>390</v>
      </c>
      <c r="G46" s="17" t="s">
        <v>391</v>
      </c>
      <c r="I46" t="s">
        <v>94</v>
      </c>
      <c r="J46" t="s">
        <v>74</v>
      </c>
      <c r="K46">
        <v>300</v>
      </c>
      <c r="Q46" t="s">
        <v>92</v>
      </c>
      <c r="U46" t="s">
        <v>82</v>
      </c>
      <c r="W46" s="1">
        <v>46132.309305555558</v>
      </c>
      <c r="X46" t="s">
        <v>226</v>
      </c>
      <c r="Y46" s="1">
        <v>46132.309305555558</v>
      </c>
    </row>
    <row r="47" spans="1:25" x14ac:dyDescent="0.3">
      <c r="A47" t="s">
        <v>392</v>
      </c>
      <c r="B47" t="s">
        <v>393</v>
      </c>
      <c r="D47" t="s">
        <v>15</v>
      </c>
      <c r="F47" s="16" t="s">
        <v>394</v>
      </c>
      <c r="G47" s="17" t="s">
        <v>395</v>
      </c>
      <c r="I47" t="s">
        <v>94</v>
      </c>
      <c r="J47" t="s">
        <v>74</v>
      </c>
      <c r="K47">
        <v>250</v>
      </c>
      <c r="Q47" t="s">
        <v>92</v>
      </c>
      <c r="U47" t="s">
        <v>82</v>
      </c>
      <c r="W47" s="1">
        <v>46132.309305555558</v>
      </c>
      <c r="X47" t="s">
        <v>226</v>
      </c>
      <c r="Y47" s="1">
        <v>46132.309305555558</v>
      </c>
    </row>
    <row r="48" spans="1:25" x14ac:dyDescent="0.3">
      <c r="A48" t="s">
        <v>396</v>
      </c>
      <c r="B48" t="s">
        <v>397</v>
      </c>
      <c r="D48" t="s">
        <v>15</v>
      </c>
      <c r="F48" s="16" t="s">
        <v>360</v>
      </c>
      <c r="G48" s="17" t="s">
        <v>398</v>
      </c>
      <c r="I48" t="s">
        <v>94</v>
      </c>
      <c r="J48" t="s">
        <v>74</v>
      </c>
      <c r="K48">
        <v>250</v>
      </c>
      <c r="Q48" t="s">
        <v>92</v>
      </c>
      <c r="U48" t="s">
        <v>82</v>
      </c>
      <c r="W48" s="1">
        <v>46132.309305555558</v>
      </c>
      <c r="X48" t="s">
        <v>226</v>
      </c>
      <c r="Y48" s="1">
        <v>46132.309305555558</v>
      </c>
    </row>
    <row r="49" spans="1:25" x14ac:dyDescent="0.3">
      <c r="A49" t="s">
        <v>399</v>
      </c>
      <c r="B49" t="s">
        <v>386</v>
      </c>
      <c r="D49" t="s">
        <v>15</v>
      </c>
      <c r="F49" s="16" t="s">
        <v>400</v>
      </c>
      <c r="G49" s="17" t="s">
        <v>401</v>
      </c>
      <c r="I49" t="s">
        <v>94</v>
      </c>
      <c r="J49" t="s">
        <v>74</v>
      </c>
      <c r="K49">
        <v>250</v>
      </c>
      <c r="Q49" t="s">
        <v>92</v>
      </c>
      <c r="U49" t="s">
        <v>82</v>
      </c>
      <c r="W49" s="1">
        <v>46132.309305555558</v>
      </c>
      <c r="X49" t="s">
        <v>226</v>
      </c>
      <c r="Y49" s="1">
        <v>46132.309305555558</v>
      </c>
    </row>
    <row r="50" spans="1:25" x14ac:dyDescent="0.3">
      <c r="A50" t="s">
        <v>402</v>
      </c>
      <c r="B50" t="s">
        <v>280</v>
      </c>
      <c r="D50" t="s">
        <v>15</v>
      </c>
      <c r="F50" s="16" t="s">
        <v>403</v>
      </c>
      <c r="G50" s="17">
        <v>930.8</v>
      </c>
      <c r="I50" t="s">
        <v>94</v>
      </c>
      <c r="J50" t="s">
        <v>74</v>
      </c>
      <c r="K50">
        <v>250</v>
      </c>
      <c r="Q50" t="s">
        <v>92</v>
      </c>
      <c r="U50" t="s">
        <v>82</v>
      </c>
      <c r="W50" s="1">
        <v>46132.309305555558</v>
      </c>
      <c r="X50" t="s">
        <v>226</v>
      </c>
      <c r="Y50" s="1">
        <v>46132.309305555558</v>
      </c>
    </row>
    <row r="51" spans="1:25" x14ac:dyDescent="0.3">
      <c r="A51" t="s">
        <v>404</v>
      </c>
      <c r="B51" t="s">
        <v>405</v>
      </c>
      <c r="D51" t="s">
        <v>15</v>
      </c>
      <c r="F51" s="16" t="s">
        <v>376</v>
      </c>
      <c r="G51" s="17" t="s">
        <v>406</v>
      </c>
      <c r="I51" t="s">
        <v>94</v>
      </c>
      <c r="J51" t="s">
        <v>74</v>
      </c>
      <c r="K51">
        <v>250</v>
      </c>
      <c r="Q51" t="s">
        <v>92</v>
      </c>
      <c r="U51" t="s">
        <v>82</v>
      </c>
      <c r="W51" s="1">
        <v>46132.309305555558</v>
      </c>
      <c r="X51" t="s">
        <v>226</v>
      </c>
      <c r="Y51" s="1">
        <v>46132.309305555558</v>
      </c>
    </row>
    <row r="52" spans="1:25" x14ac:dyDescent="0.3">
      <c r="A52" t="s">
        <v>407</v>
      </c>
      <c r="B52" t="s">
        <v>386</v>
      </c>
      <c r="D52" t="s">
        <v>15</v>
      </c>
      <c r="F52" s="16" t="s">
        <v>400</v>
      </c>
      <c r="G52" s="17" t="s">
        <v>408</v>
      </c>
      <c r="I52" t="s">
        <v>94</v>
      </c>
      <c r="J52" t="s">
        <v>74</v>
      </c>
      <c r="K52">
        <v>250</v>
      </c>
      <c r="Q52" t="s">
        <v>92</v>
      </c>
      <c r="U52" t="s">
        <v>82</v>
      </c>
      <c r="W52" s="1">
        <v>46132.309305555558</v>
      </c>
      <c r="X52" t="s">
        <v>226</v>
      </c>
      <c r="Y52" s="1">
        <v>46132.309305555558</v>
      </c>
    </row>
    <row r="53" spans="1:25" x14ac:dyDescent="0.3">
      <c r="A53" t="s">
        <v>409</v>
      </c>
      <c r="B53" t="s">
        <v>405</v>
      </c>
      <c r="D53" t="s">
        <v>15</v>
      </c>
      <c r="F53" s="16" t="s">
        <v>49</v>
      </c>
      <c r="G53" s="17" t="s">
        <v>410</v>
      </c>
      <c r="I53" t="s">
        <v>94</v>
      </c>
      <c r="J53" t="s">
        <v>74</v>
      </c>
      <c r="K53">
        <v>250</v>
      </c>
      <c r="N53" t="s">
        <v>411</v>
      </c>
      <c r="Q53" t="s">
        <v>92</v>
      </c>
      <c r="U53" t="s">
        <v>82</v>
      </c>
      <c r="W53" s="1">
        <v>46132.309305555558</v>
      </c>
      <c r="X53" t="s">
        <v>226</v>
      </c>
      <c r="Y53" s="1">
        <v>46132.309305555558</v>
      </c>
    </row>
    <row r="54" spans="1:25" x14ac:dyDescent="0.3">
      <c r="A54" t="s">
        <v>412</v>
      </c>
      <c r="B54" t="s">
        <v>413</v>
      </c>
      <c r="D54" t="s">
        <v>15</v>
      </c>
      <c r="F54" s="16" t="s">
        <v>414</v>
      </c>
      <c r="G54" s="17" t="s">
        <v>415</v>
      </c>
      <c r="I54" t="s">
        <v>94</v>
      </c>
      <c r="J54" t="s">
        <v>74</v>
      </c>
      <c r="K54">
        <v>200</v>
      </c>
      <c r="Q54" t="s">
        <v>92</v>
      </c>
      <c r="U54" t="s">
        <v>82</v>
      </c>
      <c r="V54" t="s">
        <v>416</v>
      </c>
      <c r="W54" s="1">
        <v>46132.309305555558</v>
      </c>
      <c r="X54" t="s">
        <v>226</v>
      </c>
      <c r="Y54" s="1">
        <v>46132.309305555558</v>
      </c>
    </row>
    <row r="55" spans="1:25" x14ac:dyDescent="0.3">
      <c r="A55" t="s">
        <v>417</v>
      </c>
      <c r="B55" t="s">
        <v>418</v>
      </c>
      <c r="D55" t="s">
        <v>15</v>
      </c>
      <c r="F55" s="16" t="s">
        <v>419</v>
      </c>
      <c r="G55" s="17" t="s">
        <v>420</v>
      </c>
      <c r="I55" t="s">
        <v>94</v>
      </c>
      <c r="J55" t="s">
        <v>74</v>
      </c>
      <c r="K55">
        <v>150</v>
      </c>
      <c r="N55" t="s">
        <v>421</v>
      </c>
      <c r="Q55" t="s">
        <v>92</v>
      </c>
      <c r="U55" t="s">
        <v>82</v>
      </c>
      <c r="W55" s="1">
        <v>46132.309305555558</v>
      </c>
      <c r="X55" t="s">
        <v>226</v>
      </c>
      <c r="Y55" s="1">
        <v>46132.309305555558</v>
      </c>
    </row>
    <row r="56" spans="1:25" x14ac:dyDescent="0.3">
      <c r="A56" t="s">
        <v>422</v>
      </c>
      <c r="B56" t="s">
        <v>423</v>
      </c>
      <c r="D56" t="s">
        <v>15</v>
      </c>
      <c r="F56" s="16" t="s">
        <v>424</v>
      </c>
      <c r="G56" s="17" t="s">
        <v>425</v>
      </c>
      <c r="I56" t="s">
        <v>94</v>
      </c>
      <c r="J56" t="s">
        <v>74</v>
      </c>
      <c r="K56">
        <v>40</v>
      </c>
      <c r="Q56" t="s">
        <v>92</v>
      </c>
      <c r="U56" t="s">
        <v>82</v>
      </c>
      <c r="W56" s="1">
        <v>46132.309305555558</v>
      </c>
      <c r="X56" t="s">
        <v>226</v>
      </c>
      <c r="Y56" s="1">
        <v>46132.309305555558</v>
      </c>
    </row>
    <row r="57" spans="1:25" x14ac:dyDescent="0.3">
      <c r="A57" t="s">
        <v>426</v>
      </c>
      <c r="B57" t="s">
        <v>423</v>
      </c>
      <c r="D57" t="s">
        <v>15</v>
      </c>
      <c r="F57" s="16" t="s">
        <v>427</v>
      </c>
      <c r="G57" s="17" t="s">
        <v>428</v>
      </c>
      <c r="I57" t="s">
        <v>94</v>
      </c>
      <c r="J57" t="s">
        <v>74</v>
      </c>
      <c r="K57">
        <v>150</v>
      </c>
      <c r="Q57" t="s">
        <v>92</v>
      </c>
      <c r="U57" t="s">
        <v>82</v>
      </c>
      <c r="W57" s="1">
        <v>46132.309305555558</v>
      </c>
      <c r="X57" t="s">
        <v>226</v>
      </c>
      <c r="Y57" s="1">
        <v>46132.309305555558</v>
      </c>
    </row>
    <row r="58" spans="1:25" ht="28" x14ac:dyDescent="0.3">
      <c r="A58" t="s">
        <v>429</v>
      </c>
      <c r="B58" t="s">
        <v>430</v>
      </c>
      <c r="D58" t="s">
        <v>15</v>
      </c>
      <c r="F58" s="16" t="s">
        <v>431</v>
      </c>
      <c r="G58" s="17" t="s">
        <v>432</v>
      </c>
      <c r="I58" t="s">
        <v>94</v>
      </c>
      <c r="J58" t="s">
        <v>74</v>
      </c>
      <c r="K58">
        <v>46000</v>
      </c>
      <c r="Q58" t="s">
        <v>92</v>
      </c>
      <c r="U58" t="s">
        <v>82</v>
      </c>
      <c r="V58" t="s">
        <v>433</v>
      </c>
      <c r="W58" s="1">
        <v>46132.309305555558</v>
      </c>
      <c r="X58" t="s">
        <v>226</v>
      </c>
      <c r="Y58" s="1">
        <v>46132.309305555558</v>
      </c>
    </row>
    <row r="59" spans="1:25" x14ac:dyDescent="0.3">
      <c r="A59" t="s">
        <v>434</v>
      </c>
      <c r="B59" t="s">
        <v>435</v>
      </c>
      <c r="D59" t="s">
        <v>15</v>
      </c>
      <c r="F59" s="16"/>
      <c r="G59" s="17" t="s">
        <v>436</v>
      </c>
      <c r="I59" t="s">
        <v>94</v>
      </c>
      <c r="J59" t="s">
        <v>74</v>
      </c>
      <c r="K59">
        <v>200</v>
      </c>
      <c r="N59" t="s">
        <v>421</v>
      </c>
      <c r="Q59" t="s">
        <v>92</v>
      </c>
      <c r="U59" t="s">
        <v>82</v>
      </c>
      <c r="W59" s="1">
        <v>46132.309305555558</v>
      </c>
      <c r="X59" t="s">
        <v>226</v>
      </c>
      <c r="Y59" s="1">
        <v>46132.309305555558</v>
      </c>
    </row>
    <row r="60" spans="1:25" ht="28" x14ac:dyDescent="0.3">
      <c r="A60" t="s">
        <v>437</v>
      </c>
      <c r="B60" t="s">
        <v>435</v>
      </c>
      <c r="D60" t="s">
        <v>15</v>
      </c>
      <c r="F60" s="16"/>
      <c r="G60" s="17" t="s">
        <v>438</v>
      </c>
      <c r="I60" t="s">
        <v>94</v>
      </c>
      <c r="J60" t="s">
        <v>74</v>
      </c>
      <c r="K60">
        <v>200</v>
      </c>
      <c r="N60" t="s">
        <v>421</v>
      </c>
      <c r="Q60" t="s">
        <v>92</v>
      </c>
      <c r="U60" t="s">
        <v>82</v>
      </c>
      <c r="W60" s="1">
        <v>46132.309305555558</v>
      </c>
      <c r="X60" t="s">
        <v>226</v>
      </c>
      <c r="Y60" s="1">
        <v>46132.309305555558</v>
      </c>
    </row>
    <row r="61" spans="1:25" ht="28" x14ac:dyDescent="0.3">
      <c r="A61" t="s">
        <v>439</v>
      </c>
      <c r="B61" t="s">
        <v>435</v>
      </c>
      <c r="D61" t="s">
        <v>15</v>
      </c>
      <c r="F61" s="16"/>
      <c r="G61" s="17" t="s">
        <v>440</v>
      </c>
      <c r="I61" t="s">
        <v>94</v>
      </c>
      <c r="J61" t="s">
        <v>74</v>
      </c>
      <c r="K61">
        <v>200</v>
      </c>
      <c r="N61" t="s">
        <v>421</v>
      </c>
      <c r="Q61" t="s">
        <v>92</v>
      </c>
      <c r="U61" t="s">
        <v>82</v>
      </c>
      <c r="W61" s="1">
        <v>46132.309305555558</v>
      </c>
      <c r="X61" t="s">
        <v>226</v>
      </c>
      <c r="Y61" s="1">
        <v>46132.309305555558</v>
      </c>
    </row>
    <row r="62" spans="1:25" x14ac:dyDescent="0.3">
      <c r="A62" t="s">
        <v>441</v>
      </c>
      <c r="B62" t="s">
        <v>435</v>
      </c>
      <c r="D62" t="s">
        <v>15</v>
      </c>
      <c r="F62" s="16" t="s">
        <v>442</v>
      </c>
      <c r="G62" s="17" t="s">
        <v>443</v>
      </c>
      <c r="I62" t="s">
        <v>94</v>
      </c>
      <c r="J62" t="s">
        <v>74</v>
      </c>
      <c r="K62">
        <v>1000</v>
      </c>
      <c r="Q62" t="s">
        <v>92</v>
      </c>
      <c r="U62" t="s">
        <v>82</v>
      </c>
      <c r="W62" s="1">
        <v>46132.309305555558</v>
      </c>
      <c r="X62" t="s">
        <v>226</v>
      </c>
      <c r="Y62" s="1">
        <v>46132.309305555558</v>
      </c>
    </row>
    <row r="63" spans="1:25" x14ac:dyDescent="0.3">
      <c r="A63" t="s">
        <v>444</v>
      </c>
      <c r="B63" t="s">
        <v>435</v>
      </c>
      <c r="D63" t="s">
        <v>15</v>
      </c>
      <c r="F63" s="16" t="s">
        <v>442</v>
      </c>
      <c r="G63" s="17" t="s">
        <v>445</v>
      </c>
      <c r="I63" t="s">
        <v>94</v>
      </c>
      <c r="J63" t="s">
        <v>74</v>
      </c>
      <c r="K63">
        <v>1000</v>
      </c>
      <c r="Q63" t="s">
        <v>92</v>
      </c>
      <c r="U63" t="s">
        <v>82</v>
      </c>
      <c r="W63" s="1">
        <v>46132.309305555558</v>
      </c>
      <c r="X63" t="s">
        <v>226</v>
      </c>
      <c r="Y63" s="1">
        <v>46132.309305555558</v>
      </c>
    </row>
    <row r="64" spans="1:25" x14ac:dyDescent="0.3">
      <c r="A64" t="s">
        <v>446</v>
      </c>
      <c r="B64" t="s">
        <v>447</v>
      </c>
      <c r="C64" t="s">
        <v>448</v>
      </c>
      <c r="D64" t="s">
        <v>15</v>
      </c>
      <c r="F64" s="16" t="s">
        <v>296</v>
      </c>
      <c r="G64" s="17" t="s">
        <v>449</v>
      </c>
      <c r="H64" t="s">
        <v>450</v>
      </c>
      <c r="I64" t="s">
        <v>94</v>
      </c>
      <c r="J64" t="s">
        <v>74</v>
      </c>
      <c r="K64">
        <v>8000</v>
      </c>
      <c r="M64" t="s">
        <v>62</v>
      </c>
      <c r="N64" t="s">
        <v>299</v>
      </c>
      <c r="Q64" t="s">
        <v>92</v>
      </c>
      <c r="U64" t="s">
        <v>82</v>
      </c>
      <c r="V64" t="s">
        <v>273</v>
      </c>
      <c r="W64" s="1">
        <v>46132.309305555558</v>
      </c>
      <c r="X64" t="s">
        <v>226</v>
      </c>
      <c r="Y64" s="1">
        <v>46132.309305555558</v>
      </c>
    </row>
    <row r="65" spans="1:25" x14ac:dyDescent="0.3">
      <c r="A65" t="s">
        <v>451</v>
      </c>
      <c r="B65" t="s">
        <v>452</v>
      </c>
      <c r="D65" t="s">
        <v>15</v>
      </c>
      <c r="F65" s="16" t="s">
        <v>419</v>
      </c>
      <c r="G65" s="17" t="s">
        <v>453</v>
      </c>
      <c r="I65" t="s">
        <v>94</v>
      </c>
      <c r="J65" t="s">
        <v>74</v>
      </c>
      <c r="K65">
        <v>3500</v>
      </c>
      <c r="N65" t="s">
        <v>421</v>
      </c>
      <c r="Q65" t="s">
        <v>92</v>
      </c>
      <c r="U65" t="s">
        <v>82</v>
      </c>
      <c r="W65" s="1">
        <v>46132.309305555558</v>
      </c>
      <c r="X65" t="s">
        <v>226</v>
      </c>
      <c r="Y65" s="1">
        <v>46132.309305555558</v>
      </c>
    </row>
    <row r="66" spans="1:25" x14ac:dyDescent="0.3">
      <c r="A66" t="s">
        <v>454</v>
      </c>
      <c r="B66" t="s">
        <v>455</v>
      </c>
      <c r="D66" t="s">
        <v>15</v>
      </c>
      <c r="F66" s="16" t="s">
        <v>456</v>
      </c>
      <c r="G66" s="17" t="s">
        <v>457</v>
      </c>
      <c r="I66" t="s">
        <v>94</v>
      </c>
      <c r="J66" t="s">
        <v>74</v>
      </c>
      <c r="K66">
        <v>1200</v>
      </c>
      <c r="M66" t="s">
        <v>62</v>
      </c>
      <c r="Q66" t="s">
        <v>92</v>
      </c>
      <c r="U66" t="s">
        <v>82</v>
      </c>
      <c r="W66" s="1">
        <v>46132.309305555558</v>
      </c>
      <c r="X66" t="s">
        <v>226</v>
      </c>
      <c r="Y66" s="1">
        <v>46132.309305555558</v>
      </c>
    </row>
    <row r="67" spans="1:25" x14ac:dyDescent="0.3">
      <c r="A67" t="s">
        <v>458</v>
      </c>
      <c r="B67" t="s">
        <v>455</v>
      </c>
      <c r="D67" t="s">
        <v>15</v>
      </c>
      <c r="F67" s="16" t="s">
        <v>456</v>
      </c>
      <c r="G67" s="17" t="s">
        <v>459</v>
      </c>
      <c r="I67" t="s">
        <v>94</v>
      </c>
      <c r="J67" t="s">
        <v>74</v>
      </c>
      <c r="K67">
        <v>1200</v>
      </c>
      <c r="M67" t="s">
        <v>62</v>
      </c>
      <c r="Q67" t="s">
        <v>92</v>
      </c>
      <c r="U67" t="s">
        <v>82</v>
      </c>
      <c r="W67" s="1">
        <v>46132.309305555558</v>
      </c>
      <c r="X67" t="s">
        <v>226</v>
      </c>
      <c r="Y67" s="1">
        <v>46132.309305555558</v>
      </c>
    </row>
    <row r="68" spans="1:25" x14ac:dyDescent="0.3">
      <c r="A68" t="s">
        <v>460</v>
      </c>
      <c r="B68" t="s">
        <v>455</v>
      </c>
      <c r="D68" t="s">
        <v>15</v>
      </c>
      <c r="F68" s="16" t="s">
        <v>456</v>
      </c>
      <c r="G68" s="17" t="s">
        <v>461</v>
      </c>
      <c r="I68" t="s">
        <v>94</v>
      </c>
      <c r="J68" t="s">
        <v>74</v>
      </c>
      <c r="K68">
        <v>1200</v>
      </c>
      <c r="M68" t="s">
        <v>62</v>
      </c>
      <c r="Q68" t="s">
        <v>92</v>
      </c>
      <c r="U68" t="s">
        <v>82</v>
      </c>
      <c r="V68" t="s">
        <v>462</v>
      </c>
      <c r="W68" s="1">
        <v>46132.309305555558</v>
      </c>
      <c r="X68" t="s">
        <v>226</v>
      </c>
      <c r="Y68" s="1">
        <v>46132.309305555558</v>
      </c>
    </row>
    <row r="69" spans="1:25" x14ac:dyDescent="0.3">
      <c r="A69" t="s">
        <v>463</v>
      </c>
      <c r="B69" t="s">
        <v>464</v>
      </c>
      <c r="C69" t="s">
        <v>465</v>
      </c>
      <c r="D69" t="s">
        <v>15</v>
      </c>
      <c r="F69" s="16" t="s">
        <v>23</v>
      </c>
      <c r="G69" s="17" t="s">
        <v>466</v>
      </c>
      <c r="H69" t="s">
        <v>270</v>
      </c>
      <c r="I69" t="s">
        <v>95</v>
      </c>
      <c r="J69" t="s">
        <v>74</v>
      </c>
      <c r="M69" t="s">
        <v>62</v>
      </c>
      <c r="N69" t="s">
        <v>271</v>
      </c>
      <c r="O69" t="s">
        <v>272</v>
      </c>
      <c r="Q69" t="s">
        <v>92</v>
      </c>
      <c r="U69" t="s">
        <v>82</v>
      </c>
      <c r="V69" t="s">
        <v>467</v>
      </c>
      <c r="W69" s="1">
        <v>46132.309305555558</v>
      </c>
      <c r="X69" t="s">
        <v>226</v>
      </c>
      <c r="Y69" s="1">
        <v>46132.309305555558</v>
      </c>
    </row>
    <row r="70" spans="1:25" x14ac:dyDescent="0.3">
      <c r="A70" t="s">
        <v>468</v>
      </c>
      <c r="B70" t="s">
        <v>469</v>
      </c>
      <c r="C70" t="s">
        <v>470</v>
      </c>
      <c r="D70" t="s">
        <v>15</v>
      </c>
      <c r="F70" s="16" t="s">
        <v>471</v>
      </c>
      <c r="G70" s="17" t="s">
        <v>472</v>
      </c>
      <c r="H70" t="s">
        <v>472</v>
      </c>
      <c r="I70" t="s">
        <v>94</v>
      </c>
      <c r="J70" t="s">
        <v>74</v>
      </c>
      <c r="K70">
        <v>1200</v>
      </c>
      <c r="M70" t="s">
        <v>62</v>
      </c>
      <c r="N70" t="s">
        <v>473</v>
      </c>
      <c r="Q70" t="s">
        <v>92</v>
      </c>
      <c r="U70" t="s">
        <v>82</v>
      </c>
      <c r="W70" s="1">
        <v>46132.309305555558</v>
      </c>
      <c r="X70" t="s">
        <v>226</v>
      </c>
      <c r="Y70" s="1">
        <v>46132.309305555558</v>
      </c>
    </row>
    <row r="71" spans="1:25" x14ac:dyDescent="0.3">
      <c r="A71" t="s">
        <v>474</v>
      </c>
      <c r="B71" t="s">
        <v>280</v>
      </c>
      <c r="D71" t="s">
        <v>15</v>
      </c>
      <c r="F71" s="16" t="s">
        <v>475</v>
      </c>
      <c r="G71" s="17" t="s">
        <v>476</v>
      </c>
      <c r="H71" t="s">
        <v>477</v>
      </c>
      <c r="I71" t="s">
        <v>94</v>
      </c>
      <c r="J71" t="s">
        <v>74</v>
      </c>
      <c r="K71">
        <v>3000</v>
      </c>
      <c r="M71" t="s">
        <v>62</v>
      </c>
      <c r="Q71" t="s">
        <v>92</v>
      </c>
      <c r="U71" t="s">
        <v>82</v>
      </c>
      <c r="W71" s="1">
        <v>46132.309305555558</v>
      </c>
      <c r="X71" t="s">
        <v>226</v>
      </c>
      <c r="Y71" s="1">
        <v>46132.309305555558</v>
      </c>
    </row>
    <row r="72" spans="1:25" x14ac:dyDescent="0.3">
      <c r="A72" t="s">
        <v>478</v>
      </c>
      <c r="B72" t="s">
        <v>447</v>
      </c>
      <c r="C72" t="s">
        <v>448</v>
      </c>
      <c r="D72" t="s">
        <v>15</v>
      </c>
      <c r="F72" s="16" t="s">
        <v>296</v>
      </c>
      <c r="G72" s="17" t="s">
        <v>479</v>
      </c>
      <c r="H72" t="s">
        <v>480</v>
      </c>
      <c r="I72" t="s">
        <v>94</v>
      </c>
      <c r="J72" t="s">
        <v>74</v>
      </c>
      <c r="K72">
        <v>3000</v>
      </c>
      <c r="M72" t="s">
        <v>62</v>
      </c>
      <c r="N72" t="s">
        <v>299</v>
      </c>
      <c r="Q72" t="s">
        <v>92</v>
      </c>
      <c r="U72" t="s">
        <v>82</v>
      </c>
      <c r="V72" t="s">
        <v>273</v>
      </c>
      <c r="W72" s="1">
        <v>46132.309305555558</v>
      </c>
      <c r="X72" t="s">
        <v>226</v>
      </c>
      <c r="Y72" s="1">
        <v>46132.309305555558</v>
      </c>
    </row>
    <row r="73" spans="1:25" x14ac:dyDescent="0.3">
      <c r="A73" t="s">
        <v>481</v>
      </c>
      <c r="B73" t="s">
        <v>255</v>
      </c>
      <c r="D73" t="s">
        <v>15</v>
      </c>
      <c r="F73" s="16" t="s">
        <v>29</v>
      </c>
      <c r="G73" s="17" t="s">
        <v>482</v>
      </c>
      <c r="I73" t="s">
        <v>94</v>
      </c>
      <c r="J73" t="s">
        <v>74</v>
      </c>
      <c r="K73">
        <v>4500</v>
      </c>
      <c r="M73" t="s">
        <v>257</v>
      </c>
      <c r="N73" t="s">
        <v>238</v>
      </c>
      <c r="Q73" t="s">
        <v>92</v>
      </c>
      <c r="U73" t="s">
        <v>82</v>
      </c>
      <c r="V73" t="s">
        <v>258</v>
      </c>
      <c r="W73" s="1">
        <v>46132.309305555558</v>
      </c>
      <c r="X73" t="s">
        <v>226</v>
      </c>
      <c r="Y73" s="1">
        <v>46132.309305555558</v>
      </c>
    </row>
    <row r="74" spans="1:25" x14ac:dyDescent="0.3">
      <c r="A74" t="s">
        <v>483</v>
      </c>
      <c r="B74" t="s">
        <v>484</v>
      </c>
      <c r="C74" t="s">
        <v>485</v>
      </c>
      <c r="D74" t="s">
        <v>15</v>
      </c>
      <c r="F74" s="16" t="s">
        <v>23</v>
      </c>
      <c r="G74" s="17" t="s">
        <v>486</v>
      </c>
      <c r="H74" t="s">
        <v>487</v>
      </c>
      <c r="I74" t="s">
        <v>95</v>
      </c>
      <c r="J74" t="s">
        <v>74</v>
      </c>
      <c r="M74" t="s">
        <v>62</v>
      </c>
      <c r="N74" t="s">
        <v>271</v>
      </c>
      <c r="Q74" t="s">
        <v>92</v>
      </c>
      <c r="U74" t="s">
        <v>82</v>
      </c>
      <c r="V74" t="s">
        <v>273</v>
      </c>
      <c r="W74" s="1">
        <v>46132.309305555558</v>
      </c>
      <c r="X74" t="s">
        <v>226</v>
      </c>
      <c r="Y74" s="1">
        <v>46132.309305555558</v>
      </c>
    </row>
    <row r="75" spans="1:25" x14ac:dyDescent="0.3">
      <c r="A75" t="s">
        <v>488</v>
      </c>
      <c r="B75" t="s">
        <v>418</v>
      </c>
      <c r="C75" t="s">
        <v>489</v>
      </c>
      <c r="D75" t="s">
        <v>15</v>
      </c>
      <c r="F75" s="16" t="s">
        <v>21</v>
      </c>
      <c r="G75" s="17" t="s">
        <v>490</v>
      </c>
      <c r="H75">
        <v>6211</v>
      </c>
      <c r="I75" t="s">
        <v>94</v>
      </c>
      <c r="J75" t="s">
        <v>74</v>
      </c>
      <c r="K75">
        <v>600</v>
      </c>
      <c r="M75" t="s">
        <v>62</v>
      </c>
      <c r="N75" t="s">
        <v>491</v>
      </c>
      <c r="Q75" t="s">
        <v>92</v>
      </c>
      <c r="U75" t="s">
        <v>82</v>
      </c>
      <c r="W75" s="1">
        <v>46132.309305555558</v>
      </c>
      <c r="X75" t="s">
        <v>226</v>
      </c>
      <c r="Y75" s="1">
        <v>46132.309305555558</v>
      </c>
    </row>
    <row r="76" spans="1:25" x14ac:dyDescent="0.3">
      <c r="A76" t="s">
        <v>492</v>
      </c>
      <c r="B76" t="s">
        <v>493</v>
      </c>
      <c r="C76" t="s">
        <v>494</v>
      </c>
      <c r="D76" t="s">
        <v>15</v>
      </c>
      <c r="F76" s="16" t="s">
        <v>21</v>
      </c>
      <c r="G76" s="17" t="s">
        <v>495</v>
      </c>
      <c r="H76">
        <v>533352</v>
      </c>
      <c r="I76" t="s">
        <v>94</v>
      </c>
      <c r="J76" t="s">
        <v>74</v>
      </c>
      <c r="K76">
        <v>500</v>
      </c>
      <c r="M76" t="s">
        <v>62</v>
      </c>
      <c r="N76" t="s">
        <v>491</v>
      </c>
      <c r="Q76" t="s">
        <v>92</v>
      </c>
      <c r="U76" t="s">
        <v>82</v>
      </c>
      <c r="W76" s="1">
        <v>46132.309305555558</v>
      </c>
      <c r="X76" t="s">
        <v>226</v>
      </c>
      <c r="Y76" s="1">
        <v>46132.309305555558</v>
      </c>
    </row>
    <row r="77" spans="1:25" x14ac:dyDescent="0.3">
      <c r="A77" t="s">
        <v>496</v>
      </c>
      <c r="B77" t="s">
        <v>455</v>
      </c>
      <c r="D77" t="s">
        <v>15</v>
      </c>
      <c r="F77" s="16" t="s">
        <v>456</v>
      </c>
      <c r="G77" s="17" t="s">
        <v>497</v>
      </c>
      <c r="I77" t="s">
        <v>94</v>
      </c>
      <c r="J77" t="s">
        <v>74</v>
      </c>
      <c r="K77">
        <v>1500</v>
      </c>
      <c r="M77" t="s">
        <v>62</v>
      </c>
      <c r="Q77" t="s">
        <v>92</v>
      </c>
      <c r="U77" t="s">
        <v>82</v>
      </c>
      <c r="W77" s="1">
        <v>46132.309305555558</v>
      </c>
      <c r="X77" t="s">
        <v>226</v>
      </c>
      <c r="Y77" s="1">
        <v>46132.309305555558</v>
      </c>
    </row>
    <row r="78" spans="1:25" x14ac:dyDescent="0.3">
      <c r="A78" t="s">
        <v>498</v>
      </c>
      <c r="B78" t="s">
        <v>455</v>
      </c>
      <c r="D78" t="s">
        <v>15</v>
      </c>
      <c r="F78" s="16" t="s">
        <v>456</v>
      </c>
      <c r="G78" s="17" t="s">
        <v>499</v>
      </c>
      <c r="I78" t="s">
        <v>94</v>
      </c>
      <c r="J78" t="s">
        <v>74</v>
      </c>
      <c r="K78">
        <v>800</v>
      </c>
      <c r="M78" t="s">
        <v>62</v>
      </c>
      <c r="Q78" t="s">
        <v>92</v>
      </c>
      <c r="U78" t="s">
        <v>82</v>
      </c>
      <c r="W78" s="1">
        <v>46132.309305555558</v>
      </c>
      <c r="X78" t="s">
        <v>226</v>
      </c>
      <c r="Y78" s="1">
        <v>46132.309305555558</v>
      </c>
    </row>
    <row r="79" spans="1:25" x14ac:dyDescent="0.3">
      <c r="A79" t="s">
        <v>500</v>
      </c>
      <c r="B79" t="s">
        <v>248</v>
      </c>
      <c r="D79" t="s">
        <v>15</v>
      </c>
      <c r="F79" s="16" t="s">
        <v>501</v>
      </c>
      <c r="G79" s="17" t="s">
        <v>502</v>
      </c>
      <c r="I79" t="s">
        <v>94</v>
      </c>
      <c r="J79" t="s">
        <v>74</v>
      </c>
      <c r="K79">
        <v>1500</v>
      </c>
      <c r="Q79" t="s">
        <v>92</v>
      </c>
      <c r="U79" t="s">
        <v>82</v>
      </c>
      <c r="W79" s="1">
        <v>46132.309305555558</v>
      </c>
      <c r="X79" t="s">
        <v>226</v>
      </c>
      <c r="Y79" s="1">
        <v>46132.309305555558</v>
      </c>
    </row>
    <row r="80" spans="1:25" ht="28" x14ac:dyDescent="0.3">
      <c r="A80" t="s">
        <v>503</v>
      </c>
      <c r="B80" t="s">
        <v>504</v>
      </c>
      <c r="D80" t="s">
        <v>15</v>
      </c>
      <c r="F80" s="16" t="s">
        <v>505</v>
      </c>
      <c r="G80" s="17" t="s">
        <v>506</v>
      </c>
      <c r="I80" t="s">
        <v>94</v>
      </c>
      <c r="J80" t="s">
        <v>74</v>
      </c>
      <c r="M80" t="s">
        <v>62</v>
      </c>
      <c r="N80" t="s">
        <v>507</v>
      </c>
      <c r="Q80" t="s">
        <v>92</v>
      </c>
      <c r="U80" t="s">
        <v>82</v>
      </c>
      <c r="W80" s="1">
        <v>46132.309305555558</v>
      </c>
      <c r="X80" t="s">
        <v>226</v>
      </c>
      <c r="Y80" s="1">
        <v>46132.309305555558</v>
      </c>
    </row>
    <row r="81" spans="1:25" x14ac:dyDescent="0.3">
      <c r="A81" t="s">
        <v>508</v>
      </c>
      <c r="B81" t="s">
        <v>509</v>
      </c>
      <c r="C81" t="s">
        <v>510</v>
      </c>
      <c r="D81" t="s">
        <v>15</v>
      </c>
      <c r="F81" s="16" t="s">
        <v>29</v>
      </c>
      <c r="G81" s="17" t="s">
        <v>511</v>
      </c>
      <c r="H81">
        <v>59902230</v>
      </c>
      <c r="I81" t="s">
        <v>94</v>
      </c>
      <c r="J81" t="s">
        <v>74</v>
      </c>
      <c r="K81">
        <v>750</v>
      </c>
      <c r="M81" t="s">
        <v>62</v>
      </c>
      <c r="N81" t="s">
        <v>238</v>
      </c>
      <c r="Q81" t="s">
        <v>92</v>
      </c>
      <c r="U81" t="s">
        <v>82</v>
      </c>
      <c r="W81" s="1">
        <v>46132.309305555558</v>
      </c>
      <c r="X81" t="s">
        <v>226</v>
      </c>
      <c r="Y81" s="1">
        <v>46132.309305555558</v>
      </c>
    </row>
    <row r="82" spans="1:25" x14ac:dyDescent="0.3">
      <c r="A82" t="s">
        <v>512</v>
      </c>
      <c r="B82" t="s">
        <v>513</v>
      </c>
      <c r="C82" t="s">
        <v>514</v>
      </c>
      <c r="D82" t="s">
        <v>15</v>
      </c>
      <c r="F82" s="16" t="s">
        <v>29</v>
      </c>
      <c r="G82" s="17" t="s">
        <v>515</v>
      </c>
      <c r="H82">
        <v>52300109</v>
      </c>
      <c r="I82" t="s">
        <v>94</v>
      </c>
      <c r="J82" t="s">
        <v>74</v>
      </c>
      <c r="K82">
        <v>750</v>
      </c>
      <c r="M82" t="s">
        <v>62</v>
      </c>
      <c r="N82" t="s">
        <v>238</v>
      </c>
      <c r="Q82" t="s">
        <v>92</v>
      </c>
      <c r="U82" t="s">
        <v>82</v>
      </c>
      <c r="W82" s="1">
        <v>46132.309305555558</v>
      </c>
      <c r="X82" t="s">
        <v>226</v>
      </c>
      <c r="Y82" s="1">
        <v>46132.309305555558</v>
      </c>
    </row>
    <row r="83" spans="1:25" ht="56" x14ac:dyDescent="0.3">
      <c r="A83" t="s">
        <v>516</v>
      </c>
      <c r="B83" t="s">
        <v>517</v>
      </c>
      <c r="C83" t="s">
        <v>518</v>
      </c>
      <c r="D83" t="s">
        <v>15</v>
      </c>
      <c r="F83" s="16" t="s">
        <v>29</v>
      </c>
      <c r="G83" s="17" t="s">
        <v>519</v>
      </c>
      <c r="H83">
        <v>52401518</v>
      </c>
      <c r="I83" t="s">
        <v>94</v>
      </c>
      <c r="J83" t="s">
        <v>74</v>
      </c>
      <c r="K83">
        <v>500</v>
      </c>
      <c r="M83" t="s">
        <v>62</v>
      </c>
      <c r="N83" t="s">
        <v>238</v>
      </c>
      <c r="Q83" t="s">
        <v>92</v>
      </c>
      <c r="U83" t="s">
        <v>82</v>
      </c>
      <c r="W83" s="1">
        <v>46132.309305555558</v>
      </c>
      <c r="X83" t="s">
        <v>226</v>
      </c>
      <c r="Y83" s="1">
        <v>46132.309305555558</v>
      </c>
    </row>
    <row r="84" spans="1:25" x14ac:dyDescent="0.3">
      <c r="A84" t="s">
        <v>520</v>
      </c>
      <c r="B84" t="s">
        <v>521</v>
      </c>
      <c r="C84" t="s">
        <v>522</v>
      </c>
      <c r="D84" t="s">
        <v>15</v>
      </c>
      <c r="F84" s="16" t="s">
        <v>296</v>
      </c>
      <c r="G84" s="17" t="s">
        <v>523</v>
      </c>
      <c r="H84" t="s">
        <v>524</v>
      </c>
      <c r="I84" t="s">
        <v>94</v>
      </c>
      <c r="J84" t="s">
        <v>74</v>
      </c>
      <c r="K84">
        <v>7000</v>
      </c>
      <c r="M84" t="s">
        <v>525</v>
      </c>
      <c r="N84" t="s">
        <v>299</v>
      </c>
      <c r="Q84" t="s">
        <v>92</v>
      </c>
      <c r="U84" t="s">
        <v>82</v>
      </c>
      <c r="V84" t="s">
        <v>273</v>
      </c>
      <c r="W84" s="1">
        <v>46132.309305555558</v>
      </c>
      <c r="X84" t="s">
        <v>226</v>
      </c>
      <c r="Y84" s="1">
        <v>46132.309305555558</v>
      </c>
    </row>
    <row r="85" spans="1:25" x14ac:dyDescent="0.3">
      <c r="A85" t="s">
        <v>526</v>
      </c>
      <c r="B85" t="s">
        <v>527</v>
      </c>
      <c r="C85" t="s">
        <v>528</v>
      </c>
      <c r="D85" t="s">
        <v>15</v>
      </c>
      <c r="F85" s="16" t="s">
        <v>296</v>
      </c>
      <c r="G85" s="17" t="s">
        <v>529</v>
      </c>
      <c r="H85" t="s">
        <v>530</v>
      </c>
      <c r="I85" t="s">
        <v>94</v>
      </c>
      <c r="J85" t="s">
        <v>74</v>
      </c>
      <c r="K85">
        <v>7000</v>
      </c>
      <c r="M85" t="s">
        <v>62</v>
      </c>
      <c r="N85" t="s">
        <v>299</v>
      </c>
      <c r="Q85" t="s">
        <v>92</v>
      </c>
      <c r="U85" t="s">
        <v>82</v>
      </c>
      <c r="V85" t="s">
        <v>273</v>
      </c>
      <c r="W85" s="1">
        <v>46132.309305555558</v>
      </c>
      <c r="X85" t="s">
        <v>226</v>
      </c>
      <c r="Y85" s="1">
        <v>46132.309305555558</v>
      </c>
    </row>
    <row r="86" spans="1:25" x14ac:dyDescent="0.3">
      <c r="A86" t="s">
        <v>531</v>
      </c>
      <c r="B86" t="s">
        <v>532</v>
      </c>
      <c r="C86" t="s">
        <v>533</v>
      </c>
      <c r="D86" t="s">
        <v>15</v>
      </c>
      <c r="F86" s="16" t="s">
        <v>534</v>
      </c>
      <c r="G86" s="17" t="s">
        <v>535</v>
      </c>
      <c r="H86" t="s">
        <v>535</v>
      </c>
      <c r="I86" t="s">
        <v>95</v>
      </c>
      <c r="J86" t="s">
        <v>74</v>
      </c>
      <c r="K86">
        <v>3600</v>
      </c>
      <c r="M86" t="s">
        <v>62</v>
      </c>
      <c r="N86" t="s">
        <v>536</v>
      </c>
      <c r="Q86" t="s">
        <v>92</v>
      </c>
      <c r="U86" t="s">
        <v>82</v>
      </c>
      <c r="V86" t="s">
        <v>537</v>
      </c>
      <c r="W86" s="1">
        <v>46132.309305555558</v>
      </c>
      <c r="X86" t="s">
        <v>226</v>
      </c>
      <c r="Y86" s="1">
        <v>46132.309305555558</v>
      </c>
    </row>
    <row r="87" spans="1:25" ht="56" x14ac:dyDescent="0.3">
      <c r="A87" t="s">
        <v>538</v>
      </c>
      <c r="B87" t="s">
        <v>539</v>
      </c>
      <c r="C87" t="s">
        <v>540</v>
      </c>
      <c r="D87" t="s">
        <v>15</v>
      </c>
      <c r="F87" s="16" t="s">
        <v>296</v>
      </c>
      <c r="G87" s="17" t="s">
        <v>541</v>
      </c>
      <c r="H87" s="16" t="s">
        <v>542</v>
      </c>
      <c r="I87" t="s">
        <v>94</v>
      </c>
      <c r="J87" t="s">
        <v>74</v>
      </c>
      <c r="K87">
        <v>3500</v>
      </c>
      <c r="M87" t="s">
        <v>62</v>
      </c>
      <c r="N87" t="s">
        <v>299</v>
      </c>
      <c r="Q87" t="s">
        <v>92</v>
      </c>
      <c r="U87" t="s">
        <v>82</v>
      </c>
      <c r="V87" t="s">
        <v>273</v>
      </c>
      <c r="W87" s="1">
        <v>46132.309305555558</v>
      </c>
      <c r="X87" t="s">
        <v>226</v>
      </c>
      <c r="Y87" s="1">
        <v>46132.309305555558</v>
      </c>
    </row>
    <row r="88" spans="1:25" ht="28" x14ac:dyDescent="0.3">
      <c r="A88" t="s">
        <v>543</v>
      </c>
      <c r="B88" t="s">
        <v>544</v>
      </c>
      <c r="C88" t="s">
        <v>545</v>
      </c>
      <c r="D88" t="s">
        <v>15</v>
      </c>
      <c r="F88" s="16" t="s">
        <v>296</v>
      </c>
      <c r="G88" s="17" t="s">
        <v>546</v>
      </c>
      <c r="H88" s="16" t="s">
        <v>547</v>
      </c>
      <c r="I88" t="s">
        <v>94</v>
      </c>
      <c r="J88" t="s">
        <v>74</v>
      </c>
      <c r="K88">
        <v>70000</v>
      </c>
      <c r="M88" t="s">
        <v>62</v>
      </c>
      <c r="N88" t="s">
        <v>299</v>
      </c>
      <c r="Q88" t="s">
        <v>92</v>
      </c>
      <c r="U88" t="s">
        <v>82</v>
      </c>
      <c r="V88" t="s">
        <v>273</v>
      </c>
      <c r="W88" s="1">
        <v>46132.309305555558</v>
      </c>
      <c r="X88" t="s">
        <v>226</v>
      </c>
      <c r="Y88" s="1">
        <v>46132.309305555558</v>
      </c>
    </row>
    <row r="89" spans="1:25" ht="42" x14ac:dyDescent="0.3">
      <c r="A89" t="s">
        <v>548</v>
      </c>
      <c r="B89" t="s">
        <v>549</v>
      </c>
      <c r="C89" t="s">
        <v>550</v>
      </c>
      <c r="D89" t="s">
        <v>15</v>
      </c>
      <c r="F89" s="16" t="s">
        <v>296</v>
      </c>
      <c r="G89" s="17" t="s">
        <v>551</v>
      </c>
      <c r="H89" s="16" t="s">
        <v>552</v>
      </c>
      <c r="I89" t="s">
        <v>94</v>
      </c>
      <c r="J89" t="s">
        <v>74</v>
      </c>
      <c r="K89">
        <v>3000</v>
      </c>
      <c r="M89" t="s">
        <v>62</v>
      </c>
      <c r="N89" t="s">
        <v>299</v>
      </c>
      <c r="Q89" t="s">
        <v>92</v>
      </c>
      <c r="U89" t="s">
        <v>82</v>
      </c>
      <c r="V89" t="s">
        <v>273</v>
      </c>
      <c r="W89" s="1">
        <v>46132.309305555558</v>
      </c>
      <c r="X89" t="s">
        <v>226</v>
      </c>
      <c r="Y89" s="1">
        <v>46132.309305555558</v>
      </c>
    </row>
    <row r="90" spans="1:25" x14ac:dyDescent="0.3">
      <c r="A90" t="s">
        <v>553</v>
      </c>
      <c r="B90" t="s">
        <v>554</v>
      </c>
      <c r="D90" t="s">
        <v>15</v>
      </c>
      <c r="F90" s="16" t="s">
        <v>456</v>
      </c>
      <c r="G90" s="17" t="s">
        <v>555</v>
      </c>
      <c r="H90" s="16"/>
      <c r="I90" t="s">
        <v>94</v>
      </c>
      <c r="J90" t="s">
        <v>74</v>
      </c>
      <c r="M90" t="s">
        <v>62</v>
      </c>
      <c r="Q90" t="s">
        <v>92</v>
      </c>
      <c r="U90" t="s">
        <v>82</v>
      </c>
      <c r="V90" t="s">
        <v>556</v>
      </c>
      <c r="W90" s="1">
        <v>46132.309305555558</v>
      </c>
      <c r="X90" t="s">
        <v>226</v>
      </c>
      <c r="Y90" s="1">
        <v>46132.309305555558</v>
      </c>
    </row>
    <row r="91" spans="1:25" x14ac:dyDescent="0.3">
      <c r="A91" t="s">
        <v>557</v>
      </c>
      <c r="B91" t="s">
        <v>455</v>
      </c>
      <c r="D91" t="s">
        <v>15</v>
      </c>
      <c r="F91" s="16" t="s">
        <v>456</v>
      </c>
      <c r="G91" s="17" t="s">
        <v>558</v>
      </c>
      <c r="H91" s="16"/>
      <c r="I91" t="s">
        <v>94</v>
      </c>
      <c r="J91" t="s">
        <v>74</v>
      </c>
      <c r="M91" t="s">
        <v>62</v>
      </c>
      <c r="Q91" t="s">
        <v>92</v>
      </c>
      <c r="U91" t="s">
        <v>82</v>
      </c>
      <c r="W91" s="1">
        <v>46132.309305555558</v>
      </c>
      <c r="X91" t="s">
        <v>226</v>
      </c>
      <c r="Y91" s="1">
        <v>46132.309305555558</v>
      </c>
    </row>
    <row r="92" spans="1:25" x14ac:dyDescent="0.3">
      <c r="A92" t="s">
        <v>559</v>
      </c>
      <c r="B92" t="s">
        <v>455</v>
      </c>
      <c r="D92" t="s">
        <v>15</v>
      </c>
      <c r="F92" s="16" t="s">
        <v>456</v>
      </c>
      <c r="G92" s="17" t="s">
        <v>560</v>
      </c>
      <c r="H92" s="16"/>
      <c r="I92" t="s">
        <v>94</v>
      </c>
      <c r="J92" t="s">
        <v>74</v>
      </c>
      <c r="M92" t="s">
        <v>62</v>
      </c>
      <c r="Q92" t="s">
        <v>92</v>
      </c>
      <c r="U92" t="s">
        <v>82</v>
      </c>
      <c r="V92" t="s">
        <v>561</v>
      </c>
      <c r="W92" s="1">
        <v>46132.309305555558</v>
      </c>
      <c r="X92" t="s">
        <v>226</v>
      </c>
      <c r="Y92" s="1">
        <v>46132.309305555558</v>
      </c>
    </row>
    <row r="93" spans="1:25" ht="42" x14ac:dyDescent="0.3">
      <c r="A93" t="s">
        <v>562</v>
      </c>
      <c r="B93" t="s">
        <v>563</v>
      </c>
      <c r="D93" t="s">
        <v>15</v>
      </c>
      <c r="F93" s="16" t="s">
        <v>564</v>
      </c>
      <c r="G93" s="17" t="s">
        <v>565</v>
      </c>
      <c r="H93" s="16" t="s">
        <v>566</v>
      </c>
      <c r="I93" t="s">
        <v>94</v>
      </c>
      <c r="J93" t="s">
        <v>74</v>
      </c>
      <c r="K93">
        <v>4750</v>
      </c>
      <c r="M93" t="s">
        <v>62</v>
      </c>
      <c r="N93" t="s">
        <v>26</v>
      </c>
      <c r="Q93" t="s">
        <v>92</v>
      </c>
      <c r="U93" t="s">
        <v>82</v>
      </c>
      <c r="V93" t="s">
        <v>567</v>
      </c>
      <c r="W93" s="1">
        <v>46132.309305555558</v>
      </c>
      <c r="X93" t="s">
        <v>226</v>
      </c>
      <c r="Y93" s="1">
        <v>46132.309305555558</v>
      </c>
    </row>
    <row r="94" spans="1:25" ht="28" x14ac:dyDescent="0.3">
      <c r="A94" t="s">
        <v>568</v>
      </c>
      <c r="B94" t="s">
        <v>513</v>
      </c>
      <c r="C94" t="s">
        <v>514</v>
      </c>
      <c r="D94" t="s">
        <v>15</v>
      </c>
      <c r="F94" s="16" t="s">
        <v>29</v>
      </c>
      <c r="G94" s="17" t="s">
        <v>569</v>
      </c>
      <c r="H94" s="16">
        <v>52300108</v>
      </c>
      <c r="I94" t="s">
        <v>94</v>
      </c>
      <c r="J94" t="s">
        <v>74</v>
      </c>
      <c r="K94">
        <v>750</v>
      </c>
      <c r="M94" t="s">
        <v>570</v>
      </c>
      <c r="N94" t="s">
        <v>238</v>
      </c>
      <c r="Q94" t="s">
        <v>92</v>
      </c>
      <c r="U94" t="s">
        <v>82</v>
      </c>
      <c r="W94" s="1">
        <v>46132.309305555558</v>
      </c>
      <c r="X94" t="s">
        <v>226</v>
      </c>
      <c r="Y94" s="1">
        <v>46132.309305555558</v>
      </c>
    </row>
    <row r="95" spans="1:25" x14ac:dyDescent="0.3">
      <c r="A95" t="s">
        <v>571</v>
      </c>
      <c r="B95" t="s">
        <v>240</v>
      </c>
      <c r="C95" t="s">
        <v>572</v>
      </c>
      <c r="D95" t="s">
        <v>15</v>
      </c>
      <c r="F95" s="16" t="s">
        <v>296</v>
      </c>
      <c r="G95" s="17" t="s">
        <v>573</v>
      </c>
      <c r="H95" s="16" t="s">
        <v>574</v>
      </c>
      <c r="I95" t="s">
        <v>94</v>
      </c>
      <c r="J95" t="s">
        <v>74</v>
      </c>
      <c r="K95">
        <v>4000</v>
      </c>
      <c r="M95" t="s">
        <v>62</v>
      </c>
      <c r="N95" t="s">
        <v>299</v>
      </c>
      <c r="Q95" t="s">
        <v>92</v>
      </c>
      <c r="U95" t="s">
        <v>82</v>
      </c>
      <c r="V95" t="s">
        <v>273</v>
      </c>
      <c r="W95" s="1">
        <v>46132.309305555558</v>
      </c>
      <c r="X95" t="s">
        <v>226</v>
      </c>
      <c r="Y95" s="1">
        <v>46132.309305555558</v>
      </c>
    </row>
    <row r="96" spans="1:25" x14ac:dyDescent="0.3">
      <c r="A96" t="s">
        <v>575</v>
      </c>
      <c r="B96" t="s">
        <v>576</v>
      </c>
      <c r="D96" t="s">
        <v>15</v>
      </c>
      <c r="F96" s="16" t="s">
        <v>281</v>
      </c>
      <c r="G96" s="17" t="s">
        <v>577</v>
      </c>
      <c r="H96" s="16" t="s">
        <v>578</v>
      </c>
      <c r="I96" t="s">
        <v>94</v>
      </c>
      <c r="J96" t="s">
        <v>74</v>
      </c>
      <c r="M96" t="s">
        <v>62</v>
      </c>
      <c r="N96" t="s">
        <v>284</v>
      </c>
      <c r="Q96" t="s">
        <v>92</v>
      </c>
      <c r="U96" t="s">
        <v>82</v>
      </c>
      <c r="W96" s="1">
        <v>46132.309305555558</v>
      </c>
      <c r="X96" t="s">
        <v>226</v>
      </c>
      <c r="Y96" s="1">
        <v>46132.309305555558</v>
      </c>
    </row>
    <row r="97" spans="1:25" ht="28" x14ac:dyDescent="0.3">
      <c r="A97" t="s">
        <v>579</v>
      </c>
      <c r="B97" t="s">
        <v>580</v>
      </c>
      <c r="D97" t="s">
        <v>15</v>
      </c>
      <c r="F97" s="16" t="s">
        <v>281</v>
      </c>
      <c r="G97" s="17" t="s">
        <v>581</v>
      </c>
      <c r="H97" s="16" t="s">
        <v>582</v>
      </c>
      <c r="I97" t="s">
        <v>94</v>
      </c>
      <c r="J97" t="s">
        <v>74</v>
      </c>
      <c r="M97" t="s">
        <v>62</v>
      </c>
      <c r="N97" t="s">
        <v>284</v>
      </c>
      <c r="Q97" t="s">
        <v>92</v>
      </c>
      <c r="U97" t="s">
        <v>82</v>
      </c>
      <c r="V97" t="s">
        <v>583</v>
      </c>
      <c r="W97" s="1">
        <v>46132.309305555558</v>
      </c>
      <c r="X97" t="s">
        <v>226</v>
      </c>
      <c r="Y97" s="1">
        <v>46132.309305555558</v>
      </c>
    </row>
    <row r="98" spans="1:25" x14ac:dyDescent="0.3">
      <c r="A98" t="s">
        <v>584</v>
      </c>
      <c r="B98" t="s">
        <v>585</v>
      </c>
      <c r="D98" t="s">
        <v>15</v>
      </c>
      <c r="F98" s="16" t="s">
        <v>39</v>
      </c>
      <c r="G98" s="17" t="s">
        <v>586</v>
      </c>
      <c r="H98" s="16">
        <v>8374836</v>
      </c>
      <c r="I98" t="s">
        <v>94</v>
      </c>
      <c r="J98" t="s">
        <v>74</v>
      </c>
      <c r="M98" t="s">
        <v>62</v>
      </c>
      <c r="N98" t="s">
        <v>365</v>
      </c>
      <c r="Q98" t="s">
        <v>92</v>
      </c>
      <c r="U98" t="s">
        <v>82</v>
      </c>
      <c r="W98" s="1">
        <v>46132.309305555558</v>
      </c>
      <c r="X98" t="s">
        <v>226</v>
      </c>
      <c r="Y98" s="1">
        <v>46132.309305555558</v>
      </c>
    </row>
    <row r="99" spans="1:25" x14ac:dyDescent="0.3">
      <c r="A99" t="s">
        <v>587</v>
      </c>
      <c r="B99" t="s">
        <v>588</v>
      </c>
      <c r="D99" t="s">
        <v>15</v>
      </c>
      <c r="F99" s="16" t="s">
        <v>39</v>
      </c>
      <c r="G99" s="17" t="s">
        <v>589</v>
      </c>
      <c r="H99" s="16">
        <v>9021230</v>
      </c>
      <c r="I99" t="s">
        <v>94</v>
      </c>
      <c r="J99" t="s">
        <v>74</v>
      </c>
      <c r="M99" t="s">
        <v>62</v>
      </c>
      <c r="N99" t="s">
        <v>365</v>
      </c>
      <c r="Q99" t="s">
        <v>92</v>
      </c>
      <c r="U99" t="s">
        <v>82</v>
      </c>
      <c r="W99" s="1">
        <v>46132.309305555558</v>
      </c>
      <c r="X99" t="s">
        <v>226</v>
      </c>
      <c r="Y99" s="1">
        <v>46132.309305555558</v>
      </c>
    </row>
    <row r="100" spans="1:25" x14ac:dyDescent="0.3">
      <c r="A100" t="s">
        <v>590</v>
      </c>
      <c r="B100" t="s">
        <v>591</v>
      </c>
      <c r="D100" t="s">
        <v>15</v>
      </c>
      <c r="F100" s="16" t="s">
        <v>39</v>
      </c>
      <c r="G100" s="17" t="s">
        <v>592</v>
      </c>
      <c r="H100" s="16">
        <v>5196.21</v>
      </c>
      <c r="I100" t="s">
        <v>94</v>
      </c>
      <c r="J100" t="s">
        <v>74</v>
      </c>
      <c r="M100" t="s">
        <v>62</v>
      </c>
      <c r="N100" t="s">
        <v>365</v>
      </c>
      <c r="Q100" t="s">
        <v>92</v>
      </c>
      <c r="U100" t="s">
        <v>82</v>
      </c>
      <c r="W100" s="1">
        <v>46132.309305555558</v>
      </c>
      <c r="X100" t="s">
        <v>226</v>
      </c>
      <c r="Y100" s="1">
        <v>46132.309305555558</v>
      </c>
    </row>
    <row r="101" spans="1:25" x14ac:dyDescent="0.3">
      <c r="A101" t="s">
        <v>593</v>
      </c>
      <c r="B101" t="s">
        <v>594</v>
      </c>
      <c r="D101" t="s">
        <v>15</v>
      </c>
      <c r="F101" s="16" t="s">
        <v>39</v>
      </c>
      <c r="G101" s="17" t="s">
        <v>595</v>
      </c>
      <c r="H101" s="16"/>
      <c r="I101" t="s">
        <v>94</v>
      </c>
      <c r="J101" t="s">
        <v>74</v>
      </c>
      <c r="M101" t="s">
        <v>62</v>
      </c>
      <c r="N101" t="s">
        <v>365</v>
      </c>
      <c r="Q101" t="s">
        <v>92</v>
      </c>
      <c r="U101" t="s">
        <v>82</v>
      </c>
      <c r="W101" s="1">
        <v>46132.309305555558</v>
      </c>
      <c r="X101" t="s">
        <v>226</v>
      </c>
      <c r="Y101" s="1">
        <v>46132.309305555558</v>
      </c>
    </row>
    <row r="102" spans="1:25" ht="42" x14ac:dyDescent="0.3">
      <c r="A102" t="s">
        <v>596</v>
      </c>
      <c r="B102" t="s">
        <v>597</v>
      </c>
      <c r="D102" t="s">
        <v>15</v>
      </c>
      <c r="F102" s="16" t="s">
        <v>598</v>
      </c>
      <c r="G102" s="17" t="s">
        <v>599</v>
      </c>
      <c r="H102" s="16" t="s">
        <v>600</v>
      </c>
      <c r="I102" t="s">
        <v>94</v>
      </c>
      <c r="J102" t="s">
        <v>74</v>
      </c>
      <c r="M102" t="s">
        <v>62</v>
      </c>
      <c r="N102" t="s">
        <v>601</v>
      </c>
      <c r="Q102" t="s">
        <v>92</v>
      </c>
      <c r="U102" t="s">
        <v>82</v>
      </c>
      <c r="V102" t="s">
        <v>602</v>
      </c>
      <c r="W102" s="1">
        <v>46132.309305555558</v>
      </c>
      <c r="X102" t="s">
        <v>226</v>
      </c>
      <c r="Y102" s="1">
        <v>46132.309305555558</v>
      </c>
    </row>
    <row r="103" spans="1:25" ht="42" x14ac:dyDescent="0.3">
      <c r="A103" t="s">
        <v>603</v>
      </c>
      <c r="B103" t="s">
        <v>604</v>
      </c>
      <c r="D103" t="s">
        <v>15</v>
      </c>
      <c r="F103" s="16" t="s">
        <v>244</v>
      </c>
      <c r="G103" s="17" t="s">
        <v>605</v>
      </c>
      <c r="H103" s="16" t="s">
        <v>606</v>
      </c>
      <c r="I103" t="s">
        <v>94</v>
      </c>
      <c r="J103" t="s">
        <v>74</v>
      </c>
      <c r="M103" t="s">
        <v>62</v>
      </c>
      <c r="N103" t="s">
        <v>601</v>
      </c>
      <c r="Q103" t="s">
        <v>92</v>
      </c>
      <c r="U103" t="s">
        <v>82</v>
      </c>
      <c r="W103" s="1">
        <v>46132.309305555558</v>
      </c>
      <c r="X103" t="s">
        <v>226</v>
      </c>
      <c r="Y103" s="1">
        <v>46132.309305555558</v>
      </c>
    </row>
    <row r="104" spans="1:25" x14ac:dyDescent="0.3">
      <c r="A104" t="s">
        <v>607</v>
      </c>
      <c r="B104" t="s">
        <v>608</v>
      </c>
      <c r="D104" t="s">
        <v>15</v>
      </c>
      <c r="F104" s="16" t="s">
        <v>609</v>
      </c>
      <c r="G104" s="17" t="s">
        <v>610</v>
      </c>
      <c r="H104" s="16" t="s">
        <v>611</v>
      </c>
      <c r="I104" t="s">
        <v>94</v>
      </c>
      <c r="J104" t="s">
        <v>74</v>
      </c>
      <c r="M104" t="s">
        <v>62</v>
      </c>
      <c r="Q104" t="s">
        <v>92</v>
      </c>
      <c r="U104" t="s">
        <v>82</v>
      </c>
      <c r="W104" s="1">
        <v>46132.309305555558</v>
      </c>
      <c r="X104" t="s">
        <v>226</v>
      </c>
      <c r="Y104" s="1">
        <v>46132.309305555558</v>
      </c>
    </row>
    <row r="105" spans="1:25" ht="28" x14ac:dyDescent="0.3">
      <c r="A105" t="s">
        <v>612</v>
      </c>
      <c r="B105" t="s">
        <v>613</v>
      </c>
      <c r="C105" t="s">
        <v>614</v>
      </c>
      <c r="D105" t="s">
        <v>15</v>
      </c>
      <c r="F105" s="16" t="s">
        <v>23</v>
      </c>
      <c r="G105" s="17" t="s">
        <v>615</v>
      </c>
      <c r="H105" s="16" t="s">
        <v>616</v>
      </c>
      <c r="I105" t="s">
        <v>95</v>
      </c>
      <c r="J105" t="s">
        <v>74</v>
      </c>
      <c r="M105" t="s">
        <v>62</v>
      </c>
      <c r="N105" t="s">
        <v>271</v>
      </c>
      <c r="Q105" t="s">
        <v>92</v>
      </c>
      <c r="U105" t="s">
        <v>82</v>
      </c>
      <c r="V105" t="s">
        <v>273</v>
      </c>
      <c r="W105" s="1">
        <v>46132.309305555558</v>
      </c>
      <c r="X105" t="s">
        <v>226</v>
      </c>
      <c r="Y105" s="1">
        <v>46132.309305555558</v>
      </c>
    </row>
    <row r="106" spans="1:25" x14ac:dyDescent="0.3">
      <c r="A106" t="s">
        <v>617</v>
      </c>
      <c r="B106" t="s">
        <v>618</v>
      </c>
      <c r="D106" t="s">
        <v>15</v>
      </c>
      <c r="F106" s="16" t="s">
        <v>619</v>
      </c>
      <c r="G106" s="17" t="s">
        <v>620</v>
      </c>
      <c r="H106" s="16" t="s">
        <v>621</v>
      </c>
      <c r="I106" t="s">
        <v>94</v>
      </c>
      <c r="J106" t="s">
        <v>74</v>
      </c>
      <c r="M106" t="s">
        <v>62</v>
      </c>
      <c r="N106" t="s">
        <v>622</v>
      </c>
      <c r="Q106" t="s">
        <v>92</v>
      </c>
      <c r="U106" t="s">
        <v>82</v>
      </c>
      <c r="V106" t="s">
        <v>623</v>
      </c>
      <c r="W106" s="1">
        <v>46132.309305555558</v>
      </c>
      <c r="X106" t="s">
        <v>226</v>
      </c>
      <c r="Y106" s="1">
        <v>46132.309305555558</v>
      </c>
    </row>
    <row r="107" spans="1:25" ht="28" x14ac:dyDescent="0.3">
      <c r="A107" t="s">
        <v>624</v>
      </c>
      <c r="B107" t="s">
        <v>625</v>
      </c>
      <c r="D107" t="s">
        <v>15</v>
      </c>
      <c r="F107" s="16" t="s">
        <v>626</v>
      </c>
      <c r="G107" s="17" t="s">
        <v>627</v>
      </c>
      <c r="H107" s="16" t="s">
        <v>628</v>
      </c>
      <c r="I107" t="s">
        <v>94</v>
      </c>
      <c r="J107" t="s">
        <v>74</v>
      </c>
      <c r="M107" t="s">
        <v>62</v>
      </c>
      <c r="N107" t="s">
        <v>629</v>
      </c>
      <c r="Q107" t="s">
        <v>92</v>
      </c>
      <c r="U107" t="s">
        <v>82</v>
      </c>
      <c r="V107" t="s">
        <v>630</v>
      </c>
      <c r="W107" s="1">
        <v>46132.309305555558</v>
      </c>
      <c r="X107" t="s">
        <v>226</v>
      </c>
      <c r="Y107" s="1">
        <v>46132.309305555558</v>
      </c>
    </row>
    <row r="108" spans="1:25" x14ac:dyDescent="0.3">
      <c r="A108" t="s">
        <v>631</v>
      </c>
      <c r="B108" t="s">
        <v>632</v>
      </c>
      <c r="D108" t="s">
        <v>15</v>
      </c>
      <c r="F108" s="16" t="s">
        <v>633</v>
      </c>
      <c r="G108" s="17" t="s">
        <v>634</v>
      </c>
      <c r="H108" s="16">
        <v>630.94002699999999</v>
      </c>
      <c r="I108" t="s">
        <v>94</v>
      </c>
      <c r="J108" t="s">
        <v>74</v>
      </c>
      <c r="M108" t="s">
        <v>62</v>
      </c>
      <c r="N108" t="s">
        <v>272</v>
      </c>
      <c r="Q108" t="s">
        <v>92</v>
      </c>
      <c r="U108" t="s">
        <v>82</v>
      </c>
      <c r="V108" t="s">
        <v>635</v>
      </c>
      <c r="W108" s="1">
        <v>46132.309305555558</v>
      </c>
      <c r="X108" t="s">
        <v>226</v>
      </c>
      <c r="Y108" s="1">
        <v>46132.309305555558</v>
      </c>
    </row>
    <row r="109" spans="1:25" x14ac:dyDescent="0.3">
      <c r="A109" t="s">
        <v>636</v>
      </c>
      <c r="B109" t="s">
        <v>637</v>
      </c>
      <c r="D109" t="s">
        <v>15</v>
      </c>
      <c r="F109" s="16" t="s">
        <v>638</v>
      </c>
      <c r="G109" s="17" t="s">
        <v>627</v>
      </c>
      <c r="H109" s="16" t="s">
        <v>639</v>
      </c>
      <c r="I109" t="s">
        <v>94</v>
      </c>
      <c r="J109" t="s">
        <v>74</v>
      </c>
      <c r="M109" t="s">
        <v>62</v>
      </c>
      <c r="N109" t="s">
        <v>640</v>
      </c>
      <c r="Q109" t="s">
        <v>92</v>
      </c>
      <c r="U109" t="s">
        <v>82</v>
      </c>
      <c r="W109" s="1">
        <v>46132.309305555558</v>
      </c>
      <c r="X109" t="s">
        <v>226</v>
      </c>
      <c r="Y109" s="1">
        <v>46132.309305555558</v>
      </c>
    </row>
    <row r="110" spans="1:25" x14ac:dyDescent="0.3">
      <c r="A110" t="s">
        <v>641</v>
      </c>
      <c r="B110" t="s">
        <v>539</v>
      </c>
      <c r="D110" t="s">
        <v>15</v>
      </c>
      <c r="F110" s="16" t="s">
        <v>626</v>
      </c>
      <c r="G110" s="17" t="s">
        <v>642</v>
      </c>
      <c r="H110" s="16"/>
      <c r="I110" t="s">
        <v>94</v>
      </c>
      <c r="J110" t="s">
        <v>74</v>
      </c>
      <c r="M110" t="s">
        <v>62</v>
      </c>
      <c r="N110" t="s">
        <v>629</v>
      </c>
      <c r="Q110" t="s">
        <v>92</v>
      </c>
      <c r="U110" t="s">
        <v>82</v>
      </c>
      <c r="V110" t="s">
        <v>643</v>
      </c>
      <c r="W110" s="1">
        <v>46132.309305555558</v>
      </c>
      <c r="X110" t="s">
        <v>226</v>
      </c>
      <c r="Y110" s="1">
        <v>46132.309305555558</v>
      </c>
    </row>
    <row r="111" spans="1:25" x14ac:dyDescent="0.3">
      <c r="A111" t="s">
        <v>644</v>
      </c>
      <c r="B111" t="s">
        <v>645</v>
      </c>
      <c r="D111" t="s">
        <v>15</v>
      </c>
      <c r="F111" s="16" t="s">
        <v>638</v>
      </c>
      <c r="G111" s="17" t="s">
        <v>646</v>
      </c>
      <c r="H111" s="16" t="s">
        <v>647</v>
      </c>
      <c r="I111" t="s">
        <v>94</v>
      </c>
      <c r="J111" t="s">
        <v>74</v>
      </c>
      <c r="M111" t="s">
        <v>62</v>
      </c>
      <c r="N111" t="s">
        <v>640</v>
      </c>
      <c r="Q111" t="s">
        <v>92</v>
      </c>
      <c r="U111" t="s">
        <v>82</v>
      </c>
      <c r="W111" s="1">
        <v>46132.309305555558</v>
      </c>
      <c r="X111" t="s">
        <v>226</v>
      </c>
      <c r="Y111" s="1">
        <v>46132.309305555558</v>
      </c>
    </row>
    <row r="112" spans="1:25" ht="28" x14ac:dyDescent="0.3">
      <c r="A112" t="s">
        <v>648</v>
      </c>
      <c r="B112" t="s">
        <v>649</v>
      </c>
      <c r="D112" t="s">
        <v>15</v>
      </c>
      <c r="F112" s="16" t="s">
        <v>650</v>
      </c>
      <c r="G112" s="17" t="s">
        <v>651</v>
      </c>
      <c r="H112" s="16" t="s">
        <v>621</v>
      </c>
      <c r="I112" t="s">
        <v>94</v>
      </c>
      <c r="J112" t="s">
        <v>74</v>
      </c>
      <c r="N112" t="s">
        <v>652</v>
      </c>
      <c r="Q112" t="s">
        <v>92</v>
      </c>
      <c r="U112" t="s">
        <v>82</v>
      </c>
      <c r="V112" t="s">
        <v>653</v>
      </c>
      <c r="W112" s="1">
        <v>46132.309305555558</v>
      </c>
      <c r="X112" t="s">
        <v>226</v>
      </c>
      <c r="Y112" s="1">
        <v>46132.309305555558</v>
      </c>
    </row>
    <row r="113" spans="1:25" ht="28" x14ac:dyDescent="0.3">
      <c r="A113" t="s">
        <v>654</v>
      </c>
      <c r="B113" t="s">
        <v>655</v>
      </c>
      <c r="D113" t="s">
        <v>15</v>
      </c>
      <c r="F113" s="16" t="s">
        <v>244</v>
      </c>
      <c r="G113" s="17" t="s">
        <v>656</v>
      </c>
      <c r="H113" s="16" t="s">
        <v>621</v>
      </c>
      <c r="I113" t="s">
        <v>94</v>
      </c>
      <c r="J113" t="s">
        <v>74</v>
      </c>
      <c r="M113" t="s">
        <v>62</v>
      </c>
      <c r="N113" t="s">
        <v>601</v>
      </c>
      <c r="Q113" t="s">
        <v>92</v>
      </c>
      <c r="U113" t="s">
        <v>82</v>
      </c>
      <c r="W113" s="1">
        <v>46132.309305555558</v>
      </c>
      <c r="X113" t="s">
        <v>226</v>
      </c>
      <c r="Y113" s="1">
        <v>46132.309305555558</v>
      </c>
    </row>
    <row r="114" spans="1:25" x14ac:dyDescent="0.3">
      <c r="A114" t="s">
        <v>657</v>
      </c>
      <c r="B114" t="s">
        <v>658</v>
      </c>
      <c r="D114" t="s">
        <v>15</v>
      </c>
      <c r="F114" s="16" t="s">
        <v>49</v>
      </c>
      <c r="G114" s="17" t="s">
        <v>659</v>
      </c>
      <c r="H114" s="16">
        <v>1052273</v>
      </c>
      <c r="I114" t="s">
        <v>94</v>
      </c>
      <c r="J114" t="s">
        <v>74</v>
      </c>
      <c r="M114" t="s">
        <v>62</v>
      </c>
      <c r="N114" t="s">
        <v>411</v>
      </c>
      <c r="Q114" t="s">
        <v>92</v>
      </c>
      <c r="U114" t="s">
        <v>82</v>
      </c>
      <c r="V114" t="s">
        <v>660</v>
      </c>
      <c r="W114" s="1">
        <v>46132.309305555558</v>
      </c>
      <c r="X114" t="s">
        <v>226</v>
      </c>
      <c r="Y114" s="1">
        <v>46132.309305555558</v>
      </c>
    </row>
    <row r="115" spans="1:25" ht="28" x14ac:dyDescent="0.3">
      <c r="A115" t="s">
        <v>661</v>
      </c>
      <c r="B115" t="s">
        <v>539</v>
      </c>
      <c r="D115" t="s">
        <v>15</v>
      </c>
      <c r="F115" s="16" t="s">
        <v>662</v>
      </c>
      <c r="G115" s="17" t="s">
        <v>663</v>
      </c>
      <c r="H115" s="16">
        <v>404366</v>
      </c>
      <c r="I115" t="s">
        <v>94</v>
      </c>
      <c r="J115" t="s">
        <v>74</v>
      </c>
      <c r="M115" t="s">
        <v>62</v>
      </c>
      <c r="N115" t="s">
        <v>664</v>
      </c>
      <c r="Q115" t="s">
        <v>92</v>
      </c>
      <c r="U115" t="s">
        <v>82</v>
      </c>
      <c r="V115" t="s">
        <v>665</v>
      </c>
      <c r="W115" s="1">
        <v>46132.309305555558</v>
      </c>
      <c r="X115" t="s">
        <v>226</v>
      </c>
      <c r="Y115" s="1">
        <v>46132.309305555558</v>
      </c>
    </row>
    <row r="116" spans="1:25" ht="28" x14ac:dyDescent="0.3">
      <c r="A116" t="s">
        <v>666</v>
      </c>
      <c r="B116" t="s">
        <v>539</v>
      </c>
      <c r="D116" t="s">
        <v>15</v>
      </c>
      <c r="F116" s="16" t="s">
        <v>662</v>
      </c>
      <c r="G116" s="17" t="s">
        <v>667</v>
      </c>
      <c r="H116" s="16">
        <v>404366</v>
      </c>
      <c r="I116" t="s">
        <v>94</v>
      </c>
      <c r="J116" t="s">
        <v>74</v>
      </c>
      <c r="M116" t="s">
        <v>62</v>
      </c>
      <c r="N116" t="s">
        <v>664</v>
      </c>
      <c r="Q116" t="s">
        <v>92</v>
      </c>
      <c r="U116" t="s">
        <v>82</v>
      </c>
      <c r="V116" t="s">
        <v>665</v>
      </c>
      <c r="W116" s="1">
        <v>46132.309305555558</v>
      </c>
      <c r="X116" t="s">
        <v>226</v>
      </c>
      <c r="Y116" s="1">
        <v>46132.309305555558</v>
      </c>
    </row>
    <row r="117" spans="1:25" x14ac:dyDescent="0.3">
      <c r="A117" t="s">
        <v>668</v>
      </c>
      <c r="B117" t="s">
        <v>669</v>
      </c>
      <c r="C117" t="s">
        <v>670</v>
      </c>
      <c r="D117" t="s">
        <v>15</v>
      </c>
      <c r="F117" s="16" t="s">
        <v>671</v>
      </c>
      <c r="G117" s="17" t="s">
        <v>672</v>
      </c>
      <c r="H117" s="16" t="s">
        <v>673</v>
      </c>
      <c r="I117" t="s">
        <v>95</v>
      </c>
      <c r="J117" t="s">
        <v>74</v>
      </c>
      <c r="M117" t="s">
        <v>62</v>
      </c>
      <c r="N117" t="s">
        <v>674</v>
      </c>
      <c r="O117" t="s">
        <v>34</v>
      </c>
      <c r="Q117" t="s">
        <v>92</v>
      </c>
      <c r="U117" t="s">
        <v>82</v>
      </c>
      <c r="V117" t="s">
        <v>675</v>
      </c>
      <c r="W117" s="1">
        <v>46132.309305555558</v>
      </c>
      <c r="X117" t="s">
        <v>226</v>
      </c>
      <c r="Y117" s="1">
        <v>46132.309305555558</v>
      </c>
    </row>
    <row r="118" spans="1:25" x14ac:dyDescent="0.3">
      <c r="A118" t="s">
        <v>676</v>
      </c>
      <c r="B118" t="s">
        <v>677</v>
      </c>
      <c r="C118" t="s">
        <v>678</v>
      </c>
      <c r="D118" t="s">
        <v>15</v>
      </c>
      <c r="F118" s="16" t="s">
        <v>534</v>
      </c>
      <c r="G118" s="17" t="s">
        <v>679</v>
      </c>
      <c r="H118" s="16" t="s">
        <v>680</v>
      </c>
      <c r="I118" t="s">
        <v>95</v>
      </c>
      <c r="J118" t="s">
        <v>74</v>
      </c>
      <c r="K118">
        <v>3500</v>
      </c>
      <c r="M118" t="s">
        <v>62</v>
      </c>
      <c r="N118" t="s">
        <v>536</v>
      </c>
      <c r="Q118" t="s">
        <v>92</v>
      </c>
      <c r="U118" t="s">
        <v>82</v>
      </c>
      <c r="V118" t="s">
        <v>537</v>
      </c>
      <c r="W118" s="1">
        <v>46132.309305555558</v>
      </c>
      <c r="X118" t="s">
        <v>226</v>
      </c>
      <c r="Y118" s="1">
        <v>46132.309305555558</v>
      </c>
    </row>
    <row r="119" spans="1:25" x14ac:dyDescent="0.3">
      <c r="A119" t="s">
        <v>681</v>
      </c>
      <c r="B119" t="s">
        <v>682</v>
      </c>
      <c r="D119" t="s">
        <v>15</v>
      </c>
      <c r="F119" s="16" t="s">
        <v>683</v>
      </c>
      <c r="G119" s="17" t="s">
        <v>684</v>
      </c>
      <c r="H119" s="16"/>
      <c r="I119" t="s">
        <v>94</v>
      </c>
      <c r="J119" t="s">
        <v>74</v>
      </c>
      <c r="M119" t="s">
        <v>62</v>
      </c>
      <c r="N119" t="s">
        <v>685</v>
      </c>
      <c r="Q119" t="s">
        <v>92</v>
      </c>
      <c r="U119" t="s">
        <v>82</v>
      </c>
      <c r="W119" s="1">
        <v>46132.309305555558</v>
      </c>
      <c r="X119" t="s">
        <v>226</v>
      </c>
      <c r="Y119" s="1">
        <v>46132.309305555558</v>
      </c>
    </row>
    <row r="120" spans="1:25" ht="28" x14ac:dyDescent="0.3">
      <c r="A120" t="s">
        <v>686</v>
      </c>
      <c r="B120" t="s">
        <v>687</v>
      </c>
      <c r="C120" t="s">
        <v>688</v>
      </c>
      <c r="D120" t="s">
        <v>15</v>
      </c>
      <c r="F120" s="16" t="s">
        <v>671</v>
      </c>
      <c r="G120" s="17" t="s">
        <v>689</v>
      </c>
      <c r="H120" s="16" t="s">
        <v>690</v>
      </c>
      <c r="I120" t="s">
        <v>95</v>
      </c>
      <c r="J120" t="s">
        <v>74</v>
      </c>
      <c r="M120" t="s">
        <v>62</v>
      </c>
      <c r="N120" t="s">
        <v>674</v>
      </c>
      <c r="O120" t="s">
        <v>34</v>
      </c>
      <c r="Q120" t="s">
        <v>92</v>
      </c>
      <c r="U120" t="s">
        <v>82</v>
      </c>
      <c r="V120" t="s">
        <v>691</v>
      </c>
      <c r="W120" s="1">
        <v>46132.309305555558</v>
      </c>
      <c r="X120" t="s">
        <v>226</v>
      </c>
      <c r="Y120" s="1">
        <v>46132.309305555558</v>
      </c>
    </row>
    <row r="121" spans="1:25" x14ac:dyDescent="0.3">
      <c r="A121" t="s">
        <v>692</v>
      </c>
      <c r="B121" t="s">
        <v>693</v>
      </c>
      <c r="C121" t="s">
        <v>694</v>
      </c>
      <c r="D121" t="s">
        <v>15</v>
      </c>
      <c r="F121" s="16" t="s">
        <v>671</v>
      </c>
      <c r="G121" s="17" t="s">
        <v>695</v>
      </c>
      <c r="H121" s="16" t="s">
        <v>696</v>
      </c>
      <c r="I121" t="s">
        <v>95</v>
      </c>
      <c r="J121" t="s">
        <v>74</v>
      </c>
      <c r="M121" t="s">
        <v>62</v>
      </c>
      <c r="N121" t="s">
        <v>674</v>
      </c>
      <c r="O121" t="s">
        <v>34</v>
      </c>
      <c r="Q121" t="s">
        <v>92</v>
      </c>
      <c r="U121" t="s">
        <v>82</v>
      </c>
      <c r="V121" t="s">
        <v>273</v>
      </c>
      <c r="W121" s="1">
        <v>46132.309305555558</v>
      </c>
      <c r="X121" t="s">
        <v>226</v>
      </c>
      <c r="Y121" s="1">
        <v>46132.309305555558</v>
      </c>
    </row>
    <row r="122" spans="1:25" ht="28" x14ac:dyDescent="0.3">
      <c r="A122" t="s">
        <v>697</v>
      </c>
      <c r="B122" t="s">
        <v>698</v>
      </c>
      <c r="C122" t="s">
        <v>699</v>
      </c>
      <c r="D122" t="s">
        <v>15</v>
      </c>
      <c r="F122" s="16" t="s">
        <v>671</v>
      </c>
      <c r="G122" s="17" t="s">
        <v>700</v>
      </c>
      <c r="H122" s="16" t="s">
        <v>701</v>
      </c>
      <c r="I122" t="s">
        <v>95</v>
      </c>
      <c r="J122" t="s">
        <v>74</v>
      </c>
      <c r="M122" t="s">
        <v>62</v>
      </c>
      <c r="N122" t="s">
        <v>674</v>
      </c>
      <c r="O122" t="s">
        <v>34</v>
      </c>
      <c r="Q122" t="s">
        <v>92</v>
      </c>
      <c r="U122" t="s">
        <v>82</v>
      </c>
      <c r="V122" t="s">
        <v>273</v>
      </c>
      <c r="W122" s="1">
        <v>46132.309305555558</v>
      </c>
      <c r="X122" t="s">
        <v>226</v>
      </c>
      <c r="Y122" s="1">
        <v>46132.309305555558</v>
      </c>
    </row>
    <row r="123" spans="1:25" x14ac:dyDescent="0.3">
      <c r="A123" t="s">
        <v>702</v>
      </c>
      <c r="B123" t="s">
        <v>703</v>
      </c>
      <c r="C123" t="s">
        <v>699</v>
      </c>
      <c r="D123" t="s">
        <v>15</v>
      </c>
      <c r="F123" s="16" t="s">
        <v>671</v>
      </c>
      <c r="G123" s="17" t="s">
        <v>704</v>
      </c>
      <c r="H123" s="16" t="s">
        <v>705</v>
      </c>
      <c r="I123" t="s">
        <v>95</v>
      </c>
      <c r="J123" t="s">
        <v>74</v>
      </c>
      <c r="M123" t="s">
        <v>62</v>
      </c>
      <c r="N123" t="s">
        <v>674</v>
      </c>
      <c r="O123" t="s">
        <v>34</v>
      </c>
      <c r="Q123" t="s">
        <v>92</v>
      </c>
      <c r="U123" t="s">
        <v>82</v>
      </c>
      <c r="V123" t="s">
        <v>675</v>
      </c>
      <c r="W123" s="1">
        <v>46132.309305555558</v>
      </c>
      <c r="X123" t="s">
        <v>226</v>
      </c>
      <c r="Y123" s="1">
        <v>46132.309305555558</v>
      </c>
    </row>
    <row r="124" spans="1:25" x14ac:dyDescent="0.3">
      <c r="A124" t="s">
        <v>706</v>
      </c>
      <c r="B124" t="s">
        <v>707</v>
      </c>
      <c r="C124" t="s">
        <v>699</v>
      </c>
      <c r="D124" t="s">
        <v>15</v>
      </c>
      <c r="F124" s="16" t="s">
        <v>671</v>
      </c>
      <c r="G124" s="17" t="s">
        <v>708</v>
      </c>
      <c r="H124" s="16" t="s">
        <v>709</v>
      </c>
      <c r="I124" t="s">
        <v>95</v>
      </c>
      <c r="J124" t="s">
        <v>74</v>
      </c>
      <c r="M124" t="s">
        <v>62</v>
      </c>
      <c r="N124" t="s">
        <v>674</v>
      </c>
      <c r="O124" t="s">
        <v>34</v>
      </c>
      <c r="Q124" t="s">
        <v>92</v>
      </c>
      <c r="U124" t="s">
        <v>82</v>
      </c>
      <c r="V124" t="s">
        <v>273</v>
      </c>
      <c r="W124" s="1">
        <v>46132.309305555558</v>
      </c>
      <c r="X124" t="s">
        <v>226</v>
      </c>
      <c r="Y124" s="1">
        <v>46132.309305555558</v>
      </c>
    </row>
    <row r="125" spans="1:25" ht="28" x14ac:dyDescent="0.3">
      <c r="A125" t="s">
        <v>710</v>
      </c>
      <c r="B125" t="s">
        <v>703</v>
      </c>
      <c r="C125" t="s">
        <v>699</v>
      </c>
      <c r="D125" t="s">
        <v>15</v>
      </c>
      <c r="F125" s="16" t="s">
        <v>671</v>
      </c>
      <c r="G125" s="17" t="s">
        <v>711</v>
      </c>
      <c r="H125" s="16" t="s">
        <v>712</v>
      </c>
      <c r="I125" t="s">
        <v>95</v>
      </c>
      <c r="J125" t="s">
        <v>74</v>
      </c>
      <c r="M125" t="s">
        <v>62</v>
      </c>
      <c r="N125" t="s">
        <v>674</v>
      </c>
      <c r="O125" t="s">
        <v>34</v>
      </c>
      <c r="Q125" t="s">
        <v>92</v>
      </c>
      <c r="U125" t="s">
        <v>82</v>
      </c>
      <c r="V125" t="s">
        <v>273</v>
      </c>
      <c r="W125" s="1">
        <v>46132.309305555558</v>
      </c>
      <c r="X125" t="s">
        <v>226</v>
      </c>
      <c r="Y125" s="1">
        <v>46132.309305555558</v>
      </c>
    </row>
    <row r="126" spans="1:25" x14ac:dyDescent="0.3">
      <c r="A126" t="s">
        <v>713</v>
      </c>
      <c r="B126" t="s">
        <v>714</v>
      </c>
      <c r="C126" t="s">
        <v>715</v>
      </c>
      <c r="D126" t="s">
        <v>15</v>
      </c>
      <c r="F126" s="16" t="s">
        <v>716</v>
      </c>
      <c r="G126" s="17" t="s">
        <v>717</v>
      </c>
      <c r="H126" s="16" t="s">
        <v>717</v>
      </c>
      <c r="I126" t="s">
        <v>94</v>
      </c>
      <c r="J126" t="s">
        <v>74</v>
      </c>
      <c r="K126">
        <v>1320</v>
      </c>
      <c r="M126" t="s">
        <v>62</v>
      </c>
      <c r="N126" t="s">
        <v>718</v>
      </c>
      <c r="O126" t="s">
        <v>719</v>
      </c>
      <c r="Q126" t="s">
        <v>92</v>
      </c>
      <c r="U126" t="s">
        <v>82</v>
      </c>
      <c r="W126" s="1">
        <v>46132.309305555558</v>
      </c>
      <c r="X126" t="s">
        <v>226</v>
      </c>
      <c r="Y126" s="1">
        <v>46132.309305555558</v>
      </c>
    </row>
    <row r="127" spans="1:25" x14ac:dyDescent="0.3">
      <c r="A127" t="s">
        <v>720</v>
      </c>
      <c r="B127" t="s">
        <v>721</v>
      </c>
      <c r="C127" t="s">
        <v>722</v>
      </c>
      <c r="D127" t="s">
        <v>15</v>
      </c>
      <c r="F127" s="16" t="s">
        <v>671</v>
      </c>
      <c r="G127" s="17" t="s">
        <v>723</v>
      </c>
      <c r="H127" s="16" t="s">
        <v>724</v>
      </c>
      <c r="I127" t="s">
        <v>95</v>
      </c>
      <c r="J127" t="s">
        <v>74</v>
      </c>
      <c r="M127" t="s">
        <v>62</v>
      </c>
      <c r="N127" t="s">
        <v>674</v>
      </c>
      <c r="O127" t="s">
        <v>34</v>
      </c>
      <c r="Q127" t="s">
        <v>92</v>
      </c>
      <c r="U127" t="s">
        <v>82</v>
      </c>
      <c r="V127" t="s">
        <v>725</v>
      </c>
      <c r="W127" s="1">
        <v>46132.309305555558</v>
      </c>
      <c r="X127" t="s">
        <v>226</v>
      </c>
      <c r="Y127" s="1">
        <v>46132.309305555558</v>
      </c>
    </row>
    <row r="128" spans="1:25" ht="28" x14ac:dyDescent="0.3">
      <c r="A128" t="s">
        <v>726</v>
      </c>
      <c r="B128" t="s">
        <v>727</v>
      </c>
      <c r="C128" t="s">
        <v>699</v>
      </c>
      <c r="D128" t="s">
        <v>15</v>
      </c>
      <c r="F128" s="16" t="s">
        <v>671</v>
      </c>
      <c r="G128" s="17" t="s">
        <v>728</v>
      </c>
      <c r="H128" s="16" t="s">
        <v>729</v>
      </c>
      <c r="I128" t="s">
        <v>95</v>
      </c>
      <c r="J128" t="s">
        <v>74</v>
      </c>
      <c r="M128" t="s">
        <v>62</v>
      </c>
      <c r="N128" t="s">
        <v>674</v>
      </c>
      <c r="O128" t="s">
        <v>34</v>
      </c>
      <c r="Q128" t="s">
        <v>92</v>
      </c>
      <c r="U128" t="s">
        <v>82</v>
      </c>
      <c r="V128" t="s">
        <v>273</v>
      </c>
      <c r="W128" s="1">
        <v>46132.309305555558</v>
      </c>
      <c r="X128" t="s">
        <v>226</v>
      </c>
      <c r="Y128" s="1">
        <v>46132.309305555558</v>
      </c>
    </row>
    <row r="129" spans="1:25" ht="28" x14ac:dyDescent="0.3">
      <c r="A129" t="s">
        <v>730</v>
      </c>
      <c r="B129" t="s">
        <v>731</v>
      </c>
      <c r="C129" t="s">
        <v>699</v>
      </c>
      <c r="D129" t="s">
        <v>15</v>
      </c>
      <c r="F129" s="16" t="s">
        <v>671</v>
      </c>
      <c r="G129" s="17" t="s">
        <v>732</v>
      </c>
      <c r="H129" s="16" t="s">
        <v>733</v>
      </c>
      <c r="I129" t="s">
        <v>95</v>
      </c>
      <c r="J129" t="s">
        <v>74</v>
      </c>
      <c r="M129" t="s">
        <v>62</v>
      </c>
      <c r="N129" t="s">
        <v>674</v>
      </c>
      <c r="O129" t="s">
        <v>34</v>
      </c>
      <c r="Q129" t="s">
        <v>92</v>
      </c>
      <c r="U129" t="s">
        <v>82</v>
      </c>
      <c r="V129" t="s">
        <v>273</v>
      </c>
      <c r="W129" s="1">
        <v>46132.309305555558</v>
      </c>
      <c r="X129" t="s">
        <v>226</v>
      </c>
      <c r="Y129" s="1">
        <v>46132.309305555558</v>
      </c>
    </row>
    <row r="130" spans="1:25" ht="28" x14ac:dyDescent="0.3">
      <c r="A130" t="s">
        <v>734</v>
      </c>
      <c r="B130" t="s">
        <v>735</v>
      </c>
      <c r="C130" t="s">
        <v>699</v>
      </c>
      <c r="D130" t="s">
        <v>15</v>
      </c>
      <c r="F130" s="16" t="s">
        <v>671</v>
      </c>
      <c r="G130" s="17" t="s">
        <v>736</v>
      </c>
      <c r="H130" s="16" t="s">
        <v>737</v>
      </c>
      <c r="I130" t="s">
        <v>95</v>
      </c>
      <c r="J130" t="s">
        <v>74</v>
      </c>
      <c r="M130" t="s">
        <v>62</v>
      </c>
      <c r="N130" t="s">
        <v>674</v>
      </c>
      <c r="O130" t="s">
        <v>34</v>
      </c>
      <c r="Q130" t="s">
        <v>92</v>
      </c>
      <c r="U130" t="s">
        <v>82</v>
      </c>
      <c r="V130" t="s">
        <v>725</v>
      </c>
      <c r="W130" s="1">
        <v>46132.309305555558</v>
      </c>
      <c r="X130" t="s">
        <v>226</v>
      </c>
      <c r="Y130" s="1">
        <v>46132.309305555558</v>
      </c>
    </row>
    <row r="131" spans="1:25" ht="28" x14ac:dyDescent="0.3">
      <c r="A131" t="s">
        <v>738</v>
      </c>
      <c r="B131" t="s">
        <v>739</v>
      </c>
      <c r="C131" t="s">
        <v>699</v>
      </c>
      <c r="D131" t="s">
        <v>15</v>
      </c>
      <c r="F131" s="16" t="s">
        <v>671</v>
      </c>
      <c r="G131" s="17" t="s">
        <v>740</v>
      </c>
      <c r="H131" s="16" t="s">
        <v>741</v>
      </c>
      <c r="I131" t="s">
        <v>95</v>
      </c>
      <c r="J131" t="s">
        <v>74</v>
      </c>
      <c r="M131" t="s">
        <v>62</v>
      </c>
      <c r="N131" t="s">
        <v>674</v>
      </c>
      <c r="O131" t="s">
        <v>34</v>
      </c>
      <c r="Q131" t="s">
        <v>92</v>
      </c>
      <c r="U131" t="s">
        <v>82</v>
      </c>
      <c r="V131" t="s">
        <v>273</v>
      </c>
      <c r="W131" s="1">
        <v>46132.309305555558</v>
      </c>
      <c r="X131" t="s">
        <v>226</v>
      </c>
      <c r="Y131" s="1">
        <v>46132.309305555558</v>
      </c>
    </row>
    <row r="132" spans="1:25" ht="28" x14ac:dyDescent="0.3">
      <c r="A132" t="s">
        <v>742</v>
      </c>
      <c r="B132" t="s">
        <v>743</v>
      </c>
      <c r="C132" t="s">
        <v>699</v>
      </c>
      <c r="D132" t="s">
        <v>15</v>
      </c>
      <c r="F132" s="16" t="s">
        <v>671</v>
      </c>
      <c r="G132" s="17" t="s">
        <v>744</v>
      </c>
      <c r="H132" s="16" t="s">
        <v>745</v>
      </c>
      <c r="I132" t="s">
        <v>95</v>
      </c>
      <c r="J132" t="s">
        <v>74</v>
      </c>
      <c r="M132" t="s">
        <v>62</v>
      </c>
      <c r="N132" t="s">
        <v>674</v>
      </c>
      <c r="O132" t="s">
        <v>34</v>
      </c>
      <c r="Q132" t="s">
        <v>92</v>
      </c>
      <c r="U132" t="s">
        <v>82</v>
      </c>
      <c r="V132" t="s">
        <v>273</v>
      </c>
      <c r="W132" s="1">
        <v>46132.309305555558</v>
      </c>
      <c r="X132" t="s">
        <v>226</v>
      </c>
      <c r="Y132" s="1">
        <v>46132.309305555558</v>
      </c>
    </row>
    <row r="133" spans="1:25" x14ac:dyDescent="0.3">
      <c r="A133" t="s">
        <v>746</v>
      </c>
      <c r="B133" t="s">
        <v>747</v>
      </c>
      <c r="C133" t="s">
        <v>748</v>
      </c>
      <c r="D133" t="s">
        <v>15</v>
      </c>
      <c r="F133" s="16" t="s">
        <v>671</v>
      </c>
      <c r="G133" s="17" t="s">
        <v>749</v>
      </c>
      <c r="H133" s="16" t="s">
        <v>750</v>
      </c>
      <c r="I133" t="s">
        <v>95</v>
      </c>
      <c r="J133" t="s">
        <v>74</v>
      </c>
      <c r="M133" t="s">
        <v>62</v>
      </c>
      <c r="N133" t="s">
        <v>674</v>
      </c>
      <c r="O133" t="s">
        <v>34</v>
      </c>
      <c r="Q133" t="s">
        <v>92</v>
      </c>
      <c r="U133" t="s">
        <v>82</v>
      </c>
      <c r="V133" t="s">
        <v>273</v>
      </c>
      <c r="W133" s="1">
        <v>46132.309305555558</v>
      </c>
      <c r="X133" t="s">
        <v>226</v>
      </c>
      <c r="Y133" s="1">
        <v>46132.309305555558</v>
      </c>
    </row>
    <row r="134" spans="1:25" ht="28" x14ac:dyDescent="0.3">
      <c r="A134" t="s">
        <v>751</v>
      </c>
      <c r="B134" t="s">
        <v>752</v>
      </c>
      <c r="C134" t="s">
        <v>699</v>
      </c>
      <c r="D134" t="s">
        <v>15</v>
      </c>
      <c r="F134" s="16" t="s">
        <v>671</v>
      </c>
      <c r="G134" s="17" t="s">
        <v>753</v>
      </c>
      <c r="H134" s="16" t="s">
        <v>754</v>
      </c>
      <c r="I134" t="s">
        <v>95</v>
      </c>
      <c r="J134" t="s">
        <v>74</v>
      </c>
      <c r="M134" t="s">
        <v>62</v>
      </c>
      <c r="N134" t="s">
        <v>674</v>
      </c>
      <c r="O134" t="s">
        <v>34</v>
      </c>
      <c r="Q134" t="s">
        <v>92</v>
      </c>
      <c r="U134" t="s">
        <v>82</v>
      </c>
      <c r="V134" t="s">
        <v>273</v>
      </c>
      <c r="W134" s="1">
        <v>46132.309305555558</v>
      </c>
      <c r="X134" t="s">
        <v>226</v>
      </c>
      <c r="Y134" s="1">
        <v>46132.309305555558</v>
      </c>
    </row>
    <row r="135" spans="1:25" ht="28" x14ac:dyDescent="0.3">
      <c r="A135" t="s">
        <v>755</v>
      </c>
      <c r="B135" t="s">
        <v>756</v>
      </c>
      <c r="C135" t="s">
        <v>699</v>
      </c>
      <c r="D135" t="s">
        <v>15</v>
      </c>
      <c r="F135" s="16" t="s">
        <v>671</v>
      </c>
      <c r="G135" s="17" t="s">
        <v>757</v>
      </c>
      <c r="H135" s="16" t="s">
        <v>758</v>
      </c>
      <c r="I135" t="s">
        <v>95</v>
      </c>
      <c r="J135" t="s">
        <v>74</v>
      </c>
      <c r="M135" t="s">
        <v>62</v>
      </c>
      <c r="N135" t="s">
        <v>674</v>
      </c>
      <c r="O135" t="s">
        <v>34</v>
      </c>
      <c r="Q135" t="s">
        <v>92</v>
      </c>
      <c r="U135" t="s">
        <v>82</v>
      </c>
      <c r="V135" t="s">
        <v>273</v>
      </c>
      <c r="W135" s="1">
        <v>46132.309305555558</v>
      </c>
      <c r="X135" t="s">
        <v>226</v>
      </c>
      <c r="Y135" s="1">
        <v>46132.309305555558</v>
      </c>
    </row>
    <row r="136" spans="1:25" ht="28" x14ac:dyDescent="0.3">
      <c r="A136" t="s">
        <v>759</v>
      </c>
      <c r="B136" t="s">
        <v>760</v>
      </c>
      <c r="C136" t="s">
        <v>699</v>
      </c>
      <c r="D136" t="s">
        <v>15</v>
      </c>
      <c r="F136" s="16" t="s">
        <v>671</v>
      </c>
      <c r="G136" s="17" t="s">
        <v>761</v>
      </c>
      <c r="H136" s="16" t="s">
        <v>762</v>
      </c>
      <c r="I136" t="s">
        <v>95</v>
      </c>
      <c r="J136" t="s">
        <v>74</v>
      </c>
      <c r="M136" t="s">
        <v>62</v>
      </c>
      <c r="N136" t="s">
        <v>674</v>
      </c>
      <c r="O136" t="s">
        <v>34</v>
      </c>
      <c r="Q136" t="s">
        <v>92</v>
      </c>
      <c r="U136" t="s">
        <v>82</v>
      </c>
      <c r="V136" t="s">
        <v>273</v>
      </c>
      <c r="W136" s="1">
        <v>46132.309305555558</v>
      </c>
      <c r="X136" t="s">
        <v>226</v>
      </c>
      <c r="Y136" s="1">
        <v>46132.309305555558</v>
      </c>
    </row>
    <row r="137" spans="1:25" ht="28" x14ac:dyDescent="0.3">
      <c r="A137" t="s">
        <v>763</v>
      </c>
      <c r="B137" t="s">
        <v>764</v>
      </c>
      <c r="C137" t="s">
        <v>699</v>
      </c>
      <c r="D137" t="s">
        <v>15</v>
      </c>
      <c r="F137" s="16" t="s">
        <v>671</v>
      </c>
      <c r="G137" s="17" t="s">
        <v>765</v>
      </c>
      <c r="H137" s="16" t="s">
        <v>766</v>
      </c>
      <c r="I137" t="s">
        <v>95</v>
      </c>
      <c r="J137" t="s">
        <v>74</v>
      </c>
      <c r="M137" t="s">
        <v>62</v>
      </c>
      <c r="N137" t="s">
        <v>674</v>
      </c>
      <c r="O137" t="s">
        <v>34</v>
      </c>
      <c r="Q137" t="s">
        <v>92</v>
      </c>
      <c r="U137" t="s">
        <v>82</v>
      </c>
      <c r="V137" t="s">
        <v>273</v>
      </c>
      <c r="W137" s="1">
        <v>46132.309305555558</v>
      </c>
      <c r="X137" t="s">
        <v>226</v>
      </c>
      <c r="Y137" s="1">
        <v>46132.309305555558</v>
      </c>
    </row>
    <row r="138" spans="1:25" ht="28" x14ac:dyDescent="0.3">
      <c r="A138" t="s">
        <v>767</v>
      </c>
      <c r="B138" t="s">
        <v>768</v>
      </c>
      <c r="C138" t="s">
        <v>699</v>
      </c>
      <c r="D138" t="s">
        <v>15</v>
      </c>
      <c r="F138" s="16" t="s">
        <v>671</v>
      </c>
      <c r="G138" s="17" t="s">
        <v>769</v>
      </c>
      <c r="H138" s="16" t="s">
        <v>770</v>
      </c>
      <c r="I138" t="s">
        <v>95</v>
      </c>
      <c r="J138" t="s">
        <v>74</v>
      </c>
      <c r="M138" t="s">
        <v>62</v>
      </c>
      <c r="N138" t="s">
        <v>674</v>
      </c>
      <c r="O138" t="s">
        <v>34</v>
      </c>
      <c r="Q138" t="s">
        <v>92</v>
      </c>
      <c r="U138" t="s">
        <v>82</v>
      </c>
      <c r="V138" t="s">
        <v>273</v>
      </c>
      <c r="W138" s="1">
        <v>46132.309305555558</v>
      </c>
      <c r="X138" t="s">
        <v>226</v>
      </c>
      <c r="Y138" s="1">
        <v>46132.309305555558</v>
      </c>
    </row>
    <row r="139" spans="1:25" x14ac:dyDescent="0.3">
      <c r="A139" t="s">
        <v>771</v>
      </c>
      <c r="B139" t="s">
        <v>772</v>
      </c>
      <c r="C139" t="s">
        <v>772</v>
      </c>
      <c r="D139" t="s">
        <v>15</v>
      </c>
      <c r="F139" s="16" t="s">
        <v>671</v>
      </c>
      <c r="G139" s="17" t="s">
        <v>9</v>
      </c>
      <c r="H139" s="16" t="s">
        <v>773</v>
      </c>
      <c r="I139" t="s">
        <v>95</v>
      </c>
      <c r="J139" t="s">
        <v>74</v>
      </c>
      <c r="M139" t="s">
        <v>62</v>
      </c>
      <c r="N139" t="s">
        <v>674</v>
      </c>
      <c r="O139" t="s">
        <v>34</v>
      </c>
      <c r="Q139" t="s">
        <v>92</v>
      </c>
      <c r="U139" t="s">
        <v>82</v>
      </c>
      <c r="V139" t="s">
        <v>273</v>
      </c>
      <c r="W139" s="1">
        <v>46132.309305555558</v>
      </c>
      <c r="X139" t="s">
        <v>226</v>
      </c>
      <c r="Y139" s="1">
        <v>46132.309305555558</v>
      </c>
    </row>
    <row r="140" spans="1:25" x14ac:dyDescent="0.3">
      <c r="A140" t="s">
        <v>774</v>
      </c>
      <c r="B140" t="s">
        <v>775</v>
      </c>
      <c r="C140" t="s">
        <v>670</v>
      </c>
      <c r="D140" t="s">
        <v>15</v>
      </c>
      <c r="F140" s="16" t="s">
        <v>776</v>
      </c>
      <c r="G140" s="17" t="s">
        <v>777</v>
      </c>
      <c r="H140" s="16" t="s">
        <v>777</v>
      </c>
      <c r="I140" t="s">
        <v>95</v>
      </c>
      <c r="J140" t="s">
        <v>74</v>
      </c>
      <c r="K140">
        <v>4036</v>
      </c>
      <c r="M140" t="s">
        <v>62</v>
      </c>
      <c r="N140" t="s">
        <v>685</v>
      </c>
      <c r="O140" t="s">
        <v>778</v>
      </c>
      <c r="Q140" t="s">
        <v>92</v>
      </c>
      <c r="U140" t="s">
        <v>82</v>
      </c>
      <c r="V140" t="s">
        <v>779</v>
      </c>
      <c r="W140" s="1">
        <v>46132.309305555558</v>
      </c>
      <c r="X140" t="s">
        <v>226</v>
      </c>
      <c r="Y140" s="1">
        <v>46132.309305555558</v>
      </c>
    </row>
    <row r="141" spans="1:25" x14ac:dyDescent="0.3">
      <c r="A141" t="s">
        <v>780</v>
      </c>
      <c r="B141" t="s">
        <v>775</v>
      </c>
      <c r="C141" t="s">
        <v>670</v>
      </c>
      <c r="D141" t="s">
        <v>15</v>
      </c>
      <c r="F141" s="16" t="s">
        <v>776</v>
      </c>
      <c r="G141" s="17" t="s">
        <v>781</v>
      </c>
      <c r="H141" s="16" t="s">
        <v>781</v>
      </c>
      <c r="I141" t="s">
        <v>95</v>
      </c>
      <c r="J141" t="s">
        <v>74</v>
      </c>
      <c r="K141">
        <v>3720</v>
      </c>
      <c r="M141" t="s">
        <v>62</v>
      </c>
      <c r="N141" t="s">
        <v>685</v>
      </c>
      <c r="O141" t="s">
        <v>778</v>
      </c>
      <c r="Q141" t="s">
        <v>92</v>
      </c>
      <c r="U141" t="s">
        <v>82</v>
      </c>
      <c r="V141" t="s">
        <v>782</v>
      </c>
      <c r="W141" s="1">
        <v>46132.309305555558</v>
      </c>
      <c r="X141" t="s">
        <v>226</v>
      </c>
      <c r="Y141" s="1">
        <v>46132.309305555558</v>
      </c>
    </row>
    <row r="142" spans="1:25" ht="28" x14ac:dyDescent="0.3">
      <c r="A142" t="s">
        <v>783</v>
      </c>
      <c r="B142" t="s">
        <v>775</v>
      </c>
      <c r="C142" t="s">
        <v>670</v>
      </c>
      <c r="D142" t="s">
        <v>15</v>
      </c>
      <c r="F142" s="16" t="s">
        <v>776</v>
      </c>
      <c r="G142" s="17" t="s">
        <v>784</v>
      </c>
      <c r="H142" s="16" t="s">
        <v>784</v>
      </c>
      <c r="I142" t="s">
        <v>95</v>
      </c>
      <c r="J142" t="s">
        <v>74</v>
      </c>
      <c r="K142">
        <v>4542</v>
      </c>
      <c r="M142" t="s">
        <v>62</v>
      </c>
      <c r="N142" t="s">
        <v>685</v>
      </c>
      <c r="O142" t="s">
        <v>778</v>
      </c>
      <c r="Q142" t="s">
        <v>92</v>
      </c>
      <c r="U142" t="s">
        <v>82</v>
      </c>
      <c r="V142" t="s">
        <v>273</v>
      </c>
      <c r="W142" s="1">
        <v>46132.309305555558</v>
      </c>
      <c r="X142" t="s">
        <v>226</v>
      </c>
      <c r="Y142" s="1">
        <v>46132.309305555558</v>
      </c>
    </row>
    <row r="143" spans="1:25" x14ac:dyDescent="0.3">
      <c r="A143" t="s">
        <v>785</v>
      </c>
      <c r="B143" t="s">
        <v>775</v>
      </c>
      <c r="C143" t="s">
        <v>670</v>
      </c>
      <c r="D143" t="s">
        <v>15</v>
      </c>
      <c r="F143" s="16" t="s">
        <v>776</v>
      </c>
      <c r="G143" s="17" t="s">
        <v>786</v>
      </c>
      <c r="H143" s="16" t="s">
        <v>786</v>
      </c>
      <c r="I143" t="s">
        <v>95</v>
      </c>
      <c r="J143" t="s">
        <v>74</v>
      </c>
      <c r="K143">
        <v>7452</v>
      </c>
      <c r="M143" t="s">
        <v>62</v>
      </c>
      <c r="N143" t="s">
        <v>685</v>
      </c>
      <c r="O143" t="s">
        <v>778</v>
      </c>
      <c r="Q143" t="s">
        <v>92</v>
      </c>
      <c r="U143" t="s">
        <v>82</v>
      </c>
      <c r="V143" t="s">
        <v>273</v>
      </c>
      <c r="W143" s="1">
        <v>46132.309305555558</v>
      </c>
      <c r="X143" t="s">
        <v>226</v>
      </c>
      <c r="Y143" s="1">
        <v>46132.309305555558</v>
      </c>
    </row>
    <row r="144" spans="1:25" x14ac:dyDescent="0.3">
      <c r="A144" t="s">
        <v>787</v>
      </c>
      <c r="B144" t="s">
        <v>775</v>
      </c>
      <c r="C144" t="s">
        <v>670</v>
      </c>
      <c r="D144" t="s">
        <v>15</v>
      </c>
      <c r="F144" s="16" t="s">
        <v>776</v>
      </c>
      <c r="G144" s="17" t="s">
        <v>788</v>
      </c>
      <c r="H144" s="16" t="s">
        <v>788</v>
      </c>
      <c r="I144" t="s">
        <v>95</v>
      </c>
      <c r="J144" t="s">
        <v>74</v>
      </c>
      <c r="K144">
        <v>3622</v>
      </c>
      <c r="M144" t="s">
        <v>62</v>
      </c>
      <c r="N144" t="s">
        <v>685</v>
      </c>
      <c r="O144" t="s">
        <v>778</v>
      </c>
      <c r="Q144" t="s">
        <v>92</v>
      </c>
      <c r="U144" t="s">
        <v>82</v>
      </c>
      <c r="V144" t="s">
        <v>789</v>
      </c>
      <c r="W144" s="1">
        <v>46132.309305555558</v>
      </c>
      <c r="X144" t="s">
        <v>226</v>
      </c>
      <c r="Y144" s="1">
        <v>46132.309305555558</v>
      </c>
    </row>
    <row r="145" spans="1:25" x14ac:dyDescent="0.3">
      <c r="A145" t="s">
        <v>790</v>
      </c>
      <c r="B145" t="s">
        <v>775</v>
      </c>
      <c r="C145" t="s">
        <v>670</v>
      </c>
      <c r="D145" t="s">
        <v>15</v>
      </c>
      <c r="F145" s="16" t="s">
        <v>776</v>
      </c>
      <c r="G145" s="17" t="s">
        <v>791</v>
      </c>
      <c r="H145" s="16" t="s">
        <v>791</v>
      </c>
      <c r="I145" t="s">
        <v>95</v>
      </c>
      <c r="J145" t="s">
        <v>74</v>
      </c>
      <c r="K145">
        <v>2794</v>
      </c>
      <c r="M145" t="s">
        <v>62</v>
      </c>
      <c r="N145" t="s">
        <v>685</v>
      </c>
      <c r="O145" t="s">
        <v>778</v>
      </c>
      <c r="Q145" t="s">
        <v>92</v>
      </c>
      <c r="U145" t="s">
        <v>82</v>
      </c>
      <c r="V145" t="s">
        <v>273</v>
      </c>
      <c r="W145" s="1">
        <v>46132.309305555558</v>
      </c>
      <c r="X145" t="s">
        <v>226</v>
      </c>
      <c r="Y145" s="1">
        <v>46132.309305555558</v>
      </c>
    </row>
    <row r="146" spans="1:25" x14ac:dyDescent="0.3">
      <c r="A146" t="s">
        <v>792</v>
      </c>
      <c r="B146" t="s">
        <v>775</v>
      </c>
      <c r="C146" t="s">
        <v>670</v>
      </c>
      <c r="D146" t="s">
        <v>15</v>
      </c>
      <c r="F146" s="16" t="s">
        <v>776</v>
      </c>
      <c r="G146" s="17" t="s">
        <v>793</v>
      </c>
      <c r="H146" s="16" t="s">
        <v>793</v>
      </c>
      <c r="I146" t="s">
        <v>95</v>
      </c>
      <c r="J146" t="s">
        <v>74</v>
      </c>
      <c r="K146">
        <v>2794</v>
      </c>
      <c r="M146" t="s">
        <v>62</v>
      </c>
      <c r="N146" t="s">
        <v>685</v>
      </c>
      <c r="O146" t="s">
        <v>778</v>
      </c>
      <c r="Q146" t="s">
        <v>92</v>
      </c>
      <c r="U146" t="s">
        <v>82</v>
      </c>
      <c r="V146" t="s">
        <v>273</v>
      </c>
      <c r="W146" s="1">
        <v>46132.309305555558</v>
      </c>
      <c r="X146" t="s">
        <v>226</v>
      </c>
      <c r="Y146" s="1">
        <v>46132.309305555558</v>
      </c>
    </row>
    <row r="147" spans="1:25" x14ac:dyDescent="0.3">
      <c r="A147" t="s">
        <v>794</v>
      </c>
      <c r="B147" t="s">
        <v>775</v>
      </c>
      <c r="C147" t="s">
        <v>670</v>
      </c>
      <c r="D147" t="s">
        <v>15</v>
      </c>
      <c r="F147" s="16" t="s">
        <v>776</v>
      </c>
      <c r="G147" s="17" t="s">
        <v>795</v>
      </c>
      <c r="H147" s="16" t="s">
        <v>795</v>
      </c>
      <c r="I147" t="s">
        <v>95</v>
      </c>
      <c r="J147" t="s">
        <v>74</v>
      </c>
      <c r="K147">
        <v>3156</v>
      </c>
      <c r="M147" t="s">
        <v>62</v>
      </c>
      <c r="N147" t="s">
        <v>685</v>
      </c>
      <c r="O147" t="s">
        <v>778</v>
      </c>
      <c r="Q147" t="s">
        <v>92</v>
      </c>
      <c r="U147" t="s">
        <v>82</v>
      </c>
      <c r="V147" t="s">
        <v>273</v>
      </c>
      <c r="W147" s="1">
        <v>46132.309305555558</v>
      </c>
      <c r="X147" t="s">
        <v>226</v>
      </c>
      <c r="Y147" s="1">
        <v>46132.309305555558</v>
      </c>
    </row>
    <row r="148" spans="1:25" x14ac:dyDescent="0.3">
      <c r="A148" t="s">
        <v>796</v>
      </c>
      <c r="B148" t="s">
        <v>775</v>
      </c>
      <c r="C148" t="s">
        <v>670</v>
      </c>
      <c r="D148" t="s">
        <v>15</v>
      </c>
      <c r="F148" s="16" t="s">
        <v>776</v>
      </c>
      <c r="G148" s="17" t="s">
        <v>797</v>
      </c>
      <c r="H148" s="16" t="s">
        <v>797</v>
      </c>
      <c r="I148" t="s">
        <v>95</v>
      </c>
      <c r="J148" t="s">
        <v>74</v>
      </c>
      <c r="K148">
        <v>3260</v>
      </c>
      <c r="M148" t="s">
        <v>62</v>
      </c>
      <c r="N148" t="s">
        <v>685</v>
      </c>
      <c r="O148" t="s">
        <v>778</v>
      </c>
      <c r="Q148" t="s">
        <v>92</v>
      </c>
      <c r="U148" t="s">
        <v>82</v>
      </c>
      <c r="V148" t="s">
        <v>273</v>
      </c>
      <c r="W148" s="1">
        <v>46132.309305555558</v>
      </c>
      <c r="X148" t="s">
        <v>226</v>
      </c>
      <c r="Y148" s="1">
        <v>46132.309305555558</v>
      </c>
    </row>
    <row r="149" spans="1:25" x14ac:dyDescent="0.3">
      <c r="A149" t="s">
        <v>798</v>
      </c>
      <c r="B149" t="s">
        <v>799</v>
      </c>
      <c r="C149" t="s">
        <v>800</v>
      </c>
      <c r="D149" t="s">
        <v>15</v>
      </c>
      <c r="F149" s="16" t="s">
        <v>776</v>
      </c>
      <c r="G149" s="17" t="s">
        <v>801</v>
      </c>
      <c r="H149" s="16" t="s">
        <v>801</v>
      </c>
      <c r="I149" t="s">
        <v>95</v>
      </c>
      <c r="J149" t="s">
        <v>74</v>
      </c>
      <c r="M149" t="s">
        <v>62</v>
      </c>
      <c r="N149" t="s">
        <v>685</v>
      </c>
      <c r="O149" t="s">
        <v>778</v>
      </c>
      <c r="Q149" t="s">
        <v>92</v>
      </c>
      <c r="U149" t="s">
        <v>82</v>
      </c>
      <c r="V149" t="s">
        <v>802</v>
      </c>
      <c r="W149" s="1">
        <v>46132.309305555558</v>
      </c>
      <c r="X149" t="s">
        <v>226</v>
      </c>
      <c r="Y149" s="1">
        <v>46132.309305555558</v>
      </c>
    </row>
    <row r="150" spans="1:25" x14ac:dyDescent="0.3">
      <c r="A150" t="s">
        <v>803</v>
      </c>
      <c r="B150" t="s">
        <v>799</v>
      </c>
      <c r="C150" t="s">
        <v>800</v>
      </c>
      <c r="D150" t="s">
        <v>15</v>
      </c>
      <c r="F150" s="16" t="s">
        <v>776</v>
      </c>
      <c r="G150" s="17" t="s">
        <v>804</v>
      </c>
      <c r="H150" s="16" t="s">
        <v>804</v>
      </c>
      <c r="I150" t="s">
        <v>95</v>
      </c>
      <c r="J150" t="s">
        <v>74</v>
      </c>
      <c r="K150">
        <v>445</v>
      </c>
      <c r="M150" t="s">
        <v>62</v>
      </c>
      <c r="N150" t="s">
        <v>685</v>
      </c>
      <c r="O150" t="s">
        <v>778</v>
      </c>
      <c r="Q150" t="s">
        <v>92</v>
      </c>
      <c r="U150" t="s">
        <v>82</v>
      </c>
      <c r="V150" t="s">
        <v>805</v>
      </c>
      <c r="W150" s="1">
        <v>46132.309305555558</v>
      </c>
      <c r="X150" t="s">
        <v>226</v>
      </c>
      <c r="Y150" s="1">
        <v>46132.309305555558</v>
      </c>
    </row>
    <row r="151" spans="1:25" x14ac:dyDescent="0.3">
      <c r="A151" t="s">
        <v>806</v>
      </c>
      <c r="B151" t="s">
        <v>807</v>
      </c>
      <c r="C151" t="s">
        <v>699</v>
      </c>
      <c r="D151" t="s">
        <v>15</v>
      </c>
      <c r="F151" s="16" t="s">
        <v>776</v>
      </c>
      <c r="G151" s="17" t="s">
        <v>808</v>
      </c>
      <c r="H151" s="16" t="s">
        <v>808</v>
      </c>
      <c r="I151" t="s">
        <v>95</v>
      </c>
      <c r="J151" t="s">
        <v>74</v>
      </c>
      <c r="K151">
        <v>755</v>
      </c>
      <c r="M151" t="s">
        <v>62</v>
      </c>
      <c r="N151" t="s">
        <v>685</v>
      </c>
      <c r="O151" t="s">
        <v>778</v>
      </c>
      <c r="Q151" t="s">
        <v>92</v>
      </c>
      <c r="U151" t="s">
        <v>82</v>
      </c>
      <c r="V151" t="s">
        <v>809</v>
      </c>
      <c r="W151" s="1">
        <v>46132.309305555558</v>
      </c>
      <c r="X151" t="s">
        <v>226</v>
      </c>
      <c r="Y151" s="1">
        <v>46132.309305555558</v>
      </c>
    </row>
    <row r="152" spans="1:25" x14ac:dyDescent="0.3">
      <c r="A152" t="s">
        <v>810</v>
      </c>
      <c r="B152" t="s">
        <v>807</v>
      </c>
      <c r="C152" t="s">
        <v>699</v>
      </c>
      <c r="D152" t="s">
        <v>15</v>
      </c>
      <c r="F152" s="16" t="s">
        <v>776</v>
      </c>
      <c r="G152" s="17" t="s">
        <v>811</v>
      </c>
      <c r="H152" s="16" t="s">
        <v>811</v>
      </c>
      <c r="I152" t="s">
        <v>95</v>
      </c>
      <c r="J152" t="s">
        <v>74</v>
      </c>
      <c r="K152">
        <v>704</v>
      </c>
      <c r="M152" t="s">
        <v>62</v>
      </c>
      <c r="N152" t="s">
        <v>685</v>
      </c>
      <c r="O152" t="s">
        <v>778</v>
      </c>
      <c r="Q152" t="s">
        <v>92</v>
      </c>
      <c r="U152" t="s">
        <v>82</v>
      </c>
      <c r="V152" t="s">
        <v>273</v>
      </c>
      <c r="W152" s="1">
        <v>46132.309305555558</v>
      </c>
      <c r="X152" t="s">
        <v>226</v>
      </c>
      <c r="Y152" s="1">
        <v>46132.309305555558</v>
      </c>
    </row>
    <row r="153" spans="1:25" x14ac:dyDescent="0.3">
      <c r="A153" t="s">
        <v>812</v>
      </c>
      <c r="B153" t="s">
        <v>807</v>
      </c>
      <c r="C153" t="s">
        <v>699</v>
      </c>
      <c r="D153" t="s">
        <v>15</v>
      </c>
      <c r="F153" s="16" t="s">
        <v>776</v>
      </c>
      <c r="G153" s="17" t="s">
        <v>813</v>
      </c>
      <c r="H153" s="16" t="s">
        <v>813</v>
      </c>
      <c r="I153" t="s">
        <v>95</v>
      </c>
      <c r="J153" t="s">
        <v>74</v>
      </c>
      <c r="K153">
        <v>975</v>
      </c>
      <c r="M153" t="s">
        <v>62</v>
      </c>
      <c r="N153" t="s">
        <v>685</v>
      </c>
      <c r="O153" t="s">
        <v>778</v>
      </c>
      <c r="Q153" t="s">
        <v>92</v>
      </c>
      <c r="U153" t="s">
        <v>82</v>
      </c>
      <c r="V153" t="s">
        <v>273</v>
      </c>
      <c r="W153" s="1">
        <v>46132.309305555558</v>
      </c>
      <c r="X153" t="s">
        <v>226</v>
      </c>
      <c r="Y153" s="1">
        <v>46132.309305555558</v>
      </c>
    </row>
    <row r="154" spans="1:25" x14ac:dyDescent="0.3">
      <c r="A154" t="s">
        <v>814</v>
      </c>
      <c r="B154" t="s">
        <v>807</v>
      </c>
      <c r="C154" t="s">
        <v>699</v>
      </c>
      <c r="D154" t="s">
        <v>15</v>
      </c>
      <c r="F154" s="16" t="s">
        <v>776</v>
      </c>
      <c r="G154" s="17" t="s">
        <v>815</v>
      </c>
      <c r="H154" s="16" t="s">
        <v>815</v>
      </c>
      <c r="I154" t="s">
        <v>95</v>
      </c>
      <c r="J154" t="s">
        <v>74</v>
      </c>
      <c r="K154">
        <v>647</v>
      </c>
      <c r="M154" t="s">
        <v>62</v>
      </c>
      <c r="N154" t="s">
        <v>685</v>
      </c>
      <c r="O154" t="s">
        <v>778</v>
      </c>
      <c r="Q154" t="s">
        <v>92</v>
      </c>
      <c r="U154" t="s">
        <v>82</v>
      </c>
      <c r="V154" t="s">
        <v>273</v>
      </c>
      <c r="W154" s="1">
        <v>46132.309305555558</v>
      </c>
      <c r="X154" t="s">
        <v>226</v>
      </c>
      <c r="Y154" s="1">
        <v>46132.309305555558</v>
      </c>
    </row>
    <row r="155" spans="1:25" x14ac:dyDescent="0.3">
      <c r="A155" t="s">
        <v>816</v>
      </c>
      <c r="B155" t="s">
        <v>807</v>
      </c>
      <c r="C155" t="s">
        <v>699</v>
      </c>
      <c r="D155" t="s">
        <v>15</v>
      </c>
      <c r="F155" s="16" t="s">
        <v>776</v>
      </c>
      <c r="G155" s="17" t="s">
        <v>817</v>
      </c>
      <c r="H155" s="16" t="s">
        <v>817</v>
      </c>
      <c r="I155" t="s">
        <v>95</v>
      </c>
      <c r="J155" t="s">
        <v>74</v>
      </c>
      <c r="K155">
        <v>828</v>
      </c>
      <c r="M155" t="s">
        <v>62</v>
      </c>
      <c r="N155" t="s">
        <v>685</v>
      </c>
      <c r="O155" t="s">
        <v>778</v>
      </c>
      <c r="Q155" t="s">
        <v>92</v>
      </c>
      <c r="U155" t="s">
        <v>82</v>
      </c>
      <c r="V155" t="s">
        <v>273</v>
      </c>
      <c r="W155" s="1">
        <v>46132.309305555558</v>
      </c>
      <c r="X155" t="s">
        <v>226</v>
      </c>
      <c r="Y155" s="1">
        <v>46132.309305555558</v>
      </c>
    </row>
    <row r="156" spans="1:25" x14ac:dyDescent="0.3">
      <c r="A156" t="s">
        <v>818</v>
      </c>
      <c r="B156" t="s">
        <v>807</v>
      </c>
      <c r="C156" t="s">
        <v>699</v>
      </c>
      <c r="D156" t="s">
        <v>15</v>
      </c>
      <c r="F156" s="16" t="s">
        <v>776</v>
      </c>
      <c r="G156" s="17" t="s">
        <v>819</v>
      </c>
      <c r="H156" s="16" t="s">
        <v>819</v>
      </c>
      <c r="I156" t="s">
        <v>95</v>
      </c>
      <c r="J156" t="s">
        <v>74</v>
      </c>
      <c r="K156">
        <v>704</v>
      </c>
      <c r="M156" t="s">
        <v>62</v>
      </c>
      <c r="N156" t="s">
        <v>685</v>
      </c>
      <c r="O156" t="s">
        <v>778</v>
      </c>
      <c r="Q156" t="s">
        <v>92</v>
      </c>
      <c r="U156" t="s">
        <v>82</v>
      </c>
      <c r="V156" t="s">
        <v>273</v>
      </c>
      <c r="W156" s="1">
        <v>46132.309305555558</v>
      </c>
      <c r="X156" t="s">
        <v>226</v>
      </c>
      <c r="Y156" s="1">
        <v>46132.309305555558</v>
      </c>
    </row>
    <row r="157" spans="1:25" x14ac:dyDescent="0.3">
      <c r="A157" t="s">
        <v>820</v>
      </c>
      <c r="B157" t="s">
        <v>807</v>
      </c>
      <c r="C157" t="s">
        <v>699</v>
      </c>
      <c r="D157" t="s">
        <v>15</v>
      </c>
      <c r="F157" s="16" t="s">
        <v>776</v>
      </c>
      <c r="G157" s="17" t="s">
        <v>821</v>
      </c>
      <c r="H157" s="16" t="s">
        <v>821</v>
      </c>
      <c r="I157" t="s">
        <v>95</v>
      </c>
      <c r="J157" t="s">
        <v>74</v>
      </c>
      <c r="K157">
        <v>1040</v>
      </c>
      <c r="M157" t="s">
        <v>62</v>
      </c>
      <c r="N157" t="s">
        <v>685</v>
      </c>
      <c r="O157" t="s">
        <v>778</v>
      </c>
      <c r="Q157" t="s">
        <v>92</v>
      </c>
      <c r="U157" t="s">
        <v>82</v>
      </c>
      <c r="V157" t="s">
        <v>273</v>
      </c>
      <c r="W157" s="1">
        <v>46132.309305555558</v>
      </c>
      <c r="X157" t="s">
        <v>226</v>
      </c>
      <c r="Y157" s="1">
        <v>46132.309305555558</v>
      </c>
    </row>
    <row r="158" spans="1:25" x14ac:dyDescent="0.3">
      <c r="A158" t="s">
        <v>822</v>
      </c>
      <c r="B158" t="s">
        <v>807</v>
      </c>
      <c r="C158" t="s">
        <v>699</v>
      </c>
      <c r="D158" t="s">
        <v>15</v>
      </c>
      <c r="F158" s="16" t="s">
        <v>776</v>
      </c>
      <c r="G158" s="17" t="s">
        <v>823</v>
      </c>
      <c r="H158" s="16" t="s">
        <v>823</v>
      </c>
      <c r="I158" t="s">
        <v>95</v>
      </c>
      <c r="J158" t="s">
        <v>74</v>
      </c>
      <c r="K158">
        <v>1521</v>
      </c>
      <c r="M158" t="s">
        <v>62</v>
      </c>
      <c r="N158" t="s">
        <v>685</v>
      </c>
      <c r="O158" t="s">
        <v>778</v>
      </c>
      <c r="Q158" t="s">
        <v>92</v>
      </c>
      <c r="U158" t="s">
        <v>82</v>
      </c>
      <c r="V158" t="s">
        <v>273</v>
      </c>
      <c r="W158" s="1">
        <v>46132.309305555558</v>
      </c>
      <c r="X158" t="s">
        <v>226</v>
      </c>
      <c r="Y158" s="1">
        <v>46132.309305555558</v>
      </c>
    </row>
    <row r="159" spans="1:25" x14ac:dyDescent="0.3">
      <c r="A159" t="s">
        <v>824</v>
      </c>
      <c r="B159" t="s">
        <v>807</v>
      </c>
      <c r="C159" t="s">
        <v>699</v>
      </c>
      <c r="D159" t="s">
        <v>15</v>
      </c>
      <c r="F159" s="16" t="s">
        <v>776</v>
      </c>
      <c r="G159" s="17" t="s">
        <v>825</v>
      </c>
      <c r="H159" s="16" t="s">
        <v>825</v>
      </c>
      <c r="I159" t="s">
        <v>95</v>
      </c>
      <c r="J159" t="s">
        <v>74</v>
      </c>
      <c r="K159">
        <v>1560</v>
      </c>
      <c r="M159" t="s">
        <v>62</v>
      </c>
      <c r="N159" t="s">
        <v>685</v>
      </c>
      <c r="O159" t="s">
        <v>778</v>
      </c>
      <c r="Q159" t="s">
        <v>92</v>
      </c>
      <c r="U159" t="s">
        <v>82</v>
      </c>
      <c r="V159" t="s">
        <v>273</v>
      </c>
      <c r="W159" s="1">
        <v>46132.309305555558</v>
      </c>
      <c r="X159" t="s">
        <v>226</v>
      </c>
      <c r="Y159" s="1">
        <v>46132.309305555558</v>
      </c>
    </row>
    <row r="160" spans="1:25" x14ac:dyDescent="0.3">
      <c r="A160" t="s">
        <v>826</v>
      </c>
      <c r="B160" t="s">
        <v>807</v>
      </c>
      <c r="C160" t="s">
        <v>699</v>
      </c>
      <c r="D160" t="s">
        <v>15</v>
      </c>
      <c r="F160" s="16" t="s">
        <v>776</v>
      </c>
      <c r="G160" s="17" t="s">
        <v>827</v>
      </c>
      <c r="H160" s="16" t="s">
        <v>827</v>
      </c>
      <c r="I160" t="s">
        <v>95</v>
      </c>
      <c r="J160" t="s">
        <v>74</v>
      </c>
      <c r="K160">
        <v>1460</v>
      </c>
      <c r="M160" t="s">
        <v>62</v>
      </c>
      <c r="N160" t="s">
        <v>685</v>
      </c>
      <c r="O160" t="s">
        <v>778</v>
      </c>
      <c r="Q160" t="s">
        <v>92</v>
      </c>
      <c r="U160" t="s">
        <v>82</v>
      </c>
      <c r="V160" t="s">
        <v>273</v>
      </c>
      <c r="W160" s="1">
        <v>46132.309305555558</v>
      </c>
      <c r="X160" t="s">
        <v>226</v>
      </c>
      <c r="Y160" s="1">
        <v>46132.309305555558</v>
      </c>
    </row>
    <row r="161" spans="1:25" x14ac:dyDescent="0.3">
      <c r="A161" t="s">
        <v>828</v>
      </c>
      <c r="B161" t="s">
        <v>829</v>
      </c>
      <c r="C161" t="s">
        <v>830</v>
      </c>
      <c r="D161" t="s">
        <v>15</v>
      </c>
      <c r="F161" s="16" t="s">
        <v>776</v>
      </c>
      <c r="G161" s="17" t="s">
        <v>831</v>
      </c>
      <c r="H161" s="16" t="s">
        <v>831</v>
      </c>
      <c r="I161" t="s">
        <v>95</v>
      </c>
      <c r="J161" t="s">
        <v>74</v>
      </c>
      <c r="K161">
        <v>687</v>
      </c>
      <c r="M161" t="s">
        <v>62</v>
      </c>
      <c r="N161" t="s">
        <v>685</v>
      </c>
      <c r="O161" t="s">
        <v>778</v>
      </c>
      <c r="Q161" t="s">
        <v>92</v>
      </c>
      <c r="U161" t="s">
        <v>82</v>
      </c>
      <c r="V161" t="s">
        <v>789</v>
      </c>
      <c r="W161" s="1">
        <v>46132.309305555558</v>
      </c>
      <c r="X161" t="s">
        <v>226</v>
      </c>
      <c r="Y161" s="1">
        <v>46132.309305555558</v>
      </c>
    </row>
    <row r="162" spans="1:25" x14ac:dyDescent="0.3">
      <c r="A162" t="s">
        <v>832</v>
      </c>
      <c r="B162" t="s">
        <v>833</v>
      </c>
      <c r="C162" t="s">
        <v>834</v>
      </c>
      <c r="D162" t="s">
        <v>15</v>
      </c>
      <c r="F162" s="16" t="s">
        <v>776</v>
      </c>
      <c r="G162" s="17" t="s">
        <v>835</v>
      </c>
      <c r="H162" s="16" t="s">
        <v>835</v>
      </c>
      <c r="I162" t="s">
        <v>95</v>
      </c>
      <c r="J162" t="s">
        <v>74</v>
      </c>
      <c r="K162">
        <v>1138</v>
      </c>
      <c r="M162" t="s">
        <v>62</v>
      </c>
      <c r="N162" t="s">
        <v>685</v>
      </c>
      <c r="O162" t="s">
        <v>778</v>
      </c>
      <c r="Q162" t="s">
        <v>92</v>
      </c>
      <c r="U162" t="s">
        <v>82</v>
      </c>
      <c r="V162" t="s">
        <v>789</v>
      </c>
      <c r="W162" s="1">
        <v>46132.309305555558</v>
      </c>
      <c r="X162" t="s">
        <v>226</v>
      </c>
      <c r="Y162" s="1">
        <v>46132.309305555558</v>
      </c>
    </row>
    <row r="163" spans="1:25" x14ac:dyDescent="0.3">
      <c r="A163" t="s">
        <v>836</v>
      </c>
      <c r="B163" t="s">
        <v>833</v>
      </c>
      <c r="C163" t="s">
        <v>834</v>
      </c>
      <c r="D163" t="s">
        <v>15</v>
      </c>
      <c r="F163" s="16" t="s">
        <v>776</v>
      </c>
      <c r="G163" s="17" t="s">
        <v>837</v>
      </c>
      <c r="H163" s="16" t="s">
        <v>837</v>
      </c>
      <c r="I163" t="s">
        <v>95</v>
      </c>
      <c r="J163" t="s">
        <v>74</v>
      </c>
      <c r="K163">
        <v>1790</v>
      </c>
      <c r="M163" t="s">
        <v>62</v>
      </c>
      <c r="N163" t="s">
        <v>685</v>
      </c>
      <c r="O163" t="s">
        <v>778</v>
      </c>
      <c r="Q163" t="s">
        <v>92</v>
      </c>
      <c r="U163" t="s">
        <v>82</v>
      </c>
      <c r="V163" t="s">
        <v>273</v>
      </c>
      <c r="W163" s="1">
        <v>46132.309305555558</v>
      </c>
      <c r="X163" t="s">
        <v>226</v>
      </c>
      <c r="Y163" s="1">
        <v>46132.309305555558</v>
      </c>
    </row>
    <row r="164" spans="1:25" x14ac:dyDescent="0.3">
      <c r="A164" t="s">
        <v>838</v>
      </c>
      <c r="B164" t="s">
        <v>747</v>
      </c>
      <c r="C164" t="s">
        <v>839</v>
      </c>
      <c r="D164" t="s">
        <v>15</v>
      </c>
      <c r="F164" s="16" t="s">
        <v>776</v>
      </c>
      <c r="G164" s="17" t="s">
        <v>840</v>
      </c>
      <c r="H164" s="16" t="s">
        <v>840</v>
      </c>
      <c r="I164" t="s">
        <v>95</v>
      </c>
      <c r="J164" t="s">
        <v>74</v>
      </c>
      <c r="K164">
        <v>618</v>
      </c>
      <c r="M164" t="s">
        <v>62</v>
      </c>
      <c r="N164" t="s">
        <v>685</v>
      </c>
      <c r="O164" t="s">
        <v>778</v>
      </c>
      <c r="Q164" t="s">
        <v>92</v>
      </c>
      <c r="U164" t="s">
        <v>82</v>
      </c>
      <c r="V164" t="s">
        <v>789</v>
      </c>
      <c r="W164" s="1">
        <v>46132.309305555558</v>
      </c>
      <c r="X164" t="s">
        <v>226</v>
      </c>
      <c r="Y164" s="1">
        <v>46132.309305555558</v>
      </c>
    </row>
    <row r="165" spans="1:25" x14ac:dyDescent="0.3">
      <c r="A165" t="s">
        <v>841</v>
      </c>
      <c r="B165" t="s">
        <v>842</v>
      </c>
      <c r="C165" t="s">
        <v>843</v>
      </c>
      <c r="D165" t="s">
        <v>15</v>
      </c>
      <c r="F165" s="16" t="s">
        <v>776</v>
      </c>
      <c r="G165" s="17" t="s">
        <v>844</v>
      </c>
      <c r="H165" s="16" t="s">
        <v>844</v>
      </c>
      <c r="I165" t="s">
        <v>95</v>
      </c>
      <c r="J165" t="s">
        <v>74</v>
      </c>
      <c r="K165">
        <v>2360</v>
      </c>
      <c r="M165" t="s">
        <v>62</v>
      </c>
      <c r="N165" t="s">
        <v>685</v>
      </c>
      <c r="O165" t="s">
        <v>778</v>
      </c>
      <c r="Q165" t="s">
        <v>92</v>
      </c>
      <c r="U165" t="s">
        <v>82</v>
      </c>
      <c r="V165" t="s">
        <v>845</v>
      </c>
      <c r="W165" s="1">
        <v>46132.309305555558</v>
      </c>
      <c r="X165" t="s">
        <v>226</v>
      </c>
      <c r="Y165" s="1">
        <v>46132.309305555558</v>
      </c>
    </row>
    <row r="166" spans="1:25" x14ac:dyDescent="0.3">
      <c r="A166" t="s">
        <v>846</v>
      </c>
      <c r="B166" t="s">
        <v>842</v>
      </c>
      <c r="C166" t="s">
        <v>843</v>
      </c>
      <c r="D166" t="s">
        <v>15</v>
      </c>
      <c r="F166" s="16" t="s">
        <v>776</v>
      </c>
      <c r="G166" s="17" t="s">
        <v>847</v>
      </c>
      <c r="H166" s="16" t="s">
        <v>847</v>
      </c>
      <c r="I166" t="s">
        <v>95</v>
      </c>
      <c r="J166" t="s">
        <v>74</v>
      </c>
      <c r="K166">
        <v>2360</v>
      </c>
      <c r="M166" t="s">
        <v>62</v>
      </c>
      <c r="N166" t="s">
        <v>685</v>
      </c>
      <c r="O166" t="s">
        <v>778</v>
      </c>
      <c r="Q166" t="s">
        <v>92</v>
      </c>
      <c r="U166" t="s">
        <v>82</v>
      </c>
      <c r="V166" t="s">
        <v>273</v>
      </c>
      <c r="W166" s="1">
        <v>46132.309305555558</v>
      </c>
      <c r="X166" t="s">
        <v>226</v>
      </c>
      <c r="Y166" s="1">
        <v>46132.309305555558</v>
      </c>
    </row>
    <row r="167" spans="1:25" x14ac:dyDescent="0.3">
      <c r="A167" t="s">
        <v>848</v>
      </c>
      <c r="B167" t="s">
        <v>842</v>
      </c>
      <c r="C167" t="s">
        <v>843</v>
      </c>
      <c r="D167" t="s">
        <v>15</v>
      </c>
      <c r="F167" s="16" t="s">
        <v>776</v>
      </c>
      <c r="G167" s="17" t="s">
        <v>849</v>
      </c>
      <c r="H167" s="16" t="s">
        <v>849</v>
      </c>
      <c r="I167" t="s">
        <v>95</v>
      </c>
      <c r="J167" t="s">
        <v>74</v>
      </c>
      <c r="K167">
        <v>932</v>
      </c>
      <c r="M167" t="s">
        <v>62</v>
      </c>
      <c r="N167" t="s">
        <v>685</v>
      </c>
      <c r="O167" t="s">
        <v>778</v>
      </c>
      <c r="Q167" t="s">
        <v>92</v>
      </c>
      <c r="U167" t="s">
        <v>82</v>
      </c>
      <c r="V167" t="s">
        <v>850</v>
      </c>
      <c r="W167" s="1">
        <v>46132.309305555558</v>
      </c>
      <c r="X167" t="s">
        <v>226</v>
      </c>
      <c r="Y167" s="1">
        <v>46132.309305555558</v>
      </c>
    </row>
    <row r="168" spans="1:25" x14ac:dyDescent="0.3">
      <c r="A168" t="s">
        <v>851</v>
      </c>
      <c r="B168" t="s">
        <v>852</v>
      </c>
      <c r="D168" t="s">
        <v>15</v>
      </c>
      <c r="F168" s="16" t="s">
        <v>853</v>
      </c>
      <c r="G168" s="17" t="s">
        <v>854</v>
      </c>
      <c r="H168" s="16">
        <v>40051</v>
      </c>
      <c r="I168" t="s">
        <v>94</v>
      </c>
      <c r="J168" t="s">
        <v>74</v>
      </c>
      <c r="M168" t="s">
        <v>62</v>
      </c>
      <c r="N168" t="s">
        <v>685</v>
      </c>
      <c r="Q168" t="s">
        <v>92</v>
      </c>
      <c r="U168" t="s">
        <v>82</v>
      </c>
      <c r="W168" s="1">
        <v>46132.309305555558</v>
      </c>
      <c r="X168" t="s">
        <v>226</v>
      </c>
      <c r="Y168" s="1">
        <v>46132.309305555558</v>
      </c>
    </row>
    <row r="169" spans="1:25" ht="28" x14ac:dyDescent="0.3">
      <c r="A169" t="s">
        <v>855</v>
      </c>
      <c r="B169" t="s">
        <v>856</v>
      </c>
      <c r="C169" t="s">
        <v>857</v>
      </c>
      <c r="D169" t="s">
        <v>15</v>
      </c>
      <c r="F169" s="16" t="s">
        <v>858</v>
      </c>
      <c r="G169" s="17" t="s">
        <v>859</v>
      </c>
      <c r="H169" s="16" t="s">
        <v>859</v>
      </c>
      <c r="I169" t="s">
        <v>95</v>
      </c>
      <c r="J169" t="s">
        <v>74</v>
      </c>
      <c r="M169" t="s">
        <v>62</v>
      </c>
      <c r="N169" t="s">
        <v>860</v>
      </c>
      <c r="Q169" t="s">
        <v>92</v>
      </c>
      <c r="U169" t="s">
        <v>82</v>
      </c>
      <c r="V169" t="s">
        <v>537</v>
      </c>
      <c r="W169" s="1">
        <v>46132.309305555558</v>
      </c>
      <c r="X169" t="s">
        <v>226</v>
      </c>
      <c r="Y169" s="1">
        <v>46132.309305555558</v>
      </c>
    </row>
    <row r="170" spans="1:25" ht="28" x14ac:dyDescent="0.3">
      <c r="A170" t="s">
        <v>861</v>
      </c>
      <c r="B170" t="s">
        <v>856</v>
      </c>
      <c r="C170" t="s">
        <v>862</v>
      </c>
      <c r="D170" t="s">
        <v>15</v>
      </c>
      <c r="F170" s="16" t="s">
        <v>858</v>
      </c>
      <c r="G170" s="17" t="s">
        <v>863</v>
      </c>
      <c r="H170" s="16" t="s">
        <v>864</v>
      </c>
      <c r="I170" t="s">
        <v>95</v>
      </c>
      <c r="J170" t="s">
        <v>74</v>
      </c>
      <c r="M170" t="s">
        <v>62</v>
      </c>
      <c r="N170" t="s">
        <v>860</v>
      </c>
      <c r="Q170" t="s">
        <v>92</v>
      </c>
      <c r="U170" t="s">
        <v>82</v>
      </c>
      <c r="V170" t="s">
        <v>537</v>
      </c>
      <c r="W170" s="1">
        <v>46132.309305555558</v>
      </c>
      <c r="X170" t="s">
        <v>226</v>
      </c>
      <c r="Y170" s="1">
        <v>46132.309305555558</v>
      </c>
    </row>
    <row r="171" spans="1:25" ht="28" x14ac:dyDescent="0.3">
      <c r="A171" t="s">
        <v>865</v>
      </c>
      <c r="B171" t="s">
        <v>856</v>
      </c>
      <c r="C171" t="s">
        <v>866</v>
      </c>
      <c r="D171" t="s">
        <v>15</v>
      </c>
      <c r="F171" s="16" t="s">
        <v>858</v>
      </c>
      <c r="G171" s="17" t="s">
        <v>867</v>
      </c>
      <c r="H171" s="16" t="s">
        <v>868</v>
      </c>
      <c r="I171" t="s">
        <v>95</v>
      </c>
      <c r="J171" t="s">
        <v>74</v>
      </c>
      <c r="M171" t="s">
        <v>62</v>
      </c>
      <c r="N171" t="s">
        <v>860</v>
      </c>
      <c r="Q171" t="s">
        <v>92</v>
      </c>
      <c r="U171" t="s">
        <v>82</v>
      </c>
      <c r="V171" t="s">
        <v>537</v>
      </c>
      <c r="W171" s="1">
        <v>46132.309305555558</v>
      </c>
      <c r="X171" t="s">
        <v>226</v>
      </c>
      <c r="Y171" s="1">
        <v>46132.309305555558</v>
      </c>
    </row>
    <row r="172" spans="1:25" ht="28" x14ac:dyDescent="0.3">
      <c r="A172" t="s">
        <v>869</v>
      </c>
      <c r="B172" t="s">
        <v>870</v>
      </c>
      <c r="C172" t="s">
        <v>9</v>
      </c>
      <c r="D172" t="s">
        <v>15</v>
      </c>
      <c r="F172" s="16" t="s">
        <v>23</v>
      </c>
      <c r="G172" s="17" t="s">
        <v>871</v>
      </c>
      <c r="H172" s="16" t="s">
        <v>872</v>
      </c>
      <c r="I172" t="s">
        <v>95</v>
      </c>
      <c r="J172" t="s">
        <v>74</v>
      </c>
      <c r="M172" t="s">
        <v>62</v>
      </c>
      <c r="N172" t="s">
        <v>271</v>
      </c>
      <c r="Q172" t="s">
        <v>92</v>
      </c>
      <c r="U172" t="s">
        <v>82</v>
      </c>
      <c r="V172" t="s">
        <v>273</v>
      </c>
      <c r="W172" s="1">
        <v>46132.309305555558</v>
      </c>
      <c r="X172" t="s">
        <v>226</v>
      </c>
      <c r="Y172" s="1">
        <v>46132.309305555558</v>
      </c>
    </row>
    <row r="173" spans="1:25" ht="84" x14ac:dyDescent="0.3">
      <c r="A173" t="s">
        <v>873</v>
      </c>
      <c r="B173" t="s">
        <v>874</v>
      </c>
      <c r="D173" t="s">
        <v>15</v>
      </c>
      <c r="F173" s="16" t="s">
        <v>23</v>
      </c>
      <c r="G173" s="17" t="s">
        <v>875</v>
      </c>
      <c r="H173" s="16" t="s">
        <v>876</v>
      </c>
      <c r="I173" t="s">
        <v>95</v>
      </c>
      <c r="J173" t="s">
        <v>74</v>
      </c>
      <c r="M173" t="s">
        <v>62</v>
      </c>
      <c r="N173" t="s">
        <v>271</v>
      </c>
      <c r="Q173" t="s">
        <v>92</v>
      </c>
      <c r="U173" t="s">
        <v>82</v>
      </c>
      <c r="V173" t="s">
        <v>273</v>
      </c>
      <c r="W173" s="1">
        <v>46132.309305555558</v>
      </c>
      <c r="X173" t="s">
        <v>226</v>
      </c>
      <c r="Y173" s="1">
        <v>46132.309305555558</v>
      </c>
    </row>
    <row r="174" spans="1:25" ht="28" x14ac:dyDescent="0.3">
      <c r="A174" t="s">
        <v>877</v>
      </c>
      <c r="B174" t="s">
        <v>878</v>
      </c>
      <c r="C174" t="s">
        <v>879</v>
      </c>
      <c r="D174" t="s">
        <v>15</v>
      </c>
      <c r="F174" s="16" t="s">
        <v>23</v>
      </c>
      <c r="G174" s="17" t="s">
        <v>880</v>
      </c>
      <c r="H174" s="16" t="s">
        <v>881</v>
      </c>
      <c r="I174" t="s">
        <v>95</v>
      </c>
      <c r="J174" t="s">
        <v>74</v>
      </c>
      <c r="M174" t="s">
        <v>62</v>
      </c>
      <c r="N174" t="s">
        <v>271</v>
      </c>
      <c r="Q174" t="s">
        <v>92</v>
      </c>
      <c r="U174" t="s">
        <v>82</v>
      </c>
      <c r="V174" t="s">
        <v>273</v>
      </c>
      <c r="W174" s="1">
        <v>46132.309305555558</v>
      </c>
      <c r="X174" t="s">
        <v>226</v>
      </c>
      <c r="Y174" s="1">
        <v>46132.309305555558</v>
      </c>
    </row>
    <row r="175" spans="1:25" ht="28" x14ac:dyDescent="0.3">
      <c r="A175" t="s">
        <v>882</v>
      </c>
      <c r="B175" t="s">
        <v>883</v>
      </c>
      <c r="C175" t="s">
        <v>884</v>
      </c>
      <c r="D175" t="s">
        <v>15</v>
      </c>
      <c r="F175" s="16" t="s">
        <v>23</v>
      </c>
      <c r="G175" s="17" t="s">
        <v>885</v>
      </c>
      <c r="H175" s="16" t="s">
        <v>886</v>
      </c>
      <c r="I175" t="s">
        <v>95</v>
      </c>
      <c r="J175" t="s">
        <v>74</v>
      </c>
      <c r="M175" t="s">
        <v>62</v>
      </c>
      <c r="N175" t="s">
        <v>271</v>
      </c>
      <c r="Q175" t="s">
        <v>92</v>
      </c>
      <c r="U175" t="s">
        <v>82</v>
      </c>
      <c r="V175" t="s">
        <v>273</v>
      </c>
      <c r="W175" s="1">
        <v>46132.309305555558</v>
      </c>
      <c r="X175" t="s">
        <v>226</v>
      </c>
      <c r="Y175" s="1">
        <v>46132.309305555558</v>
      </c>
    </row>
    <row r="176" spans="1:25" ht="28" x14ac:dyDescent="0.3">
      <c r="A176" t="s">
        <v>887</v>
      </c>
      <c r="B176" t="s">
        <v>888</v>
      </c>
      <c r="D176" t="s">
        <v>15</v>
      </c>
      <c r="F176" s="16" t="s">
        <v>889</v>
      </c>
      <c r="G176" s="17" t="s">
        <v>890</v>
      </c>
      <c r="H176" s="16" t="s">
        <v>891</v>
      </c>
      <c r="I176" t="s">
        <v>94</v>
      </c>
      <c r="J176" t="s">
        <v>74</v>
      </c>
      <c r="M176" t="s">
        <v>62</v>
      </c>
      <c r="Q176" t="s">
        <v>92</v>
      </c>
      <c r="U176" t="s">
        <v>82</v>
      </c>
      <c r="W176" s="1">
        <v>46132.309305555558</v>
      </c>
      <c r="X176" t="s">
        <v>226</v>
      </c>
      <c r="Y176" s="1">
        <v>46132.309305555558</v>
      </c>
    </row>
    <row r="177" spans="1:25" x14ac:dyDescent="0.3">
      <c r="A177" t="s">
        <v>892</v>
      </c>
      <c r="B177" t="s">
        <v>893</v>
      </c>
      <c r="C177" t="s">
        <v>894</v>
      </c>
      <c r="D177" t="s">
        <v>15</v>
      </c>
      <c r="F177" s="16" t="s">
        <v>716</v>
      </c>
      <c r="G177" s="17" t="s">
        <v>895</v>
      </c>
      <c r="H177" s="16" t="s">
        <v>895</v>
      </c>
      <c r="I177" t="s">
        <v>94</v>
      </c>
      <c r="J177" t="s">
        <v>74</v>
      </c>
      <c r="K177">
        <v>4800</v>
      </c>
      <c r="M177" t="s">
        <v>62</v>
      </c>
      <c r="N177" t="s">
        <v>718</v>
      </c>
      <c r="O177" t="s">
        <v>719</v>
      </c>
      <c r="Q177" t="s">
        <v>92</v>
      </c>
      <c r="U177" t="s">
        <v>82</v>
      </c>
      <c r="W177" s="1">
        <v>46132.309305555558</v>
      </c>
      <c r="X177" t="s">
        <v>226</v>
      </c>
      <c r="Y177" s="1">
        <v>46132.309305555558</v>
      </c>
    </row>
    <row r="178" spans="1:25" x14ac:dyDescent="0.3">
      <c r="A178" t="s">
        <v>896</v>
      </c>
      <c r="B178" t="s">
        <v>585</v>
      </c>
      <c r="D178" t="s">
        <v>15</v>
      </c>
      <c r="F178" s="16" t="s">
        <v>897</v>
      </c>
      <c r="G178" s="17" t="s">
        <v>898</v>
      </c>
      <c r="H178" s="16" t="s">
        <v>621</v>
      </c>
      <c r="I178" t="s">
        <v>94</v>
      </c>
      <c r="J178" t="s">
        <v>74</v>
      </c>
      <c r="M178" t="s">
        <v>62</v>
      </c>
      <c r="Q178" t="s">
        <v>92</v>
      </c>
      <c r="U178" t="s">
        <v>82</v>
      </c>
      <c r="W178" s="1">
        <v>46132.309305555558</v>
      </c>
      <c r="X178" t="s">
        <v>226</v>
      </c>
      <c r="Y178" s="1">
        <v>46132.309305555558</v>
      </c>
    </row>
    <row r="179" spans="1:25" x14ac:dyDescent="0.3">
      <c r="A179" t="s">
        <v>899</v>
      </c>
      <c r="B179" t="s">
        <v>900</v>
      </c>
      <c r="D179" t="s">
        <v>15</v>
      </c>
      <c r="F179" s="16" t="s">
        <v>44</v>
      </c>
      <c r="G179" s="17" t="s">
        <v>901</v>
      </c>
      <c r="H179" s="16"/>
      <c r="I179" t="s">
        <v>94</v>
      </c>
      <c r="J179" t="s">
        <v>74</v>
      </c>
      <c r="M179" t="s">
        <v>62</v>
      </c>
      <c r="Q179" t="s">
        <v>92</v>
      </c>
      <c r="U179" t="s">
        <v>82</v>
      </c>
      <c r="W179" s="1">
        <v>46132.309305555558</v>
      </c>
      <c r="X179" t="s">
        <v>226</v>
      </c>
      <c r="Y179" s="1">
        <v>46132.309305555558</v>
      </c>
    </row>
    <row r="180" spans="1:25" ht="28" x14ac:dyDescent="0.3">
      <c r="A180" t="s">
        <v>902</v>
      </c>
      <c r="B180" t="s">
        <v>903</v>
      </c>
      <c r="C180" t="s">
        <v>904</v>
      </c>
      <c r="D180" t="s">
        <v>15</v>
      </c>
      <c r="F180" s="16" t="s">
        <v>905</v>
      </c>
      <c r="G180" s="17" t="s">
        <v>906</v>
      </c>
      <c r="H180" s="16">
        <v>58080204</v>
      </c>
      <c r="I180" t="s">
        <v>94</v>
      </c>
      <c r="J180" t="s">
        <v>74</v>
      </c>
      <c r="K180">
        <v>1800</v>
      </c>
      <c r="M180" t="s">
        <v>62</v>
      </c>
      <c r="N180" t="s">
        <v>238</v>
      </c>
      <c r="Q180" t="s">
        <v>92</v>
      </c>
      <c r="U180" t="s">
        <v>82</v>
      </c>
      <c r="W180" s="1">
        <v>46132.309305555558</v>
      </c>
      <c r="X180" t="s">
        <v>226</v>
      </c>
      <c r="Y180" s="1">
        <v>46132.309305555558</v>
      </c>
    </row>
    <row r="181" spans="1:25" x14ac:dyDescent="0.3">
      <c r="A181" t="s">
        <v>907</v>
      </c>
      <c r="B181" t="s">
        <v>903</v>
      </c>
      <c r="D181" t="s">
        <v>15</v>
      </c>
      <c r="F181" s="16" t="s">
        <v>905</v>
      </c>
      <c r="G181" s="17" t="s">
        <v>908</v>
      </c>
      <c r="H181" s="16">
        <v>58080203</v>
      </c>
      <c r="I181" t="s">
        <v>94</v>
      </c>
      <c r="J181" t="s">
        <v>74</v>
      </c>
      <c r="K181">
        <v>1800</v>
      </c>
      <c r="M181" t="s">
        <v>62</v>
      </c>
      <c r="N181" t="s">
        <v>238</v>
      </c>
      <c r="Q181" t="s">
        <v>92</v>
      </c>
      <c r="U181" t="s">
        <v>82</v>
      </c>
      <c r="W181" s="1">
        <v>46132.309305555558</v>
      </c>
      <c r="X181" t="s">
        <v>226</v>
      </c>
      <c r="Y181" s="1">
        <v>46132.309305555558</v>
      </c>
    </row>
    <row r="182" spans="1:25" x14ac:dyDescent="0.3">
      <c r="A182" t="s">
        <v>909</v>
      </c>
      <c r="B182" t="s">
        <v>903</v>
      </c>
      <c r="C182" t="s">
        <v>904</v>
      </c>
      <c r="D182" t="s">
        <v>15</v>
      </c>
      <c r="F182" s="16" t="s">
        <v>905</v>
      </c>
      <c r="G182" s="17" t="s">
        <v>910</v>
      </c>
      <c r="H182" s="16">
        <v>58080205</v>
      </c>
      <c r="I182" t="s">
        <v>94</v>
      </c>
      <c r="J182" t="s">
        <v>74</v>
      </c>
      <c r="K182">
        <v>1800</v>
      </c>
      <c r="M182" t="s">
        <v>62</v>
      </c>
      <c r="N182" t="s">
        <v>238</v>
      </c>
      <c r="Q182" t="s">
        <v>92</v>
      </c>
      <c r="U182" t="s">
        <v>82</v>
      </c>
      <c r="W182" s="1">
        <v>46132.309305555558</v>
      </c>
      <c r="X182" t="s">
        <v>226</v>
      </c>
      <c r="Y182" s="1">
        <v>46132.309305555558</v>
      </c>
    </row>
    <row r="183" spans="1:25" x14ac:dyDescent="0.3">
      <c r="A183" t="s">
        <v>911</v>
      </c>
      <c r="B183" t="s">
        <v>900</v>
      </c>
      <c r="D183" t="s">
        <v>15</v>
      </c>
      <c r="F183" s="16" t="s">
        <v>44</v>
      </c>
      <c r="G183" s="17" t="s">
        <v>912</v>
      </c>
      <c r="H183" s="16">
        <v>181094</v>
      </c>
      <c r="I183" t="s">
        <v>94</v>
      </c>
      <c r="J183" t="s">
        <v>74</v>
      </c>
      <c r="M183" t="s">
        <v>62</v>
      </c>
      <c r="Q183" t="s">
        <v>92</v>
      </c>
      <c r="U183" t="s">
        <v>82</v>
      </c>
      <c r="W183" s="1">
        <v>46132.309305555558</v>
      </c>
      <c r="X183" t="s">
        <v>226</v>
      </c>
      <c r="Y183" s="1">
        <v>46132.309305555558</v>
      </c>
    </row>
    <row r="184" spans="1:25" x14ac:dyDescent="0.3">
      <c r="A184" t="s">
        <v>913</v>
      </c>
      <c r="B184" t="s">
        <v>405</v>
      </c>
      <c r="D184" t="s">
        <v>15</v>
      </c>
      <c r="F184" s="16" t="s">
        <v>49</v>
      </c>
      <c r="G184" s="17" t="s">
        <v>914</v>
      </c>
      <c r="H184" s="16">
        <v>6021124</v>
      </c>
      <c r="I184" t="s">
        <v>94</v>
      </c>
      <c r="J184" t="s">
        <v>74</v>
      </c>
      <c r="M184" t="s">
        <v>62</v>
      </c>
      <c r="N184" t="s">
        <v>411</v>
      </c>
      <c r="Q184" t="s">
        <v>92</v>
      </c>
      <c r="U184" t="s">
        <v>82</v>
      </c>
      <c r="V184" t="s">
        <v>915</v>
      </c>
      <c r="W184" s="1">
        <v>46132.309305555558</v>
      </c>
      <c r="X184" t="s">
        <v>226</v>
      </c>
      <c r="Y184" s="1">
        <v>46132.309305555558</v>
      </c>
    </row>
    <row r="185" spans="1:25" x14ac:dyDescent="0.3">
      <c r="A185" t="s">
        <v>916</v>
      </c>
      <c r="B185" t="s">
        <v>917</v>
      </c>
      <c r="D185" t="s">
        <v>15</v>
      </c>
      <c r="F185" s="16" t="s">
        <v>918</v>
      </c>
      <c r="G185" s="17" t="s">
        <v>919</v>
      </c>
      <c r="H185" s="16" t="s">
        <v>920</v>
      </c>
      <c r="I185" t="s">
        <v>94</v>
      </c>
      <c r="J185" t="s">
        <v>74</v>
      </c>
      <c r="M185" t="s">
        <v>62</v>
      </c>
      <c r="N185" t="s">
        <v>921</v>
      </c>
      <c r="Q185" t="s">
        <v>92</v>
      </c>
      <c r="U185" t="s">
        <v>82</v>
      </c>
      <c r="V185" t="s">
        <v>922</v>
      </c>
      <c r="W185" s="1">
        <v>46132.309305555558</v>
      </c>
      <c r="X185" t="s">
        <v>226</v>
      </c>
      <c r="Y185" s="1">
        <v>46132.309305555558</v>
      </c>
    </row>
    <row r="186" spans="1:25" ht="56" x14ac:dyDescent="0.3">
      <c r="A186" t="s">
        <v>923</v>
      </c>
      <c r="B186" t="s">
        <v>924</v>
      </c>
      <c r="C186" t="s">
        <v>925</v>
      </c>
      <c r="D186" t="s">
        <v>15</v>
      </c>
      <c r="F186" s="16" t="s">
        <v>926</v>
      </c>
      <c r="G186" s="17" t="s">
        <v>927</v>
      </c>
      <c r="H186" s="16">
        <v>58031014</v>
      </c>
      <c r="I186" t="s">
        <v>94</v>
      </c>
      <c r="J186" t="s">
        <v>74</v>
      </c>
      <c r="K186">
        <v>4200</v>
      </c>
      <c r="M186" t="s">
        <v>62</v>
      </c>
      <c r="N186" t="s">
        <v>238</v>
      </c>
      <c r="Q186" t="s">
        <v>92</v>
      </c>
      <c r="U186" t="s">
        <v>82</v>
      </c>
      <c r="W186" s="1">
        <v>46132.309305555558</v>
      </c>
      <c r="X186" t="s">
        <v>226</v>
      </c>
      <c r="Y186" s="1">
        <v>46132.309305555558</v>
      </c>
    </row>
    <row r="187" spans="1:25" ht="28" x14ac:dyDescent="0.3">
      <c r="A187" t="s">
        <v>928</v>
      </c>
      <c r="B187" t="s">
        <v>929</v>
      </c>
      <c r="C187" t="s">
        <v>522</v>
      </c>
      <c r="D187" t="s">
        <v>15</v>
      </c>
      <c r="F187" s="16" t="s">
        <v>296</v>
      </c>
      <c r="G187" s="17" t="s">
        <v>930</v>
      </c>
      <c r="H187" s="16" t="s">
        <v>931</v>
      </c>
      <c r="I187" t="s">
        <v>94</v>
      </c>
      <c r="J187" t="s">
        <v>74</v>
      </c>
      <c r="K187">
        <v>7000</v>
      </c>
      <c r="M187" t="s">
        <v>525</v>
      </c>
      <c r="N187" t="s">
        <v>299</v>
      </c>
      <c r="Q187" t="s">
        <v>92</v>
      </c>
      <c r="U187" t="s">
        <v>82</v>
      </c>
      <c r="V187" t="s">
        <v>273</v>
      </c>
      <c r="W187" s="1">
        <v>46132.309305555558</v>
      </c>
      <c r="X187" t="s">
        <v>226</v>
      </c>
      <c r="Y187" s="1">
        <v>46132.309305555558</v>
      </c>
    </row>
    <row r="188" spans="1:25" x14ac:dyDescent="0.3">
      <c r="A188" t="s">
        <v>932</v>
      </c>
      <c r="B188" t="s">
        <v>933</v>
      </c>
      <c r="D188" t="s">
        <v>15</v>
      </c>
      <c r="F188" s="16" t="s">
        <v>419</v>
      </c>
      <c r="G188" s="17" t="s">
        <v>934</v>
      </c>
      <c r="H188" s="16" t="s">
        <v>621</v>
      </c>
      <c r="I188" t="s">
        <v>94</v>
      </c>
      <c r="J188" t="s">
        <v>74</v>
      </c>
      <c r="M188" t="s">
        <v>62</v>
      </c>
      <c r="N188" t="s">
        <v>421</v>
      </c>
      <c r="Q188" t="s">
        <v>92</v>
      </c>
      <c r="U188" t="s">
        <v>82</v>
      </c>
      <c r="V188" t="s">
        <v>935</v>
      </c>
      <c r="W188" s="1">
        <v>46132.309305555558</v>
      </c>
      <c r="X188" t="s">
        <v>226</v>
      </c>
      <c r="Y188" s="1">
        <v>46132.309305555558</v>
      </c>
    </row>
    <row r="189" spans="1:25" x14ac:dyDescent="0.3">
      <c r="A189" t="s">
        <v>936</v>
      </c>
      <c r="B189" t="s">
        <v>937</v>
      </c>
      <c r="D189" t="s">
        <v>15</v>
      </c>
      <c r="F189" s="16" t="s">
        <v>419</v>
      </c>
      <c r="G189" s="17" t="s">
        <v>938</v>
      </c>
      <c r="H189" s="16" t="s">
        <v>621</v>
      </c>
      <c r="I189" t="s">
        <v>94</v>
      </c>
      <c r="J189" t="s">
        <v>74</v>
      </c>
      <c r="M189" t="s">
        <v>62</v>
      </c>
      <c r="N189" t="s">
        <v>421</v>
      </c>
      <c r="Q189" t="s">
        <v>92</v>
      </c>
      <c r="U189" t="s">
        <v>82</v>
      </c>
      <c r="V189" t="s">
        <v>935</v>
      </c>
      <c r="W189" s="1">
        <v>46132.309305555558</v>
      </c>
      <c r="X189" t="s">
        <v>226</v>
      </c>
      <c r="Y189" s="1">
        <v>46132.309305555558</v>
      </c>
    </row>
    <row r="190" spans="1:25" x14ac:dyDescent="0.3">
      <c r="A190" t="s">
        <v>939</v>
      </c>
      <c r="B190" t="s">
        <v>937</v>
      </c>
      <c r="D190" t="s">
        <v>15</v>
      </c>
      <c r="F190" s="16" t="s">
        <v>390</v>
      </c>
      <c r="G190" s="17" t="s">
        <v>940</v>
      </c>
      <c r="H190" s="16" t="s">
        <v>621</v>
      </c>
      <c r="I190" t="s">
        <v>94</v>
      </c>
      <c r="J190" t="s">
        <v>74</v>
      </c>
      <c r="M190" t="s">
        <v>62</v>
      </c>
      <c r="N190" t="s">
        <v>421</v>
      </c>
      <c r="Q190" t="s">
        <v>92</v>
      </c>
      <c r="U190" t="s">
        <v>82</v>
      </c>
      <c r="V190" t="s">
        <v>935</v>
      </c>
      <c r="W190" s="1">
        <v>46132.309305555558</v>
      </c>
      <c r="X190" t="s">
        <v>226</v>
      </c>
      <c r="Y190" s="1">
        <v>46132.309305555558</v>
      </c>
    </row>
    <row r="191" spans="1:25" ht="28" x14ac:dyDescent="0.3">
      <c r="A191" t="s">
        <v>941</v>
      </c>
      <c r="B191" t="s">
        <v>942</v>
      </c>
      <c r="D191" t="s">
        <v>15</v>
      </c>
      <c r="F191" s="16" t="s">
        <v>943</v>
      </c>
      <c r="G191" s="17" t="s">
        <v>944</v>
      </c>
      <c r="H191" s="16"/>
      <c r="I191" t="s">
        <v>94</v>
      </c>
      <c r="J191" t="s">
        <v>74</v>
      </c>
      <c r="N191" t="s">
        <v>945</v>
      </c>
      <c r="Q191" t="s">
        <v>92</v>
      </c>
      <c r="U191" t="s">
        <v>82</v>
      </c>
      <c r="V191" t="s">
        <v>946</v>
      </c>
      <c r="W191" s="1">
        <v>46132.309305555558</v>
      </c>
      <c r="X191" t="s">
        <v>226</v>
      </c>
      <c r="Y191" s="1">
        <v>46132.309305555558</v>
      </c>
    </row>
    <row r="192" spans="1:25" x14ac:dyDescent="0.3">
      <c r="A192" t="s">
        <v>947</v>
      </c>
      <c r="B192" t="s">
        <v>842</v>
      </c>
      <c r="C192" t="s">
        <v>843</v>
      </c>
      <c r="D192" t="s">
        <v>15</v>
      </c>
      <c r="F192" s="16" t="s">
        <v>776</v>
      </c>
      <c r="G192" s="17" t="s">
        <v>948</v>
      </c>
      <c r="H192" s="16" t="s">
        <v>849</v>
      </c>
      <c r="I192" t="s">
        <v>95</v>
      </c>
      <c r="J192" t="s">
        <v>74</v>
      </c>
      <c r="K192">
        <v>932</v>
      </c>
      <c r="M192" t="s">
        <v>62</v>
      </c>
      <c r="N192" t="s">
        <v>685</v>
      </c>
      <c r="O192" t="s">
        <v>778</v>
      </c>
      <c r="Q192" t="s">
        <v>92</v>
      </c>
      <c r="U192" t="s">
        <v>82</v>
      </c>
      <c r="V192" t="s">
        <v>850</v>
      </c>
      <c r="W192" s="1">
        <v>46132.309305555558</v>
      </c>
      <c r="X192" t="s">
        <v>226</v>
      </c>
      <c r="Y192" s="1">
        <v>46132.309305555558</v>
      </c>
    </row>
    <row r="193" spans="1:25" x14ac:dyDescent="0.3">
      <c r="A193" t="s">
        <v>949</v>
      </c>
      <c r="B193" t="s">
        <v>807</v>
      </c>
      <c r="C193" t="s">
        <v>699</v>
      </c>
      <c r="D193" t="s">
        <v>15</v>
      </c>
      <c r="F193" s="16" t="s">
        <v>776</v>
      </c>
      <c r="G193" s="17" t="s">
        <v>950</v>
      </c>
      <c r="H193" s="16" t="s">
        <v>950</v>
      </c>
      <c r="I193" t="s">
        <v>95</v>
      </c>
      <c r="J193" t="s">
        <v>74</v>
      </c>
      <c r="K193">
        <v>1087</v>
      </c>
      <c r="M193" t="s">
        <v>62</v>
      </c>
      <c r="N193" t="s">
        <v>685</v>
      </c>
      <c r="O193" t="s">
        <v>778</v>
      </c>
      <c r="Q193" t="s">
        <v>92</v>
      </c>
      <c r="U193" t="s">
        <v>82</v>
      </c>
      <c r="V193" t="s">
        <v>273</v>
      </c>
      <c r="W193" s="1">
        <v>46132.309305555558</v>
      </c>
      <c r="X193" t="s">
        <v>226</v>
      </c>
      <c r="Y193" s="1">
        <v>46132.309305555558</v>
      </c>
    </row>
    <row r="194" spans="1:25" ht="28" x14ac:dyDescent="0.3">
      <c r="A194" t="s">
        <v>951</v>
      </c>
      <c r="B194" t="s">
        <v>952</v>
      </c>
      <c r="C194" t="s">
        <v>699</v>
      </c>
      <c r="D194" t="s">
        <v>15</v>
      </c>
      <c r="F194" s="16" t="s">
        <v>671</v>
      </c>
      <c r="G194" s="17" t="s">
        <v>953</v>
      </c>
      <c r="H194" s="16" t="s">
        <v>709</v>
      </c>
      <c r="I194" t="s">
        <v>95</v>
      </c>
      <c r="J194" t="s">
        <v>74</v>
      </c>
      <c r="M194" t="s">
        <v>62</v>
      </c>
      <c r="N194" t="s">
        <v>674</v>
      </c>
      <c r="O194" t="s">
        <v>34</v>
      </c>
      <c r="Q194" t="s">
        <v>92</v>
      </c>
      <c r="U194" t="s">
        <v>82</v>
      </c>
      <c r="V194" t="s">
        <v>954</v>
      </c>
      <c r="W194" s="1">
        <v>46132.309305555558</v>
      </c>
      <c r="X194" t="s">
        <v>226</v>
      </c>
      <c r="Y194" s="1">
        <v>46132.309305555558</v>
      </c>
    </row>
    <row r="195" spans="1:25" ht="28" x14ac:dyDescent="0.3">
      <c r="A195" t="s">
        <v>955</v>
      </c>
      <c r="B195" t="s">
        <v>956</v>
      </c>
      <c r="C195" t="s">
        <v>699</v>
      </c>
      <c r="D195" t="s">
        <v>15</v>
      </c>
      <c r="F195" s="16" t="s">
        <v>671</v>
      </c>
      <c r="G195" s="17" t="s">
        <v>957</v>
      </c>
      <c r="H195" s="16" t="s">
        <v>958</v>
      </c>
      <c r="I195" t="s">
        <v>95</v>
      </c>
      <c r="J195" t="s">
        <v>74</v>
      </c>
      <c r="K195">
        <v>2948</v>
      </c>
      <c r="M195" t="s">
        <v>62</v>
      </c>
      <c r="N195" t="s">
        <v>674</v>
      </c>
      <c r="O195" t="s">
        <v>34</v>
      </c>
      <c r="Q195" t="s">
        <v>92</v>
      </c>
      <c r="U195" t="s">
        <v>82</v>
      </c>
      <c r="V195" t="s">
        <v>959</v>
      </c>
      <c r="W195" s="1">
        <v>46132.309305555558</v>
      </c>
      <c r="X195" t="s">
        <v>226</v>
      </c>
      <c r="Y195" s="1">
        <v>46132.309305555558</v>
      </c>
    </row>
    <row r="196" spans="1:25" x14ac:dyDescent="0.3">
      <c r="A196" t="s">
        <v>960</v>
      </c>
      <c r="B196" t="s">
        <v>961</v>
      </c>
      <c r="C196" t="s">
        <v>699</v>
      </c>
      <c r="D196" t="s">
        <v>15</v>
      </c>
      <c r="F196" s="16" t="s">
        <v>671</v>
      </c>
      <c r="G196" s="17" t="s">
        <v>962</v>
      </c>
      <c r="H196" s="16" t="s">
        <v>963</v>
      </c>
      <c r="I196" t="s">
        <v>95</v>
      </c>
      <c r="J196" t="s">
        <v>74</v>
      </c>
      <c r="M196" t="s">
        <v>62</v>
      </c>
      <c r="N196" t="s">
        <v>674</v>
      </c>
      <c r="O196" t="s">
        <v>34</v>
      </c>
      <c r="Q196" t="s">
        <v>92</v>
      </c>
      <c r="U196" t="s">
        <v>82</v>
      </c>
      <c r="V196" t="s">
        <v>964</v>
      </c>
      <c r="W196" s="1">
        <v>46132.309305555558</v>
      </c>
      <c r="X196" t="s">
        <v>226</v>
      </c>
      <c r="Y196" s="1">
        <v>46132.309305555558</v>
      </c>
    </row>
    <row r="197" spans="1:25" x14ac:dyDescent="0.3">
      <c r="A197" t="s">
        <v>965</v>
      </c>
      <c r="B197" t="s">
        <v>966</v>
      </c>
      <c r="C197" t="s">
        <v>670</v>
      </c>
      <c r="D197" t="s">
        <v>15</v>
      </c>
      <c r="F197" s="16" t="s">
        <v>671</v>
      </c>
      <c r="G197" s="17" t="s">
        <v>967</v>
      </c>
      <c r="H197" s="16" t="s">
        <v>968</v>
      </c>
      <c r="I197" t="s">
        <v>95</v>
      </c>
      <c r="J197" t="s">
        <v>74</v>
      </c>
      <c r="M197" t="s">
        <v>62</v>
      </c>
      <c r="N197" t="s">
        <v>674</v>
      </c>
      <c r="O197" t="s">
        <v>34</v>
      </c>
      <c r="Q197" t="s">
        <v>92</v>
      </c>
      <c r="U197" t="s">
        <v>82</v>
      </c>
      <c r="V197" t="s">
        <v>273</v>
      </c>
      <c r="W197" s="1">
        <v>46132.309305555558</v>
      </c>
      <c r="X197" t="s">
        <v>226</v>
      </c>
      <c r="Y197" s="1">
        <v>46132.309305555558</v>
      </c>
    </row>
    <row r="198" spans="1:25" x14ac:dyDescent="0.3">
      <c r="A198" t="s">
        <v>969</v>
      </c>
      <c r="B198" t="s">
        <v>966</v>
      </c>
      <c r="C198" t="s">
        <v>670</v>
      </c>
      <c r="D198" t="s">
        <v>15</v>
      </c>
      <c r="F198" s="16" t="s">
        <v>671</v>
      </c>
      <c r="G198" s="17" t="s">
        <v>970</v>
      </c>
      <c r="H198" s="16" t="s">
        <v>971</v>
      </c>
      <c r="I198" t="s">
        <v>95</v>
      </c>
      <c r="J198" t="s">
        <v>74</v>
      </c>
      <c r="M198" t="s">
        <v>62</v>
      </c>
      <c r="N198" t="s">
        <v>674</v>
      </c>
      <c r="O198" t="s">
        <v>34</v>
      </c>
      <c r="Q198" t="s">
        <v>92</v>
      </c>
      <c r="U198" t="s">
        <v>82</v>
      </c>
      <c r="V198" t="s">
        <v>273</v>
      </c>
      <c r="W198" s="1">
        <v>46132.309305555558</v>
      </c>
      <c r="X198" t="s">
        <v>226</v>
      </c>
      <c r="Y198" s="1">
        <v>46132.309305555558</v>
      </c>
    </row>
    <row r="199" spans="1:25" ht="28" x14ac:dyDescent="0.3">
      <c r="A199" t="s">
        <v>972</v>
      </c>
      <c r="B199" t="s">
        <v>973</v>
      </c>
      <c r="C199" t="s">
        <v>974</v>
      </c>
      <c r="D199" t="s">
        <v>15</v>
      </c>
      <c r="F199" s="16" t="s">
        <v>671</v>
      </c>
      <c r="G199" s="17" t="s">
        <v>975</v>
      </c>
      <c r="H199" s="16" t="s">
        <v>976</v>
      </c>
      <c r="I199" t="s">
        <v>95</v>
      </c>
      <c r="J199" t="s">
        <v>74</v>
      </c>
      <c r="M199" t="s">
        <v>62</v>
      </c>
      <c r="N199" t="s">
        <v>674</v>
      </c>
      <c r="O199" t="s">
        <v>34</v>
      </c>
      <c r="Q199" t="s">
        <v>92</v>
      </c>
      <c r="U199" t="s">
        <v>82</v>
      </c>
      <c r="V199" t="s">
        <v>273</v>
      </c>
      <c r="W199" s="1">
        <v>46132.309305555558</v>
      </c>
      <c r="X199" t="s">
        <v>226</v>
      </c>
      <c r="Y199" s="1">
        <v>46132.309305555558</v>
      </c>
    </row>
    <row r="200" spans="1:25" ht="28" x14ac:dyDescent="0.3">
      <c r="A200" t="s">
        <v>977</v>
      </c>
      <c r="B200" t="s">
        <v>978</v>
      </c>
      <c r="C200" t="s">
        <v>979</v>
      </c>
      <c r="D200" t="s">
        <v>15</v>
      </c>
      <c r="F200" s="16" t="s">
        <v>23</v>
      </c>
      <c r="G200" s="17" t="s">
        <v>980</v>
      </c>
      <c r="H200" s="16" t="s">
        <v>981</v>
      </c>
      <c r="I200" t="s">
        <v>95</v>
      </c>
      <c r="J200" t="s">
        <v>74</v>
      </c>
      <c r="M200" t="s">
        <v>62</v>
      </c>
      <c r="N200" t="s">
        <v>271</v>
      </c>
      <c r="Q200" t="s">
        <v>92</v>
      </c>
      <c r="U200" t="s">
        <v>82</v>
      </c>
      <c r="V200" t="s">
        <v>537</v>
      </c>
      <c r="W200" s="1">
        <v>46132.309305555558</v>
      </c>
      <c r="X200" t="s">
        <v>226</v>
      </c>
      <c r="Y200" s="1">
        <v>46132.309305555558</v>
      </c>
    </row>
    <row r="201" spans="1:25" x14ac:dyDescent="0.3">
      <c r="A201" t="s">
        <v>982</v>
      </c>
      <c r="B201" t="s">
        <v>983</v>
      </c>
      <c r="C201" t="s">
        <v>984</v>
      </c>
      <c r="D201" t="s">
        <v>15</v>
      </c>
      <c r="F201" s="16" t="s">
        <v>23</v>
      </c>
      <c r="G201" s="17" t="s">
        <v>985</v>
      </c>
      <c r="H201" s="16" t="s">
        <v>985</v>
      </c>
      <c r="I201" t="s">
        <v>94</v>
      </c>
      <c r="J201" t="s">
        <v>74</v>
      </c>
      <c r="K201">
        <v>800</v>
      </c>
      <c r="M201" t="s">
        <v>62</v>
      </c>
      <c r="N201" t="s">
        <v>271</v>
      </c>
      <c r="Q201" t="s">
        <v>92</v>
      </c>
      <c r="U201" t="s">
        <v>82</v>
      </c>
      <c r="V201" t="s">
        <v>273</v>
      </c>
      <c r="W201" s="1">
        <v>46132.309305555558</v>
      </c>
      <c r="X201" t="s">
        <v>226</v>
      </c>
      <c r="Y201" s="1">
        <v>46132.309305555558</v>
      </c>
    </row>
    <row r="202" spans="1:25" x14ac:dyDescent="0.3">
      <c r="A202" t="s">
        <v>986</v>
      </c>
      <c r="B202" t="s">
        <v>987</v>
      </c>
      <c r="C202" t="s">
        <v>988</v>
      </c>
      <c r="D202" t="s">
        <v>15</v>
      </c>
      <c r="F202" s="16" t="s">
        <v>23</v>
      </c>
      <c r="G202" s="17" t="s">
        <v>989</v>
      </c>
      <c r="H202" s="16" t="s">
        <v>989</v>
      </c>
      <c r="I202" t="s">
        <v>94</v>
      </c>
      <c r="J202" t="s">
        <v>74</v>
      </c>
      <c r="M202" t="s">
        <v>62</v>
      </c>
      <c r="N202" t="s">
        <v>271</v>
      </c>
      <c r="Q202" t="s">
        <v>92</v>
      </c>
      <c r="U202" t="s">
        <v>82</v>
      </c>
      <c r="V202" t="s">
        <v>273</v>
      </c>
      <c r="W202" s="1">
        <v>46132.309305555558</v>
      </c>
      <c r="X202" t="s">
        <v>226</v>
      </c>
      <c r="Y202" s="1">
        <v>46132.309305555558</v>
      </c>
    </row>
    <row r="203" spans="1:25" x14ac:dyDescent="0.3">
      <c r="A203" t="s">
        <v>990</v>
      </c>
      <c r="B203" t="s">
        <v>991</v>
      </c>
      <c r="C203" t="s">
        <v>992</v>
      </c>
      <c r="D203" t="s">
        <v>15</v>
      </c>
      <c r="F203" s="16" t="s">
        <v>23</v>
      </c>
      <c r="G203" s="17" t="s">
        <v>993</v>
      </c>
      <c r="H203" s="16" t="s">
        <v>993</v>
      </c>
      <c r="I203" t="s">
        <v>94</v>
      </c>
      <c r="J203" t="s">
        <v>74</v>
      </c>
      <c r="M203" t="s">
        <v>62</v>
      </c>
      <c r="N203" t="s">
        <v>271</v>
      </c>
      <c r="Q203" t="s">
        <v>92</v>
      </c>
      <c r="U203" t="s">
        <v>82</v>
      </c>
      <c r="V203" t="s">
        <v>273</v>
      </c>
      <c r="W203" s="1">
        <v>46132.309305555558</v>
      </c>
      <c r="X203" t="s">
        <v>226</v>
      </c>
      <c r="Y203" s="1">
        <v>46132.309305555558</v>
      </c>
    </row>
    <row r="204" spans="1:25" x14ac:dyDescent="0.3">
      <c r="A204" t="s">
        <v>994</v>
      </c>
      <c r="B204" t="s">
        <v>455</v>
      </c>
      <c r="C204" t="s">
        <v>995</v>
      </c>
      <c r="D204" t="s">
        <v>15</v>
      </c>
      <c r="F204" s="16" t="s">
        <v>23</v>
      </c>
      <c r="G204" s="17" t="s">
        <v>996</v>
      </c>
      <c r="H204" s="16" t="s">
        <v>996</v>
      </c>
      <c r="I204" t="s">
        <v>94</v>
      </c>
      <c r="J204" t="s">
        <v>74</v>
      </c>
      <c r="K204">
        <v>1300</v>
      </c>
      <c r="M204" t="s">
        <v>62</v>
      </c>
      <c r="N204" t="s">
        <v>271</v>
      </c>
      <c r="Q204" t="s">
        <v>92</v>
      </c>
      <c r="U204" t="s">
        <v>82</v>
      </c>
      <c r="V204" t="s">
        <v>273</v>
      </c>
      <c r="W204" s="1">
        <v>46132.309305555558</v>
      </c>
      <c r="X204" t="s">
        <v>226</v>
      </c>
      <c r="Y204" s="1">
        <v>46132.309305555558</v>
      </c>
    </row>
    <row r="205" spans="1:25" x14ac:dyDescent="0.3">
      <c r="A205" t="s">
        <v>997</v>
      </c>
      <c r="B205" t="s">
        <v>998</v>
      </c>
      <c r="C205" t="s">
        <v>999</v>
      </c>
      <c r="D205" t="s">
        <v>15</v>
      </c>
      <c r="F205" s="16" t="s">
        <v>1000</v>
      </c>
      <c r="G205" s="17" t="s">
        <v>1001</v>
      </c>
      <c r="H205" s="16"/>
      <c r="I205" t="s">
        <v>94</v>
      </c>
      <c r="J205" t="s">
        <v>74</v>
      </c>
      <c r="N205" t="s">
        <v>1002</v>
      </c>
      <c r="O205" t="s">
        <v>307</v>
      </c>
      <c r="Q205" t="s">
        <v>92</v>
      </c>
      <c r="U205" t="s">
        <v>82</v>
      </c>
      <c r="W205" s="1">
        <v>46132.309305555558</v>
      </c>
      <c r="X205" t="s">
        <v>226</v>
      </c>
      <c r="Y205" s="1">
        <v>46132.309305555558</v>
      </c>
    </row>
    <row r="206" spans="1:25" ht="28" x14ac:dyDescent="0.3">
      <c r="A206" t="s">
        <v>1003</v>
      </c>
      <c r="B206" t="s">
        <v>1004</v>
      </c>
      <c r="C206" t="s">
        <v>1005</v>
      </c>
      <c r="D206" t="s">
        <v>15</v>
      </c>
      <c r="F206" s="16" t="s">
        <v>296</v>
      </c>
      <c r="G206" s="17" t="s">
        <v>1006</v>
      </c>
      <c r="H206" s="16" t="s">
        <v>1007</v>
      </c>
      <c r="I206" t="s">
        <v>94</v>
      </c>
      <c r="J206" t="s">
        <v>74</v>
      </c>
      <c r="K206">
        <v>15000</v>
      </c>
      <c r="M206" t="s">
        <v>62</v>
      </c>
      <c r="N206" t="s">
        <v>299</v>
      </c>
      <c r="Q206" t="s">
        <v>92</v>
      </c>
      <c r="U206" t="s">
        <v>82</v>
      </c>
      <c r="V206" t="s">
        <v>273</v>
      </c>
      <c r="W206" s="1">
        <v>46132.309305555558</v>
      </c>
      <c r="X206" t="s">
        <v>226</v>
      </c>
      <c r="Y206" s="1">
        <v>46132.309305555558</v>
      </c>
    </row>
    <row r="207" spans="1:25" ht="28" x14ac:dyDescent="0.3">
      <c r="A207" t="s">
        <v>1008</v>
      </c>
      <c r="B207" t="s">
        <v>1009</v>
      </c>
      <c r="C207" t="s">
        <v>545</v>
      </c>
      <c r="D207" t="s">
        <v>15</v>
      </c>
      <c r="F207" s="16" t="s">
        <v>296</v>
      </c>
      <c r="G207" s="17" t="s">
        <v>1010</v>
      </c>
      <c r="H207" s="16" t="s">
        <v>1011</v>
      </c>
      <c r="I207" t="s">
        <v>94</v>
      </c>
      <c r="J207" t="s">
        <v>74</v>
      </c>
      <c r="K207">
        <v>10000</v>
      </c>
      <c r="M207" t="s">
        <v>62</v>
      </c>
      <c r="N207" t="s">
        <v>299</v>
      </c>
      <c r="Q207" t="s">
        <v>92</v>
      </c>
      <c r="U207" t="s">
        <v>82</v>
      </c>
      <c r="V207" t="s">
        <v>273</v>
      </c>
      <c r="W207" s="1">
        <v>46132.309305555558</v>
      </c>
      <c r="X207" t="s">
        <v>226</v>
      </c>
      <c r="Y207" s="1">
        <v>46132.309305555558</v>
      </c>
    </row>
    <row r="208" spans="1:25" x14ac:dyDescent="0.3">
      <c r="A208" t="s">
        <v>1012</v>
      </c>
      <c r="B208" t="s">
        <v>1013</v>
      </c>
      <c r="C208" t="s">
        <v>1014</v>
      </c>
      <c r="D208" t="s">
        <v>15</v>
      </c>
      <c r="F208" s="16" t="s">
        <v>296</v>
      </c>
      <c r="G208" s="17" t="s">
        <v>1015</v>
      </c>
      <c r="H208" s="16" t="s">
        <v>1016</v>
      </c>
      <c r="I208" t="s">
        <v>94</v>
      </c>
      <c r="J208" t="s">
        <v>74</v>
      </c>
      <c r="K208">
        <v>3000</v>
      </c>
      <c r="M208" t="s">
        <v>62</v>
      </c>
      <c r="N208" t="s">
        <v>299</v>
      </c>
      <c r="Q208" t="s">
        <v>92</v>
      </c>
      <c r="U208" t="s">
        <v>82</v>
      </c>
      <c r="V208" t="s">
        <v>273</v>
      </c>
      <c r="W208" s="1">
        <v>46132.309305555558</v>
      </c>
      <c r="X208" t="s">
        <v>226</v>
      </c>
      <c r="Y208" s="1">
        <v>46132.309305555558</v>
      </c>
    </row>
    <row r="209" spans="1:25" x14ac:dyDescent="0.3">
      <c r="A209" t="s">
        <v>1017</v>
      </c>
      <c r="B209" t="s">
        <v>1018</v>
      </c>
      <c r="C209" t="s">
        <v>1019</v>
      </c>
      <c r="D209" t="s">
        <v>15</v>
      </c>
      <c r="F209" s="16" t="s">
        <v>296</v>
      </c>
      <c r="G209" s="17" t="s">
        <v>1020</v>
      </c>
      <c r="H209" s="16">
        <v>71396245</v>
      </c>
      <c r="I209" t="s">
        <v>94</v>
      </c>
      <c r="J209" t="s">
        <v>74</v>
      </c>
      <c r="K209">
        <v>3500</v>
      </c>
      <c r="M209" t="s">
        <v>62</v>
      </c>
      <c r="N209" t="s">
        <v>299</v>
      </c>
      <c r="Q209" t="s">
        <v>92</v>
      </c>
      <c r="U209" t="s">
        <v>82</v>
      </c>
      <c r="V209" t="s">
        <v>273</v>
      </c>
      <c r="W209" s="1">
        <v>46132.309305555558</v>
      </c>
      <c r="X209" t="s">
        <v>226</v>
      </c>
      <c r="Y209" s="1">
        <v>46132.309305555558</v>
      </c>
    </row>
    <row r="210" spans="1:25" x14ac:dyDescent="0.3">
      <c r="A210" t="s">
        <v>1021</v>
      </c>
      <c r="B210" t="s">
        <v>1022</v>
      </c>
      <c r="C210" t="s">
        <v>1023</v>
      </c>
      <c r="D210" t="s">
        <v>15</v>
      </c>
      <c r="F210" s="16" t="s">
        <v>296</v>
      </c>
      <c r="G210" s="17" t="s">
        <v>1024</v>
      </c>
      <c r="H210" s="16">
        <v>71354114</v>
      </c>
      <c r="I210" t="s">
        <v>94</v>
      </c>
      <c r="J210" t="s">
        <v>74</v>
      </c>
      <c r="K210">
        <v>6500</v>
      </c>
      <c r="M210" t="s">
        <v>62</v>
      </c>
      <c r="N210" t="s">
        <v>299</v>
      </c>
      <c r="Q210" t="s">
        <v>92</v>
      </c>
      <c r="U210" t="s">
        <v>82</v>
      </c>
      <c r="V210" t="s">
        <v>273</v>
      </c>
      <c r="W210" s="1">
        <v>46132.309305555558</v>
      </c>
      <c r="X210" t="s">
        <v>226</v>
      </c>
      <c r="Y210" s="1">
        <v>46132.309305555558</v>
      </c>
    </row>
    <row r="211" spans="1:25" x14ac:dyDescent="0.3">
      <c r="A211" t="s">
        <v>1025</v>
      </c>
      <c r="B211" t="s">
        <v>1026</v>
      </c>
      <c r="C211" t="s">
        <v>1027</v>
      </c>
      <c r="D211" t="s">
        <v>15</v>
      </c>
      <c r="F211" s="16" t="s">
        <v>296</v>
      </c>
      <c r="G211" s="17" t="s">
        <v>1028</v>
      </c>
      <c r="H211" s="16" t="s">
        <v>1029</v>
      </c>
      <c r="I211" t="s">
        <v>94</v>
      </c>
      <c r="J211" t="s">
        <v>74</v>
      </c>
      <c r="K211">
        <v>7000</v>
      </c>
      <c r="M211" t="s">
        <v>62</v>
      </c>
      <c r="N211" t="s">
        <v>299</v>
      </c>
      <c r="Q211" t="s">
        <v>92</v>
      </c>
      <c r="U211" t="s">
        <v>82</v>
      </c>
      <c r="V211" t="s">
        <v>273</v>
      </c>
      <c r="W211" s="1">
        <v>46132.309305555558</v>
      </c>
      <c r="X211" t="s">
        <v>226</v>
      </c>
      <c r="Y211" s="1">
        <v>46132.309305555558</v>
      </c>
    </row>
    <row r="212" spans="1:25" x14ac:dyDescent="0.3">
      <c r="A212" t="s">
        <v>1030</v>
      </c>
      <c r="B212" t="s">
        <v>1031</v>
      </c>
      <c r="C212" t="s">
        <v>1032</v>
      </c>
      <c r="D212" t="s">
        <v>15</v>
      </c>
      <c r="F212" s="16" t="s">
        <v>296</v>
      </c>
      <c r="G212" s="17" t="s">
        <v>1033</v>
      </c>
      <c r="H212" s="16" t="s">
        <v>1034</v>
      </c>
      <c r="I212" t="s">
        <v>94</v>
      </c>
      <c r="J212" t="s">
        <v>74</v>
      </c>
      <c r="K212">
        <v>3000</v>
      </c>
      <c r="M212" t="s">
        <v>62</v>
      </c>
      <c r="N212" t="s">
        <v>299</v>
      </c>
      <c r="Q212" t="s">
        <v>92</v>
      </c>
      <c r="U212" t="s">
        <v>82</v>
      </c>
      <c r="V212" t="s">
        <v>273</v>
      </c>
      <c r="W212" s="1">
        <v>46132.309305555558</v>
      </c>
      <c r="X212" t="s">
        <v>226</v>
      </c>
      <c r="Y212" s="1">
        <v>46132.309305555558</v>
      </c>
    </row>
    <row r="213" spans="1:25" ht="28" x14ac:dyDescent="0.3">
      <c r="A213" t="s">
        <v>1035</v>
      </c>
      <c r="B213" t="s">
        <v>1036</v>
      </c>
      <c r="C213" t="s">
        <v>1037</v>
      </c>
      <c r="D213" t="s">
        <v>15</v>
      </c>
      <c r="F213" s="16" t="s">
        <v>296</v>
      </c>
      <c r="G213" s="17" t="s">
        <v>1038</v>
      </c>
      <c r="H213" s="16" t="s">
        <v>1039</v>
      </c>
      <c r="I213" t="s">
        <v>94</v>
      </c>
      <c r="J213" t="s">
        <v>74</v>
      </c>
      <c r="K213">
        <v>3000</v>
      </c>
      <c r="M213" t="s">
        <v>570</v>
      </c>
      <c r="N213" t="s">
        <v>299</v>
      </c>
      <c r="Q213" t="s">
        <v>92</v>
      </c>
      <c r="U213" t="s">
        <v>82</v>
      </c>
      <c r="V213" t="s">
        <v>273</v>
      </c>
      <c r="W213" s="1">
        <v>46132.309305555558</v>
      </c>
      <c r="X213" t="s">
        <v>226</v>
      </c>
      <c r="Y213" s="1">
        <v>46132.309305555558</v>
      </c>
    </row>
    <row r="214" spans="1:25" ht="28" x14ac:dyDescent="0.3">
      <c r="A214" t="s">
        <v>1040</v>
      </c>
      <c r="B214" t="s">
        <v>1041</v>
      </c>
      <c r="C214" t="s">
        <v>1032</v>
      </c>
      <c r="D214" t="s">
        <v>15</v>
      </c>
      <c r="F214" s="16" t="s">
        <v>296</v>
      </c>
      <c r="G214" s="17" t="s">
        <v>1042</v>
      </c>
      <c r="H214" s="16" t="s">
        <v>1043</v>
      </c>
      <c r="I214" t="s">
        <v>94</v>
      </c>
      <c r="J214" t="s">
        <v>74</v>
      </c>
      <c r="K214">
        <v>3000</v>
      </c>
      <c r="M214" t="s">
        <v>62</v>
      </c>
      <c r="N214" t="s">
        <v>299</v>
      </c>
      <c r="Q214" t="s">
        <v>92</v>
      </c>
      <c r="U214" t="s">
        <v>82</v>
      </c>
      <c r="V214" t="s">
        <v>273</v>
      </c>
      <c r="W214" s="1">
        <v>46132.309305555558</v>
      </c>
      <c r="X214" t="s">
        <v>226</v>
      </c>
      <c r="Y214" s="1">
        <v>46132.309305555558</v>
      </c>
    </row>
    <row r="215" spans="1:25" ht="28" x14ac:dyDescent="0.3">
      <c r="A215" t="s">
        <v>1044</v>
      </c>
      <c r="B215" t="s">
        <v>1045</v>
      </c>
      <c r="C215" t="s">
        <v>1032</v>
      </c>
      <c r="D215" t="s">
        <v>15</v>
      </c>
      <c r="F215" s="16" t="s">
        <v>296</v>
      </c>
      <c r="G215" s="17" t="s">
        <v>1046</v>
      </c>
      <c r="H215" s="16" t="s">
        <v>1046</v>
      </c>
      <c r="I215" t="s">
        <v>94</v>
      </c>
      <c r="J215" t="s">
        <v>74</v>
      </c>
      <c r="K215">
        <v>5000</v>
      </c>
      <c r="M215" t="s">
        <v>62</v>
      </c>
      <c r="N215" t="s">
        <v>299</v>
      </c>
      <c r="Q215" t="s">
        <v>92</v>
      </c>
      <c r="U215" t="s">
        <v>82</v>
      </c>
      <c r="V215" t="s">
        <v>273</v>
      </c>
      <c r="W215" s="1">
        <v>46132.309305555558</v>
      </c>
      <c r="X215" t="s">
        <v>226</v>
      </c>
      <c r="Y215" s="1">
        <v>46132.309305555558</v>
      </c>
    </row>
    <row r="216" spans="1:25" ht="42" x14ac:dyDescent="0.3">
      <c r="A216" t="s">
        <v>1047</v>
      </c>
      <c r="B216" t="s">
        <v>1048</v>
      </c>
      <c r="C216" t="s">
        <v>1027</v>
      </c>
      <c r="D216" t="s">
        <v>15</v>
      </c>
      <c r="F216" s="16" t="s">
        <v>296</v>
      </c>
      <c r="G216" s="17" t="s">
        <v>1049</v>
      </c>
      <c r="H216" s="16" t="s">
        <v>1050</v>
      </c>
      <c r="I216" t="s">
        <v>94</v>
      </c>
      <c r="J216" t="s">
        <v>74</v>
      </c>
      <c r="K216">
        <v>5800</v>
      </c>
      <c r="M216" t="s">
        <v>62</v>
      </c>
      <c r="N216" t="s">
        <v>299</v>
      </c>
      <c r="Q216" t="s">
        <v>92</v>
      </c>
      <c r="U216" t="s">
        <v>82</v>
      </c>
      <c r="V216" t="s">
        <v>273</v>
      </c>
      <c r="W216" s="1">
        <v>46132.309305555558</v>
      </c>
      <c r="X216" t="s">
        <v>226</v>
      </c>
      <c r="Y216" s="1">
        <v>46132.309305555558</v>
      </c>
    </row>
    <row r="217" spans="1:25" x14ac:dyDescent="0.3">
      <c r="A217" t="s">
        <v>1051</v>
      </c>
      <c r="B217" t="s">
        <v>1052</v>
      </c>
      <c r="C217" t="s">
        <v>1032</v>
      </c>
      <c r="D217" t="s">
        <v>15</v>
      </c>
      <c r="F217" s="16" t="s">
        <v>296</v>
      </c>
      <c r="G217" s="17" t="s">
        <v>1053</v>
      </c>
      <c r="H217" s="16" t="s">
        <v>1054</v>
      </c>
      <c r="I217" t="s">
        <v>94</v>
      </c>
      <c r="J217" t="s">
        <v>74</v>
      </c>
      <c r="K217">
        <v>5000</v>
      </c>
      <c r="M217" t="s">
        <v>62</v>
      </c>
      <c r="N217" t="s">
        <v>299</v>
      </c>
      <c r="Q217" t="s">
        <v>92</v>
      </c>
      <c r="U217" t="s">
        <v>82</v>
      </c>
      <c r="V217" t="s">
        <v>273</v>
      </c>
      <c r="W217" s="1">
        <v>46132.309305555558</v>
      </c>
      <c r="X217" t="s">
        <v>226</v>
      </c>
      <c r="Y217" s="1">
        <v>46132.309305555558</v>
      </c>
    </row>
    <row r="218" spans="1:25" x14ac:dyDescent="0.3">
      <c r="A218" t="s">
        <v>1055</v>
      </c>
      <c r="B218" t="s">
        <v>1056</v>
      </c>
      <c r="C218" t="s">
        <v>1057</v>
      </c>
      <c r="D218" t="s">
        <v>15</v>
      </c>
      <c r="F218" s="16" t="s">
        <v>296</v>
      </c>
      <c r="G218" s="17" t="s">
        <v>1058</v>
      </c>
      <c r="H218" s="16" t="s">
        <v>1059</v>
      </c>
      <c r="I218" t="s">
        <v>94</v>
      </c>
      <c r="J218" t="s">
        <v>74</v>
      </c>
      <c r="K218">
        <v>1000</v>
      </c>
      <c r="M218" t="s">
        <v>62</v>
      </c>
      <c r="N218" t="s">
        <v>299</v>
      </c>
      <c r="Q218" t="s">
        <v>92</v>
      </c>
      <c r="U218" t="s">
        <v>82</v>
      </c>
      <c r="V218" t="s">
        <v>273</v>
      </c>
      <c r="W218" s="1">
        <v>46132.309305555558</v>
      </c>
      <c r="X218" t="s">
        <v>226</v>
      </c>
      <c r="Y218" s="1">
        <v>46132.309305555558</v>
      </c>
    </row>
    <row r="219" spans="1:25" ht="28" x14ac:dyDescent="0.3">
      <c r="A219" t="s">
        <v>1060</v>
      </c>
      <c r="B219" t="s">
        <v>1061</v>
      </c>
      <c r="C219" t="s">
        <v>1062</v>
      </c>
      <c r="D219" t="s">
        <v>15</v>
      </c>
      <c r="F219" s="16" t="s">
        <v>296</v>
      </c>
      <c r="G219" s="17" t="s">
        <v>1063</v>
      </c>
      <c r="H219" s="16" t="s">
        <v>1064</v>
      </c>
      <c r="I219" t="s">
        <v>94</v>
      </c>
      <c r="J219" t="s">
        <v>74</v>
      </c>
      <c r="K219">
        <v>1000</v>
      </c>
      <c r="M219" t="s">
        <v>62</v>
      </c>
      <c r="N219" t="s">
        <v>299</v>
      </c>
      <c r="Q219" t="s">
        <v>92</v>
      </c>
      <c r="U219" t="s">
        <v>82</v>
      </c>
      <c r="V219" t="s">
        <v>273</v>
      </c>
      <c r="W219" s="1">
        <v>46132.309305555558</v>
      </c>
      <c r="X219" t="s">
        <v>226</v>
      </c>
      <c r="Y219" s="1">
        <v>46132.309305555558</v>
      </c>
    </row>
    <row r="220" spans="1:25" ht="42" x14ac:dyDescent="0.3">
      <c r="A220" t="s">
        <v>1065</v>
      </c>
      <c r="B220" t="s">
        <v>1066</v>
      </c>
      <c r="C220" t="s">
        <v>1067</v>
      </c>
      <c r="D220" t="s">
        <v>15</v>
      </c>
      <c r="F220" s="16" t="s">
        <v>296</v>
      </c>
      <c r="G220" s="17" t="s">
        <v>1068</v>
      </c>
      <c r="H220" s="16" t="s">
        <v>1069</v>
      </c>
      <c r="I220" t="s">
        <v>94</v>
      </c>
      <c r="J220" t="s">
        <v>74</v>
      </c>
      <c r="K220">
        <v>3000</v>
      </c>
      <c r="M220" t="s">
        <v>62</v>
      </c>
      <c r="N220" t="s">
        <v>299</v>
      </c>
      <c r="Q220" t="s">
        <v>92</v>
      </c>
      <c r="U220" t="s">
        <v>82</v>
      </c>
      <c r="V220" t="s">
        <v>273</v>
      </c>
      <c r="W220" s="1">
        <v>46132.309305555558</v>
      </c>
      <c r="X220" t="s">
        <v>226</v>
      </c>
      <c r="Y220" s="1">
        <v>46132.309305555558</v>
      </c>
    </row>
    <row r="221" spans="1:25" ht="28" x14ac:dyDescent="0.3">
      <c r="A221" t="s">
        <v>1070</v>
      </c>
      <c r="B221" t="s">
        <v>1013</v>
      </c>
      <c r="C221" t="s">
        <v>1032</v>
      </c>
      <c r="D221" t="s">
        <v>15</v>
      </c>
      <c r="F221" s="16" t="s">
        <v>296</v>
      </c>
      <c r="G221" s="17" t="s">
        <v>1071</v>
      </c>
      <c r="H221" s="16" t="s">
        <v>1071</v>
      </c>
      <c r="I221" t="s">
        <v>94</v>
      </c>
      <c r="J221" t="s">
        <v>74</v>
      </c>
      <c r="K221">
        <v>4500</v>
      </c>
      <c r="M221" t="s">
        <v>62</v>
      </c>
      <c r="N221" t="s">
        <v>299</v>
      </c>
      <c r="Q221" t="s">
        <v>92</v>
      </c>
      <c r="U221" t="s">
        <v>82</v>
      </c>
      <c r="V221" t="s">
        <v>273</v>
      </c>
      <c r="W221" s="1">
        <v>46132.309305555558</v>
      </c>
      <c r="X221" t="s">
        <v>226</v>
      </c>
      <c r="Y221" s="1">
        <v>46132.309305555558</v>
      </c>
    </row>
    <row r="222" spans="1:25" ht="42" x14ac:dyDescent="0.3">
      <c r="A222" t="s">
        <v>1072</v>
      </c>
      <c r="B222" t="s">
        <v>539</v>
      </c>
      <c r="C222" t="s">
        <v>572</v>
      </c>
      <c r="D222" t="s">
        <v>15</v>
      </c>
      <c r="F222" s="16" t="s">
        <v>296</v>
      </c>
      <c r="G222" s="17" t="s">
        <v>1073</v>
      </c>
      <c r="H222" s="16" t="s">
        <v>1074</v>
      </c>
      <c r="I222" t="s">
        <v>94</v>
      </c>
      <c r="J222" t="s">
        <v>74</v>
      </c>
      <c r="K222">
        <v>4000</v>
      </c>
      <c r="M222" t="s">
        <v>62</v>
      </c>
      <c r="N222" t="s">
        <v>299</v>
      </c>
      <c r="Q222" t="s">
        <v>92</v>
      </c>
      <c r="U222" t="s">
        <v>82</v>
      </c>
      <c r="V222" t="s">
        <v>273</v>
      </c>
      <c r="W222" s="1">
        <v>46132.309305555558</v>
      </c>
      <c r="X222" t="s">
        <v>226</v>
      </c>
      <c r="Y222" s="1">
        <v>46132.309305555558</v>
      </c>
    </row>
    <row r="223" spans="1:25" ht="42" x14ac:dyDescent="0.3">
      <c r="A223" t="s">
        <v>1075</v>
      </c>
      <c r="B223" t="s">
        <v>1076</v>
      </c>
      <c r="C223" t="s">
        <v>1077</v>
      </c>
      <c r="D223" t="s">
        <v>15</v>
      </c>
      <c r="F223" s="16" t="s">
        <v>296</v>
      </c>
      <c r="G223" s="17" t="s">
        <v>1078</v>
      </c>
      <c r="H223" s="16" t="s">
        <v>1079</v>
      </c>
      <c r="I223" t="s">
        <v>94</v>
      </c>
      <c r="J223" t="s">
        <v>74</v>
      </c>
      <c r="K223">
        <v>6000</v>
      </c>
      <c r="M223" t="s">
        <v>62</v>
      </c>
      <c r="N223" t="s">
        <v>299</v>
      </c>
      <c r="Q223" t="s">
        <v>92</v>
      </c>
      <c r="U223" t="s">
        <v>82</v>
      </c>
      <c r="V223" t="s">
        <v>273</v>
      </c>
      <c r="W223" s="1">
        <v>46132.309305555558</v>
      </c>
      <c r="X223" t="s">
        <v>226</v>
      </c>
      <c r="Y223" s="1">
        <v>46132.309305555558</v>
      </c>
    </row>
    <row r="224" spans="1:25" ht="28" x14ac:dyDescent="0.3">
      <c r="A224" t="s">
        <v>1080</v>
      </c>
      <c r="B224" t="s">
        <v>1081</v>
      </c>
      <c r="C224" t="s">
        <v>1082</v>
      </c>
      <c r="D224" t="s">
        <v>15</v>
      </c>
      <c r="F224" s="16" t="s">
        <v>905</v>
      </c>
      <c r="G224" s="17" t="s">
        <v>1083</v>
      </c>
      <c r="H224" s="16">
        <v>58091518</v>
      </c>
      <c r="I224" t="s">
        <v>94</v>
      </c>
      <c r="J224" t="s">
        <v>74</v>
      </c>
      <c r="K224">
        <v>2500</v>
      </c>
      <c r="M224" t="s">
        <v>62</v>
      </c>
      <c r="N224" t="s">
        <v>238</v>
      </c>
      <c r="Q224" t="s">
        <v>92</v>
      </c>
      <c r="U224" t="s">
        <v>82</v>
      </c>
      <c r="W224" s="1">
        <v>46132.309305555558</v>
      </c>
      <c r="X224" t="s">
        <v>226</v>
      </c>
      <c r="Y224" s="1">
        <v>46132.309305555558</v>
      </c>
    </row>
    <row r="225" spans="1:25" ht="42" x14ac:dyDescent="0.3">
      <c r="A225" t="s">
        <v>1084</v>
      </c>
      <c r="B225" t="s">
        <v>1085</v>
      </c>
      <c r="C225" t="s">
        <v>1086</v>
      </c>
      <c r="D225" t="s">
        <v>15</v>
      </c>
      <c r="F225" s="16" t="s">
        <v>905</v>
      </c>
      <c r="G225" s="17" t="s">
        <v>1087</v>
      </c>
      <c r="H225" s="16">
        <v>58080005</v>
      </c>
      <c r="I225" t="s">
        <v>94</v>
      </c>
      <c r="J225" t="s">
        <v>74</v>
      </c>
      <c r="K225">
        <v>2000</v>
      </c>
      <c r="M225" t="s">
        <v>62</v>
      </c>
      <c r="N225" t="s">
        <v>238</v>
      </c>
      <c r="Q225" t="s">
        <v>92</v>
      </c>
      <c r="U225" t="s">
        <v>82</v>
      </c>
      <c r="W225" s="1">
        <v>46132.309305555558</v>
      </c>
      <c r="X225" t="s">
        <v>226</v>
      </c>
      <c r="Y225" s="1">
        <v>46132.309305555558</v>
      </c>
    </row>
    <row r="226" spans="1:25" x14ac:dyDescent="0.3">
      <c r="A226" t="s">
        <v>1088</v>
      </c>
      <c r="B226" t="s">
        <v>1089</v>
      </c>
      <c r="C226" t="s">
        <v>1090</v>
      </c>
      <c r="D226" t="s">
        <v>15</v>
      </c>
      <c r="F226" s="16" t="s">
        <v>29</v>
      </c>
      <c r="G226" s="17" t="s">
        <v>1091</v>
      </c>
      <c r="H226" s="16">
        <v>30300481</v>
      </c>
      <c r="I226" t="s">
        <v>94</v>
      </c>
      <c r="J226" t="s">
        <v>74</v>
      </c>
      <c r="K226">
        <v>300</v>
      </c>
      <c r="M226" t="s">
        <v>62</v>
      </c>
      <c r="N226" t="s">
        <v>238</v>
      </c>
      <c r="Q226" t="s">
        <v>92</v>
      </c>
      <c r="U226" t="s">
        <v>82</v>
      </c>
      <c r="W226" s="1">
        <v>46132.309305555558</v>
      </c>
      <c r="X226" t="s">
        <v>226</v>
      </c>
      <c r="Y226" s="1">
        <v>46132.309305555558</v>
      </c>
    </row>
    <row r="227" spans="1:25" ht="28" x14ac:dyDescent="0.3">
      <c r="A227" t="s">
        <v>1092</v>
      </c>
      <c r="B227" t="s">
        <v>1093</v>
      </c>
      <c r="C227" t="s">
        <v>1094</v>
      </c>
      <c r="D227" t="s">
        <v>15</v>
      </c>
      <c r="F227" s="16" t="s">
        <v>29</v>
      </c>
      <c r="G227" s="17" t="s">
        <v>1095</v>
      </c>
      <c r="H227" s="16">
        <v>30280777</v>
      </c>
      <c r="I227" t="s">
        <v>94</v>
      </c>
      <c r="J227" t="s">
        <v>74</v>
      </c>
      <c r="K227">
        <v>7300</v>
      </c>
      <c r="M227" t="s">
        <v>62</v>
      </c>
      <c r="N227" t="s">
        <v>238</v>
      </c>
      <c r="Q227" t="s">
        <v>92</v>
      </c>
      <c r="U227" t="s">
        <v>82</v>
      </c>
      <c r="W227" s="1">
        <v>46132.309305555558</v>
      </c>
      <c r="X227" t="s">
        <v>226</v>
      </c>
      <c r="Y227" s="1">
        <v>46132.309305555558</v>
      </c>
    </row>
    <row r="228" spans="1:25" ht="28" x14ac:dyDescent="0.3">
      <c r="A228" t="s">
        <v>1096</v>
      </c>
      <c r="B228" t="s">
        <v>1097</v>
      </c>
      <c r="C228" t="s">
        <v>1098</v>
      </c>
      <c r="D228" t="s">
        <v>15</v>
      </c>
      <c r="F228" s="16" t="s">
        <v>29</v>
      </c>
      <c r="G228" s="17" t="s">
        <v>1099</v>
      </c>
      <c r="H228" s="16">
        <v>52121348</v>
      </c>
      <c r="I228" t="s">
        <v>94</v>
      </c>
      <c r="J228" t="s">
        <v>74</v>
      </c>
      <c r="K228">
        <v>2500</v>
      </c>
      <c r="M228" t="s">
        <v>62</v>
      </c>
      <c r="N228" t="s">
        <v>238</v>
      </c>
      <c r="Q228" t="s">
        <v>92</v>
      </c>
      <c r="U228" t="s">
        <v>82</v>
      </c>
      <c r="W228" s="1">
        <v>46132.309305555558</v>
      </c>
      <c r="X228" t="s">
        <v>226</v>
      </c>
      <c r="Y228" s="1">
        <v>46132.309305555558</v>
      </c>
    </row>
    <row r="229" spans="1:25" x14ac:dyDescent="0.3">
      <c r="A229" t="s">
        <v>1100</v>
      </c>
      <c r="B229" t="s">
        <v>513</v>
      </c>
      <c r="C229" t="s">
        <v>514</v>
      </c>
      <c r="D229" t="s">
        <v>15</v>
      </c>
      <c r="F229" s="16" t="s">
        <v>29</v>
      </c>
      <c r="G229" s="17" t="s">
        <v>1101</v>
      </c>
      <c r="H229" s="16">
        <v>52300110</v>
      </c>
      <c r="I229" t="s">
        <v>94</v>
      </c>
      <c r="J229" t="s">
        <v>74</v>
      </c>
      <c r="K229">
        <v>750</v>
      </c>
      <c r="M229" t="s">
        <v>62</v>
      </c>
      <c r="N229" t="s">
        <v>238</v>
      </c>
      <c r="Q229" t="s">
        <v>92</v>
      </c>
      <c r="U229" t="s">
        <v>82</v>
      </c>
      <c r="W229" s="1">
        <v>46132.309305555558</v>
      </c>
      <c r="X229" t="s">
        <v>226</v>
      </c>
      <c r="Y229" s="1">
        <v>46132.309305555558</v>
      </c>
    </row>
    <row r="230" spans="1:25" x14ac:dyDescent="0.3">
      <c r="A230" t="s">
        <v>1102</v>
      </c>
      <c r="B230" t="s">
        <v>1103</v>
      </c>
      <c r="C230" t="s">
        <v>1104</v>
      </c>
      <c r="D230" t="s">
        <v>15</v>
      </c>
      <c r="F230" s="16" t="s">
        <v>21</v>
      </c>
      <c r="G230" s="17" t="s">
        <v>1105</v>
      </c>
      <c r="H230" s="16">
        <v>529027</v>
      </c>
      <c r="I230" t="s">
        <v>94</v>
      </c>
      <c r="J230" t="s">
        <v>74</v>
      </c>
      <c r="K230">
        <v>700</v>
      </c>
      <c r="M230" t="s">
        <v>62</v>
      </c>
      <c r="N230" t="s">
        <v>491</v>
      </c>
      <c r="Q230" t="s">
        <v>92</v>
      </c>
      <c r="U230" t="s">
        <v>82</v>
      </c>
      <c r="W230" s="1">
        <v>46132.309305555558</v>
      </c>
      <c r="X230" t="s">
        <v>226</v>
      </c>
      <c r="Y230" s="1">
        <v>46132.309305555558</v>
      </c>
    </row>
    <row r="231" spans="1:25" x14ac:dyDescent="0.3">
      <c r="A231" t="s">
        <v>1106</v>
      </c>
      <c r="B231" t="s">
        <v>1107</v>
      </c>
      <c r="C231" t="s">
        <v>1108</v>
      </c>
      <c r="D231" t="s">
        <v>15</v>
      </c>
      <c r="F231" s="16" t="s">
        <v>21</v>
      </c>
      <c r="G231" s="17" t="s">
        <v>1109</v>
      </c>
      <c r="H231" s="16">
        <v>533360</v>
      </c>
      <c r="I231" t="s">
        <v>94</v>
      </c>
      <c r="J231" t="s">
        <v>74</v>
      </c>
      <c r="K231">
        <v>700</v>
      </c>
      <c r="M231" t="s">
        <v>62</v>
      </c>
      <c r="N231" t="s">
        <v>491</v>
      </c>
      <c r="Q231" t="s">
        <v>92</v>
      </c>
      <c r="U231" t="s">
        <v>82</v>
      </c>
      <c r="W231" s="1">
        <v>46132.309305555558</v>
      </c>
      <c r="X231" t="s">
        <v>226</v>
      </c>
      <c r="Y231" s="1">
        <v>46132.309305555558</v>
      </c>
    </row>
    <row r="232" spans="1:25" x14ac:dyDescent="0.3">
      <c r="A232" t="s">
        <v>1110</v>
      </c>
      <c r="B232" t="s">
        <v>1111</v>
      </c>
      <c r="C232" t="s">
        <v>1112</v>
      </c>
      <c r="D232" t="s">
        <v>15</v>
      </c>
      <c r="F232" s="16" t="s">
        <v>21</v>
      </c>
      <c r="G232" s="17" t="s">
        <v>1113</v>
      </c>
      <c r="H232" s="16">
        <v>195746</v>
      </c>
      <c r="I232" t="s">
        <v>94</v>
      </c>
      <c r="J232" t="s">
        <v>74</v>
      </c>
      <c r="K232">
        <v>1300</v>
      </c>
      <c r="M232" t="s">
        <v>62</v>
      </c>
      <c r="N232" t="s">
        <v>491</v>
      </c>
      <c r="Q232" t="s">
        <v>92</v>
      </c>
      <c r="U232" t="s">
        <v>82</v>
      </c>
      <c r="W232" s="1">
        <v>46132.309305555558</v>
      </c>
      <c r="X232" t="s">
        <v>226</v>
      </c>
      <c r="Y232" s="1">
        <v>46132.309305555558</v>
      </c>
    </row>
    <row r="233" spans="1:25" x14ac:dyDescent="0.3">
      <c r="A233" t="s">
        <v>1114</v>
      </c>
      <c r="B233" t="s">
        <v>1115</v>
      </c>
      <c r="D233" t="s">
        <v>15</v>
      </c>
      <c r="F233" s="16" t="s">
        <v>21</v>
      </c>
      <c r="G233" s="17" t="s">
        <v>1116</v>
      </c>
      <c r="H233" s="16">
        <v>543815</v>
      </c>
      <c r="I233" t="s">
        <v>94</v>
      </c>
      <c r="J233" t="s">
        <v>74</v>
      </c>
      <c r="K233">
        <v>1300</v>
      </c>
      <c r="M233" t="s">
        <v>62</v>
      </c>
      <c r="N233" t="s">
        <v>491</v>
      </c>
      <c r="Q233" t="s">
        <v>92</v>
      </c>
      <c r="U233" t="s">
        <v>82</v>
      </c>
      <c r="W233" s="1">
        <v>46132.309305555558</v>
      </c>
      <c r="X233" t="s">
        <v>226</v>
      </c>
      <c r="Y233" s="1">
        <v>46132.309305555558</v>
      </c>
    </row>
    <row r="234" spans="1:25" ht="28" x14ac:dyDescent="0.3">
      <c r="A234" t="s">
        <v>1117</v>
      </c>
      <c r="B234" t="s">
        <v>1118</v>
      </c>
      <c r="C234" t="s">
        <v>1119</v>
      </c>
      <c r="D234" t="s">
        <v>15</v>
      </c>
      <c r="F234" s="16" t="s">
        <v>21</v>
      </c>
      <c r="G234" s="17" t="s">
        <v>1120</v>
      </c>
      <c r="H234" s="16" t="s">
        <v>1120</v>
      </c>
      <c r="I234" t="s">
        <v>94</v>
      </c>
      <c r="J234" t="s">
        <v>74</v>
      </c>
      <c r="K234">
        <v>5300</v>
      </c>
      <c r="M234" t="s">
        <v>62</v>
      </c>
      <c r="N234" t="s">
        <v>491</v>
      </c>
      <c r="Q234" t="s">
        <v>92</v>
      </c>
      <c r="U234" t="s">
        <v>82</v>
      </c>
      <c r="V234" t="s">
        <v>1121</v>
      </c>
      <c r="W234" s="1">
        <v>46132.309305555558</v>
      </c>
      <c r="X234" t="s">
        <v>226</v>
      </c>
      <c r="Y234" s="1">
        <v>46132.309305555558</v>
      </c>
    </row>
    <row r="235" spans="1:25" x14ac:dyDescent="0.3">
      <c r="A235" t="s">
        <v>1122</v>
      </c>
      <c r="B235" t="s">
        <v>1123</v>
      </c>
      <c r="C235" t="s">
        <v>1124</v>
      </c>
      <c r="D235" t="s">
        <v>15</v>
      </c>
      <c r="F235" s="16" t="s">
        <v>21</v>
      </c>
      <c r="G235" s="17" t="s">
        <v>1125</v>
      </c>
      <c r="H235" s="16">
        <v>18527</v>
      </c>
      <c r="I235" t="s">
        <v>94</v>
      </c>
      <c r="J235" t="s">
        <v>74</v>
      </c>
      <c r="K235">
        <v>100</v>
      </c>
      <c r="M235" t="s">
        <v>62</v>
      </c>
      <c r="N235" t="s">
        <v>491</v>
      </c>
      <c r="Q235" t="s">
        <v>92</v>
      </c>
      <c r="U235" t="s">
        <v>82</v>
      </c>
      <c r="W235" s="1">
        <v>46132.309305555558</v>
      </c>
      <c r="X235" t="s">
        <v>226</v>
      </c>
      <c r="Y235" s="1">
        <v>46132.309305555558</v>
      </c>
    </row>
    <row r="236" spans="1:25" ht="28" x14ac:dyDescent="0.3">
      <c r="A236" t="s">
        <v>1126</v>
      </c>
      <c r="B236" t="s">
        <v>1127</v>
      </c>
      <c r="C236" t="s">
        <v>489</v>
      </c>
      <c r="D236" t="s">
        <v>15</v>
      </c>
      <c r="F236" s="16" t="s">
        <v>21</v>
      </c>
      <c r="G236" s="17" t="s">
        <v>1128</v>
      </c>
      <c r="H236" s="16">
        <v>573410</v>
      </c>
      <c r="I236" t="s">
        <v>94</v>
      </c>
      <c r="J236" t="s">
        <v>74</v>
      </c>
      <c r="K236">
        <v>253</v>
      </c>
      <c r="M236" t="s">
        <v>62</v>
      </c>
      <c r="N236" t="s">
        <v>491</v>
      </c>
      <c r="Q236" t="s">
        <v>92</v>
      </c>
      <c r="U236" t="s">
        <v>82</v>
      </c>
      <c r="W236" s="1">
        <v>46132.309305555558</v>
      </c>
      <c r="X236" t="s">
        <v>226</v>
      </c>
      <c r="Y236" s="1">
        <v>46132.309305555558</v>
      </c>
    </row>
    <row r="237" spans="1:25" x14ac:dyDescent="0.3">
      <c r="A237" t="s">
        <v>1129</v>
      </c>
      <c r="B237" t="s">
        <v>1130</v>
      </c>
      <c r="C237" t="s">
        <v>489</v>
      </c>
      <c r="D237" t="s">
        <v>15</v>
      </c>
      <c r="F237" s="16" t="s">
        <v>21</v>
      </c>
      <c r="G237" s="17" t="s">
        <v>1131</v>
      </c>
      <c r="H237" s="16">
        <v>533347</v>
      </c>
      <c r="I237" t="s">
        <v>94</v>
      </c>
      <c r="J237" t="s">
        <v>74</v>
      </c>
      <c r="K237">
        <v>250</v>
      </c>
      <c r="M237" t="s">
        <v>62</v>
      </c>
      <c r="N237" t="s">
        <v>491</v>
      </c>
      <c r="Q237" t="s">
        <v>92</v>
      </c>
      <c r="U237" t="s">
        <v>82</v>
      </c>
      <c r="W237" s="1">
        <v>46132.309305555558</v>
      </c>
      <c r="X237" t="s">
        <v>226</v>
      </c>
      <c r="Y237" s="1">
        <v>46132.309305555558</v>
      </c>
    </row>
    <row r="238" spans="1:25" x14ac:dyDescent="0.3">
      <c r="A238" t="s">
        <v>1132</v>
      </c>
      <c r="B238" t="s">
        <v>1133</v>
      </c>
      <c r="C238" t="s">
        <v>489</v>
      </c>
      <c r="D238" t="s">
        <v>15</v>
      </c>
      <c r="F238" s="16" t="s">
        <v>21</v>
      </c>
      <c r="G238" s="17" t="s">
        <v>1134</v>
      </c>
      <c r="H238" s="16">
        <v>526996</v>
      </c>
      <c r="I238" t="s">
        <v>94</v>
      </c>
      <c r="J238" t="s">
        <v>74</v>
      </c>
      <c r="K238">
        <v>250</v>
      </c>
      <c r="M238" t="s">
        <v>62</v>
      </c>
      <c r="N238" t="s">
        <v>491</v>
      </c>
      <c r="Q238" t="s">
        <v>92</v>
      </c>
      <c r="U238" t="s">
        <v>82</v>
      </c>
      <c r="W238" s="1">
        <v>46132.309305555558</v>
      </c>
      <c r="X238" t="s">
        <v>226</v>
      </c>
      <c r="Y238" s="1">
        <v>46132.309305555558</v>
      </c>
    </row>
    <row r="239" spans="1:25" x14ac:dyDescent="0.3">
      <c r="A239" t="s">
        <v>1135</v>
      </c>
      <c r="B239" t="s">
        <v>1136</v>
      </c>
      <c r="C239" t="s">
        <v>1137</v>
      </c>
      <c r="D239" t="s">
        <v>15</v>
      </c>
      <c r="F239" s="16" t="s">
        <v>21</v>
      </c>
      <c r="G239" s="17" t="s">
        <v>1138</v>
      </c>
      <c r="H239" s="16">
        <v>4527</v>
      </c>
      <c r="I239" t="s">
        <v>94</v>
      </c>
      <c r="J239" t="s">
        <v>74</v>
      </c>
      <c r="K239">
        <v>50</v>
      </c>
      <c r="M239" t="s">
        <v>62</v>
      </c>
      <c r="N239" t="s">
        <v>491</v>
      </c>
      <c r="Q239" t="s">
        <v>92</v>
      </c>
      <c r="U239" t="s">
        <v>82</v>
      </c>
      <c r="W239" s="1">
        <v>46132.309305555558</v>
      </c>
      <c r="X239" t="s">
        <v>226</v>
      </c>
      <c r="Y239" s="1">
        <v>46132.309305555558</v>
      </c>
    </row>
    <row r="240" spans="1:25" x14ac:dyDescent="0.3">
      <c r="A240" t="s">
        <v>1139</v>
      </c>
      <c r="B240" t="s">
        <v>1140</v>
      </c>
      <c r="C240" t="s">
        <v>1141</v>
      </c>
      <c r="D240" t="s">
        <v>15</v>
      </c>
      <c r="F240" s="16" t="s">
        <v>471</v>
      </c>
      <c r="G240" s="17" t="s">
        <v>1142</v>
      </c>
      <c r="H240" s="16" t="s">
        <v>1142</v>
      </c>
      <c r="I240" t="s">
        <v>94</v>
      </c>
      <c r="J240" t="s">
        <v>74</v>
      </c>
      <c r="K240">
        <v>150</v>
      </c>
      <c r="M240" t="s">
        <v>1143</v>
      </c>
      <c r="N240" t="s">
        <v>473</v>
      </c>
      <c r="Q240" t="s">
        <v>92</v>
      </c>
      <c r="U240" t="s">
        <v>82</v>
      </c>
      <c r="W240" s="1">
        <v>46132.309305555558</v>
      </c>
      <c r="X240" t="s">
        <v>226</v>
      </c>
      <c r="Y240" s="1">
        <v>46132.309305555558</v>
      </c>
    </row>
    <row r="241" spans="1:25" x14ac:dyDescent="0.3">
      <c r="A241" t="s">
        <v>1144</v>
      </c>
      <c r="B241" t="s">
        <v>1145</v>
      </c>
      <c r="C241" t="s">
        <v>1146</v>
      </c>
      <c r="D241" t="s">
        <v>15</v>
      </c>
      <c r="F241" s="16" t="s">
        <v>471</v>
      </c>
      <c r="G241" s="17" t="s">
        <v>1147</v>
      </c>
      <c r="H241" s="16" t="s">
        <v>1147</v>
      </c>
      <c r="I241" t="s">
        <v>94</v>
      </c>
      <c r="J241" t="s">
        <v>74</v>
      </c>
      <c r="K241">
        <v>1400</v>
      </c>
      <c r="M241" t="s">
        <v>62</v>
      </c>
      <c r="N241" t="s">
        <v>473</v>
      </c>
      <c r="Q241" t="s">
        <v>92</v>
      </c>
      <c r="U241" t="s">
        <v>82</v>
      </c>
      <c r="W241" s="1">
        <v>46132.309305555558</v>
      </c>
      <c r="X241" t="s">
        <v>226</v>
      </c>
      <c r="Y241" s="1">
        <v>46132.309305555558</v>
      </c>
    </row>
    <row r="242" spans="1:25" x14ac:dyDescent="0.3">
      <c r="A242" t="s">
        <v>1148</v>
      </c>
      <c r="B242" t="s">
        <v>1149</v>
      </c>
      <c r="C242" t="s">
        <v>1150</v>
      </c>
      <c r="D242" t="s">
        <v>15</v>
      </c>
      <c r="F242" s="16" t="s">
        <v>471</v>
      </c>
      <c r="G242" s="17" t="s">
        <v>1151</v>
      </c>
      <c r="H242" s="16" t="s">
        <v>1151</v>
      </c>
      <c r="I242" t="s">
        <v>94</v>
      </c>
      <c r="J242" t="s">
        <v>74</v>
      </c>
      <c r="K242">
        <v>750</v>
      </c>
      <c r="M242" t="s">
        <v>62</v>
      </c>
      <c r="N242" t="s">
        <v>473</v>
      </c>
      <c r="Q242" t="s">
        <v>92</v>
      </c>
      <c r="U242" t="s">
        <v>82</v>
      </c>
      <c r="W242" s="1">
        <v>46132.309305555558</v>
      </c>
      <c r="X242" t="s">
        <v>226</v>
      </c>
      <c r="Y242" s="1">
        <v>46132.309305555558</v>
      </c>
    </row>
    <row r="243" spans="1:25" x14ac:dyDescent="0.3">
      <c r="A243" t="s">
        <v>1152</v>
      </c>
      <c r="B243" t="s">
        <v>1149</v>
      </c>
      <c r="C243" t="s">
        <v>1153</v>
      </c>
      <c r="D243" t="s">
        <v>15</v>
      </c>
      <c r="F243" s="16" t="s">
        <v>471</v>
      </c>
      <c r="G243" s="17" t="s">
        <v>1154</v>
      </c>
      <c r="H243" s="16" t="s">
        <v>1154</v>
      </c>
      <c r="I243" t="s">
        <v>94</v>
      </c>
      <c r="J243" t="s">
        <v>74</v>
      </c>
      <c r="K243">
        <v>1125</v>
      </c>
      <c r="M243" t="s">
        <v>62</v>
      </c>
      <c r="N243" t="s">
        <v>473</v>
      </c>
      <c r="Q243" t="s">
        <v>92</v>
      </c>
      <c r="U243" t="s">
        <v>82</v>
      </c>
      <c r="W243" s="1">
        <v>46132.309305555558</v>
      </c>
      <c r="X243" t="s">
        <v>226</v>
      </c>
      <c r="Y243" s="1">
        <v>46132.309305555558</v>
      </c>
    </row>
    <row r="244" spans="1:25" x14ac:dyDescent="0.3">
      <c r="A244" t="s">
        <v>1155</v>
      </c>
      <c r="B244" t="s">
        <v>1156</v>
      </c>
      <c r="C244" t="s">
        <v>1157</v>
      </c>
      <c r="D244" t="s">
        <v>15</v>
      </c>
      <c r="F244" s="16" t="s">
        <v>325</v>
      </c>
      <c r="G244" s="17" t="s">
        <v>1158</v>
      </c>
      <c r="H244" s="16"/>
      <c r="I244" t="s">
        <v>94</v>
      </c>
      <c r="J244" t="s">
        <v>74</v>
      </c>
      <c r="K244">
        <v>3500</v>
      </c>
      <c r="M244" t="s">
        <v>62</v>
      </c>
      <c r="N244" t="s">
        <v>328</v>
      </c>
      <c r="O244" t="s">
        <v>329</v>
      </c>
      <c r="Q244" t="s">
        <v>92</v>
      </c>
      <c r="U244" t="s">
        <v>82</v>
      </c>
      <c r="W244" s="1">
        <v>46132.309305555558</v>
      </c>
      <c r="X244" t="s">
        <v>226</v>
      </c>
      <c r="Y244" s="1">
        <v>46132.309305555558</v>
      </c>
    </row>
    <row r="245" spans="1:25" ht="28" x14ac:dyDescent="0.3">
      <c r="A245" t="s">
        <v>1159</v>
      </c>
      <c r="B245" t="s">
        <v>1149</v>
      </c>
      <c r="C245" t="s">
        <v>1160</v>
      </c>
      <c r="D245" t="s">
        <v>15</v>
      </c>
      <c r="F245" s="16" t="s">
        <v>1161</v>
      </c>
      <c r="G245" s="17" t="s">
        <v>1162</v>
      </c>
      <c r="H245" s="16" t="s">
        <v>1163</v>
      </c>
      <c r="I245" t="s">
        <v>94</v>
      </c>
      <c r="J245" t="s">
        <v>74</v>
      </c>
      <c r="K245">
        <v>2000</v>
      </c>
      <c r="M245" t="s">
        <v>62</v>
      </c>
      <c r="N245" t="s">
        <v>1164</v>
      </c>
      <c r="Q245" t="s">
        <v>92</v>
      </c>
      <c r="U245" t="s">
        <v>82</v>
      </c>
      <c r="W245" s="1">
        <v>46132.309305555558</v>
      </c>
      <c r="X245" t="s">
        <v>226</v>
      </c>
      <c r="Y245" s="1">
        <v>46132.309305555558</v>
      </c>
    </row>
    <row r="246" spans="1:25" x14ac:dyDescent="0.3">
      <c r="A246" t="s">
        <v>1165</v>
      </c>
      <c r="B246" t="s">
        <v>1166</v>
      </c>
      <c r="C246" t="s">
        <v>1167</v>
      </c>
      <c r="D246" t="s">
        <v>15</v>
      </c>
      <c r="F246" s="16" t="s">
        <v>1168</v>
      </c>
      <c r="G246" s="17">
        <v>265</v>
      </c>
      <c r="H246" s="16">
        <v>265</v>
      </c>
      <c r="I246" t="s">
        <v>94</v>
      </c>
      <c r="J246" t="s">
        <v>74</v>
      </c>
      <c r="K246">
        <v>1150</v>
      </c>
      <c r="M246" t="s">
        <v>62</v>
      </c>
      <c r="N246" t="s">
        <v>442</v>
      </c>
      <c r="Q246" t="s">
        <v>92</v>
      </c>
      <c r="U246" t="s">
        <v>82</v>
      </c>
      <c r="W246" s="1">
        <v>46132.309305555558</v>
      </c>
      <c r="X246" t="s">
        <v>226</v>
      </c>
      <c r="Y246" s="1">
        <v>46132.309305555558</v>
      </c>
    </row>
    <row r="247" spans="1:25" x14ac:dyDescent="0.3">
      <c r="A247" t="s">
        <v>1169</v>
      </c>
      <c r="B247" t="s">
        <v>1170</v>
      </c>
      <c r="C247" t="s">
        <v>1171</v>
      </c>
      <c r="D247" t="s">
        <v>15</v>
      </c>
      <c r="F247" s="16" t="s">
        <v>1172</v>
      </c>
      <c r="G247" s="17" t="s">
        <v>1173</v>
      </c>
      <c r="H247" s="16" t="s">
        <v>1174</v>
      </c>
      <c r="I247" t="s">
        <v>94</v>
      </c>
      <c r="J247" t="s">
        <v>74</v>
      </c>
      <c r="K247">
        <v>200</v>
      </c>
      <c r="M247" t="s">
        <v>62</v>
      </c>
      <c r="N247" t="s">
        <v>1175</v>
      </c>
      <c r="Q247" t="s">
        <v>92</v>
      </c>
      <c r="U247" t="s">
        <v>82</v>
      </c>
      <c r="V247" t="s">
        <v>1176</v>
      </c>
      <c r="W247" s="1">
        <v>46132.309305555558</v>
      </c>
      <c r="X247" t="s">
        <v>226</v>
      </c>
      <c r="Y247" s="1">
        <v>46132.309305555558</v>
      </c>
    </row>
    <row r="248" spans="1:25" x14ac:dyDescent="0.3">
      <c r="A248" t="s">
        <v>1177</v>
      </c>
      <c r="B248" t="s">
        <v>1178</v>
      </c>
      <c r="C248" t="s">
        <v>1179</v>
      </c>
      <c r="D248" t="s">
        <v>15</v>
      </c>
      <c r="F248" s="16" t="s">
        <v>1180</v>
      </c>
      <c r="G248" s="17">
        <v>800325</v>
      </c>
      <c r="H248" s="16">
        <v>800325</v>
      </c>
      <c r="I248" t="s">
        <v>94</v>
      </c>
      <c r="J248" t="s">
        <v>74</v>
      </c>
      <c r="M248" t="s">
        <v>62</v>
      </c>
      <c r="N248" t="s">
        <v>1181</v>
      </c>
      <c r="Q248" t="s">
        <v>92</v>
      </c>
      <c r="U248" t="s">
        <v>82</v>
      </c>
      <c r="W248" s="1">
        <v>46132.309305555558</v>
      </c>
      <c r="X248" t="s">
        <v>226</v>
      </c>
      <c r="Y248" s="1">
        <v>46132.309305555558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786C-7EB3-4734-82B9-F9BC30AEF185}">
  <sheetPr codeName="Sheet3">
    <tabColor rgb="FF70AD47"/>
  </sheetPr>
  <dimension ref="A1:N248"/>
  <sheetViews>
    <sheetView rightToLeft="1" workbookViewId="0"/>
  </sheetViews>
  <sheetFormatPr defaultRowHeight="14" x14ac:dyDescent="0.3"/>
  <cols>
    <col min="1" max="1" width="18.58203125" customWidth="1"/>
    <col min="2" max="2" width="35.58203125" customWidth="1"/>
    <col min="3" max="3" width="10.25" customWidth="1"/>
    <col min="4" max="4" width="22.58203125" customWidth="1"/>
    <col min="6" max="6" width="14.5" customWidth="1"/>
    <col min="7" max="7" width="9.4140625" customWidth="1"/>
    <col min="8" max="8" width="14.9140625" customWidth="1"/>
    <col min="9" max="9" width="10.83203125" customWidth="1"/>
    <col min="10" max="10" width="12.08203125" customWidth="1"/>
    <col min="11" max="11" width="15.08203125" customWidth="1"/>
    <col min="12" max="12" width="17" customWidth="1"/>
    <col min="13" max="13" width="22.33203125" customWidth="1"/>
    <col min="14" max="14" width="22.6640625" customWidth="1"/>
  </cols>
  <sheetData>
    <row r="1" spans="1:14" x14ac:dyDescent="0.3">
      <c r="A1" t="s">
        <v>121</v>
      </c>
      <c r="B1" t="s">
        <v>122</v>
      </c>
      <c r="C1" t="s">
        <v>124</v>
      </c>
      <c r="D1" t="s">
        <v>126</v>
      </c>
      <c r="E1" t="s">
        <v>127</v>
      </c>
      <c r="F1" t="s">
        <v>146</v>
      </c>
      <c r="G1" t="s">
        <v>147</v>
      </c>
      <c r="H1" t="s">
        <v>148</v>
      </c>
      <c r="I1" t="s">
        <v>137</v>
      </c>
      <c r="J1" t="s">
        <v>149</v>
      </c>
      <c r="K1" t="s">
        <v>131</v>
      </c>
      <c r="L1" t="s">
        <v>150</v>
      </c>
      <c r="M1" t="s">
        <v>151</v>
      </c>
      <c r="N1" t="s">
        <v>152</v>
      </c>
    </row>
    <row r="2" spans="1:14" x14ac:dyDescent="0.3">
      <c r="A2" t="s">
        <v>223</v>
      </c>
      <c r="B2" t="s">
        <v>224</v>
      </c>
      <c r="C2" t="s">
        <v>15</v>
      </c>
      <c r="D2" t="s">
        <v>28</v>
      </c>
      <c r="E2">
        <v>5000</v>
      </c>
      <c r="F2">
        <v>0</v>
      </c>
      <c r="G2">
        <v>0</v>
      </c>
      <c r="I2" t="s">
        <v>92</v>
      </c>
      <c r="K2">
        <v>50000</v>
      </c>
      <c r="M2" s="1">
        <v>46132.309305555558</v>
      </c>
      <c r="N2" t="s">
        <v>72</v>
      </c>
    </row>
    <row r="3" spans="1:14" x14ac:dyDescent="0.3">
      <c r="A3" t="s">
        <v>227</v>
      </c>
      <c r="B3" t="s">
        <v>228</v>
      </c>
      <c r="C3" t="s">
        <v>15</v>
      </c>
      <c r="D3" t="s">
        <v>28</v>
      </c>
      <c r="E3">
        <v>58079513</v>
      </c>
      <c r="F3">
        <v>3</v>
      </c>
      <c r="G3">
        <v>0</v>
      </c>
      <c r="I3" t="s">
        <v>92</v>
      </c>
      <c r="K3">
        <v>2000</v>
      </c>
      <c r="M3" s="1">
        <v>46132.309305555558</v>
      </c>
      <c r="N3" t="s">
        <v>72</v>
      </c>
    </row>
    <row r="4" spans="1:14" x14ac:dyDescent="0.3">
      <c r="A4" t="s">
        <v>229</v>
      </c>
      <c r="B4" t="s">
        <v>230</v>
      </c>
      <c r="C4" t="s">
        <v>15</v>
      </c>
      <c r="D4" t="s">
        <v>28</v>
      </c>
      <c r="E4">
        <v>58091518</v>
      </c>
      <c r="F4">
        <v>3</v>
      </c>
      <c r="G4">
        <v>0</v>
      </c>
      <c r="I4" t="s">
        <v>92</v>
      </c>
      <c r="K4">
        <v>800</v>
      </c>
      <c r="M4" s="1">
        <v>46132.309305555558</v>
      </c>
      <c r="N4" t="s">
        <v>72</v>
      </c>
    </row>
    <row r="5" spans="1:14" x14ac:dyDescent="0.3">
      <c r="A5" t="s">
        <v>231</v>
      </c>
      <c r="B5" t="s">
        <v>232</v>
      </c>
      <c r="C5" t="s">
        <v>15</v>
      </c>
      <c r="D5" t="s">
        <v>28</v>
      </c>
      <c r="E5">
        <v>58079518</v>
      </c>
      <c r="F5">
        <v>1</v>
      </c>
      <c r="G5">
        <v>0</v>
      </c>
      <c r="I5" t="s">
        <v>92</v>
      </c>
      <c r="K5">
        <v>500</v>
      </c>
      <c r="M5" s="1">
        <v>46132.309305555558</v>
      </c>
      <c r="N5" t="s">
        <v>72</v>
      </c>
    </row>
    <row r="6" spans="1:14" x14ac:dyDescent="0.3">
      <c r="A6" t="s">
        <v>233</v>
      </c>
      <c r="B6" t="s">
        <v>234</v>
      </c>
      <c r="C6" t="s">
        <v>15</v>
      </c>
      <c r="D6" t="s">
        <v>29</v>
      </c>
      <c r="E6" t="s">
        <v>236</v>
      </c>
      <c r="F6">
        <v>2</v>
      </c>
      <c r="G6">
        <v>0</v>
      </c>
      <c r="I6" t="s">
        <v>92</v>
      </c>
      <c r="K6">
        <v>10000</v>
      </c>
      <c r="M6" s="1">
        <v>46132.309305555558</v>
      </c>
      <c r="N6" t="s">
        <v>72</v>
      </c>
    </row>
    <row r="7" spans="1:14" x14ac:dyDescent="0.3">
      <c r="A7" t="s">
        <v>239</v>
      </c>
      <c r="B7" t="s">
        <v>240</v>
      </c>
      <c r="C7" t="s">
        <v>15</v>
      </c>
      <c r="D7" t="s">
        <v>241</v>
      </c>
      <c r="E7" t="s">
        <v>242</v>
      </c>
      <c r="F7">
        <v>1</v>
      </c>
      <c r="G7">
        <v>0</v>
      </c>
      <c r="I7" t="s">
        <v>92</v>
      </c>
      <c r="K7">
        <v>6000</v>
      </c>
      <c r="M7" s="1">
        <v>46132.309305555558</v>
      </c>
      <c r="N7" t="s">
        <v>72</v>
      </c>
    </row>
    <row r="8" spans="1:14" x14ac:dyDescent="0.3">
      <c r="A8" t="s">
        <v>243</v>
      </c>
      <c r="B8" t="s">
        <v>240</v>
      </c>
      <c r="C8" t="s">
        <v>15</v>
      </c>
      <c r="D8" t="s">
        <v>244</v>
      </c>
      <c r="E8" t="s">
        <v>245</v>
      </c>
      <c r="F8">
        <v>1</v>
      </c>
      <c r="G8">
        <v>0</v>
      </c>
      <c r="I8" t="s">
        <v>92</v>
      </c>
      <c r="K8">
        <v>5000</v>
      </c>
      <c r="M8" s="1">
        <v>46132.309305555558</v>
      </c>
      <c r="N8" t="s">
        <v>72</v>
      </c>
    </row>
    <row r="9" spans="1:14" x14ac:dyDescent="0.3">
      <c r="A9" t="s">
        <v>247</v>
      </c>
      <c r="B9" t="s">
        <v>248</v>
      </c>
      <c r="C9" t="s">
        <v>15</v>
      </c>
      <c r="D9" t="s">
        <v>249</v>
      </c>
      <c r="E9">
        <v>3410</v>
      </c>
      <c r="F9">
        <v>3</v>
      </c>
      <c r="G9">
        <v>0</v>
      </c>
      <c r="I9" t="s">
        <v>92</v>
      </c>
      <c r="K9">
        <v>1500</v>
      </c>
      <c r="M9" s="1">
        <v>46132.309305555558</v>
      </c>
      <c r="N9" t="s">
        <v>72</v>
      </c>
    </row>
    <row r="10" spans="1:14" x14ac:dyDescent="0.3">
      <c r="A10" t="s">
        <v>250</v>
      </c>
      <c r="B10" t="s">
        <v>251</v>
      </c>
      <c r="C10" t="s">
        <v>15</v>
      </c>
      <c r="D10" t="s">
        <v>29</v>
      </c>
      <c r="E10" t="s">
        <v>252</v>
      </c>
      <c r="F10">
        <v>1</v>
      </c>
      <c r="G10">
        <v>0</v>
      </c>
      <c r="I10" t="s">
        <v>92</v>
      </c>
      <c r="K10">
        <v>4000</v>
      </c>
      <c r="M10" s="1">
        <v>46132.309305555558</v>
      </c>
      <c r="N10" t="s">
        <v>72</v>
      </c>
    </row>
    <row r="11" spans="1:14" x14ac:dyDescent="0.3">
      <c r="A11" t="s">
        <v>254</v>
      </c>
      <c r="B11" t="s">
        <v>255</v>
      </c>
      <c r="C11" t="s">
        <v>15</v>
      </c>
      <c r="D11" t="s">
        <v>29</v>
      </c>
      <c r="E11" t="s">
        <v>256</v>
      </c>
      <c r="F11">
        <v>4</v>
      </c>
      <c r="G11">
        <v>0</v>
      </c>
      <c r="I11" t="s">
        <v>92</v>
      </c>
      <c r="K11">
        <v>4000</v>
      </c>
      <c r="M11" s="1">
        <v>46132.309305555558</v>
      </c>
      <c r="N11" t="s">
        <v>72</v>
      </c>
    </row>
    <row r="12" spans="1:14" x14ac:dyDescent="0.3">
      <c r="A12" t="s">
        <v>259</v>
      </c>
      <c r="B12" t="s">
        <v>255</v>
      </c>
      <c r="C12" t="s">
        <v>15</v>
      </c>
      <c r="D12" t="s">
        <v>29</v>
      </c>
      <c r="E12" s="15">
        <v>2.3300000000000001E+225</v>
      </c>
      <c r="F12">
        <v>2</v>
      </c>
      <c r="G12">
        <v>0</v>
      </c>
      <c r="I12" t="s">
        <v>92</v>
      </c>
      <c r="K12">
        <v>3500</v>
      </c>
      <c r="M12" s="1">
        <v>46132.309305555558</v>
      </c>
      <c r="N12" t="s">
        <v>72</v>
      </c>
    </row>
    <row r="13" spans="1:14" ht="140" x14ac:dyDescent="0.3">
      <c r="A13" t="s">
        <v>260</v>
      </c>
      <c r="B13" t="s">
        <v>255</v>
      </c>
      <c r="C13" t="s">
        <v>15</v>
      </c>
      <c r="D13" s="16" t="s">
        <v>261</v>
      </c>
      <c r="E13" s="17" t="s">
        <v>262</v>
      </c>
      <c r="F13">
        <v>1</v>
      </c>
      <c r="G13">
        <v>0</v>
      </c>
      <c r="I13" t="s">
        <v>92</v>
      </c>
      <c r="K13">
        <v>2000</v>
      </c>
      <c r="M13" s="1">
        <v>46132.309305555558</v>
      </c>
      <c r="N13" t="s">
        <v>72</v>
      </c>
    </row>
    <row r="14" spans="1:14" ht="112" x14ac:dyDescent="0.3">
      <c r="A14" t="s">
        <v>263</v>
      </c>
      <c r="B14" t="s">
        <v>264</v>
      </c>
      <c r="C14" t="s">
        <v>15</v>
      </c>
      <c r="D14" s="16" t="s">
        <v>261</v>
      </c>
      <c r="E14" s="17" t="s">
        <v>265</v>
      </c>
      <c r="F14">
        <v>2</v>
      </c>
      <c r="G14">
        <v>0</v>
      </c>
      <c r="I14" t="s">
        <v>92</v>
      </c>
      <c r="K14">
        <v>1862</v>
      </c>
      <c r="M14" s="1">
        <v>46132.309305555558</v>
      </c>
      <c r="N14" t="s">
        <v>72</v>
      </c>
    </row>
    <row r="15" spans="1:14" ht="42" x14ac:dyDescent="0.3">
      <c r="A15" t="s">
        <v>266</v>
      </c>
      <c r="B15" t="s">
        <v>267</v>
      </c>
      <c r="C15" t="s">
        <v>15</v>
      </c>
      <c r="D15" s="16" t="s">
        <v>23</v>
      </c>
      <c r="E15" s="17" t="s">
        <v>269</v>
      </c>
      <c r="F15">
        <v>1</v>
      </c>
      <c r="G15">
        <v>1</v>
      </c>
      <c r="I15" t="s">
        <v>92</v>
      </c>
      <c r="M15" s="1">
        <v>46132.309305555558</v>
      </c>
      <c r="N15" t="s">
        <v>72</v>
      </c>
    </row>
    <row r="16" spans="1:14" ht="56" x14ac:dyDescent="0.3">
      <c r="A16" t="s">
        <v>274</v>
      </c>
      <c r="B16" t="s">
        <v>275</v>
      </c>
      <c r="C16" t="s">
        <v>15</v>
      </c>
      <c r="D16" s="16" t="s">
        <v>29</v>
      </c>
      <c r="E16" s="17" t="s">
        <v>276</v>
      </c>
      <c r="F16">
        <v>1</v>
      </c>
      <c r="G16">
        <v>0</v>
      </c>
      <c r="I16" t="s">
        <v>92</v>
      </c>
      <c r="K16">
        <v>2000</v>
      </c>
      <c r="M16" s="1">
        <v>46132.309305555558</v>
      </c>
      <c r="N16" t="s">
        <v>72</v>
      </c>
    </row>
    <row r="17" spans="1:14" ht="42" x14ac:dyDescent="0.3">
      <c r="A17" t="s">
        <v>277</v>
      </c>
      <c r="B17" t="s">
        <v>275</v>
      </c>
      <c r="C17" t="s">
        <v>15</v>
      </c>
      <c r="D17" s="16" t="s">
        <v>29</v>
      </c>
      <c r="E17" s="17" t="s">
        <v>278</v>
      </c>
      <c r="F17">
        <v>0</v>
      </c>
      <c r="G17">
        <v>0</v>
      </c>
      <c r="I17" t="s">
        <v>92</v>
      </c>
      <c r="K17">
        <v>1505</v>
      </c>
      <c r="M17" s="1">
        <v>46132.309305555558</v>
      </c>
      <c r="N17" t="s">
        <v>72</v>
      </c>
    </row>
    <row r="18" spans="1:14" ht="56" x14ac:dyDescent="0.3">
      <c r="A18" t="s">
        <v>279</v>
      </c>
      <c r="B18" t="s">
        <v>280</v>
      </c>
      <c r="C18" t="s">
        <v>15</v>
      </c>
      <c r="D18" s="16" t="s">
        <v>281</v>
      </c>
      <c r="E18" s="17" t="s">
        <v>282</v>
      </c>
      <c r="F18">
        <v>1</v>
      </c>
      <c r="G18">
        <v>0</v>
      </c>
      <c r="I18" t="s">
        <v>92</v>
      </c>
      <c r="K18">
        <v>1500</v>
      </c>
      <c r="M18" s="1">
        <v>46132.309305555558</v>
      </c>
      <c r="N18" t="s">
        <v>72</v>
      </c>
    </row>
    <row r="19" spans="1:14" x14ac:dyDescent="0.3">
      <c r="A19" t="s">
        <v>285</v>
      </c>
      <c r="B19" t="s">
        <v>286</v>
      </c>
      <c r="C19" t="s">
        <v>15</v>
      </c>
      <c r="D19" s="16" t="s">
        <v>287</v>
      </c>
      <c r="E19" s="17" t="s">
        <v>288</v>
      </c>
      <c r="F19">
        <v>1</v>
      </c>
      <c r="G19">
        <v>0</v>
      </c>
      <c r="I19" t="s">
        <v>92</v>
      </c>
      <c r="K19">
        <v>1500</v>
      </c>
      <c r="M19" s="1">
        <v>46132.309305555558</v>
      </c>
      <c r="N19" t="s">
        <v>72</v>
      </c>
    </row>
    <row r="20" spans="1:14" ht="42" x14ac:dyDescent="0.3">
      <c r="A20" t="s">
        <v>289</v>
      </c>
      <c r="B20" t="s">
        <v>275</v>
      </c>
      <c r="C20" t="s">
        <v>15</v>
      </c>
      <c r="D20" s="16" t="s">
        <v>29</v>
      </c>
      <c r="E20" s="17" t="s">
        <v>290</v>
      </c>
      <c r="F20">
        <v>0</v>
      </c>
      <c r="G20">
        <v>0</v>
      </c>
      <c r="I20" t="s">
        <v>92</v>
      </c>
      <c r="K20">
        <v>1820</v>
      </c>
      <c r="M20" s="1">
        <v>46132.309305555558</v>
      </c>
      <c r="N20" t="s">
        <v>72</v>
      </c>
    </row>
    <row r="21" spans="1:14" ht="42" x14ac:dyDescent="0.3">
      <c r="A21" t="s">
        <v>291</v>
      </c>
      <c r="B21" t="s">
        <v>275</v>
      </c>
      <c r="C21" t="s">
        <v>15</v>
      </c>
      <c r="D21" s="16" t="s">
        <v>29</v>
      </c>
      <c r="E21" s="17" t="s">
        <v>292</v>
      </c>
      <c r="F21">
        <v>0</v>
      </c>
      <c r="G21">
        <v>0</v>
      </c>
      <c r="I21" t="s">
        <v>92</v>
      </c>
      <c r="K21">
        <v>1467</v>
      </c>
      <c r="M21" s="1">
        <v>46132.309305555558</v>
      </c>
      <c r="N21" t="s">
        <v>72</v>
      </c>
    </row>
    <row r="22" spans="1:14" x14ac:dyDescent="0.3">
      <c r="A22" t="s">
        <v>293</v>
      </c>
      <c r="B22" t="s">
        <v>294</v>
      </c>
      <c r="C22" t="s">
        <v>15</v>
      </c>
      <c r="D22" s="16" t="s">
        <v>296</v>
      </c>
      <c r="E22" s="17" t="s">
        <v>297</v>
      </c>
      <c r="F22">
        <v>1</v>
      </c>
      <c r="G22">
        <v>0</v>
      </c>
      <c r="I22" t="s">
        <v>92</v>
      </c>
      <c r="K22">
        <v>770</v>
      </c>
      <c r="M22" s="1">
        <v>46132.309305555558</v>
      </c>
      <c r="N22" t="s">
        <v>72</v>
      </c>
    </row>
    <row r="23" spans="1:14" ht="28" x14ac:dyDescent="0.3">
      <c r="A23" t="s">
        <v>300</v>
      </c>
      <c r="B23" t="s">
        <v>301</v>
      </c>
      <c r="C23" t="s">
        <v>15</v>
      </c>
      <c r="D23" s="16" t="s">
        <v>303</v>
      </c>
      <c r="E23" s="17" t="s">
        <v>304</v>
      </c>
      <c r="F23">
        <v>4</v>
      </c>
      <c r="G23">
        <v>2</v>
      </c>
      <c r="I23" t="s">
        <v>92</v>
      </c>
      <c r="K23">
        <v>1200</v>
      </c>
      <c r="M23" s="1">
        <v>46132.309305555558</v>
      </c>
      <c r="N23" t="s">
        <v>72</v>
      </c>
    </row>
    <row r="24" spans="1:14" ht="28" x14ac:dyDescent="0.3">
      <c r="A24" t="s">
        <v>308</v>
      </c>
      <c r="B24" t="s">
        <v>301</v>
      </c>
      <c r="C24" t="s">
        <v>15</v>
      </c>
      <c r="D24" s="16" t="s">
        <v>303</v>
      </c>
      <c r="E24" s="17" t="s">
        <v>309</v>
      </c>
      <c r="F24">
        <v>1</v>
      </c>
      <c r="G24">
        <v>1</v>
      </c>
      <c r="I24" t="s">
        <v>92</v>
      </c>
      <c r="K24">
        <v>1400</v>
      </c>
      <c r="M24" s="1">
        <v>46132.309305555558</v>
      </c>
      <c r="N24" t="s">
        <v>72</v>
      </c>
    </row>
    <row r="25" spans="1:14" ht="28" x14ac:dyDescent="0.3">
      <c r="A25" t="s">
        <v>311</v>
      </c>
      <c r="B25" t="s">
        <v>301</v>
      </c>
      <c r="C25" t="s">
        <v>15</v>
      </c>
      <c r="D25" s="16" t="s">
        <v>303</v>
      </c>
      <c r="E25" s="17" t="s">
        <v>312</v>
      </c>
      <c r="F25">
        <v>1</v>
      </c>
      <c r="G25">
        <v>1</v>
      </c>
      <c r="I25" t="s">
        <v>92</v>
      </c>
      <c r="K25">
        <v>1200</v>
      </c>
      <c r="M25" s="1">
        <v>46132.309305555558</v>
      </c>
      <c r="N25" t="s">
        <v>72</v>
      </c>
    </row>
    <row r="26" spans="1:14" ht="28" x14ac:dyDescent="0.3">
      <c r="A26" t="s">
        <v>314</v>
      </c>
      <c r="B26" t="s">
        <v>301</v>
      </c>
      <c r="C26" t="s">
        <v>15</v>
      </c>
      <c r="D26" s="16" t="s">
        <v>303</v>
      </c>
      <c r="E26" s="17" t="s">
        <v>315</v>
      </c>
      <c r="F26">
        <v>2</v>
      </c>
      <c r="G26">
        <v>2</v>
      </c>
      <c r="I26" t="s">
        <v>92</v>
      </c>
      <c r="K26">
        <v>1200</v>
      </c>
      <c r="M26" s="1">
        <v>46132.309305555558</v>
      </c>
      <c r="N26" t="s">
        <v>72</v>
      </c>
    </row>
    <row r="27" spans="1:14" ht="28" x14ac:dyDescent="0.3">
      <c r="A27" t="s">
        <v>317</v>
      </c>
      <c r="B27" t="s">
        <v>301</v>
      </c>
      <c r="C27" t="s">
        <v>15</v>
      </c>
      <c r="D27" s="16" t="s">
        <v>303</v>
      </c>
      <c r="E27" s="17" t="s">
        <v>318</v>
      </c>
      <c r="F27">
        <v>2</v>
      </c>
      <c r="G27">
        <v>2</v>
      </c>
      <c r="I27" t="s">
        <v>92</v>
      </c>
      <c r="K27">
        <v>1200</v>
      </c>
      <c r="M27" s="1">
        <v>46132.309305555558</v>
      </c>
      <c r="N27" t="s">
        <v>72</v>
      </c>
    </row>
    <row r="28" spans="1:14" ht="28" x14ac:dyDescent="0.3">
      <c r="A28" t="s">
        <v>319</v>
      </c>
      <c r="B28" t="s">
        <v>301</v>
      </c>
      <c r="C28" t="s">
        <v>15</v>
      </c>
      <c r="D28" s="16" t="s">
        <v>303</v>
      </c>
      <c r="E28" s="17" t="s">
        <v>320</v>
      </c>
      <c r="F28">
        <v>1</v>
      </c>
      <c r="G28">
        <v>1</v>
      </c>
      <c r="I28" t="s">
        <v>92</v>
      </c>
      <c r="K28">
        <v>1200</v>
      </c>
      <c r="M28" s="1">
        <v>46132.309305555558</v>
      </c>
      <c r="N28" t="s">
        <v>72</v>
      </c>
    </row>
    <row r="29" spans="1:14" ht="42" x14ac:dyDescent="0.3">
      <c r="A29" t="s">
        <v>322</v>
      </c>
      <c r="B29" t="s">
        <v>323</v>
      </c>
      <c r="C29" t="s">
        <v>15</v>
      </c>
      <c r="D29" s="16" t="s">
        <v>325</v>
      </c>
      <c r="E29" s="17" t="s">
        <v>326</v>
      </c>
      <c r="F29">
        <v>1</v>
      </c>
      <c r="G29">
        <v>1</v>
      </c>
      <c r="I29" t="s">
        <v>92</v>
      </c>
      <c r="K29">
        <v>2700</v>
      </c>
      <c r="M29" s="1">
        <v>46132.309305555558</v>
      </c>
      <c r="N29" t="s">
        <v>72</v>
      </c>
    </row>
    <row r="30" spans="1:14" ht="28" x14ac:dyDescent="0.3">
      <c r="A30" t="s">
        <v>330</v>
      </c>
      <c r="B30" t="s">
        <v>331</v>
      </c>
      <c r="C30" t="s">
        <v>15</v>
      </c>
      <c r="D30" s="16" t="s">
        <v>325</v>
      </c>
      <c r="E30" s="17" t="s">
        <v>332</v>
      </c>
      <c r="F30">
        <v>3</v>
      </c>
      <c r="G30">
        <v>1</v>
      </c>
      <c r="I30" t="s">
        <v>92</v>
      </c>
      <c r="K30">
        <v>2700</v>
      </c>
      <c r="M30" s="1">
        <v>46132.309305555558</v>
      </c>
      <c r="N30" t="s">
        <v>72</v>
      </c>
    </row>
    <row r="31" spans="1:14" ht="28" x14ac:dyDescent="0.3">
      <c r="A31" t="s">
        <v>334</v>
      </c>
      <c r="B31" t="s">
        <v>335</v>
      </c>
      <c r="C31" t="s">
        <v>15</v>
      </c>
      <c r="D31" s="16" t="s">
        <v>325</v>
      </c>
      <c r="E31" s="17" t="s">
        <v>337</v>
      </c>
      <c r="F31">
        <v>1</v>
      </c>
      <c r="G31">
        <v>1</v>
      </c>
      <c r="I31" t="s">
        <v>92</v>
      </c>
      <c r="K31">
        <v>2500</v>
      </c>
      <c r="M31" s="1">
        <v>46132.309305555558</v>
      </c>
      <c r="N31" t="s">
        <v>72</v>
      </c>
    </row>
    <row r="32" spans="1:14" ht="42" x14ac:dyDescent="0.3">
      <c r="A32" t="s">
        <v>339</v>
      </c>
      <c r="B32" t="s">
        <v>340</v>
      </c>
      <c r="C32" t="s">
        <v>15</v>
      </c>
      <c r="D32" s="16" t="s">
        <v>325</v>
      </c>
      <c r="E32" s="17" t="s">
        <v>342</v>
      </c>
      <c r="F32">
        <v>2</v>
      </c>
      <c r="G32">
        <v>0</v>
      </c>
      <c r="I32" t="s">
        <v>92</v>
      </c>
      <c r="K32">
        <v>950</v>
      </c>
      <c r="M32" s="1">
        <v>46132.309305555558</v>
      </c>
      <c r="N32" t="s">
        <v>72</v>
      </c>
    </row>
    <row r="33" spans="1:14" ht="42" x14ac:dyDescent="0.3">
      <c r="A33" t="s">
        <v>344</v>
      </c>
      <c r="B33" t="s">
        <v>345</v>
      </c>
      <c r="C33" t="s">
        <v>15</v>
      </c>
      <c r="D33" s="16" t="s">
        <v>325</v>
      </c>
      <c r="E33" s="17" t="s">
        <v>347</v>
      </c>
      <c r="F33">
        <v>2</v>
      </c>
      <c r="G33">
        <v>0</v>
      </c>
      <c r="I33" t="s">
        <v>92</v>
      </c>
      <c r="K33">
        <v>1960</v>
      </c>
      <c r="M33" s="1">
        <v>46132.309305555558</v>
      </c>
      <c r="N33" t="s">
        <v>72</v>
      </c>
    </row>
    <row r="34" spans="1:14" ht="42" x14ac:dyDescent="0.3">
      <c r="A34" t="s">
        <v>348</v>
      </c>
      <c r="B34" t="s">
        <v>349</v>
      </c>
      <c r="C34" t="s">
        <v>15</v>
      </c>
      <c r="D34" s="16" t="s">
        <v>350</v>
      </c>
      <c r="E34" s="17" t="s">
        <v>351</v>
      </c>
      <c r="F34">
        <v>1</v>
      </c>
      <c r="G34">
        <v>0</v>
      </c>
      <c r="I34" t="s">
        <v>92</v>
      </c>
      <c r="K34">
        <v>1000</v>
      </c>
      <c r="M34" s="1">
        <v>46132.309305555558</v>
      </c>
      <c r="N34" t="s">
        <v>72</v>
      </c>
    </row>
    <row r="35" spans="1:14" x14ac:dyDescent="0.3">
      <c r="A35" t="s">
        <v>353</v>
      </c>
      <c r="B35" t="s">
        <v>354</v>
      </c>
      <c r="C35" t="s">
        <v>15</v>
      </c>
      <c r="D35" s="16" t="s">
        <v>355</v>
      </c>
      <c r="E35" s="17" t="s">
        <v>356</v>
      </c>
      <c r="F35">
        <v>1</v>
      </c>
      <c r="G35">
        <v>0</v>
      </c>
      <c r="I35" t="s">
        <v>92</v>
      </c>
      <c r="K35">
        <v>1000</v>
      </c>
      <c r="M35" s="1">
        <v>46132.309305555558</v>
      </c>
      <c r="N35" t="s">
        <v>72</v>
      </c>
    </row>
    <row r="36" spans="1:14" x14ac:dyDescent="0.3">
      <c r="A36" t="s">
        <v>357</v>
      </c>
      <c r="B36" t="s">
        <v>354</v>
      </c>
      <c r="C36" t="s">
        <v>15</v>
      </c>
      <c r="D36" s="16" t="s">
        <v>355</v>
      </c>
      <c r="E36" s="17" t="s">
        <v>358</v>
      </c>
      <c r="F36">
        <v>1</v>
      </c>
      <c r="G36">
        <v>0</v>
      </c>
      <c r="I36" t="s">
        <v>92</v>
      </c>
      <c r="K36">
        <v>1000</v>
      </c>
      <c r="M36" s="1">
        <v>46132.309305555558</v>
      </c>
      <c r="N36" t="s">
        <v>72</v>
      </c>
    </row>
    <row r="37" spans="1:14" x14ac:dyDescent="0.3">
      <c r="A37" t="s">
        <v>359</v>
      </c>
      <c r="B37" t="s">
        <v>301</v>
      </c>
      <c r="C37" t="s">
        <v>15</v>
      </c>
      <c r="D37" s="16" t="s">
        <v>360</v>
      </c>
      <c r="E37" s="17" t="s">
        <v>361</v>
      </c>
      <c r="F37">
        <v>1</v>
      </c>
      <c r="G37">
        <v>0</v>
      </c>
      <c r="I37" t="s">
        <v>92</v>
      </c>
      <c r="K37">
        <v>1000</v>
      </c>
      <c r="M37" s="1">
        <v>46132.309305555558</v>
      </c>
      <c r="N37" t="s">
        <v>72</v>
      </c>
    </row>
    <row r="38" spans="1:14" ht="28" x14ac:dyDescent="0.3">
      <c r="A38" t="s">
        <v>362</v>
      </c>
      <c r="B38" t="s">
        <v>363</v>
      </c>
      <c r="C38" t="s">
        <v>15</v>
      </c>
      <c r="D38" s="16" t="s">
        <v>39</v>
      </c>
      <c r="E38" s="17" t="s">
        <v>364</v>
      </c>
      <c r="F38">
        <v>1</v>
      </c>
      <c r="G38">
        <v>0</v>
      </c>
      <c r="I38" t="s">
        <v>92</v>
      </c>
      <c r="M38" s="1">
        <v>46132.309305555558</v>
      </c>
      <c r="N38" t="s">
        <v>72</v>
      </c>
    </row>
    <row r="39" spans="1:14" x14ac:dyDescent="0.3">
      <c r="A39" t="s">
        <v>366</v>
      </c>
      <c r="B39" t="s">
        <v>294</v>
      </c>
      <c r="C39" t="s">
        <v>15</v>
      </c>
      <c r="D39" s="16" t="s">
        <v>360</v>
      </c>
      <c r="E39" s="17" t="s">
        <v>367</v>
      </c>
      <c r="F39">
        <v>1</v>
      </c>
      <c r="G39">
        <v>0</v>
      </c>
      <c r="I39" t="s">
        <v>92</v>
      </c>
      <c r="K39">
        <v>800</v>
      </c>
      <c r="M39" s="1">
        <v>46132.309305555558</v>
      </c>
      <c r="N39" t="s">
        <v>72</v>
      </c>
    </row>
    <row r="40" spans="1:14" ht="28" x14ac:dyDescent="0.3">
      <c r="A40" t="s">
        <v>368</v>
      </c>
      <c r="B40" t="s">
        <v>294</v>
      </c>
      <c r="C40" t="s">
        <v>15</v>
      </c>
      <c r="D40" s="16" t="s">
        <v>369</v>
      </c>
      <c r="E40" s="17" t="s">
        <v>370</v>
      </c>
      <c r="F40">
        <v>1</v>
      </c>
      <c r="G40">
        <v>0</v>
      </c>
      <c r="I40" t="s">
        <v>92</v>
      </c>
      <c r="K40">
        <v>800</v>
      </c>
      <c r="M40" s="1">
        <v>46132.309305555558</v>
      </c>
      <c r="N40" t="s">
        <v>72</v>
      </c>
    </row>
    <row r="41" spans="1:14" ht="28" x14ac:dyDescent="0.3">
      <c r="A41" t="s">
        <v>371</v>
      </c>
      <c r="B41" t="s">
        <v>294</v>
      </c>
      <c r="C41" t="s">
        <v>15</v>
      </c>
      <c r="D41" s="16" t="s">
        <v>372</v>
      </c>
      <c r="E41" s="17" t="s">
        <v>373</v>
      </c>
      <c r="F41">
        <v>1</v>
      </c>
      <c r="G41">
        <v>0</v>
      </c>
      <c r="I41" t="s">
        <v>92</v>
      </c>
      <c r="K41">
        <v>800</v>
      </c>
      <c r="M41" s="1">
        <v>46132.309305555558</v>
      </c>
      <c r="N41" t="s">
        <v>72</v>
      </c>
    </row>
    <row r="42" spans="1:14" ht="42" x14ac:dyDescent="0.3">
      <c r="A42" t="s">
        <v>374</v>
      </c>
      <c r="B42" t="s">
        <v>375</v>
      </c>
      <c r="C42" t="s">
        <v>15</v>
      </c>
      <c r="D42" s="16" t="s">
        <v>376</v>
      </c>
      <c r="E42" s="17" t="s">
        <v>377</v>
      </c>
      <c r="F42">
        <v>3</v>
      </c>
      <c r="G42">
        <v>0</v>
      </c>
      <c r="I42" t="s">
        <v>92</v>
      </c>
      <c r="K42">
        <v>800</v>
      </c>
      <c r="M42" s="1">
        <v>46132.309305555558</v>
      </c>
      <c r="N42" t="s">
        <v>72</v>
      </c>
    </row>
    <row r="43" spans="1:14" ht="28" x14ac:dyDescent="0.3">
      <c r="A43" t="s">
        <v>378</v>
      </c>
      <c r="B43" t="s">
        <v>379</v>
      </c>
      <c r="C43" t="s">
        <v>15</v>
      </c>
      <c r="D43" s="16" t="s">
        <v>380</v>
      </c>
      <c r="E43" s="17" t="s">
        <v>381</v>
      </c>
      <c r="F43">
        <v>1</v>
      </c>
      <c r="G43">
        <v>0</v>
      </c>
      <c r="I43" t="s">
        <v>92</v>
      </c>
      <c r="K43">
        <v>500</v>
      </c>
      <c r="M43" s="1">
        <v>46132.309305555558</v>
      </c>
      <c r="N43" t="s">
        <v>72</v>
      </c>
    </row>
    <row r="44" spans="1:14" x14ac:dyDescent="0.3">
      <c r="A44" t="s">
        <v>382</v>
      </c>
      <c r="B44" t="s">
        <v>280</v>
      </c>
      <c r="C44" t="s">
        <v>15</v>
      </c>
      <c r="D44" s="16" t="s">
        <v>383</v>
      </c>
      <c r="E44" s="17" t="s">
        <v>384</v>
      </c>
      <c r="F44">
        <v>1</v>
      </c>
      <c r="G44">
        <v>0</v>
      </c>
      <c r="I44" t="s">
        <v>92</v>
      </c>
      <c r="K44">
        <v>400</v>
      </c>
      <c r="M44" s="1">
        <v>46132.309305555558</v>
      </c>
      <c r="N44" t="s">
        <v>72</v>
      </c>
    </row>
    <row r="45" spans="1:14" x14ac:dyDescent="0.3">
      <c r="A45" t="s">
        <v>385</v>
      </c>
      <c r="B45" t="s">
        <v>386</v>
      </c>
      <c r="C45" t="s">
        <v>15</v>
      </c>
      <c r="D45" s="16" t="s">
        <v>387</v>
      </c>
      <c r="E45" s="17">
        <v>930.83</v>
      </c>
      <c r="F45">
        <v>1</v>
      </c>
      <c r="G45">
        <v>0</v>
      </c>
      <c r="I45" t="s">
        <v>92</v>
      </c>
      <c r="K45">
        <v>300</v>
      </c>
      <c r="M45" s="1">
        <v>46132.309305555558</v>
      </c>
      <c r="N45" t="s">
        <v>72</v>
      </c>
    </row>
    <row r="46" spans="1:14" ht="28" x14ac:dyDescent="0.3">
      <c r="A46" t="s">
        <v>388</v>
      </c>
      <c r="B46" t="s">
        <v>389</v>
      </c>
      <c r="C46" t="s">
        <v>15</v>
      </c>
      <c r="D46" s="16" t="s">
        <v>390</v>
      </c>
      <c r="E46" s="17" t="s">
        <v>391</v>
      </c>
      <c r="F46">
        <v>1</v>
      </c>
      <c r="G46">
        <v>0</v>
      </c>
      <c r="I46" t="s">
        <v>92</v>
      </c>
      <c r="K46">
        <v>300</v>
      </c>
      <c r="M46" s="1">
        <v>46132.309305555558</v>
      </c>
      <c r="N46" t="s">
        <v>72</v>
      </c>
    </row>
    <row r="47" spans="1:14" ht="42" x14ac:dyDescent="0.3">
      <c r="A47" t="s">
        <v>392</v>
      </c>
      <c r="B47" t="s">
        <v>393</v>
      </c>
      <c r="C47" t="s">
        <v>15</v>
      </c>
      <c r="D47" s="16" t="s">
        <v>394</v>
      </c>
      <c r="E47" s="17" t="s">
        <v>395</v>
      </c>
      <c r="F47">
        <v>2</v>
      </c>
      <c r="G47">
        <v>0</v>
      </c>
      <c r="I47" t="s">
        <v>92</v>
      </c>
      <c r="K47">
        <v>250</v>
      </c>
      <c r="M47" s="1">
        <v>46132.309305555558</v>
      </c>
      <c r="N47" t="s">
        <v>72</v>
      </c>
    </row>
    <row r="48" spans="1:14" ht="28" x14ac:dyDescent="0.3">
      <c r="A48" t="s">
        <v>396</v>
      </c>
      <c r="B48" t="s">
        <v>397</v>
      </c>
      <c r="C48" t="s">
        <v>15</v>
      </c>
      <c r="D48" s="16" t="s">
        <v>360</v>
      </c>
      <c r="E48" s="17" t="s">
        <v>398</v>
      </c>
      <c r="F48">
        <v>1</v>
      </c>
      <c r="G48">
        <v>0</v>
      </c>
      <c r="I48" t="s">
        <v>92</v>
      </c>
      <c r="K48">
        <v>250</v>
      </c>
      <c r="M48" s="1">
        <v>46132.309305555558</v>
      </c>
      <c r="N48" t="s">
        <v>72</v>
      </c>
    </row>
    <row r="49" spans="1:14" x14ac:dyDescent="0.3">
      <c r="A49" t="s">
        <v>399</v>
      </c>
      <c r="B49" t="s">
        <v>386</v>
      </c>
      <c r="C49" t="s">
        <v>15</v>
      </c>
      <c r="D49" s="16" t="s">
        <v>400</v>
      </c>
      <c r="E49" s="17" t="s">
        <v>401</v>
      </c>
      <c r="F49">
        <v>1</v>
      </c>
      <c r="G49">
        <v>0</v>
      </c>
      <c r="I49" t="s">
        <v>92</v>
      </c>
      <c r="K49">
        <v>250</v>
      </c>
      <c r="M49" s="1">
        <v>46132.309305555558</v>
      </c>
      <c r="N49" t="s">
        <v>72</v>
      </c>
    </row>
    <row r="50" spans="1:14" x14ac:dyDescent="0.3">
      <c r="A50" t="s">
        <v>402</v>
      </c>
      <c r="B50" t="s">
        <v>280</v>
      </c>
      <c r="C50" t="s">
        <v>15</v>
      </c>
      <c r="D50" s="16" t="s">
        <v>403</v>
      </c>
      <c r="E50" s="17">
        <v>930.8</v>
      </c>
      <c r="F50">
        <v>1</v>
      </c>
      <c r="G50">
        <v>0</v>
      </c>
      <c r="I50" t="s">
        <v>92</v>
      </c>
      <c r="K50">
        <v>250</v>
      </c>
      <c r="M50" s="1">
        <v>46132.309305555558</v>
      </c>
      <c r="N50" t="s">
        <v>72</v>
      </c>
    </row>
    <row r="51" spans="1:14" ht="28" x14ac:dyDescent="0.3">
      <c r="A51" t="s">
        <v>404</v>
      </c>
      <c r="B51" t="s">
        <v>405</v>
      </c>
      <c r="C51" t="s">
        <v>15</v>
      </c>
      <c r="D51" s="16" t="s">
        <v>376</v>
      </c>
      <c r="E51" s="17" t="s">
        <v>406</v>
      </c>
      <c r="F51">
        <v>1</v>
      </c>
      <c r="G51">
        <v>0</v>
      </c>
      <c r="I51" t="s">
        <v>92</v>
      </c>
      <c r="K51">
        <v>250</v>
      </c>
      <c r="M51" s="1">
        <v>46132.309305555558</v>
      </c>
      <c r="N51" t="s">
        <v>72</v>
      </c>
    </row>
    <row r="52" spans="1:14" x14ac:dyDescent="0.3">
      <c r="A52" t="s">
        <v>407</v>
      </c>
      <c r="B52" t="s">
        <v>386</v>
      </c>
      <c r="C52" t="s">
        <v>15</v>
      </c>
      <c r="D52" s="16" t="s">
        <v>400</v>
      </c>
      <c r="E52" s="17" t="s">
        <v>408</v>
      </c>
      <c r="F52">
        <v>1</v>
      </c>
      <c r="G52">
        <v>0</v>
      </c>
      <c r="I52" t="s">
        <v>92</v>
      </c>
      <c r="K52">
        <v>250</v>
      </c>
      <c r="M52" s="1">
        <v>46132.309305555558</v>
      </c>
      <c r="N52" t="s">
        <v>72</v>
      </c>
    </row>
    <row r="53" spans="1:14" ht="42" x14ac:dyDescent="0.3">
      <c r="A53" t="s">
        <v>409</v>
      </c>
      <c r="B53" t="s">
        <v>405</v>
      </c>
      <c r="C53" t="s">
        <v>15</v>
      </c>
      <c r="D53" s="16" t="s">
        <v>49</v>
      </c>
      <c r="E53" s="17" t="s">
        <v>410</v>
      </c>
      <c r="F53">
        <v>3</v>
      </c>
      <c r="G53">
        <v>0</v>
      </c>
      <c r="I53" t="s">
        <v>92</v>
      </c>
      <c r="K53">
        <v>250</v>
      </c>
      <c r="M53" s="1">
        <v>46132.309305555558</v>
      </c>
      <c r="N53" t="s">
        <v>72</v>
      </c>
    </row>
    <row r="54" spans="1:14" ht="42" x14ac:dyDescent="0.3">
      <c r="A54" t="s">
        <v>412</v>
      </c>
      <c r="B54" t="s">
        <v>413</v>
      </c>
      <c r="C54" t="s">
        <v>15</v>
      </c>
      <c r="D54" s="16" t="s">
        <v>414</v>
      </c>
      <c r="E54" s="17" t="s">
        <v>415</v>
      </c>
      <c r="F54">
        <v>1</v>
      </c>
      <c r="G54">
        <v>0</v>
      </c>
      <c r="I54" t="s">
        <v>92</v>
      </c>
      <c r="K54">
        <v>200</v>
      </c>
      <c r="M54" s="1">
        <v>46132.309305555558</v>
      </c>
      <c r="N54" t="s">
        <v>72</v>
      </c>
    </row>
    <row r="55" spans="1:14" ht="42" x14ac:dyDescent="0.3">
      <c r="A55" t="s">
        <v>417</v>
      </c>
      <c r="B55" t="s">
        <v>418</v>
      </c>
      <c r="C55" t="s">
        <v>15</v>
      </c>
      <c r="D55" s="16" t="s">
        <v>419</v>
      </c>
      <c r="E55" s="17" t="s">
        <v>420</v>
      </c>
      <c r="F55">
        <v>5</v>
      </c>
      <c r="G55">
        <v>0</v>
      </c>
      <c r="I55" t="s">
        <v>92</v>
      </c>
      <c r="K55">
        <v>150</v>
      </c>
      <c r="M55" s="1">
        <v>46132.309305555558</v>
      </c>
      <c r="N55" t="s">
        <v>72</v>
      </c>
    </row>
    <row r="56" spans="1:14" ht="28" x14ac:dyDescent="0.3">
      <c r="A56" t="s">
        <v>422</v>
      </c>
      <c r="B56" t="s">
        <v>423</v>
      </c>
      <c r="C56" t="s">
        <v>15</v>
      </c>
      <c r="D56" s="16" t="s">
        <v>424</v>
      </c>
      <c r="E56" s="17" t="s">
        <v>425</v>
      </c>
      <c r="F56">
        <v>10</v>
      </c>
      <c r="G56">
        <v>0</v>
      </c>
      <c r="I56" t="s">
        <v>92</v>
      </c>
      <c r="K56">
        <v>40</v>
      </c>
      <c r="M56" s="1">
        <v>46132.309305555558</v>
      </c>
      <c r="N56" t="s">
        <v>72</v>
      </c>
    </row>
    <row r="57" spans="1:14" ht="28" x14ac:dyDescent="0.3">
      <c r="A57" t="s">
        <v>426</v>
      </c>
      <c r="B57" t="s">
        <v>423</v>
      </c>
      <c r="C57" t="s">
        <v>15</v>
      </c>
      <c r="D57" s="16" t="s">
        <v>427</v>
      </c>
      <c r="E57" s="17" t="s">
        <v>428</v>
      </c>
      <c r="F57">
        <v>4</v>
      </c>
      <c r="G57">
        <v>0</v>
      </c>
      <c r="I57" t="s">
        <v>92</v>
      </c>
      <c r="K57">
        <v>150</v>
      </c>
      <c r="M57" s="1">
        <v>46132.309305555558</v>
      </c>
      <c r="N57" t="s">
        <v>72</v>
      </c>
    </row>
    <row r="58" spans="1:14" ht="70" x14ac:dyDescent="0.3">
      <c r="A58" t="s">
        <v>429</v>
      </c>
      <c r="B58" t="s">
        <v>430</v>
      </c>
      <c r="C58" t="s">
        <v>15</v>
      </c>
      <c r="D58" s="16" t="s">
        <v>431</v>
      </c>
      <c r="E58" s="17" t="s">
        <v>432</v>
      </c>
      <c r="F58">
        <v>1</v>
      </c>
      <c r="G58">
        <v>0</v>
      </c>
      <c r="I58" t="s">
        <v>92</v>
      </c>
      <c r="K58">
        <v>46000</v>
      </c>
      <c r="M58" s="1">
        <v>46132.309305555558</v>
      </c>
      <c r="N58" t="s">
        <v>72</v>
      </c>
    </row>
    <row r="59" spans="1:14" ht="56" x14ac:dyDescent="0.3">
      <c r="A59" t="s">
        <v>434</v>
      </c>
      <c r="B59" t="s">
        <v>435</v>
      </c>
      <c r="C59" t="s">
        <v>15</v>
      </c>
      <c r="D59" s="16"/>
      <c r="E59" s="17" t="s">
        <v>436</v>
      </c>
      <c r="F59">
        <v>2</v>
      </c>
      <c r="G59">
        <v>0</v>
      </c>
      <c r="I59" t="s">
        <v>92</v>
      </c>
      <c r="K59">
        <v>200</v>
      </c>
      <c r="M59" s="1">
        <v>46132.309305555558</v>
      </c>
      <c r="N59" t="s">
        <v>72</v>
      </c>
    </row>
    <row r="60" spans="1:14" ht="56" x14ac:dyDescent="0.3">
      <c r="A60" t="s">
        <v>437</v>
      </c>
      <c r="B60" t="s">
        <v>435</v>
      </c>
      <c r="C60" t="s">
        <v>15</v>
      </c>
      <c r="D60" s="16"/>
      <c r="E60" s="17" t="s">
        <v>438</v>
      </c>
      <c r="F60">
        <v>2</v>
      </c>
      <c r="G60">
        <v>0</v>
      </c>
      <c r="I60" t="s">
        <v>92</v>
      </c>
      <c r="K60">
        <v>200</v>
      </c>
      <c r="M60" s="1">
        <v>46132.309305555558</v>
      </c>
      <c r="N60" t="s">
        <v>72</v>
      </c>
    </row>
    <row r="61" spans="1:14" ht="70" x14ac:dyDescent="0.3">
      <c r="A61" t="s">
        <v>439</v>
      </c>
      <c r="B61" t="s">
        <v>435</v>
      </c>
      <c r="C61" t="s">
        <v>15</v>
      </c>
      <c r="D61" s="16"/>
      <c r="E61" s="17" t="s">
        <v>440</v>
      </c>
      <c r="F61">
        <v>1</v>
      </c>
      <c r="G61">
        <v>0</v>
      </c>
      <c r="I61" t="s">
        <v>92</v>
      </c>
      <c r="K61">
        <v>200</v>
      </c>
      <c r="M61" s="1">
        <v>46132.309305555558</v>
      </c>
      <c r="N61" t="s">
        <v>72</v>
      </c>
    </row>
    <row r="62" spans="1:14" ht="42" x14ac:dyDescent="0.3">
      <c r="A62" t="s">
        <v>441</v>
      </c>
      <c r="B62" t="s">
        <v>435</v>
      </c>
      <c r="C62" t="s">
        <v>15</v>
      </c>
      <c r="D62" s="16" t="s">
        <v>442</v>
      </c>
      <c r="E62" s="17" t="s">
        <v>443</v>
      </c>
      <c r="F62">
        <v>5</v>
      </c>
      <c r="G62">
        <v>0</v>
      </c>
      <c r="I62" t="s">
        <v>92</v>
      </c>
      <c r="K62">
        <v>1000</v>
      </c>
      <c r="M62" s="1">
        <v>46132.309305555558</v>
      </c>
      <c r="N62" t="s">
        <v>72</v>
      </c>
    </row>
    <row r="63" spans="1:14" ht="42" x14ac:dyDescent="0.3">
      <c r="A63" t="s">
        <v>444</v>
      </c>
      <c r="B63" t="s">
        <v>435</v>
      </c>
      <c r="C63" t="s">
        <v>15</v>
      </c>
      <c r="D63" s="16" t="s">
        <v>442</v>
      </c>
      <c r="E63" s="17" t="s">
        <v>445</v>
      </c>
      <c r="F63">
        <v>5</v>
      </c>
      <c r="G63">
        <v>0</v>
      </c>
      <c r="I63" t="s">
        <v>92</v>
      </c>
      <c r="K63">
        <v>1000</v>
      </c>
      <c r="M63" s="1">
        <v>46132.309305555558</v>
      </c>
      <c r="N63" t="s">
        <v>72</v>
      </c>
    </row>
    <row r="64" spans="1:14" ht="42" x14ac:dyDescent="0.3">
      <c r="A64" t="s">
        <v>446</v>
      </c>
      <c r="B64" t="s">
        <v>447</v>
      </c>
      <c r="C64" t="s">
        <v>15</v>
      </c>
      <c r="D64" s="16" t="s">
        <v>296</v>
      </c>
      <c r="E64" s="17" t="s">
        <v>449</v>
      </c>
      <c r="F64">
        <v>2</v>
      </c>
      <c r="G64">
        <v>1</v>
      </c>
      <c r="I64" t="s">
        <v>92</v>
      </c>
      <c r="K64">
        <v>8000</v>
      </c>
      <c r="M64" s="1">
        <v>46132.309305555558</v>
      </c>
      <c r="N64" t="s">
        <v>72</v>
      </c>
    </row>
    <row r="65" spans="1:14" ht="42" x14ac:dyDescent="0.3">
      <c r="A65" t="s">
        <v>451</v>
      </c>
      <c r="B65" t="s">
        <v>452</v>
      </c>
      <c r="C65" t="s">
        <v>15</v>
      </c>
      <c r="D65" s="16" t="s">
        <v>419</v>
      </c>
      <c r="E65" s="17" t="s">
        <v>453</v>
      </c>
      <c r="F65">
        <v>1</v>
      </c>
      <c r="G65">
        <v>0</v>
      </c>
      <c r="I65" t="s">
        <v>92</v>
      </c>
      <c r="K65">
        <v>3500</v>
      </c>
      <c r="M65" s="1">
        <v>46132.309305555558</v>
      </c>
      <c r="N65" t="s">
        <v>72</v>
      </c>
    </row>
    <row r="66" spans="1:14" ht="28" x14ac:dyDescent="0.3">
      <c r="A66" t="s">
        <v>454</v>
      </c>
      <c r="B66" t="s">
        <v>455</v>
      </c>
      <c r="C66" t="s">
        <v>15</v>
      </c>
      <c r="D66" s="16" t="s">
        <v>456</v>
      </c>
      <c r="E66" s="17" t="s">
        <v>457</v>
      </c>
      <c r="F66">
        <v>1</v>
      </c>
      <c r="G66">
        <v>0</v>
      </c>
      <c r="I66" t="s">
        <v>92</v>
      </c>
      <c r="K66">
        <v>1200</v>
      </c>
      <c r="M66" s="1">
        <v>46132.309305555558</v>
      </c>
      <c r="N66" t="s">
        <v>72</v>
      </c>
    </row>
    <row r="67" spans="1:14" x14ac:dyDescent="0.3">
      <c r="A67" t="s">
        <v>458</v>
      </c>
      <c r="B67" t="s">
        <v>455</v>
      </c>
      <c r="C67" t="s">
        <v>15</v>
      </c>
      <c r="D67" s="16" t="s">
        <v>456</v>
      </c>
      <c r="E67" s="17" t="s">
        <v>459</v>
      </c>
      <c r="F67">
        <v>2</v>
      </c>
      <c r="G67">
        <v>0</v>
      </c>
      <c r="I67" t="s">
        <v>92</v>
      </c>
      <c r="K67">
        <v>1200</v>
      </c>
      <c r="M67" s="1">
        <v>46132.309305555558</v>
      </c>
      <c r="N67" t="s">
        <v>72</v>
      </c>
    </row>
    <row r="68" spans="1:14" x14ac:dyDescent="0.3">
      <c r="A68" t="s">
        <v>460</v>
      </c>
      <c r="B68" t="s">
        <v>455</v>
      </c>
      <c r="C68" t="s">
        <v>15</v>
      </c>
      <c r="D68" s="16" t="s">
        <v>456</v>
      </c>
      <c r="E68" s="17" t="s">
        <v>461</v>
      </c>
      <c r="F68">
        <v>1</v>
      </c>
      <c r="G68">
        <v>0</v>
      </c>
      <c r="I68" t="s">
        <v>92</v>
      </c>
      <c r="K68">
        <v>1200</v>
      </c>
      <c r="M68" s="1">
        <v>46132.309305555558</v>
      </c>
      <c r="N68" t="s">
        <v>72</v>
      </c>
    </row>
    <row r="69" spans="1:14" ht="28" x14ac:dyDescent="0.3">
      <c r="A69" t="s">
        <v>463</v>
      </c>
      <c r="B69" t="s">
        <v>464</v>
      </c>
      <c r="C69" t="s">
        <v>15</v>
      </c>
      <c r="D69" s="16" t="s">
        <v>23</v>
      </c>
      <c r="E69" s="17" t="s">
        <v>466</v>
      </c>
      <c r="F69">
        <v>1</v>
      </c>
      <c r="G69">
        <v>1</v>
      </c>
      <c r="I69" t="s">
        <v>92</v>
      </c>
      <c r="M69" s="1">
        <v>46132.309305555558</v>
      </c>
      <c r="N69" t="s">
        <v>72</v>
      </c>
    </row>
    <row r="70" spans="1:14" x14ac:dyDescent="0.3">
      <c r="A70" t="s">
        <v>468</v>
      </c>
      <c r="B70" t="s">
        <v>469</v>
      </c>
      <c r="C70" t="s">
        <v>15</v>
      </c>
      <c r="D70" s="16" t="s">
        <v>471</v>
      </c>
      <c r="E70" s="17" t="s">
        <v>472</v>
      </c>
      <c r="F70">
        <v>1</v>
      </c>
      <c r="G70">
        <v>0</v>
      </c>
      <c r="I70" t="s">
        <v>92</v>
      </c>
      <c r="K70">
        <v>1200</v>
      </c>
      <c r="M70" s="1">
        <v>46132.309305555558</v>
      </c>
      <c r="N70" t="s">
        <v>72</v>
      </c>
    </row>
    <row r="71" spans="1:14" x14ac:dyDescent="0.3">
      <c r="A71" t="s">
        <v>474</v>
      </c>
      <c r="B71" t="s">
        <v>280</v>
      </c>
      <c r="C71" t="s">
        <v>15</v>
      </c>
      <c r="D71" s="16" t="s">
        <v>475</v>
      </c>
      <c r="E71" s="17" t="s">
        <v>476</v>
      </c>
      <c r="F71">
        <v>1</v>
      </c>
      <c r="G71">
        <v>0</v>
      </c>
      <c r="I71" t="s">
        <v>92</v>
      </c>
      <c r="K71">
        <v>3000</v>
      </c>
      <c r="M71" s="1">
        <v>46132.309305555558</v>
      </c>
      <c r="N71" t="s">
        <v>72</v>
      </c>
    </row>
    <row r="72" spans="1:14" ht="28" x14ac:dyDescent="0.3">
      <c r="A72" t="s">
        <v>478</v>
      </c>
      <c r="B72" t="s">
        <v>447</v>
      </c>
      <c r="C72" t="s">
        <v>15</v>
      </c>
      <c r="D72" s="16" t="s">
        <v>296</v>
      </c>
      <c r="E72" s="17" t="s">
        <v>479</v>
      </c>
      <c r="F72">
        <v>1</v>
      </c>
      <c r="G72">
        <v>0</v>
      </c>
      <c r="I72" t="s">
        <v>92</v>
      </c>
      <c r="K72">
        <v>3000</v>
      </c>
      <c r="M72" s="1">
        <v>46132.309305555558</v>
      </c>
      <c r="N72" t="s">
        <v>72</v>
      </c>
    </row>
    <row r="73" spans="1:14" ht="42" x14ac:dyDescent="0.3">
      <c r="A73" t="s">
        <v>481</v>
      </c>
      <c r="B73" t="s">
        <v>255</v>
      </c>
      <c r="C73" t="s">
        <v>15</v>
      </c>
      <c r="D73" s="16" t="s">
        <v>29</v>
      </c>
      <c r="E73" s="17" t="s">
        <v>482</v>
      </c>
      <c r="F73">
        <v>0</v>
      </c>
      <c r="G73">
        <v>0</v>
      </c>
      <c r="I73" t="s">
        <v>92</v>
      </c>
      <c r="K73">
        <v>4500</v>
      </c>
      <c r="M73" s="1">
        <v>46132.309305555558</v>
      </c>
      <c r="N73" t="s">
        <v>72</v>
      </c>
    </row>
    <row r="74" spans="1:14" ht="28" x14ac:dyDescent="0.3">
      <c r="A74" t="s">
        <v>483</v>
      </c>
      <c r="B74" t="s">
        <v>484</v>
      </c>
      <c r="C74" t="s">
        <v>15</v>
      </c>
      <c r="D74" s="16" t="s">
        <v>23</v>
      </c>
      <c r="E74" s="17" t="s">
        <v>486</v>
      </c>
      <c r="F74">
        <v>1</v>
      </c>
      <c r="G74">
        <v>1</v>
      </c>
      <c r="I74" t="s">
        <v>92</v>
      </c>
      <c r="M74" s="1">
        <v>46132.309305555558</v>
      </c>
      <c r="N74" t="s">
        <v>72</v>
      </c>
    </row>
    <row r="75" spans="1:14" ht="28" x14ac:dyDescent="0.3">
      <c r="A75" t="s">
        <v>488</v>
      </c>
      <c r="B75" t="s">
        <v>418</v>
      </c>
      <c r="C75" t="s">
        <v>15</v>
      </c>
      <c r="D75" s="16" t="s">
        <v>21</v>
      </c>
      <c r="E75" s="17" t="s">
        <v>490</v>
      </c>
      <c r="F75">
        <v>1</v>
      </c>
      <c r="G75">
        <v>0</v>
      </c>
      <c r="I75" t="s">
        <v>92</v>
      </c>
      <c r="K75">
        <v>600</v>
      </c>
      <c r="M75" s="1">
        <v>46132.309305555558</v>
      </c>
      <c r="N75" t="s">
        <v>72</v>
      </c>
    </row>
    <row r="76" spans="1:14" ht="42" x14ac:dyDescent="0.3">
      <c r="A76" t="s">
        <v>492</v>
      </c>
      <c r="B76" t="s">
        <v>493</v>
      </c>
      <c r="C76" t="s">
        <v>15</v>
      </c>
      <c r="D76" s="16" t="s">
        <v>21</v>
      </c>
      <c r="E76" s="17" t="s">
        <v>495</v>
      </c>
      <c r="F76">
        <v>1</v>
      </c>
      <c r="G76">
        <v>0</v>
      </c>
      <c r="I76" t="s">
        <v>92</v>
      </c>
      <c r="K76">
        <v>500</v>
      </c>
      <c r="M76" s="1">
        <v>46132.309305555558</v>
      </c>
      <c r="N76" t="s">
        <v>72</v>
      </c>
    </row>
    <row r="77" spans="1:14" ht="28" x14ac:dyDescent="0.3">
      <c r="A77" t="s">
        <v>496</v>
      </c>
      <c r="B77" t="s">
        <v>455</v>
      </c>
      <c r="C77" t="s">
        <v>15</v>
      </c>
      <c r="D77" s="16" t="s">
        <v>456</v>
      </c>
      <c r="E77" s="17" t="s">
        <v>497</v>
      </c>
      <c r="F77">
        <v>1</v>
      </c>
      <c r="G77">
        <v>0</v>
      </c>
      <c r="I77" t="s">
        <v>92</v>
      </c>
      <c r="K77">
        <v>1500</v>
      </c>
      <c r="M77" s="1">
        <v>46132.309305555558</v>
      </c>
      <c r="N77" t="s">
        <v>72</v>
      </c>
    </row>
    <row r="78" spans="1:14" x14ac:dyDescent="0.3">
      <c r="A78" t="s">
        <v>498</v>
      </c>
      <c r="B78" t="s">
        <v>455</v>
      </c>
      <c r="C78" t="s">
        <v>15</v>
      </c>
      <c r="D78" s="16" t="s">
        <v>456</v>
      </c>
      <c r="E78" s="17" t="s">
        <v>499</v>
      </c>
      <c r="F78">
        <v>1</v>
      </c>
      <c r="G78">
        <v>0</v>
      </c>
      <c r="I78" t="s">
        <v>92</v>
      </c>
      <c r="K78">
        <v>800</v>
      </c>
      <c r="M78" s="1">
        <v>46132.309305555558</v>
      </c>
      <c r="N78" t="s">
        <v>72</v>
      </c>
    </row>
    <row r="79" spans="1:14" x14ac:dyDescent="0.3">
      <c r="A79" t="s">
        <v>500</v>
      </c>
      <c r="B79" t="s">
        <v>248</v>
      </c>
      <c r="C79" t="s">
        <v>15</v>
      </c>
      <c r="D79" s="16" t="s">
        <v>501</v>
      </c>
      <c r="E79" s="17" t="s">
        <v>502</v>
      </c>
      <c r="F79">
        <v>3</v>
      </c>
      <c r="G79">
        <v>0</v>
      </c>
      <c r="I79" t="s">
        <v>92</v>
      </c>
      <c r="K79">
        <v>1500</v>
      </c>
      <c r="M79" s="1">
        <v>46132.309305555558</v>
      </c>
      <c r="N79" t="s">
        <v>72</v>
      </c>
    </row>
    <row r="80" spans="1:14" ht="56" x14ac:dyDescent="0.3">
      <c r="A80" t="s">
        <v>503</v>
      </c>
      <c r="B80" t="s">
        <v>504</v>
      </c>
      <c r="C80" t="s">
        <v>15</v>
      </c>
      <c r="D80" s="16" t="s">
        <v>505</v>
      </c>
      <c r="E80" s="17" t="s">
        <v>506</v>
      </c>
      <c r="F80">
        <v>1</v>
      </c>
      <c r="G80">
        <v>1</v>
      </c>
      <c r="I80" t="s">
        <v>92</v>
      </c>
      <c r="M80" s="1">
        <v>46132.309305555558</v>
      </c>
      <c r="N80" t="s">
        <v>72</v>
      </c>
    </row>
    <row r="81" spans="1:14" x14ac:dyDescent="0.3">
      <c r="A81" t="s">
        <v>508</v>
      </c>
      <c r="B81" t="s">
        <v>509</v>
      </c>
      <c r="C81" t="s">
        <v>15</v>
      </c>
      <c r="D81" s="16" t="s">
        <v>29</v>
      </c>
      <c r="E81" s="17" t="s">
        <v>511</v>
      </c>
      <c r="F81">
        <v>4</v>
      </c>
      <c r="G81">
        <v>0</v>
      </c>
      <c r="I81" t="s">
        <v>92</v>
      </c>
      <c r="K81">
        <v>750</v>
      </c>
      <c r="M81" s="1">
        <v>46132.309305555558</v>
      </c>
      <c r="N81" t="s">
        <v>72</v>
      </c>
    </row>
    <row r="82" spans="1:14" ht="28" x14ac:dyDescent="0.3">
      <c r="A82" t="s">
        <v>512</v>
      </c>
      <c r="B82" t="s">
        <v>513</v>
      </c>
      <c r="C82" t="s">
        <v>15</v>
      </c>
      <c r="D82" s="16" t="s">
        <v>29</v>
      </c>
      <c r="E82" s="17" t="s">
        <v>515</v>
      </c>
      <c r="F82">
        <v>1</v>
      </c>
      <c r="G82">
        <v>0</v>
      </c>
      <c r="I82" t="s">
        <v>92</v>
      </c>
      <c r="K82">
        <v>750</v>
      </c>
      <c r="M82" s="1">
        <v>46132.309305555558</v>
      </c>
      <c r="N82" t="s">
        <v>72</v>
      </c>
    </row>
    <row r="83" spans="1:14" ht="154" x14ac:dyDescent="0.3">
      <c r="A83" t="s">
        <v>516</v>
      </c>
      <c r="B83" t="s">
        <v>517</v>
      </c>
      <c r="C83" t="s">
        <v>15</v>
      </c>
      <c r="D83" s="16" t="s">
        <v>29</v>
      </c>
      <c r="E83" s="17" t="s">
        <v>519</v>
      </c>
      <c r="F83">
        <v>3</v>
      </c>
      <c r="G83">
        <v>0</v>
      </c>
      <c r="I83" t="s">
        <v>92</v>
      </c>
      <c r="K83">
        <v>500</v>
      </c>
      <c r="M83" s="1">
        <v>46132.309305555558</v>
      </c>
      <c r="N83" t="s">
        <v>72</v>
      </c>
    </row>
    <row r="84" spans="1:14" ht="42" x14ac:dyDescent="0.3">
      <c r="A84" t="s">
        <v>520</v>
      </c>
      <c r="B84" t="s">
        <v>521</v>
      </c>
      <c r="C84" t="s">
        <v>15</v>
      </c>
      <c r="D84" s="16" t="s">
        <v>296</v>
      </c>
      <c r="E84" s="17" t="s">
        <v>523</v>
      </c>
      <c r="F84">
        <v>1</v>
      </c>
      <c r="G84">
        <v>0</v>
      </c>
      <c r="I84" t="s">
        <v>92</v>
      </c>
      <c r="K84">
        <v>7000</v>
      </c>
      <c r="M84" s="1">
        <v>46132.309305555558</v>
      </c>
      <c r="N84" t="s">
        <v>72</v>
      </c>
    </row>
    <row r="85" spans="1:14" ht="42" x14ac:dyDescent="0.3">
      <c r="A85" t="s">
        <v>526</v>
      </c>
      <c r="B85" t="s">
        <v>527</v>
      </c>
      <c r="C85" t="s">
        <v>15</v>
      </c>
      <c r="D85" s="16" t="s">
        <v>296</v>
      </c>
      <c r="E85" s="17" t="s">
        <v>529</v>
      </c>
      <c r="F85">
        <v>1</v>
      </c>
      <c r="G85">
        <v>0</v>
      </c>
      <c r="I85" t="s">
        <v>92</v>
      </c>
      <c r="K85">
        <v>7000</v>
      </c>
      <c r="M85" s="1">
        <v>46132.309305555558</v>
      </c>
      <c r="N85" t="s">
        <v>72</v>
      </c>
    </row>
    <row r="86" spans="1:14" ht="28" x14ac:dyDescent="0.3">
      <c r="A86" t="s">
        <v>531</v>
      </c>
      <c r="B86" t="s">
        <v>532</v>
      </c>
      <c r="C86" t="s">
        <v>15</v>
      </c>
      <c r="D86" s="16" t="s">
        <v>534</v>
      </c>
      <c r="E86" s="17" t="s">
        <v>535</v>
      </c>
      <c r="F86">
        <v>2</v>
      </c>
      <c r="G86">
        <v>0</v>
      </c>
      <c r="I86" t="s">
        <v>92</v>
      </c>
      <c r="K86">
        <v>3600</v>
      </c>
      <c r="M86" s="1">
        <v>46132.309305555558</v>
      </c>
      <c r="N86" t="s">
        <v>72</v>
      </c>
    </row>
    <row r="87" spans="1:14" ht="28" x14ac:dyDescent="0.3">
      <c r="A87" t="s">
        <v>538</v>
      </c>
      <c r="B87" t="s">
        <v>539</v>
      </c>
      <c r="C87" t="s">
        <v>15</v>
      </c>
      <c r="D87" s="16" t="s">
        <v>296</v>
      </c>
      <c r="E87" s="17" t="s">
        <v>541</v>
      </c>
      <c r="F87">
        <v>2</v>
      </c>
      <c r="G87">
        <v>0</v>
      </c>
      <c r="I87" t="s">
        <v>92</v>
      </c>
      <c r="K87">
        <v>3500</v>
      </c>
      <c r="M87" s="1">
        <v>46132.309305555558</v>
      </c>
      <c r="N87" t="s">
        <v>72</v>
      </c>
    </row>
    <row r="88" spans="1:14" ht="28" x14ac:dyDescent="0.3">
      <c r="A88" t="s">
        <v>543</v>
      </c>
      <c r="B88" t="s">
        <v>544</v>
      </c>
      <c r="C88" t="s">
        <v>15</v>
      </c>
      <c r="D88" s="16" t="s">
        <v>296</v>
      </c>
      <c r="E88" s="17" t="s">
        <v>546</v>
      </c>
      <c r="F88">
        <v>1</v>
      </c>
      <c r="G88">
        <v>0</v>
      </c>
      <c r="I88" t="s">
        <v>92</v>
      </c>
      <c r="K88">
        <v>70000</v>
      </c>
      <c r="M88" s="1">
        <v>46132.309305555558</v>
      </c>
      <c r="N88" t="s">
        <v>72</v>
      </c>
    </row>
    <row r="89" spans="1:14" ht="42" x14ac:dyDescent="0.3">
      <c r="A89" t="s">
        <v>548</v>
      </c>
      <c r="B89" t="s">
        <v>549</v>
      </c>
      <c r="C89" t="s">
        <v>15</v>
      </c>
      <c r="D89" s="16" t="s">
        <v>296</v>
      </c>
      <c r="E89" s="17" t="s">
        <v>551</v>
      </c>
      <c r="F89">
        <v>2</v>
      </c>
      <c r="G89">
        <v>0</v>
      </c>
      <c r="I89" t="s">
        <v>92</v>
      </c>
      <c r="K89">
        <v>3000</v>
      </c>
      <c r="M89" s="1">
        <v>46132.309305555558</v>
      </c>
      <c r="N89" t="s">
        <v>72</v>
      </c>
    </row>
    <row r="90" spans="1:14" ht="28" x14ac:dyDescent="0.3">
      <c r="A90" t="s">
        <v>553</v>
      </c>
      <c r="B90" t="s">
        <v>554</v>
      </c>
      <c r="C90" t="s">
        <v>15</v>
      </c>
      <c r="D90" s="16" t="s">
        <v>456</v>
      </c>
      <c r="E90" s="17" t="s">
        <v>555</v>
      </c>
      <c r="F90">
        <v>1</v>
      </c>
      <c r="G90">
        <v>0</v>
      </c>
      <c r="I90" t="s">
        <v>92</v>
      </c>
      <c r="M90" s="1">
        <v>46132.309305555558</v>
      </c>
      <c r="N90" t="s">
        <v>72</v>
      </c>
    </row>
    <row r="91" spans="1:14" ht="28" x14ac:dyDescent="0.3">
      <c r="A91" t="s">
        <v>557</v>
      </c>
      <c r="B91" t="s">
        <v>455</v>
      </c>
      <c r="C91" t="s">
        <v>15</v>
      </c>
      <c r="D91" s="16" t="s">
        <v>456</v>
      </c>
      <c r="E91" s="17" t="s">
        <v>558</v>
      </c>
      <c r="F91">
        <v>1</v>
      </c>
      <c r="G91">
        <v>0</v>
      </c>
      <c r="I91" t="s">
        <v>92</v>
      </c>
      <c r="M91" s="1">
        <v>46132.309305555558</v>
      </c>
      <c r="N91" t="s">
        <v>72</v>
      </c>
    </row>
    <row r="92" spans="1:14" ht="28" x14ac:dyDescent="0.3">
      <c r="A92" t="s">
        <v>559</v>
      </c>
      <c r="B92" t="s">
        <v>455</v>
      </c>
      <c r="C92" t="s">
        <v>15</v>
      </c>
      <c r="D92" s="16" t="s">
        <v>456</v>
      </c>
      <c r="E92" s="17" t="s">
        <v>560</v>
      </c>
      <c r="F92">
        <v>1</v>
      </c>
      <c r="G92">
        <v>0</v>
      </c>
      <c r="I92" t="s">
        <v>92</v>
      </c>
      <c r="M92" s="1">
        <v>46132.309305555558</v>
      </c>
      <c r="N92" t="s">
        <v>72</v>
      </c>
    </row>
    <row r="93" spans="1:14" x14ac:dyDescent="0.3">
      <c r="A93" t="s">
        <v>562</v>
      </c>
      <c r="B93" t="s">
        <v>563</v>
      </c>
      <c r="C93" t="s">
        <v>15</v>
      </c>
      <c r="D93" s="16" t="s">
        <v>564</v>
      </c>
      <c r="E93" s="17" t="s">
        <v>565</v>
      </c>
      <c r="F93">
        <v>1</v>
      </c>
      <c r="G93">
        <v>0</v>
      </c>
      <c r="I93" t="s">
        <v>92</v>
      </c>
      <c r="K93">
        <v>4750</v>
      </c>
      <c r="M93" s="1">
        <v>46132.309305555558</v>
      </c>
      <c r="N93" t="s">
        <v>72</v>
      </c>
    </row>
    <row r="94" spans="1:14" ht="98" x14ac:dyDescent="0.3">
      <c r="A94" t="s">
        <v>568</v>
      </c>
      <c r="B94" t="s">
        <v>513</v>
      </c>
      <c r="C94" t="s">
        <v>15</v>
      </c>
      <c r="D94" s="16" t="s">
        <v>29</v>
      </c>
      <c r="E94" s="17" t="s">
        <v>569</v>
      </c>
      <c r="F94">
        <v>2</v>
      </c>
      <c r="G94">
        <v>0</v>
      </c>
      <c r="I94" t="s">
        <v>92</v>
      </c>
      <c r="K94">
        <v>750</v>
      </c>
      <c r="M94" s="1">
        <v>46132.309305555558</v>
      </c>
      <c r="N94" t="s">
        <v>72</v>
      </c>
    </row>
    <row r="95" spans="1:14" ht="42" x14ac:dyDescent="0.3">
      <c r="A95" t="s">
        <v>571</v>
      </c>
      <c r="B95" t="s">
        <v>240</v>
      </c>
      <c r="C95" t="s">
        <v>15</v>
      </c>
      <c r="D95" s="16" t="s">
        <v>296</v>
      </c>
      <c r="E95" s="17" t="s">
        <v>573</v>
      </c>
      <c r="F95">
        <v>1</v>
      </c>
      <c r="G95">
        <v>0</v>
      </c>
      <c r="I95" t="s">
        <v>92</v>
      </c>
      <c r="K95">
        <v>4000</v>
      </c>
      <c r="M95" s="1">
        <v>46132.309305555558</v>
      </c>
      <c r="N95" t="s">
        <v>72</v>
      </c>
    </row>
    <row r="96" spans="1:14" ht="28" x14ac:dyDescent="0.3">
      <c r="A96" t="s">
        <v>575</v>
      </c>
      <c r="B96" t="s">
        <v>576</v>
      </c>
      <c r="C96" t="s">
        <v>15</v>
      </c>
      <c r="D96" s="16" t="s">
        <v>281</v>
      </c>
      <c r="E96" s="17" t="s">
        <v>577</v>
      </c>
      <c r="F96">
        <v>2</v>
      </c>
      <c r="G96">
        <v>0</v>
      </c>
      <c r="I96" t="s">
        <v>92</v>
      </c>
      <c r="M96" s="1">
        <v>46132.309305555558</v>
      </c>
      <c r="N96" t="s">
        <v>72</v>
      </c>
    </row>
    <row r="97" spans="1:14" ht="28" x14ac:dyDescent="0.3">
      <c r="A97" t="s">
        <v>579</v>
      </c>
      <c r="B97" t="s">
        <v>580</v>
      </c>
      <c r="C97" t="s">
        <v>15</v>
      </c>
      <c r="D97" s="16" t="s">
        <v>281</v>
      </c>
      <c r="E97" s="17" t="s">
        <v>581</v>
      </c>
      <c r="F97">
        <v>0</v>
      </c>
      <c r="G97">
        <v>0</v>
      </c>
      <c r="I97" t="s">
        <v>92</v>
      </c>
      <c r="M97" s="1">
        <v>46132.309305555558</v>
      </c>
      <c r="N97" t="s">
        <v>72</v>
      </c>
    </row>
    <row r="98" spans="1:14" x14ac:dyDescent="0.3">
      <c r="A98" t="s">
        <v>584</v>
      </c>
      <c r="B98" t="s">
        <v>585</v>
      </c>
      <c r="C98" t="s">
        <v>15</v>
      </c>
      <c r="D98" s="16" t="s">
        <v>39</v>
      </c>
      <c r="E98" s="17" t="s">
        <v>586</v>
      </c>
      <c r="F98">
        <v>1</v>
      </c>
      <c r="G98">
        <v>0</v>
      </c>
      <c r="I98" t="s">
        <v>92</v>
      </c>
      <c r="M98" s="1">
        <v>46132.309305555558</v>
      </c>
      <c r="N98" t="s">
        <v>72</v>
      </c>
    </row>
    <row r="99" spans="1:14" x14ac:dyDescent="0.3">
      <c r="A99" t="s">
        <v>587</v>
      </c>
      <c r="B99" t="s">
        <v>588</v>
      </c>
      <c r="C99" t="s">
        <v>15</v>
      </c>
      <c r="D99" s="16" t="s">
        <v>39</v>
      </c>
      <c r="E99" s="17" t="s">
        <v>589</v>
      </c>
      <c r="F99">
        <v>1</v>
      </c>
      <c r="G99">
        <v>0</v>
      </c>
      <c r="I99" t="s">
        <v>92</v>
      </c>
      <c r="M99" s="1">
        <v>46132.309305555558</v>
      </c>
      <c r="N99" t="s">
        <v>72</v>
      </c>
    </row>
    <row r="100" spans="1:14" x14ac:dyDescent="0.3">
      <c r="A100" t="s">
        <v>590</v>
      </c>
      <c r="B100" t="s">
        <v>591</v>
      </c>
      <c r="C100" t="s">
        <v>15</v>
      </c>
      <c r="D100" s="16" t="s">
        <v>39</v>
      </c>
      <c r="E100" s="17" t="s">
        <v>592</v>
      </c>
      <c r="F100">
        <v>1</v>
      </c>
      <c r="G100">
        <v>0</v>
      </c>
      <c r="I100" t="s">
        <v>92</v>
      </c>
      <c r="M100" s="1">
        <v>46132.309305555558</v>
      </c>
      <c r="N100" t="s">
        <v>72</v>
      </c>
    </row>
    <row r="101" spans="1:14" ht="28" x14ac:dyDescent="0.3">
      <c r="A101" t="s">
        <v>593</v>
      </c>
      <c r="B101" t="s">
        <v>594</v>
      </c>
      <c r="C101" t="s">
        <v>15</v>
      </c>
      <c r="D101" s="16" t="s">
        <v>39</v>
      </c>
      <c r="E101" s="17" t="s">
        <v>595</v>
      </c>
      <c r="F101">
        <v>1</v>
      </c>
      <c r="G101">
        <v>0</v>
      </c>
      <c r="I101" t="s">
        <v>92</v>
      </c>
      <c r="M101" s="1">
        <v>46132.309305555558</v>
      </c>
      <c r="N101" t="s">
        <v>72</v>
      </c>
    </row>
    <row r="102" spans="1:14" ht="28" x14ac:dyDescent="0.3">
      <c r="A102" t="s">
        <v>596</v>
      </c>
      <c r="B102" t="s">
        <v>597</v>
      </c>
      <c r="C102" t="s">
        <v>15</v>
      </c>
      <c r="D102" s="16" t="s">
        <v>598</v>
      </c>
      <c r="E102" s="17" t="s">
        <v>599</v>
      </c>
      <c r="F102">
        <v>0</v>
      </c>
      <c r="G102">
        <v>0</v>
      </c>
      <c r="I102" t="s">
        <v>92</v>
      </c>
      <c r="M102" s="1">
        <v>46132.309305555558</v>
      </c>
      <c r="N102" t="s">
        <v>72</v>
      </c>
    </row>
    <row r="103" spans="1:14" x14ac:dyDescent="0.3">
      <c r="A103" t="s">
        <v>603</v>
      </c>
      <c r="B103" t="s">
        <v>604</v>
      </c>
      <c r="C103" t="s">
        <v>15</v>
      </c>
      <c r="D103" s="16" t="s">
        <v>244</v>
      </c>
      <c r="E103" s="17" t="s">
        <v>605</v>
      </c>
      <c r="F103">
        <v>1</v>
      </c>
      <c r="G103">
        <v>0</v>
      </c>
      <c r="I103" t="s">
        <v>92</v>
      </c>
      <c r="M103" s="1">
        <v>46132.309305555558</v>
      </c>
      <c r="N103" t="s">
        <v>72</v>
      </c>
    </row>
    <row r="104" spans="1:14" x14ac:dyDescent="0.3">
      <c r="A104" t="s">
        <v>607</v>
      </c>
      <c r="B104" t="s">
        <v>608</v>
      </c>
      <c r="C104" t="s">
        <v>15</v>
      </c>
      <c r="D104" s="16" t="s">
        <v>609</v>
      </c>
      <c r="E104" s="17" t="s">
        <v>610</v>
      </c>
      <c r="F104">
        <v>1</v>
      </c>
      <c r="G104">
        <v>0</v>
      </c>
      <c r="I104" t="s">
        <v>92</v>
      </c>
      <c r="M104" s="1">
        <v>46132.309305555558</v>
      </c>
      <c r="N104" t="s">
        <v>72</v>
      </c>
    </row>
    <row r="105" spans="1:14" ht="28" x14ac:dyDescent="0.3">
      <c r="A105" t="s">
        <v>612</v>
      </c>
      <c r="B105" t="s">
        <v>613</v>
      </c>
      <c r="C105" t="s">
        <v>15</v>
      </c>
      <c r="D105" s="16" t="s">
        <v>23</v>
      </c>
      <c r="E105" s="17" t="s">
        <v>615</v>
      </c>
      <c r="F105">
        <v>1</v>
      </c>
      <c r="G105">
        <v>1</v>
      </c>
      <c r="I105" t="s">
        <v>92</v>
      </c>
      <c r="M105" s="1">
        <v>46132.309305555558</v>
      </c>
      <c r="N105" t="s">
        <v>72</v>
      </c>
    </row>
    <row r="106" spans="1:14" x14ac:dyDescent="0.3">
      <c r="A106" t="s">
        <v>617</v>
      </c>
      <c r="B106" t="s">
        <v>618</v>
      </c>
      <c r="C106" t="s">
        <v>15</v>
      </c>
      <c r="D106" s="16" t="s">
        <v>619</v>
      </c>
      <c r="E106" s="17" t="s">
        <v>620</v>
      </c>
      <c r="F106">
        <v>1</v>
      </c>
      <c r="G106">
        <v>0</v>
      </c>
      <c r="I106" t="s">
        <v>92</v>
      </c>
      <c r="M106" s="1">
        <v>46132.309305555558</v>
      </c>
      <c r="N106" t="s">
        <v>72</v>
      </c>
    </row>
    <row r="107" spans="1:14" ht="28" x14ac:dyDescent="0.3">
      <c r="A107" t="s">
        <v>624</v>
      </c>
      <c r="B107" t="s">
        <v>625</v>
      </c>
      <c r="C107" t="s">
        <v>15</v>
      </c>
      <c r="D107" s="16" t="s">
        <v>626</v>
      </c>
      <c r="E107" s="17" t="s">
        <v>627</v>
      </c>
      <c r="F107">
        <v>1</v>
      </c>
      <c r="G107">
        <v>0</v>
      </c>
      <c r="I107" t="s">
        <v>92</v>
      </c>
      <c r="M107" s="1">
        <v>46132.309305555558</v>
      </c>
      <c r="N107" t="s">
        <v>72</v>
      </c>
    </row>
    <row r="108" spans="1:14" ht="56" x14ac:dyDescent="0.3">
      <c r="A108" t="s">
        <v>631</v>
      </c>
      <c r="B108" t="s">
        <v>632</v>
      </c>
      <c r="C108" t="s">
        <v>15</v>
      </c>
      <c r="D108" s="16" t="s">
        <v>633</v>
      </c>
      <c r="E108" s="17" t="s">
        <v>634</v>
      </c>
      <c r="F108">
        <v>1</v>
      </c>
      <c r="G108">
        <v>0</v>
      </c>
      <c r="I108" t="s">
        <v>92</v>
      </c>
      <c r="M108" s="1">
        <v>46132.309305555558</v>
      </c>
      <c r="N108" t="s">
        <v>72</v>
      </c>
    </row>
    <row r="109" spans="1:14" ht="28" x14ac:dyDescent="0.3">
      <c r="A109" t="s">
        <v>636</v>
      </c>
      <c r="B109" t="s">
        <v>637</v>
      </c>
      <c r="C109" t="s">
        <v>15</v>
      </c>
      <c r="D109" s="16" t="s">
        <v>638</v>
      </c>
      <c r="E109" s="17" t="s">
        <v>627</v>
      </c>
      <c r="F109">
        <v>2</v>
      </c>
      <c r="G109">
        <v>0</v>
      </c>
      <c r="I109" t="s">
        <v>92</v>
      </c>
      <c r="M109" s="1">
        <v>46132.309305555558</v>
      </c>
      <c r="N109" t="s">
        <v>72</v>
      </c>
    </row>
    <row r="110" spans="1:14" x14ac:dyDescent="0.3">
      <c r="A110" t="s">
        <v>641</v>
      </c>
      <c r="B110" t="s">
        <v>539</v>
      </c>
      <c r="C110" t="s">
        <v>15</v>
      </c>
      <c r="D110" s="16" t="s">
        <v>626</v>
      </c>
      <c r="E110" s="17" t="s">
        <v>642</v>
      </c>
      <c r="F110">
        <v>1</v>
      </c>
      <c r="G110">
        <v>0</v>
      </c>
      <c r="I110" t="s">
        <v>92</v>
      </c>
      <c r="M110" s="1">
        <v>46132.309305555558</v>
      </c>
      <c r="N110" t="s">
        <v>72</v>
      </c>
    </row>
    <row r="111" spans="1:14" x14ac:dyDescent="0.3">
      <c r="A111" t="s">
        <v>644</v>
      </c>
      <c r="B111" t="s">
        <v>645</v>
      </c>
      <c r="C111" t="s">
        <v>15</v>
      </c>
      <c r="D111" s="16" t="s">
        <v>638</v>
      </c>
      <c r="E111" s="17" t="s">
        <v>646</v>
      </c>
      <c r="F111">
        <v>1</v>
      </c>
      <c r="G111">
        <v>0</v>
      </c>
      <c r="I111" t="s">
        <v>92</v>
      </c>
      <c r="M111" s="1">
        <v>46132.309305555558</v>
      </c>
      <c r="N111" t="s">
        <v>72</v>
      </c>
    </row>
    <row r="112" spans="1:14" ht="42" x14ac:dyDescent="0.3">
      <c r="A112" t="s">
        <v>648</v>
      </c>
      <c r="B112" t="s">
        <v>649</v>
      </c>
      <c r="C112" t="s">
        <v>15</v>
      </c>
      <c r="D112" s="16" t="s">
        <v>650</v>
      </c>
      <c r="E112" s="17" t="s">
        <v>651</v>
      </c>
      <c r="F112">
        <v>0</v>
      </c>
      <c r="G112">
        <v>0</v>
      </c>
      <c r="I112" t="s">
        <v>92</v>
      </c>
      <c r="M112" s="1">
        <v>46132.309305555558</v>
      </c>
      <c r="N112" t="s">
        <v>72</v>
      </c>
    </row>
    <row r="113" spans="1:14" ht="56" x14ac:dyDescent="0.3">
      <c r="A113" t="s">
        <v>654</v>
      </c>
      <c r="B113" t="s">
        <v>655</v>
      </c>
      <c r="C113" t="s">
        <v>15</v>
      </c>
      <c r="D113" s="16" t="s">
        <v>244</v>
      </c>
      <c r="E113" s="17" t="s">
        <v>656</v>
      </c>
      <c r="F113">
        <v>1</v>
      </c>
      <c r="G113">
        <v>0</v>
      </c>
      <c r="I113" t="s">
        <v>92</v>
      </c>
      <c r="M113" s="1">
        <v>46132.309305555558</v>
      </c>
      <c r="N113" t="s">
        <v>72</v>
      </c>
    </row>
    <row r="114" spans="1:14" ht="42" x14ac:dyDescent="0.3">
      <c r="A114" t="s">
        <v>657</v>
      </c>
      <c r="B114" t="s">
        <v>658</v>
      </c>
      <c r="C114" t="s">
        <v>15</v>
      </c>
      <c r="D114" s="16" t="s">
        <v>49</v>
      </c>
      <c r="E114" s="17" t="s">
        <v>659</v>
      </c>
      <c r="F114">
        <v>2</v>
      </c>
      <c r="G114">
        <v>0</v>
      </c>
      <c r="I114" t="s">
        <v>92</v>
      </c>
      <c r="M114" s="1">
        <v>46132.309305555558</v>
      </c>
      <c r="N114" t="s">
        <v>72</v>
      </c>
    </row>
    <row r="115" spans="1:14" ht="70" x14ac:dyDescent="0.3">
      <c r="A115" t="s">
        <v>661</v>
      </c>
      <c r="B115" t="s">
        <v>539</v>
      </c>
      <c r="C115" t="s">
        <v>15</v>
      </c>
      <c r="D115" s="16" t="s">
        <v>662</v>
      </c>
      <c r="E115" s="17" t="s">
        <v>663</v>
      </c>
      <c r="F115">
        <v>1</v>
      </c>
      <c r="G115">
        <v>0</v>
      </c>
      <c r="I115" t="s">
        <v>92</v>
      </c>
      <c r="M115" s="1">
        <v>46132.309305555558</v>
      </c>
      <c r="N115" t="s">
        <v>72</v>
      </c>
    </row>
    <row r="116" spans="1:14" ht="70" x14ac:dyDescent="0.3">
      <c r="A116" t="s">
        <v>666</v>
      </c>
      <c r="B116" t="s">
        <v>539</v>
      </c>
      <c r="C116" t="s">
        <v>15</v>
      </c>
      <c r="D116" s="16" t="s">
        <v>662</v>
      </c>
      <c r="E116" s="17" t="s">
        <v>667</v>
      </c>
      <c r="F116">
        <v>1</v>
      </c>
      <c r="G116">
        <v>0</v>
      </c>
      <c r="I116" t="s">
        <v>92</v>
      </c>
      <c r="M116" s="1">
        <v>46132.309305555558</v>
      </c>
      <c r="N116" t="s">
        <v>72</v>
      </c>
    </row>
    <row r="117" spans="1:14" ht="42" x14ac:dyDescent="0.3">
      <c r="A117" t="s">
        <v>668</v>
      </c>
      <c r="B117" t="s">
        <v>669</v>
      </c>
      <c r="C117" t="s">
        <v>15</v>
      </c>
      <c r="D117" s="16" t="s">
        <v>671</v>
      </c>
      <c r="E117" s="17" t="s">
        <v>672</v>
      </c>
      <c r="F117">
        <v>2</v>
      </c>
      <c r="G117">
        <v>1</v>
      </c>
      <c r="I117" t="s">
        <v>92</v>
      </c>
      <c r="M117" s="1">
        <v>46132.309305555558</v>
      </c>
      <c r="N117" t="s">
        <v>72</v>
      </c>
    </row>
    <row r="118" spans="1:14" x14ac:dyDescent="0.3">
      <c r="A118" t="s">
        <v>676</v>
      </c>
      <c r="B118" t="s">
        <v>677</v>
      </c>
      <c r="C118" t="s">
        <v>15</v>
      </c>
      <c r="D118" s="16" t="s">
        <v>534</v>
      </c>
      <c r="E118" s="17" t="s">
        <v>679</v>
      </c>
      <c r="F118">
        <v>3</v>
      </c>
      <c r="G118">
        <v>2</v>
      </c>
      <c r="I118" t="s">
        <v>92</v>
      </c>
      <c r="K118">
        <v>3500</v>
      </c>
      <c r="M118" s="1">
        <v>46132.309305555558</v>
      </c>
      <c r="N118" t="s">
        <v>72</v>
      </c>
    </row>
    <row r="119" spans="1:14" ht="28" x14ac:dyDescent="0.3">
      <c r="A119" t="s">
        <v>681</v>
      </c>
      <c r="B119" t="s">
        <v>682</v>
      </c>
      <c r="C119" t="s">
        <v>15</v>
      </c>
      <c r="D119" s="16" t="s">
        <v>683</v>
      </c>
      <c r="E119" s="17" t="s">
        <v>684</v>
      </c>
      <c r="F119">
        <v>1</v>
      </c>
      <c r="G119">
        <v>0</v>
      </c>
      <c r="I119" t="s">
        <v>92</v>
      </c>
      <c r="M119" s="1">
        <v>46132.309305555558</v>
      </c>
      <c r="N119" t="s">
        <v>72</v>
      </c>
    </row>
    <row r="120" spans="1:14" ht="70" x14ac:dyDescent="0.3">
      <c r="A120" t="s">
        <v>686</v>
      </c>
      <c r="B120" t="s">
        <v>687</v>
      </c>
      <c r="C120" t="s">
        <v>15</v>
      </c>
      <c r="D120" s="16" t="s">
        <v>671</v>
      </c>
      <c r="E120" s="17" t="s">
        <v>689</v>
      </c>
      <c r="F120">
        <v>1</v>
      </c>
      <c r="G120">
        <v>1</v>
      </c>
      <c r="I120" t="s">
        <v>92</v>
      </c>
      <c r="M120" s="1">
        <v>46132.309305555558</v>
      </c>
      <c r="N120" t="s">
        <v>72</v>
      </c>
    </row>
    <row r="121" spans="1:14" ht="28" x14ac:dyDescent="0.3">
      <c r="A121" t="s">
        <v>692</v>
      </c>
      <c r="B121" t="s">
        <v>693</v>
      </c>
      <c r="C121" t="s">
        <v>15</v>
      </c>
      <c r="D121" s="16" t="s">
        <v>671</v>
      </c>
      <c r="E121" s="17" t="s">
        <v>695</v>
      </c>
      <c r="F121">
        <v>1</v>
      </c>
      <c r="G121">
        <v>1</v>
      </c>
      <c r="I121" t="s">
        <v>92</v>
      </c>
      <c r="M121" s="1">
        <v>46132.309305555558</v>
      </c>
      <c r="N121" t="s">
        <v>72</v>
      </c>
    </row>
    <row r="122" spans="1:14" ht="70" x14ac:dyDescent="0.3">
      <c r="A122" t="s">
        <v>697</v>
      </c>
      <c r="B122" t="s">
        <v>698</v>
      </c>
      <c r="C122" t="s">
        <v>15</v>
      </c>
      <c r="D122" s="16" t="s">
        <v>671</v>
      </c>
      <c r="E122" s="17" t="s">
        <v>700</v>
      </c>
      <c r="F122">
        <v>2</v>
      </c>
      <c r="G122">
        <v>1</v>
      </c>
      <c r="I122" t="s">
        <v>92</v>
      </c>
      <c r="M122" s="1">
        <v>46132.309305555558</v>
      </c>
      <c r="N122" t="s">
        <v>72</v>
      </c>
    </row>
    <row r="123" spans="1:14" ht="28" x14ac:dyDescent="0.3">
      <c r="A123" t="s">
        <v>702</v>
      </c>
      <c r="B123" t="s">
        <v>703</v>
      </c>
      <c r="C123" t="s">
        <v>15</v>
      </c>
      <c r="D123" s="16" t="s">
        <v>671</v>
      </c>
      <c r="E123" s="17" t="s">
        <v>704</v>
      </c>
      <c r="F123">
        <v>2</v>
      </c>
      <c r="G123">
        <v>1</v>
      </c>
      <c r="I123" t="s">
        <v>92</v>
      </c>
      <c r="M123" s="1">
        <v>46132.309305555558</v>
      </c>
      <c r="N123" t="s">
        <v>72</v>
      </c>
    </row>
    <row r="124" spans="1:14" ht="28" x14ac:dyDescent="0.3">
      <c r="A124" t="s">
        <v>706</v>
      </c>
      <c r="B124" t="s">
        <v>707</v>
      </c>
      <c r="C124" t="s">
        <v>15</v>
      </c>
      <c r="D124" s="16" t="s">
        <v>671</v>
      </c>
      <c r="E124" s="17" t="s">
        <v>708</v>
      </c>
      <c r="F124">
        <v>2</v>
      </c>
      <c r="G124">
        <v>1</v>
      </c>
      <c r="I124" t="s">
        <v>92</v>
      </c>
      <c r="M124" s="1">
        <v>46132.309305555558</v>
      </c>
      <c r="N124" t="s">
        <v>72</v>
      </c>
    </row>
    <row r="125" spans="1:14" ht="84" x14ac:dyDescent="0.3">
      <c r="A125" t="s">
        <v>710</v>
      </c>
      <c r="B125" t="s">
        <v>703</v>
      </c>
      <c r="C125" t="s">
        <v>15</v>
      </c>
      <c r="D125" s="16" t="s">
        <v>671</v>
      </c>
      <c r="E125" s="17" t="s">
        <v>711</v>
      </c>
      <c r="F125">
        <v>3</v>
      </c>
      <c r="G125">
        <v>3</v>
      </c>
      <c r="I125" t="s">
        <v>92</v>
      </c>
      <c r="M125" s="1">
        <v>46132.309305555558</v>
      </c>
      <c r="N125" t="s">
        <v>72</v>
      </c>
    </row>
    <row r="126" spans="1:14" ht="28" x14ac:dyDescent="0.3">
      <c r="A126" t="s">
        <v>713</v>
      </c>
      <c r="B126" t="s">
        <v>714</v>
      </c>
      <c r="C126" t="s">
        <v>15</v>
      </c>
      <c r="D126" s="16" t="s">
        <v>716</v>
      </c>
      <c r="E126" s="17" t="s">
        <v>717</v>
      </c>
      <c r="F126">
        <v>1</v>
      </c>
      <c r="G126">
        <v>1</v>
      </c>
      <c r="I126" t="s">
        <v>92</v>
      </c>
      <c r="K126">
        <v>1320</v>
      </c>
      <c r="M126" s="1">
        <v>46132.309305555558</v>
      </c>
      <c r="N126" t="s">
        <v>72</v>
      </c>
    </row>
    <row r="127" spans="1:14" ht="28" x14ac:dyDescent="0.3">
      <c r="A127" t="s">
        <v>720</v>
      </c>
      <c r="B127" t="s">
        <v>721</v>
      </c>
      <c r="C127" t="s">
        <v>15</v>
      </c>
      <c r="D127" s="16" t="s">
        <v>671</v>
      </c>
      <c r="E127" s="17" t="s">
        <v>723</v>
      </c>
      <c r="F127">
        <v>3</v>
      </c>
      <c r="G127">
        <v>1</v>
      </c>
      <c r="I127" t="s">
        <v>92</v>
      </c>
      <c r="M127" s="1">
        <v>46132.309305555558</v>
      </c>
      <c r="N127" t="s">
        <v>72</v>
      </c>
    </row>
    <row r="128" spans="1:14" ht="56" x14ac:dyDescent="0.3">
      <c r="A128" t="s">
        <v>726</v>
      </c>
      <c r="B128" t="s">
        <v>727</v>
      </c>
      <c r="C128" t="s">
        <v>15</v>
      </c>
      <c r="D128" s="16" t="s">
        <v>671</v>
      </c>
      <c r="E128" s="17" t="s">
        <v>728</v>
      </c>
      <c r="F128">
        <v>1</v>
      </c>
      <c r="G128">
        <v>1</v>
      </c>
      <c r="I128" t="s">
        <v>92</v>
      </c>
      <c r="M128" s="1">
        <v>46132.309305555558</v>
      </c>
      <c r="N128" t="s">
        <v>72</v>
      </c>
    </row>
    <row r="129" spans="1:14" ht="56" x14ac:dyDescent="0.3">
      <c r="A129" t="s">
        <v>730</v>
      </c>
      <c r="B129" t="s">
        <v>731</v>
      </c>
      <c r="C129" t="s">
        <v>15</v>
      </c>
      <c r="D129" s="16" t="s">
        <v>671</v>
      </c>
      <c r="E129" s="17" t="s">
        <v>732</v>
      </c>
      <c r="F129">
        <v>1</v>
      </c>
      <c r="G129">
        <v>1</v>
      </c>
      <c r="I129" t="s">
        <v>92</v>
      </c>
      <c r="M129" s="1">
        <v>46132.309305555558</v>
      </c>
      <c r="N129" t="s">
        <v>72</v>
      </c>
    </row>
    <row r="130" spans="1:14" ht="56" x14ac:dyDescent="0.3">
      <c r="A130" t="s">
        <v>734</v>
      </c>
      <c r="B130" t="s">
        <v>735</v>
      </c>
      <c r="C130" t="s">
        <v>15</v>
      </c>
      <c r="D130" s="16" t="s">
        <v>671</v>
      </c>
      <c r="E130" s="17" t="s">
        <v>736</v>
      </c>
      <c r="F130">
        <v>2</v>
      </c>
      <c r="G130">
        <v>1</v>
      </c>
      <c r="I130" t="s">
        <v>92</v>
      </c>
      <c r="M130" s="1">
        <v>46132.309305555558</v>
      </c>
      <c r="N130" t="s">
        <v>72</v>
      </c>
    </row>
    <row r="131" spans="1:14" ht="56" x14ac:dyDescent="0.3">
      <c r="A131" t="s">
        <v>738</v>
      </c>
      <c r="B131" t="s">
        <v>739</v>
      </c>
      <c r="C131" t="s">
        <v>15</v>
      </c>
      <c r="D131" s="16" t="s">
        <v>671</v>
      </c>
      <c r="E131" s="17" t="s">
        <v>740</v>
      </c>
      <c r="F131">
        <v>1</v>
      </c>
      <c r="G131">
        <v>1</v>
      </c>
      <c r="I131" t="s">
        <v>92</v>
      </c>
      <c r="M131" s="1">
        <v>46132.309305555558</v>
      </c>
      <c r="N131" t="s">
        <v>72</v>
      </c>
    </row>
    <row r="132" spans="1:14" ht="56" x14ac:dyDescent="0.3">
      <c r="A132" t="s">
        <v>742</v>
      </c>
      <c r="B132" t="s">
        <v>743</v>
      </c>
      <c r="C132" t="s">
        <v>15</v>
      </c>
      <c r="D132" s="16" t="s">
        <v>671</v>
      </c>
      <c r="E132" s="17" t="s">
        <v>744</v>
      </c>
      <c r="F132">
        <v>1</v>
      </c>
      <c r="G132">
        <v>1</v>
      </c>
      <c r="I132" t="s">
        <v>92</v>
      </c>
      <c r="M132" s="1">
        <v>46132.309305555558</v>
      </c>
      <c r="N132" t="s">
        <v>72</v>
      </c>
    </row>
    <row r="133" spans="1:14" x14ac:dyDescent="0.3">
      <c r="A133" t="s">
        <v>746</v>
      </c>
      <c r="B133" t="s">
        <v>747</v>
      </c>
      <c r="C133" t="s">
        <v>15</v>
      </c>
      <c r="D133" s="16" t="s">
        <v>671</v>
      </c>
      <c r="E133" s="17" t="s">
        <v>749</v>
      </c>
      <c r="F133">
        <v>2</v>
      </c>
      <c r="G133">
        <v>2</v>
      </c>
      <c r="I133" t="s">
        <v>92</v>
      </c>
      <c r="M133" s="1">
        <v>46132.309305555558</v>
      </c>
      <c r="N133" t="s">
        <v>72</v>
      </c>
    </row>
    <row r="134" spans="1:14" ht="56" x14ac:dyDescent="0.3">
      <c r="A134" t="s">
        <v>751</v>
      </c>
      <c r="B134" t="s">
        <v>752</v>
      </c>
      <c r="C134" t="s">
        <v>15</v>
      </c>
      <c r="D134" s="16" t="s">
        <v>671</v>
      </c>
      <c r="E134" s="17" t="s">
        <v>753</v>
      </c>
      <c r="F134">
        <v>2</v>
      </c>
      <c r="G134">
        <v>2</v>
      </c>
      <c r="I134" t="s">
        <v>92</v>
      </c>
      <c r="M134" s="1">
        <v>46132.309305555558</v>
      </c>
      <c r="N134" t="s">
        <v>72</v>
      </c>
    </row>
    <row r="135" spans="1:14" ht="56" x14ac:dyDescent="0.3">
      <c r="A135" t="s">
        <v>755</v>
      </c>
      <c r="B135" t="s">
        <v>756</v>
      </c>
      <c r="C135" t="s">
        <v>15</v>
      </c>
      <c r="D135" s="16" t="s">
        <v>671</v>
      </c>
      <c r="E135" s="17" t="s">
        <v>757</v>
      </c>
      <c r="F135">
        <v>2</v>
      </c>
      <c r="G135">
        <v>2</v>
      </c>
      <c r="I135" t="s">
        <v>92</v>
      </c>
      <c r="M135" s="1">
        <v>46132.309305555558</v>
      </c>
      <c r="N135" t="s">
        <v>72</v>
      </c>
    </row>
    <row r="136" spans="1:14" ht="56" x14ac:dyDescent="0.3">
      <c r="A136" t="s">
        <v>759</v>
      </c>
      <c r="B136" t="s">
        <v>760</v>
      </c>
      <c r="C136" t="s">
        <v>15</v>
      </c>
      <c r="D136" s="16" t="s">
        <v>671</v>
      </c>
      <c r="E136" s="17" t="s">
        <v>761</v>
      </c>
      <c r="F136">
        <v>1</v>
      </c>
      <c r="G136">
        <v>1</v>
      </c>
      <c r="I136" t="s">
        <v>92</v>
      </c>
      <c r="M136" s="1">
        <v>46132.309305555558</v>
      </c>
      <c r="N136" t="s">
        <v>72</v>
      </c>
    </row>
    <row r="137" spans="1:14" ht="56" x14ac:dyDescent="0.3">
      <c r="A137" t="s">
        <v>763</v>
      </c>
      <c r="B137" t="s">
        <v>764</v>
      </c>
      <c r="C137" t="s">
        <v>15</v>
      </c>
      <c r="D137" s="16" t="s">
        <v>671</v>
      </c>
      <c r="E137" s="17" t="s">
        <v>765</v>
      </c>
      <c r="F137">
        <v>2</v>
      </c>
      <c r="G137">
        <v>2</v>
      </c>
      <c r="I137" t="s">
        <v>92</v>
      </c>
      <c r="M137" s="1">
        <v>46132.309305555558</v>
      </c>
      <c r="N137" t="s">
        <v>72</v>
      </c>
    </row>
    <row r="138" spans="1:14" ht="56" x14ac:dyDescent="0.3">
      <c r="A138" t="s">
        <v>767</v>
      </c>
      <c r="B138" t="s">
        <v>768</v>
      </c>
      <c r="C138" t="s">
        <v>15</v>
      </c>
      <c r="D138" s="16" t="s">
        <v>671</v>
      </c>
      <c r="E138" s="17" t="s">
        <v>769</v>
      </c>
      <c r="F138">
        <v>1</v>
      </c>
      <c r="G138">
        <v>1</v>
      </c>
      <c r="I138" t="s">
        <v>92</v>
      </c>
      <c r="M138" s="1">
        <v>46132.309305555558</v>
      </c>
      <c r="N138" t="s">
        <v>72</v>
      </c>
    </row>
    <row r="139" spans="1:14" ht="28" x14ac:dyDescent="0.3">
      <c r="A139" t="s">
        <v>771</v>
      </c>
      <c r="B139" t="s">
        <v>772</v>
      </c>
      <c r="C139" t="s">
        <v>15</v>
      </c>
      <c r="D139" s="16" t="s">
        <v>671</v>
      </c>
      <c r="E139" s="17" t="s">
        <v>9</v>
      </c>
      <c r="F139">
        <v>2</v>
      </c>
      <c r="G139">
        <v>2</v>
      </c>
      <c r="I139" t="s">
        <v>92</v>
      </c>
      <c r="M139" s="1">
        <v>46132.309305555558</v>
      </c>
      <c r="N139" t="s">
        <v>72</v>
      </c>
    </row>
    <row r="140" spans="1:14" ht="28" x14ac:dyDescent="0.3">
      <c r="A140" t="s">
        <v>774</v>
      </c>
      <c r="B140" t="s">
        <v>775</v>
      </c>
      <c r="C140" t="s">
        <v>15</v>
      </c>
      <c r="D140" s="16" t="s">
        <v>776</v>
      </c>
      <c r="E140" s="17" t="s">
        <v>777</v>
      </c>
      <c r="F140">
        <v>1</v>
      </c>
      <c r="G140">
        <v>0</v>
      </c>
      <c r="I140" t="s">
        <v>92</v>
      </c>
      <c r="K140">
        <v>4036</v>
      </c>
      <c r="M140" s="1">
        <v>46132.309305555558</v>
      </c>
      <c r="N140" t="s">
        <v>72</v>
      </c>
    </row>
    <row r="141" spans="1:14" ht="28" x14ac:dyDescent="0.3">
      <c r="A141" t="s">
        <v>780</v>
      </c>
      <c r="B141" t="s">
        <v>775</v>
      </c>
      <c r="C141" t="s">
        <v>15</v>
      </c>
      <c r="D141" s="16" t="s">
        <v>776</v>
      </c>
      <c r="E141" s="17" t="s">
        <v>781</v>
      </c>
      <c r="F141">
        <v>6</v>
      </c>
      <c r="G141">
        <v>3</v>
      </c>
      <c r="I141" t="s">
        <v>92</v>
      </c>
      <c r="K141">
        <v>3720</v>
      </c>
      <c r="M141" s="1">
        <v>46132.309305555558</v>
      </c>
      <c r="N141" t="s">
        <v>72</v>
      </c>
    </row>
    <row r="142" spans="1:14" ht="28" x14ac:dyDescent="0.3">
      <c r="A142" t="s">
        <v>783</v>
      </c>
      <c r="B142" t="s">
        <v>775</v>
      </c>
      <c r="C142" t="s">
        <v>15</v>
      </c>
      <c r="D142" s="16" t="s">
        <v>776</v>
      </c>
      <c r="E142" s="17" t="s">
        <v>784</v>
      </c>
      <c r="F142">
        <v>5</v>
      </c>
      <c r="G142">
        <v>3</v>
      </c>
      <c r="I142" t="s">
        <v>92</v>
      </c>
      <c r="K142">
        <v>4542</v>
      </c>
      <c r="M142" s="1">
        <v>46132.309305555558</v>
      </c>
      <c r="N142" t="s">
        <v>72</v>
      </c>
    </row>
    <row r="143" spans="1:14" ht="28" x14ac:dyDescent="0.3">
      <c r="A143" t="s">
        <v>785</v>
      </c>
      <c r="B143" t="s">
        <v>775</v>
      </c>
      <c r="C143" t="s">
        <v>15</v>
      </c>
      <c r="D143" s="16" t="s">
        <v>776</v>
      </c>
      <c r="E143" s="17" t="s">
        <v>786</v>
      </c>
      <c r="F143">
        <v>2</v>
      </c>
      <c r="G143">
        <v>2</v>
      </c>
      <c r="I143" t="s">
        <v>92</v>
      </c>
      <c r="K143">
        <v>7452</v>
      </c>
      <c r="M143" s="1">
        <v>46132.309305555558</v>
      </c>
      <c r="N143" t="s">
        <v>72</v>
      </c>
    </row>
    <row r="144" spans="1:14" ht="28" x14ac:dyDescent="0.3">
      <c r="A144" t="s">
        <v>787</v>
      </c>
      <c r="B144" t="s">
        <v>775</v>
      </c>
      <c r="C144" t="s">
        <v>15</v>
      </c>
      <c r="D144" s="16" t="s">
        <v>776</v>
      </c>
      <c r="E144" s="17" t="s">
        <v>788</v>
      </c>
      <c r="F144">
        <v>2</v>
      </c>
      <c r="G144">
        <v>3</v>
      </c>
      <c r="I144" t="s">
        <v>92</v>
      </c>
      <c r="K144">
        <v>3622</v>
      </c>
      <c r="M144" s="1">
        <v>46132.309305555558</v>
      </c>
      <c r="N144" t="s">
        <v>72</v>
      </c>
    </row>
    <row r="145" spans="1:14" ht="28" x14ac:dyDescent="0.3">
      <c r="A145" t="s">
        <v>790</v>
      </c>
      <c r="B145" t="s">
        <v>775</v>
      </c>
      <c r="C145" t="s">
        <v>15</v>
      </c>
      <c r="D145" s="16" t="s">
        <v>776</v>
      </c>
      <c r="E145" s="17" t="s">
        <v>791</v>
      </c>
      <c r="F145">
        <v>2</v>
      </c>
      <c r="G145">
        <v>3</v>
      </c>
      <c r="I145" t="s">
        <v>92</v>
      </c>
      <c r="K145">
        <v>2794</v>
      </c>
      <c r="M145" s="1">
        <v>46132.309305555558</v>
      </c>
      <c r="N145" t="s">
        <v>72</v>
      </c>
    </row>
    <row r="146" spans="1:14" ht="28" x14ac:dyDescent="0.3">
      <c r="A146" t="s">
        <v>792</v>
      </c>
      <c r="B146" t="s">
        <v>775</v>
      </c>
      <c r="C146" t="s">
        <v>15</v>
      </c>
      <c r="D146" s="16" t="s">
        <v>776</v>
      </c>
      <c r="E146" s="17" t="s">
        <v>793</v>
      </c>
      <c r="F146">
        <v>1</v>
      </c>
      <c r="G146">
        <v>1</v>
      </c>
      <c r="I146" t="s">
        <v>92</v>
      </c>
      <c r="K146">
        <v>2794</v>
      </c>
      <c r="M146" s="1">
        <v>46132.309305555558</v>
      </c>
      <c r="N146" t="s">
        <v>72</v>
      </c>
    </row>
    <row r="147" spans="1:14" ht="28" x14ac:dyDescent="0.3">
      <c r="A147" t="s">
        <v>794</v>
      </c>
      <c r="B147" t="s">
        <v>775</v>
      </c>
      <c r="C147" t="s">
        <v>15</v>
      </c>
      <c r="D147" s="16" t="s">
        <v>776</v>
      </c>
      <c r="E147" s="17" t="s">
        <v>795</v>
      </c>
      <c r="F147">
        <v>1</v>
      </c>
      <c r="G147">
        <v>1</v>
      </c>
      <c r="I147" t="s">
        <v>92</v>
      </c>
      <c r="K147">
        <v>3156</v>
      </c>
      <c r="M147" s="1">
        <v>46132.309305555558</v>
      </c>
      <c r="N147" t="s">
        <v>72</v>
      </c>
    </row>
    <row r="148" spans="1:14" ht="28" x14ac:dyDescent="0.3">
      <c r="A148" t="s">
        <v>796</v>
      </c>
      <c r="B148" t="s">
        <v>775</v>
      </c>
      <c r="C148" t="s">
        <v>15</v>
      </c>
      <c r="D148" s="16" t="s">
        <v>776</v>
      </c>
      <c r="E148" s="17" t="s">
        <v>797</v>
      </c>
      <c r="F148">
        <v>3</v>
      </c>
      <c r="G148">
        <v>2</v>
      </c>
      <c r="I148" t="s">
        <v>92</v>
      </c>
      <c r="K148">
        <v>3260</v>
      </c>
      <c r="M148" s="1">
        <v>46132.309305555558</v>
      </c>
      <c r="N148" t="s">
        <v>72</v>
      </c>
    </row>
    <row r="149" spans="1:14" x14ac:dyDescent="0.3">
      <c r="A149" t="s">
        <v>798</v>
      </c>
      <c r="B149" t="s">
        <v>799</v>
      </c>
      <c r="C149" t="s">
        <v>15</v>
      </c>
      <c r="D149" s="16" t="s">
        <v>776</v>
      </c>
      <c r="E149" s="17" t="s">
        <v>801</v>
      </c>
      <c r="F149">
        <v>7</v>
      </c>
      <c r="G149">
        <v>0</v>
      </c>
      <c r="I149" t="s">
        <v>92</v>
      </c>
      <c r="M149" s="1">
        <v>46132.309305555558</v>
      </c>
      <c r="N149" t="s">
        <v>72</v>
      </c>
    </row>
    <row r="150" spans="1:14" x14ac:dyDescent="0.3">
      <c r="A150" t="s">
        <v>803</v>
      </c>
      <c r="B150" t="s">
        <v>799</v>
      </c>
      <c r="C150" t="s">
        <v>15</v>
      </c>
      <c r="D150" s="16" t="s">
        <v>776</v>
      </c>
      <c r="E150" s="17" t="s">
        <v>804</v>
      </c>
      <c r="F150">
        <v>1</v>
      </c>
      <c r="G150">
        <v>2</v>
      </c>
      <c r="I150" t="s">
        <v>92</v>
      </c>
      <c r="K150">
        <v>445</v>
      </c>
      <c r="M150" s="1">
        <v>46132.309305555558</v>
      </c>
      <c r="N150" t="s">
        <v>72</v>
      </c>
    </row>
    <row r="151" spans="1:14" x14ac:dyDescent="0.3">
      <c r="A151" t="s">
        <v>806</v>
      </c>
      <c r="B151" t="s">
        <v>807</v>
      </c>
      <c r="C151" t="s">
        <v>15</v>
      </c>
      <c r="D151" s="16" t="s">
        <v>776</v>
      </c>
      <c r="E151" s="17" t="s">
        <v>808</v>
      </c>
      <c r="F151">
        <v>2</v>
      </c>
      <c r="G151">
        <v>2</v>
      </c>
      <c r="I151" t="s">
        <v>92</v>
      </c>
      <c r="K151">
        <v>755</v>
      </c>
      <c r="M151" s="1">
        <v>46132.309305555558</v>
      </c>
      <c r="N151" t="s">
        <v>72</v>
      </c>
    </row>
    <row r="152" spans="1:14" ht="28" x14ac:dyDescent="0.3">
      <c r="A152" t="s">
        <v>810</v>
      </c>
      <c r="B152" t="s">
        <v>807</v>
      </c>
      <c r="C152" t="s">
        <v>15</v>
      </c>
      <c r="D152" s="16" t="s">
        <v>776</v>
      </c>
      <c r="E152" s="17" t="s">
        <v>811</v>
      </c>
      <c r="F152">
        <v>1</v>
      </c>
      <c r="G152">
        <v>1</v>
      </c>
      <c r="I152" t="s">
        <v>92</v>
      </c>
      <c r="K152">
        <v>704</v>
      </c>
      <c r="M152" s="1">
        <v>46132.309305555558</v>
      </c>
      <c r="N152" t="s">
        <v>72</v>
      </c>
    </row>
    <row r="153" spans="1:14" x14ac:dyDescent="0.3">
      <c r="A153" t="s">
        <v>812</v>
      </c>
      <c r="B153" t="s">
        <v>807</v>
      </c>
      <c r="C153" t="s">
        <v>15</v>
      </c>
      <c r="D153" s="16" t="s">
        <v>776</v>
      </c>
      <c r="E153" s="17" t="s">
        <v>813</v>
      </c>
      <c r="F153">
        <v>1</v>
      </c>
      <c r="G153">
        <v>1</v>
      </c>
      <c r="I153" t="s">
        <v>92</v>
      </c>
      <c r="K153">
        <v>975</v>
      </c>
      <c r="M153" s="1">
        <v>46132.309305555558</v>
      </c>
      <c r="N153" t="s">
        <v>72</v>
      </c>
    </row>
    <row r="154" spans="1:14" x14ac:dyDescent="0.3">
      <c r="A154" t="s">
        <v>814</v>
      </c>
      <c r="B154" t="s">
        <v>807</v>
      </c>
      <c r="C154" t="s">
        <v>15</v>
      </c>
      <c r="D154" s="16" t="s">
        <v>776</v>
      </c>
      <c r="E154" s="17" t="s">
        <v>815</v>
      </c>
      <c r="F154">
        <v>1</v>
      </c>
      <c r="G154">
        <v>1</v>
      </c>
      <c r="I154" t="s">
        <v>92</v>
      </c>
      <c r="K154">
        <v>647</v>
      </c>
      <c r="M154" s="1">
        <v>46132.309305555558</v>
      </c>
      <c r="N154" t="s">
        <v>72</v>
      </c>
    </row>
    <row r="155" spans="1:14" ht="28" x14ac:dyDescent="0.3">
      <c r="A155" t="s">
        <v>816</v>
      </c>
      <c r="B155" t="s">
        <v>807</v>
      </c>
      <c r="C155" t="s">
        <v>15</v>
      </c>
      <c r="D155" s="16" t="s">
        <v>776</v>
      </c>
      <c r="E155" s="17" t="s">
        <v>817</v>
      </c>
      <c r="F155">
        <v>1</v>
      </c>
      <c r="G155">
        <v>1</v>
      </c>
      <c r="I155" t="s">
        <v>92</v>
      </c>
      <c r="K155">
        <v>828</v>
      </c>
      <c r="M155" s="1">
        <v>46132.309305555558</v>
      </c>
      <c r="N155" t="s">
        <v>72</v>
      </c>
    </row>
    <row r="156" spans="1:14" ht="28" x14ac:dyDescent="0.3">
      <c r="A156" t="s">
        <v>818</v>
      </c>
      <c r="B156" t="s">
        <v>807</v>
      </c>
      <c r="C156" t="s">
        <v>15</v>
      </c>
      <c r="D156" s="16" t="s">
        <v>776</v>
      </c>
      <c r="E156" s="17" t="s">
        <v>819</v>
      </c>
      <c r="F156">
        <v>1</v>
      </c>
      <c r="G156">
        <v>1</v>
      </c>
      <c r="I156" t="s">
        <v>92</v>
      </c>
      <c r="K156">
        <v>704</v>
      </c>
      <c r="M156" s="1">
        <v>46132.309305555558</v>
      </c>
      <c r="N156" t="s">
        <v>72</v>
      </c>
    </row>
    <row r="157" spans="1:14" x14ac:dyDescent="0.3">
      <c r="A157" t="s">
        <v>820</v>
      </c>
      <c r="B157" t="s">
        <v>807</v>
      </c>
      <c r="C157" t="s">
        <v>15</v>
      </c>
      <c r="D157" s="16" t="s">
        <v>776</v>
      </c>
      <c r="E157" s="17" t="s">
        <v>821</v>
      </c>
      <c r="F157">
        <v>1</v>
      </c>
      <c r="G157">
        <v>1</v>
      </c>
      <c r="I157" t="s">
        <v>92</v>
      </c>
      <c r="K157">
        <v>1040</v>
      </c>
      <c r="M157" s="1">
        <v>46132.309305555558</v>
      </c>
      <c r="N157" t="s">
        <v>72</v>
      </c>
    </row>
    <row r="158" spans="1:14" x14ac:dyDescent="0.3">
      <c r="A158" t="s">
        <v>822</v>
      </c>
      <c r="B158" t="s">
        <v>807</v>
      </c>
      <c r="C158" t="s">
        <v>15</v>
      </c>
      <c r="D158" s="16" t="s">
        <v>776</v>
      </c>
      <c r="E158" s="17" t="s">
        <v>823</v>
      </c>
      <c r="F158">
        <v>1</v>
      </c>
      <c r="G158">
        <v>1</v>
      </c>
      <c r="I158" t="s">
        <v>92</v>
      </c>
      <c r="K158">
        <v>1521</v>
      </c>
      <c r="M158" s="1">
        <v>46132.309305555558</v>
      </c>
      <c r="N158" t="s">
        <v>72</v>
      </c>
    </row>
    <row r="159" spans="1:14" x14ac:dyDescent="0.3">
      <c r="A159" t="s">
        <v>824</v>
      </c>
      <c r="B159" t="s">
        <v>807</v>
      </c>
      <c r="C159" t="s">
        <v>15</v>
      </c>
      <c r="D159" s="16" t="s">
        <v>776</v>
      </c>
      <c r="E159" s="17" t="s">
        <v>825</v>
      </c>
      <c r="F159">
        <v>2</v>
      </c>
      <c r="G159">
        <v>2</v>
      </c>
      <c r="I159" t="s">
        <v>92</v>
      </c>
      <c r="K159">
        <v>1560</v>
      </c>
      <c r="M159" s="1">
        <v>46132.309305555558</v>
      </c>
      <c r="N159" t="s">
        <v>72</v>
      </c>
    </row>
    <row r="160" spans="1:14" x14ac:dyDescent="0.3">
      <c r="A160" t="s">
        <v>826</v>
      </c>
      <c r="B160" t="s">
        <v>807</v>
      </c>
      <c r="C160" t="s">
        <v>15</v>
      </c>
      <c r="D160" s="16" t="s">
        <v>776</v>
      </c>
      <c r="E160" s="17" t="s">
        <v>827</v>
      </c>
      <c r="F160">
        <v>1</v>
      </c>
      <c r="G160">
        <v>1</v>
      </c>
      <c r="I160" t="s">
        <v>92</v>
      </c>
      <c r="K160">
        <v>1460</v>
      </c>
      <c r="M160" s="1">
        <v>46132.309305555558</v>
      </c>
      <c r="N160" t="s">
        <v>72</v>
      </c>
    </row>
    <row r="161" spans="1:14" x14ac:dyDescent="0.3">
      <c r="A161" t="s">
        <v>828</v>
      </c>
      <c r="B161" t="s">
        <v>829</v>
      </c>
      <c r="C161" t="s">
        <v>15</v>
      </c>
      <c r="D161" s="16" t="s">
        <v>776</v>
      </c>
      <c r="E161" s="17" t="s">
        <v>831</v>
      </c>
      <c r="F161">
        <v>3</v>
      </c>
      <c r="G161">
        <v>2</v>
      </c>
      <c r="I161" t="s">
        <v>92</v>
      </c>
      <c r="K161">
        <v>687</v>
      </c>
      <c r="M161" s="1">
        <v>46132.309305555558</v>
      </c>
      <c r="N161" t="s">
        <v>72</v>
      </c>
    </row>
    <row r="162" spans="1:14" x14ac:dyDescent="0.3">
      <c r="A162" t="s">
        <v>832</v>
      </c>
      <c r="B162" t="s">
        <v>833</v>
      </c>
      <c r="C162" t="s">
        <v>15</v>
      </c>
      <c r="D162" s="16" t="s">
        <v>776</v>
      </c>
      <c r="E162" s="17" t="s">
        <v>835</v>
      </c>
      <c r="F162">
        <v>2</v>
      </c>
      <c r="G162">
        <v>1</v>
      </c>
      <c r="I162" t="s">
        <v>92</v>
      </c>
      <c r="K162">
        <v>1138</v>
      </c>
      <c r="M162" s="1">
        <v>46132.309305555558</v>
      </c>
      <c r="N162" t="s">
        <v>72</v>
      </c>
    </row>
    <row r="163" spans="1:14" x14ac:dyDescent="0.3">
      <c r="A163" t="s">
        <v>836</v>
      </c>
      <c r="B163" t="s">
        <v>833</v>
      </c>
      <c r="C163" t="s">
        <v>15</v>
      </c>
      <c r="D163" s="16" t="s">
        <v>776</v>
      </c>
      <c r="E163" s="17" t="s">
        <v>837</v>
      </c>
      <c r="F163">
        <v>1</v>
      </c>
      <c r="G163">
        <v>1</v>
      </c>
      <c r="I163" t="s">
        <v>92</v>
      </c>
      <c r="K163">
        <v>1790</v>
      </c>
      <c r="M163" s="1">
        <v>46132.309305555558</v>
      </c>
      <c r="N163" t="s">
        <v>72</v>
      </c>
    </row>
    <row r="164" spans="1:14" ht="28" x14ac:dyDescent="0.3">
      <c r="A164" t="s">
        <v>838</v>
      </c>
      <c r="B164" t="s">
        <v>747</v>
      </c>
      <c r="C164" t="s">
        <v>15</v>
      </c>
      <c r="D164" s="16" t="s">
        <v>776</v>
      </c>
      <c r="E164" s="17" t="s">
        <v>840</v>
      </c>
      <c r="F164">
        <v>1</v>
      </c>
      <c r="G164">
        <v>2</v>
      </c>
      <c r="I164" t="s">
        <v>92</v>
      </c>
      <c r="K164">
        <v>618</v>
      </c>
      <c r="M164" s="1">
        <v>46132.309305555558</v>
      </c>
      <c r="N164" t="s">
        <v>72</v>
      </c>
    </row>
    <row r="165" spans="1:14" ht="28" x14ac:dyDescent="0.3">
      <c r="A165" t="s">
        <v>841</v>
      </c>
      <c r="B165" t="s">
        <v>842</v>
      </c>
      <c r="C165" t="s">
        <v>15</v>
      </c>
      <c r="D165" s="16" t="s">
        <v>776</v>
      </c>
      <c r="E165" s="17" t="s">
        <v>844</v>
      </c>
      <c r="F165">
        <v>4</v>
      </c>
      <c r="G165">
        <v>2</v>
      </c>
      <c r="I165" t="s">
        <v>92</v>
      </c>
      <c r="K165">
        <v>2360</v>
      </c>
      <c r="M165" s="1">
        <v>46132.309305555558</v>
      </c>
      <c r="N165" t="s">
        <v>72</v>
      </c>
    </row>
    <row r="166" spans="1:14" ht="28" x14ac:dyDescent="0.3">
      <c r="A166" t="s">
        <v>846</v>
      </c>
      <c r="B166" t="s">
        <v>842</v>
      </c>
      <c r="C166" t="s">
        <v>15</v>
      </c>
      <c r="D166" s="16" t="s">
        <v>776</v>
      </c>
      <c r="E166" s="17" t="s">
        <v>847</v>
      </c>
      <c r="F166">
        <v>2</v>
      </c>
      <c r="G166">
        <v>2</v>
      </c>
      <c r="I166" t="s">
        <v>92</v>
      </c>
      <c r="K166">
        <v>2360</v>
      </c>
      <c r="M166" s="1">
        <v>46132.309305555558</v>
      </c>
      <c r="N166" t="s">
        <v>72</v>
      </c>
    </row>
    <row r="167" spans="1:14" ht="28" x14ac:dyDescent="0.3">
      <c r="A167" t="s">
        <v>848</v>
      </c>
      <c r="B167" t="s">
        <v>842</v>
      </c>
      <c r="C167" t="s">
        <v>15</v>
      </c>
      <c r="D167" s="16" t="s">
        <v>776</v>
      </c>
      <c r="E167" s="17" t="s">
        <v>849</v>
      </c>
      <c r="F167">
        <v>2</v>
      </c>
      <c r="G167">
        <v>2</v>
      </c>
      <c r="I167" t="s">
        <v>92</v>
      </c>
      <c r="K167">
        <v>932</v>
      </c>
      <c r="M167" s="1">
        <v>46132.309305555558</v>
      </c>
      <c r="N167" t="s">
        <v>72</v>
      </c>
    </row>
    <row r="168" spans="1:14" ht="28" x14ac:dyDescent="0.3">
      <c r="A168" t="s">
        <v>851</v>
      </c>
      <c r="B168" t="s">
        <v>852</v>
      </c>
      <c r="C168" t="s">
        <v>15</v>
      </c>
      <c r="D168" s="16" t="s">
        <v>853</v>
      </c>
      <c r="E168" s="17" t="s">
        <v>854</v>
      </c>
      <c r="F168">
        <v>6</v>
      </c>
      <c r="G168">
        <v>0</v>
      </c>
      <c r="I168" t="s">
        <v>92</v>
      </c>
      <c r="M168" s="1">
        <v>46132.309305555558</v>
      </c>
      <c r="N168" t="s">
        <v>72</v>
      </c>
    </row>
    <row r="169" spans="1:14" ht="28" x14ac:dyDescent="0.3">
      <c r="A169" t="s">
        <v>855</v>
      </c>
      <c r="B169" t="s">
        <v>856</v>
      </c>
      <c r="C169" t="s">
        <v>15</v>
      </c>
      <c r="D169" s="16" t="s">
        <v>858</v>
      </c>
      <c r="E169" s="17" t="s">
        <v>859</v>
      </c>
      <c r="F169">
        <v>1</v>
      </c>
      <c r="G169">
        <v>0</v>
      </c>
      <c r="I169" t="s">
        <v>92</v>
      </c>
      <c r="M169" s="1">
        <v>46132.309305555558</v>
      </c>
      <c r="N169" t="s">
        <v>72</v>
      </c>
    </row>
    <row r="170" spans="1:14" ht="28" x14ac:dyDescent="0.3">
      <c r="A170" t="s">
        <v>861</v>
      </c>
      <c r="B170" t="s">
        <v>856</v>
      </c>
      <c r="C170" t="s">
        <v>15</v>
      </c>
      <c r="D170" s="16" t="s">
        <v>858</v>
      </c>
      <c r="E170" s="17" t="s">
        <v>863</v>
      </c>
      <c r="F170">
        <v>1</v>
      </c>
      <c r="G170">
        <v>0</v>
      </c>
      <c r="I170" t="s">
        <v>92</v>
      </c>
      <c r="M170" s="1">
        <v>46132.309305555558</v>
      </c>
      <c r="N170" t="s">
        <v>72</v>
      </c>
    </row>
    <row r="171" spans="1:14" ht="28" x14ac:dyDescent="0.3">
      <c r="A171" t="s">
        <v>865</v>
      </c>
      <c r="B171" t="s">
        <v>856</v>
      </c>
      <c r="C171" t="s">
        <v>15</v>
      </c>
      <c r="D171" s="16" t="s">
        <v>858</v>
      </c>
      <c r="E171" s="17" t="s">
        <v>867</v>
      </c>
      <c r="F171">
        <v>1</v>
      </c>
      <c r="G171">
        <v>0</v>
      </c>
      <c r="I171" t="s">
        <v>92</v>
      </c>
      <c r="M171" s="1">
        <v>46132.309305555558</v>
      </c>
      <c r="N171" t="s">
        <v>72</v>
      </c>
    </row>
    <row r="172" spans="1:14" ht="56" x14ac:dyDescent="0.3">
      <c r="A172" t="s">
        <v>869</v>
      </c>
      <c r="B172" t="s">
        <v>870</v>
      </c>
      <c r="C172" t="s">
        <v>15</v>
      </c>
      <c r="D172" s="16" t="s">
        <v>23</v>
      </c>
      <c r="E172" s="17" t="s">
        <v>871</v>
      </c>
      <c r="F172">
        <v>1</v>
      </c>
      <c r="G172">
        <v>1</v>
      </c>
      <c r="I172" t="s">
        <v>92</v>
      </c>
      <c r="M172" s="1">
        <v>46132.309305555558</v>
      </c>
      <c r="N172" t="s">
        <v>72</v>
      </c>
    </row>
    <row r="173" spans="1:14" ht="238" x14ac:dyDescent="0.3">
      <c r="A173" t="s">
        <v>873</v>
      </c>
      <c r="B173" t="s">
        <v>874</v>
      </c>
      <c r="C173" t="s">
        <v>15</v>
      </c>
      <c r="D173" s="16" t="s">
        <v>23</v>
      </c>
      <c r="E173" s="17" t="s">
        <v>875</v>
      </c>
      <c r="F173">
        <v>1</v>
      </c>
      <c r="G173">
        <v>1</v>
      </c>
      <c r="I173" t="s">
        <v>92</v>
      </c>
      <c r="M173" s="1">
        <v>46132.309305555558</v>
      </c>
      <c r="N173" t="s">
        <v>72</v>
      </c>
    </row>
    <row r="174" spans="1:14" ht="98" x14ac:dyDescent="0.3">
      <c r="A174" t="s">
        <v>877</v>
      </c>
      <c r="B174" t="s">
        <v>878</v>
      </c>
      <c r="C174" t="s">
        <v>15</v>
      </c>
      <c r="D174" s="16" t="s">
        <v>23</v>
      </c>
      <c r="E174" s="17" t="s">
        <v>880</v>
      </c>
      <c r="F174">
        <v>1</v>
      </c>
      <c r="G174">
        <v>1</v>
      </c>
      <c r="I174" t="s">
        <v>92</v>
      </c>
      <c r="M174" s="1">
        <v>46132.309305555558</v>
      </c>
      <c r="N174" t="s">
        <v>72</v>
      </c>
    </row>
    <row r="175" spans="1:14" ht="70" x14ac:dyDescent="0.3">
      <c r="A175" t="s">
        <v>882</v>
      </c>
      <c r="B175" t="s">
        <v>883</v>
      </c>
      <c r="C175" t="s">
        <v>15</v>
      </c>
      <c r="D175" s="16" t="s">
        <v>23</v>
      </c>
      <c r="E175" s="17" t="s">
        <v>885</v>
      </c>
      <c r="F175">
        <v>1</v>
      </c>
      <c r="G175">
        <v>1</v>
      </c>
      <c r="I175" t="s">
        <v>92</v>
      </c>
      <c r="M175" s="1">
        <v>46132.309305555558</v>
      </c>
      <c r="N175" t="s">
        <v>72</v>
      </c>
    </row>
    <row r="176" spans="1:14" ht="70" x14ac:dyDescent="0.3">
      <c r="A176" t="s">
        <v>887</v>
      </c>
      <c r="B176" t="s">
        <v>888</v>
      </c>
      <c r="C176" t="s">
        <v>15</v>
      </c>
      <c r="D176" s="16" t="s">
        <v>889</v>
      </c>
      <c r="E176" s="17" t="s">
        <v>890</v>
      </c>
      <c r="F176">
        <v>1</v>
      </c>
      <c r="G176">
        <v>0</v>
      </c>
      <c r="I176" t="s">
        <v>92</v>
      </c>
      <c r="M176" s="1">
        <v>46132.309305555558</v>
      </c>
      <c r="N176" t="s">
        <v>72</v>
      </c>
    </row>
    <row r="177" spans="1:14" ht="28" x14ac:dyDescent="0.3">
      <c r="A177" t="s">
        <v>892</v>
      </c>
      <c r="B177" t="s">
        <v>893</v>
      </c>
      <c r="C177" t="s">
        <v>15</v>
      </c>
      <c r="D177" s="16" t="s">
        <v>716</v>
      </c>
      <c r="E177" s="17" t="s">
        <v>895</v>
      </c>
      <c r="F177">
        <v>1</v>
      </c>
      <c r="G177">
        <v>1</v>
      </c>
      <c r="I177" t="s">
        <v>92</v>
      </c>
      <c r="K177">
        <v>4800</v>
      </c>
      <c r="M177" s="1">
        <v>46132.309305555558</v>
      </c>
      <c r="N177" t="s">
        <v>72</v>
      </c>
    </row>
    <row r="178" spans="1:14" x14ac:dyDescent="0.3">
      <c r="A178" t="s">
        <v>896</v>
      </c>
      <c r="B178" t="s">
        <v>585</v>
      </c>
      <c r="C178" t="s">
        <v>15</v>
      </c>
      <c r="D178" s="16" t="s">
        <v>897</v>
      </c>
      <c r="E178" s="17" t="s">
        <v>898</v>
      </c>
      <c r="F178">
        <v>1</v>
      </c>
      <c r="G178">
        <v>0</v>
      </c>
      <c r="I178" t="s">
        <v>92</v>
      </c>
      <c r="M178" s="1">
        <v>46132.309305555558</v>
      </c>
      <c r="N178" t="s">
        <v>72</v>
      </c>
    </row>
    <row r="179" spans="1:14" ht="42" x14ac:dyDescent="0.3">
      <c r="A179" t="s">
        <v>899</v>
      </c>
      <c r="B179" t="s">
        <v>900</v>
      </c>
      <c r="C179" t="s">
        <v>15</v>
      </c>
      <c r="D179" s="16" t="s">
        <v>44</v>
      </c>
      <c r="E179" s="17" t="s">
        <v>901</v>
      </c>
      <c r="F179">
        <v>1</v>
      </c>
      <c r="G179">
        <v>0</v>
      </c>
      <c r="I179" t="s">
        <v>92</v>
      </c>
      <c r="M179" s="1">
        <v>46132.309305555558</v>
      </c>
      <c r="N179" t="s">
        <v>72</v>
      </c>
    </row>
    <row r="180" spans="1:14" ht="56" x14ac:dyDescent="0.3">
      <c r="A180" t="s">
        <v>902</v>
      </c>
      <c r="B180" t="s">
        <v>903</v>
      </c>
      <c r="C180" t="s">
        <v>15</v>
      </c>
      <c r="D180" s="16" t="s">
        <v>905</v>
      </c>
      <c r="E180" s="17" t="s">
        <v>906</v>
      </c>
      <c r="F180">
        <v>3</v>
      </c>
      <c r="G180">
        <v>0</v>
      </c>
      <c r="I180" t="s">
        <v>92</v>
      </c>
      <c r="K180">
        <v>1800</v>
      </c>
      <c r="M180" s="1">
        <v>46132.309305555558</v>
      </c>
      <c r="N180" t="s">
        <v>72</v>
      </c>
    </row>
    <row r="181" spans="1:14" ht="56" x14ac:dyDescent="0.3">
      <c r="A181" t="s">
        <v>907</v>
      </c>
      <c r="B181" t="s">
        <v>903</v>
      </c>
      <c r="C181" t="s">
        <v>15</v>
      </c>
      <c r="D181" s="16" t="s">
        <v>905</v>
      </c>
      <c r="E181" s="17" t="s">
        <v>908</v>
      </c>
      <c r="F181">
        <v>2</v>
      </c>
      <c r="G181">
        <v>0</v>
      </c>
      <c r="I181" t="s">
        <v>92</v>
      </c>
      <c r="K181">
        <v>1800</v>
      </c>
      <c r="M181" s="1">
        <v>46132.309305555558</v>
      </c>
      <c r="N181" t="s">
        <v>72</v>
      </c>
    </row>
    <row r="182" spans="1:14" ht="56" x14ac:dyDescent="0.3">
      <c r="A182" t="s">
        <v>909</v>
      </c>
      <c r="B182" t="s">
        <v>903</v>
      </c>
      <c r="C182" t="s">
        <v>15</v>
      </c>
      <c r="D182" s="16" t="s">
        <v>905</v>
      </c>
      <c r="E182" s="17" t="s">
        <v>910</v>
      </c>
      <c r="F182">
        <v>3</v>
      </c>
      <c r="G182">
        <v>0</v>
      </c>
      <c r="I182" t="s">
        <v>92</v>
      </c>
      <c r="K182">
        <v>1800</v>
      </c>
      <c r="M182" s="1">
        <v>46132.309305555558</v>
      </c>
      <c r="N182" t="s">
        <v>72</v>
      </c>
    </row>
    <row r="183" spans="1:14" ht="42" x14ac:dyDescent="0.3">
      <c r="A183" t="s">
        <v>911</v>
      </c>
      <c r="B183" t="s">
        <v>900</v>
      </c>
      <c r="C183" t="s">
        <v>15</v>
      </c>
      <c r="D183" s="16" t="s">
        <v>44</v>
      </c>
      <c r="E183" s="17" t="s">
        <v>912</v>
      </c>
      <c r="F183">
        <v>1</v>
      </c>
      <c r="G183">
        <v>0</v>
      </c>
      <c r="I183" t="s">
        <v>92</v>
      </c>
      <c r="M183" s="1">
        <v>46132.309305555558</v>
      </c>
      <c r="N183" t="s">
        <v>72</v>
      </c>
    </row>
    <row r="184" spans="1:14" ht="42" x14ac:dyDescent="0.3">
      <c r="A184" t="s">
        <v>913</v>
      </c>
      <c r="B184" t="s">
        <v>405</v>
      </c>
      <c r="C184" t="s">
        <v>15</v>
      </c>
      <c r="D184" s="16" t="s">
        <v>49</v>
      </c>
      <c r="E184" s="17" t="s">
        <v>914</v>
      </c>
      <c r="F184">
        <v>1</v>
      </c>
      <c r="G184">
        <v>0</v>
      </c>
      <c r="I184" t="s">
        <v>92</v>
      </c>
      <c r="M184" s="1">
        <v>46132.309305555558</v>
      </c>
      <c r="N184" t="s">
        <v>72</v>
      </c>
    </row>
    <row r="185" spans="1:14" x14ac:dyDescent="0.3">
      <c r="A185" t="s">
        <v>916</v>
      </c>
      <c r="B185" t="s">
        <v>917</v>
      </c>
      <c r="C185" t="s">
        <v>15</v>
      </c>
      <c r="D185" s="16" t="s">
        <v>918</v>
      </c>
      <c r="E185" s="17" t="s">
        <v>919</v>
      </c>
      <c r="F185">
        <v>2</v>
      </c>
      <c r="G185">
        <v>0</v>
      </c>
      <c r="I185" t="s">
        <v>92</v>
      </c>
      <c r="M185" s="1">
        <v>46132.309305555558</v>
      </c>
      <c r="N185" t="s">
        <v>72</v>
      </c>
    </row>
    <row r="186" spans="1:14" ht="182" x14ac:dyDescent="0.3">
      <c r="A186" t="s">
        <v>923</v>
      </c>
      <c r="B186" t="s">
        <v>924</v>
      </c>
      <c r="C186" t="s">
        <v>15</v>
      </c>
      <c r="D186" s="16" t="s">
        <v>926</v>
      </c>
      <c r="E186" s="17" t="s">
        <v>927</v>
      </c>
      <c r="F186">
        <v>1</v>
      </c>
      <c r="G186">
        <v>1</v>
      </c>
      <c r="I186" t="s">
        <v>92</v>
      </c>
      <c r="K186">
        <v>4200</v>
      </c>
      <c r="M186" s="1">
        <v>46132.309305555558</v>
      </c>
      <c r="N186" t="s">
        <v>72</v>
      </c>
    </row>
    <row r="187" spans="1:14" ht="42" x14ac:dyDescent="0.3">
      <c r="A187" t="s">
        <v>928</v>
      </c>
      <c r="B187" t="s">
        <v>929</v>
      </c>
      <c r="C187" t="s">
        <v>15</v>
      </c>
      <c r="D187" s="16" t="s">
        <v>296</v>
      </c>
      <c r="E187" s="17" t="s">
        <v>930</v>
      </c>
      <c r="F187">
        <v>2</v>
      </c>
      <c r="G187">
        <v>0</v>
      </c>
      <c r="I187" t="s">
        <v>92</v>
      </c>
      <c r="K187">
        <v>7000</v>
      </c>
      <c r="M187" s="1">
        <v>46132.309305555558</v>
      </c>
      <c r="N187" t="s">
        <v>72</v>
      </c>
    </row>
    <row r="188" spans="1:14" ht="28" x14ac:dyDescent="0.3">
      <c r="A188" t="s">
        <v>932</v>
      </c>
      <c r="B188" t="s">
        <v>933</v>
      </c>
      <c r="C188" t="s">
        <v>15</v>
      </c>
      <c r="D188" s="16" t="s">
        <v>419</v>
      </c>
      <c r="E188" s="17" t="s">
        <v>934</v>
      </c>
      <c r="F188">
        <v>1</v>
      </c>
      <c r="G188">
        <v>1</v>
      </c>
      <c r="I188" t="s">
        <v>92</v>
      </c>
      <c r="M188" s="1">
        <v>46132.309305555558</v>
      </c>
      <c r="N188" t="s">
        <v>72</v>
      </c>
    </row>
    <row r="189" spans="1:14" ht="28" x14ac:dyDescent="0.3">
      <c r="A189" t="s">
        <v>936</v>
      </c>
      <c r="B189" t="s">
        <v>937</v>
      </c>
      <c r="C189" t="s">
        <v>15</v>
      </c>
      <c r="D189" s="16" t="s">
        <v>419</v>
      </c>
      <c r="E189" s="17" t="s">
        <v>938</v>
      </c>
      <c r="F189">
        <v>0</v>
      </c>
      <c r="G189">
        <v>0</v>
      </c>
      <c r="I189" t="s">
        <v>92</v>
      </c>
      <c r="M189" s="1">
        <v>46132.309305555558</v>
      </c>
      <c r="N189" t="s">
        <v>72</v>
      </c>
    </row>
    <row r="190" spans="1:14" ht="28" x14ac:dyDescent="0.3">
      <c r="A190" t="s">
        <v>939</v>
      </c>
      <c r="B190" t="s">
        <v>937</v>
      </c>
      <c r="C190" t="s">
        <v>15</v>
      </c>
      <c r="D190" s="16" t="s">
        <v>390</v>
      </c>
      <c r="E190" s="17" t="s">
        <v>940</v>
      </c>
      <c r="F190">
        <v>0</v>
      </c>
      <c r="G190">
        <v>0</v>
      </c>
      <c r="I190" t="s">
        <v>92</v>
      </c>
      <c r="M190" s="1">
        <v>46132.309305555558</v>
      </c>
      <c r="N190" t="s">
        <v>72</v>
      </c>
    </row>
    <row r="191" spans="1:14" ht="28" x14ac:dyDescent="0.3">
      <c r="A191" t="s">
        <v>941</v>
      </c>
      <c r="B191" t="s">
        <v>942</v>
      </c>
      <c r="C191" t="s">
        <v>15</v>
      </c>
      <c r="D191" s="16" t="s">
        <v>943</v>
      </c>
      <c r="E191" s="17" t="s">
        <v>944</v>
      </c>
      <c r="F191">
        <v>0</v>
      </c>
      <c r="G191">
        <v>0</v>
      </c>
      <c r="I191" t="s">
        <v>92</v>
      </c>
      <c r="M191" s="1">
        <v>46132.309305555558</v>
      </c>
      <c r="N191" t="s">
        <v>72</v>
      </c>
    </row>
    <row r="192" spans="1:14" ht="28" x14ac:dyDescent="0.3">
      <c r="A192" t="s">
        <v>947</v>
      </c>
      <c r="B192" t="s">
        <v>842</v>
      </c>
      <c r="C192" t="s">
        <v>15</v>
      </c>
      <c r="D192" s="16" t="s">
        <v>776</v>
      </c>
      <c r="E192" s="17" t="s">
        <v>948</v>
      </c>
      <c r="F192">
        <v>2</v>
      </c>
      <c r="G192">
        <v>2</v>
      </c>
      <c r="I192" t="s">
        <v>92</v>
      </c>
      <c r="K192">
        <v>932</v>
      </c>
      <c r="M192" s="1">
        <v>46132.309305555558</v>
      </c>
      <c r="N192" t="s">
        <v>72</v>
      </c>
    </row>
    <row r="193" spans="1:14" x14ac:dyDescent="0.3">
      <c r="A193" t="s">
        <v>949</v>
      </c>
      <c r="B193" t="s">
        <v>807</v>
      </c>
      <c r="C193" t="s">
        <v>15</v>
      </c>
      <c r="D193" s="16" t="s">
        <v>776</v>
      </c>
      <c r="E193" s="17" t="s">
        <v>950</v>
      </c>
      <c r="F193">
        <v>4</v>
      </c>
      <c r="G193">
        <v>2</v>
      </c>
      <c r="I193" t="s">
        <v>92</v>
      </c>
      <c r="K193">
        <v>1087</v>
      </c>
      <c r="M193" s="1">
        <v>46132.309305555558</v>
      </c>
      <c r="N193" t="s">
        <v>72</v>
      </c>
    </row>
    <row r="194" spans="1:14" ht="56" x14ac:dyDescent="0.3">
      <c r="A194" t="s">
        <v>951</v>
      </c>
      <c r="B194" t="s">
        <v>952</v>
      </c>
      <c r="C194" t="s">
        <v>15</v>
      </c>
      <c r="D194" s="16" t="s">
        <v>671</v>
      </c>
      <c r="E194" s="17" t="s">
        <v>953</v>
      </c>
      <c r="F194">
        <v>4</v>
      </c>
      <c r="G194">
        <v>2</v>
      </c>
      <c r="I194" t="s">
        <v>92</v>
      </c>
      <c r="M194" s="1">
        <v>46132.309305555558</v>
      </c>
      <c r="N194" t="s">
        <v>72</v>
      </c>
    </row>
    <row r="195" spans="1:14" ht="56" x14ac:dyDescent="0.3">
      <c r="A195" t="s">
        <v>955</v>
      </c>
      <c r="B195" t="s">
        <v>956</v>
      </c>
      <c r="C195" t="s">
        <v>15</v>
      </c>
      <c r="D195" s="16" t="s">
        <v>671</v>
      </c>
      <c r="E195" s="17" t="s">
        <v>957</v>
      </c>
      <c r="F195">
        <v>1</v>
      </c>
      <c r="G195">
        <v>2</v>
      </c>
      <c r="I195" t="s">
        <v>92</v>
      </c>
      <c r="K195">
        <v>2948</v>
      </c>
      <c r="M195" s="1">
        <v>46132.309305555558</v>
      </c>
      <c r="N195" t="s">
        <v>72</v>
      </c>
    </row>
    <row r="196" spans="1:14" ht="42" x14ac:dyDescent="0.3">
      <c r="A196" t="s">
        <v>960</v>
      </c>
      <c r="B196" t="s">
        <v>961</v>
      </c>
      <c r="C196" t="s">
        <v>15</v>
      </c>
      <c r="D196" s="16" t="s">
        <v>671</v>
      </c>
      <c r="E196" s="17" t="s">
        <v>962</v>
      </c>
      <c r="F196">
        <v>1</v>
      </c>
      <c r="G196">
        <v>0</v>
      </c>
      <c r="I196" t="s">
        <v>92</v>
      </c>
      <c r="M196" s="1">
        <v>46132.309305555558</v>
      </c>
      <c r="N196" t="s">
        <v>72</v>
      </c>
    </row>
    <row r="197" spans="1:14" ht="42" x14ac:dyDescent="0.3">
      <c r="A197" t="s">
        <v>965</v>
      </c>
      <c r="B197" t="s">
        <v>966</v>
      </c>
      <c r="C197" t="s">
        <v>15</v>
      </c>
      <c r="D197" s="16" t="s">
        <v>671</v>
      </c>
      <c r="E197" s="17" t="s">
        <v>967</v>
      </c>
      <c r="F197">
        <v>2</v>
      </c>
      <c r="G197">
        <v>2</v>
      </c>
      <c r="I197" t="s">
        <v>92</v>
      </c>
      <c r="M197" s="1">
        <v>46132.309305555558</v>
      </c>
      <c r="N197" t="s">
        <v>72</v>
      </c>
    </row>
    <row r="198" spans="1:14" ht="42" x14ac:dyDescent="0.3">
      <c r="A198" t="s">
        <v>969</v>
      </c>
      <c r="B198" t="s">
        <v>966</v>
      </c>
      <c r="C198" t="s">
        <v>15</v>
      </c>
      <c r="D198" s="16" t="s">
        <v>671</v>
      </c>
      <c r="E198" s="17" t="s">
        <v>970</v>
      </c>
      <c r="F198">
        <v>1</v>
      </c>
      <c r="G198">
        <v>1</v>
      </c>
      <c r="I198" t="s">
        <v>92</v>
      </c>
      <c r="M198" s="1">
        <v>46132.309305555558</v>
      </c>
      <c r="N198" t="s">
        <v>72</v>
      </c>
    </row>
    <row r="199" spans="1:14" ht="56" x14ac:dyDescent="0.3">
      <c r="A199" t="s">
        <v>972</v>
      </c>
      <c r="B199" t="s">
        <v>973</v>
      </c>
      <c r="C199" t="s">
        <v>15</v>
      </c>
      <c r="D199" s="16" t="s">
        <v>671</v>
      </c>
      <c r="E199" s="17" t="s">
        <v>975</v>
      </c>
      <c r="F199">
        <v>1</v>
      </c>
      <c r="G199">
        <v>1</v>
      </c>
      <c r="I199" t="s">
        <v>92</v>
      </c>
      <c r="M199" s="1">
        <v>46132.309305555558</v>
      </c>
      <c r="N199" t="s">
        <v>72</v>
      </c>
    </row>
    <row r="200" spans="1:14" ht="70" x14ac:dyDescent="0.3">
      <c r="A200" t="s">
        <v>977</v>
      </c>
      <c r="B200" t="s">
        <v>978</v>
      </c>
      <c r="C200" t="s">
        <v>15</v>
      </c>
      <c r="D200" s="16" t="s">
        <v>23</v>
      </c>
      <c r="E200" s="17" t="s">
        <v>980</v>
      </c>
      <c r="F200">
        <v>1</v>
      </c>
      <c r="G200">
        <v>1</v>
      </c>
      <c r="I200" t="s">
        <v>92</v>
      </c>
      <c r="M200" s="1">
        <v>46132.309305555558</v>
      </c>
      <c r="N200" t="s">
        <v>72</v>
      </c>
    </row>
    <row r="201" spans="1:14" ht="28" x14ac:dyDescent="0.3">
      <c r="A201" t="s">
        <v>982</v>
      </c>
      <c r="B201" t="s">
        <v>983</v>
      </c>
      <c r="C201" t="s">
        <v>15</v>
      </c>
      <c r="D201" s="16" t="s">
        <v>23</v>
      </c>
      <c r="E201" s="17" t="s">
        <v>985</v>
      </c>
      <c r="F201">
        <v>2</v>
      </c>
      <c r="G201">
        <v>1</v>
      </c>
      <c r="I201" t="s">
        <v>92</v>
      </c>
      <c r="K201">
        <v>800</v>
      </c>
      <c r="M201" s="1">
        <v>46132.309305555558</v>
      </c>
      <c r="N201" t="s">
        <v>72</v>
      </c>
    </row>
    <row r="202" spans="1:14" ht="28" x14ac:dyDescent="0.3">
      <c r="A202" t="s">
        <v>986</v>
      </c>
      <c r="B202" t="s">
        <v>987</v>
      </c>
      <c r="C202" t="s">
        <v>15</v>
      </c>
      <c r="D202" s="16" t="s">
        <v>23</v>
      </c>
      <c r="E202" s="17" t="s">
        <v>989</v>
      </c>
      <c r="F202">
        <v>1</v>
      </c>
      <c r="G202">
        <v>1</v>
      </c>
      <c r="I202" t="s">
        <v>92</v>
      </c>
      <c r="M202" s="1">
        <v>46132.309305555558</v>
      </c>
      <c r="N202" t="s">
        <v>72</v>
      </c>
    </row>
    <row r="203" spans="1:14" ht="28" x14ac:dyDescent="0.3">
      <c r="A203" t="s">
        <v>990</v>
      </c>
      <c r="B203" t="s">
        <v>991</v>
      </c>
      <c r="C203" t="s">
        <v>15</v>
      </c>
      <c r="D203" s="16" t="s">
        <v>23</v>
      </c>
      <c r="E203" s="17" t="s">
        <v>993</v>
      </c>
      <c r="F203">
        <v>1</v>
      </c>
      <c r="G203">
        <v>1</v>
      </c>
      <c r="I203" t="s">
        <v>92</v>
      </c>
      <c r="M203" s="1">
        <v>46132.309305555558</v>
      </c>
      <c r="N203" t="s">
        <v>72</v>
      </c>
    </row>
    <row r="204" spans="1:14" ht="28" x14ac:dyDescent="0.3">
      <c r="A204" t="s">
        <v>994</v>
      </c>
      <c r="B204" t="s">
        <v>455</v>
      </c>
      <c r="C204" t="s">
        <v>15</v>
      </c>
      <c r="D204" s="16" t="s">
        <v>23</v>
      </c>
      <c r="E204" s="17" t="s">
        <v>996</v>
      </c>
      <c r="F204">
        <v>2</v>
      </c>
      <c r="G204">
        <v>1</v>
      </c>
      <c r="I204" t="s">
        <v>92</v>
      </c>
      <c r="K204">
        <v>1300</v>
      </c>
      <c r="M204" s="1">
        <v>46132.309305555558</v>
      </c>
      <c r="N204" t="s">
        <v>72</v>
      </c>
    </row>
    <row r="205" spans="1:14" ht="28" x14ac:dyDescent="0.3">
      <c r="A205" t="s">
        <v>997</v>
      </c>
      <c r="B205" t="s">
        <v>998</v>
      </c>
      <c r="C205" t="s">
        <v>15</v>
      </c>
      <c r="D205" s="16" t="s">
        <v>1000</v>
      </c>
      <c r="E205" s="17" t="s">
        <v>1001</v>
      </c>
      <c r="F205">
        <v>0</v>
      </c>
      <c r="G205">
        <v>0</v>
      </c>
      <c r="I205" t="s">
        <v>92</v>
      </c>
      <c r="M205" s="1">
        <v>46132.309305555558</v>
      </c>
      <c r="N205" t="s">
        <v>72</v>
      </c>
    </row>
    <row r="206" spans="1:14" ht="28" x14ac:dyDescent="0.3">
      <c r="A206" t="s">
        <v>1003</v>
      </c>
      <c r="B206" t="s">
        <v>1004</v>
      </c>
      <c r="C206" t="s">
        <v>15</v>
      </c>
      <c r="D206" s="16" t="s">
        <v>296</v>
      </c>
      <c r="E206" s="17" t="s">
        <v>1006</v>
      </c>
      <c r="F206">
        <v>1</v>
      </c>
      <c r="G206">
        <v>0</v>
      </c>
      <c r="I206" t="s">
        <v>92</v>
      </c>
      <c r="K206">
        <v>15000</v>
      </c>
      <c r="M206" s="1">
        <v>46132.309305555558</v>
      </c>
      <c r="N206" t="s">
        <v>72</v>
      </c>
    </row>
    <row r="207" spans="1:14" ht="28" x14ac:dyDescent="0.3">
      <c r="A207" t="s">
        <v>1008</v>
      </c>
      <c r="B207" t="s">
        <v>1009</v>
      </c>
      <c r="C207" t="s">
        <v>15</v>
      </c>
      <c r="D207" s="16" t="s">
        <v>296</v>
      </c>
      <c r="E207" s="17" t="s">
        <v>1010</v>
      </c>
      <c r="F207">
        <v>1</v>
      </c>
      <c r="G207">
        <v>0</v>
      </c>
      <c r="I207" t="s">
        <v>92</v>
      </c>
      <c r="K207">
        <v>10000</v>
      </c>
      <c r="M207" s="1">
        <v>46132.309305555558</v>
      </c>
      <c r="N207" t="s">
        <v>72</v>
      </c>
    </row>
    <row r="208" spans="1:14" ht="28" x14ac:dyDescent="0.3">
      <c r="A208" t="s">
        <v>1012</v>
      </c>
      <c r="B208" t="s">
        <v>1013</v>
      </c>
      <c r="C208" t="s">
        <v>15</v>
      </c>
      <c r="D208" s="16" t="s">
        <v>296</v>
      </c>
      <c r="E208" s="17" t="s">
        <v>1015</v>
      </c>
      <c r="F208">
        <v>1</v>
      </c>
      <c r="G208">
        <v>0</v>
      </c>
      <c r="I208" t="s">
        <v>92</v>
      </c>
      <c r="K208">
        <v>3000</v>
      </c>
      <c r="M208" s="1">
        <v>46132.309305555558</v>
      </c>
      <c r="N208" t="s">
        <v>72</v>
      </c>
    </row>
    <row r="209" spans="1:14" ht="42" x14ac:dyDescent="0.3">
      <c r="A209" t="s">
        <v>1017</v>
      </c>
      <c r="B209" t="s">
        <v>1018</v>
      </c>
      <c r="C209" t="s">
        <v>15</v>
      </c>
      <c r="D209" s="16" t="s">
        <v>296</v>
      </c>
      <c r="E209" s="17" t="s">
        <v>1020</v>
      </c>
      <c r="F209">
        <v>2</v>
      </c>
      <c r="G209">
        <v>0</v>
      </c>
      <c r="I209" t="s">
        <v>92</v>
      </c>
      <c r="K209">
        <v>3500</v>
      </c>
      <c r="M209" s="1">
        <v>46132.309305555558</v>
      </c>
      <c r="N209" t="s">
        <v>72</v>
      </c>
    </row>
    <row r="210" spans="1:14" ht="42" x14ac:dyDescent="0.3">
      <c r="A210" t="s">
        <v>1021</v>
      </c>
      <c r="B210" t="s">
        <v>1022</v>
      </c>
      <c r="C210" t="s">
        <v>15</v>
      </c>
      <c r="D210" s="16" t="s">
        <v>296</v>
      </c>
      <c r="E210" s="17" t="s">
        <v>1024</v>
      </c>
      <c r="F210">
        <v>1</v>
      </c>
      <c r="G210">
        <v>0</v>
      </c>
      <c r="I210" t="s">
        <v>92</v>
      </c>
      <c r="K210">
        <v>6500</v>
      </c>
      <c r="M210" s="1">
        <v>46132.309305555558</v>
      </c>
      <c r="N210" t="s">
        <v>72</v>
      </c>
    </row>
    <row r="211" spans="1:14" ht="28" x14ac:dyDescent="0.3">
      <c r="A211" t="s">
        <v>1025</v>
      </c>
      <c r="B211" t="s">
        <v>1026</v>
      </c>
      <c r="C211" t="s">
        <v>15</v>
      </c>
      <c r="D211" s="16" t="s">
        <v>296</v>
      </c>
      <c r="E211" s="17" t="s">
        <v>1028</v>
      </c>
      <c r="F211">
        <v>2</v>
      </c>
      <c r="G211">
        <v>0</v>
      </c>
      <c r="I211" t="s">
        <v>92</v>
      </c>
      <c r="K211">
        <v>7000</v>
      </c>
      <c r="M211" s="1">
        <v>46132.309305555558</v>
      </c>
      <c r="N211" t="s">
        <v>72</v>
      </c>
    </row>
    <row r="212" spans="1:14" ht="42" x14ac:dyDescent="0.3">
      <c r="A212" t="s">
        <v>1030</v>
      </c>
      <c r="B212" t="s">
        <v>1031</v>
      </c>
      <c r="C212" t="s">
        <v>15</v>
      </c>
      <c r="D212" s="16" t="s">
        <v>296</v>
      </c>
      <c r="E212" s="17" t="s">
        <v>1033</v>
      </c>
      <c r="F212">
        <v>1</v>
      </c>
      <c r="G212">
        <v>0</v>
      </c>
      <c r="I212" t="s">
        <v>92</v>
      </c>
      <c r="K212">
        <v>3000</v>
      </c>
      <c r="M212" s="1">
        <v>46132.309305555558</v>
      </c>
      <c r="N212" t="s">
        <v>72</v>
      </c>
    </row>
    <row r="213" spans="1:14" ht="42" x14ac:dyDescent="0.3">
      <c r="A213" t="s">
        <v>1035</v>
      </c>
      <c r="B213" t="s">
        <v>1036</v>
      </c>
      <c r="C213" t="s">
        <v>15</v>
      </c>
      <c r="D213" s="16" t="s">
        <v>296</v>
      </c>
      <c r="E213" s="17" t="s">
        <v>1038</v>
      </c>
      <c r="F213">
        <v>2</v>
      </c>
      <c r="G213">
        <v>0</v>
      </c>
      <c r="I213" t="s">
        <v>92</v>
      </c>
      <c r="K213">
        <v>3000</v>
      </c>
      <c r="M213" s="1">
        <v>46132.309305555558</v>
      </c>
      <c r="N213" t="s">
        <v>72</v>
      </c>
    </row>
    <row r="214" spans="1:14" ht="42" x14ac:dyDescent="0.3">
      <c r="A214" t="s">
        <v>1040</v>
      </c>
      <c r="B214" t="s">
        <v>1041</v>
      </c>
      <c r="C214" t="s">
        <v>15</v>
      </c>
      <c r="D214" s="16" t="s">
        <v>296</v>
      </c>
      <c r="E214" s="17" t="s">
        <v>1042</v>
      </c>
      <c r="F214">
        <v>1</v>
      </c>
      <c r="G214">
        <v>0</v>
      </c>
      <c r="I214" t="s">
        <v>92</v>
      </c>
      <c r="K214">
        <v>3000</v>
      </c>
      <c r="M214" s="1">
        <v>46132.309305555558</v>
      </c>
      <c r="N214" t="s">
        <v>72</v>
      </c>
    </row>
    <row r="215" spans="1:14" ht="28" x14ac:dyDescent="0.3">
      <c r="A215" t="s">
        <v>1044</v>
      </c>
      <c r="B215" t="s">
        <v>1045</v>
      </c>
      <c r="C215" t="s">
        <v>15</v>
      </c>
      <c r="D215" s="16" t="s">
        <v>296</v>
      </c>
      <c r="E215" s="17" t="s">
        <v>1046</v>
      </c>
      <c r="F215">
        <v>1</v>
      </c>
      <c r="G215">
        <v>0</v>
      </c>
      <c r="I215" t="s">
        <v>92</v>
      </c>
      <c r="K215">
        <v>5000</v>
      </c>
      <c r="M215" s="1">
        <v>46132.309305555558</v>
      </c>
      <c r="N215" t="s">
        <v>72</v>
      </c>
    </row>
    <row r="216" spans="1:14" ht="28" x14ac:dyDescent="0.3">
      <c r="A216" t="s">
        <v>1047</v>
      </c>
      <c r="B216" t="s">
        <v>1048</v>
      </c>
      <c r="C216" t="s">
        <v>15</v>
      </c>
      <c r="D216" s="16" t="s">
        <v>296</v>
      </c>
      <c r="E216" s="17" t="s">
        <v>1049</v>
      </c>
      <c r="F216">
        <v>1</v>
      </c>
      <c r="G216">
        <v>0</v>
      </c>
      <c r="I216" t="s">
        <v>92</v>
      </c>
      <c r="K216">
        <v>5800</v>
      </c>
      <c r="M216" s="1">
        <v>46132.309305555558</v>
      </c>
      <c r="N216" t="s">
        <v>72</v>
      </c>
    </row>
    <row r="217" spans="1:14" ht="28" x14ac:dyDescent="0.3">
      <c r="A217" t="s">
        <v>1051</v>
      </c>
      <c r="B217" t="s">
        <v>1052</v>
      </c>
      <c r="C217" t="s">
        <v>15</v>
      </c>
      <c r="D217" s="16" t="s">
        <v>296</v>
      </c>
      <c r="E217" s="17" t="s">
        <v>1053</v>
      </c>
      <c r="F217">
        <v>3</v>
      </c>
      <c r="G217">
        <v>0</v>
      </c>
      <c r="I217" t="s">
        <v>92</v>
      </c>
      <c r="K217">
        <v>5000</v>
      </c>
      <c r="M217" s="1">
        <v>46132.309305555558</v>
      </c>
      <c r="N217" t="s">
        <v>72</v>
      </c>
    </row>
    <row r="218" spans="1:14" ht="42" x14ac:dyDescent="0.3">
      <c r="A218" t="s">
        <v>1055</v>
      </c>
      <c r="B218" t="s">
        <v>1056</v>
      </c>
      <c r="C218" t="s">
        <v>15</v>
      </c>
      <c r="D218" s="16" t="s">
        <v>296</v>
      </c>
      <c r="E218" s="17" t="s">
        <v>1058</v>
      </c>
      <c r="F218">
        <v>2</v>
      </c>
      <c r="G218">
        <v>0</v>
      </c>
      <c r="I218" t="s">
        <v>92</v>
      </c>
      <c r="K218">
        <v>1000</v>
      </c>
      <c r="M218" s="1">
        <v>46132.309305555558</v>
      </c>
      <c r="N218" t="s">
        <v>72</v>
      </c>
    </row>
    <row r="219" spans="1:14" x14ac:dyDescent="0.3">
      <c r="A219" t="s">
        <v>1060</v>
      </c>
      <c r="B219" t="s">
        <v>1061</v>
      </c>
      <c r="C219" t="s">
        <v>15</v>
      </c>
      <c r="D219" s="16" t="s">
        <v>296</v>
      </c>
      <c r="E219" s="17" t="s">
        <v>1063</v>
      </c>
      <c r="F219">
        <v>1</v>
      </c>
      <c r="G219">
        <v>0</v>
      </c>
      <c r="I219" t="s">
        <v>92</v>
      </c>
      <c r="K219">
        <v>1000</v>
      </c>
      <c r="M219" s="1">
        <v>46132.309305555558</v>
      </c>
      <c r="N219" t="s">
        <v>72</v>
      </c>
    </row>
    <row r="220" spans="1:14" ht="42" x14ac:dyDescent="0.3">
      <c r="A220" t="s">
        <v>1065</v>
      </c>
      <c r="B220" t="s">
        <v>1066</v>
      </c>
      <c r="C220" t="s">
        <v>15</v>
      </c>
      <c r="D220" s="16" t="s">
        <v>296</v>
      </c>
      <c r="E220" s="17" t="s">
        <v>1068</v>
      </c>
      <c r="F220">
        <v>1</v>
      </c>
      <c r="G220">
        <v>0</v>
      </c>
      <c r="I220" t="s">
        <v>92</v>
      </c>
      <c r="K220">
        <v>3000</v>
      </c>
      <c r="M220" s="1">
        <v>46132.309305555558</v>
      </c>
      <c r="N220" t="s">
        <v>72</v>
      </c>
    </row>
    <row r="221" spans="1:14" ht="28" x14ac:dyDescent="0.3">
      <c r="A221" t="s">
        <v>1070</v>
      </c>
      <c r="B221" t="s">
        <v>1013</v>
      </c>
      <c r="C221" t="s">
        <v>15</v>
      </c>
      <c r="D221" s="16" t="s">
        <v>296</v>
      </c>
      <c r="E221" s="17" t="s">
        <v>1071</v>
      </c>
      <c r="F221">
        <v>1</v>
      </c>
      <c r="G221">
        <v>0</v>
      </c>
      <c r="I221" t="s">
        <v>92</v>
      </c>
      <c r="K221">
        <v>4500</v>
      </c>
      <c r="M221" s="1">
        <v>46132.309305555558</v>
      </c>
      <c r="N221" t="s">
        <v>72</v>
      </c>
    </row>
    <row r="222" spans="1:14" ht="42" x14ac:dyDescent="0.3">
      <c r="A222" t="s">
        <v>1072</v>
      </c>
      <c r="B222" t="s">
        <v>539</v>
      </c>
      <c r="C222" t="s">
        <v>15</v>
      </c>
      <c r="D222" s="16" t="s">
        <v>296</v>
      </c>
      <c r="E222" s="17" t="s">
        <v>1073</v>
      </c>
      <c r="F222">
        <v>1</v>
      </c>
      <c r="G222">
        <v>0</v>
      </c>
      <c r="I222" t="s">
        <v>92</v>
      </c>
      <c r="K222">
        <v>4000</v>
      </c>
      <c r="M222" s="1">
        <v>46132.309305555558</v>
      </c>
      <c r="N222" t="s">
        <v>72</v>
      </c>
    </row>
    <row r="223" spans="1:14" ht="42" x14ac:dyDescent="0.3">
      <c r="A223" t="s">
        <v>1075</v>
      </c>
      <c r="B223" t="s">
        <v>1076</v>
      </c>
      <c r="C223" t="s">
        <v>15</v>
      </c>
      <c r="D223" s="16" t="s">
        <v>296</v>
      </c>
      <c r="E223" s="17" t="s">
        <v>1078</v>
      </c>
      <c r="F223">
        <v>1</v>
      </c>
      <c r="G223">
        <v>0</v>
      </c>
      <c r="I223" t="s">
        <v>92</v>
      </c>
      <c r="K223">
        <v>6000</v>
      </c>
      <c r="M223" s="1">
        <v>46132.309305555558</v>
      </c>
      <c r="N223" t="s">
        <v>72</v>
      </c>
    </row>
    <row r="224" spans="1:14" ht="84" x14ac:dyDescent="0.3">
      <c r="A224" t="s">
        <v>1080</v>
      </c>
      <c r="B224" t="s">
        <v>1081</v>
      </c>
      <c r="C224" t="s">
        <v>15</v>
      </c>
      <c r="D224" s="16" t="s">
        <v>905</v>
      </c>
      <c r="E224" s="17" t="s">
        <v>1083</v>
      </c>
      <c r="F224">
        <v>2</v>
      </c>
      <c r="G224">
        <v>1</v>
      </c>
      <c r="I224" t="s">
        <v>92</v>
      </c>
      <c r="K224">
        <v>2500</v>
      </c>
      <c r="M224" s="1">
        <v>46132.309305555558</v>
      </c>
      <c r="N224" t="s">
        <v>72</v>
      </c>
    </row>
    <row r="225" spans="1:14" ht="126" x14ac:dyDescent="0.3">
      <c r="A225" t="s">
        <v>1084</v>
      </c>
      <c r="B225" t="s">
        <v>1085</v>
      </c>
      <c r="C225" t="s">
        <v>15</v>
      </c>
      <c r="D225" s="16" t="s">
        <v>905</v>
      </c>
      <c r="E225" s="17" t="s">
        <v>1087</v>
      </c>
      <c r="F225">
        <v>1</v>
      </c>
      <c r="G225">
        <v>1</v>
      </c>
      <c r="I225" t="s">
        <v>92</v>
      </c>
      <c r="K225">
        <v>2000</v>
      </c>
      <c r="M225" s="1">
        <v>46132.309305555558</v>
      </c>
      <c r="N225" t="s">
        <v>72</v>
      </c>
    </row>
    <row r="226" spans="1:14" ht="42" x14ac:dyDescent="0.3">
      <c r="A226" t="s">
        <v>1088</v>
      </c>
      <c r="B226" t="s">
        <v>1089</v>
      </c>
      <c r="C226" t="s">
        <v>15</v>
      </c>
      <c r="D226" s="16" t="s">
        <v>29</v>
      </c>
      <c r="E226" s="17" t="s">
        <v>1091</v>
      </c>
      <c r="F226">
        <v>3</v>
      </c>
      <c r="G226">
        <v>1</v>
      </c>
      <c r="I226" t="s">
        <v>92</v>
      </c>
      <c r="K226">
        <v>300</v>
      </c>
      <c r="M226" s="1">
        <v>46132.309305555558</v>
      </c>
      <c r="N226" t="s">
        <v>72</v>
      </c>
    </row>
    <row r="227" spans="1:14" ht="56" x14ac:dyDescent="0.3">
      <c r="A227" t="s">
        <v>1092</v>
      </c>
      <c r="B227" t="s">
        <v>1093</v>
      </c>
      <c r="C227" t="s">
        <v>15</v>
      </c>
      <c r="D227" s="16" t="s">
        <v>29</v>
      </c>
      <c r="E227" s="17" t="s">
        <v>1095</v>
      </c>
      <c r="F227">
        <v>2</v>
      </c>
      <c r="G227">
        <v>1</v>
      </c>
      <c r="I227" t="s">
        <v>92</v>
      </c>
      <c r="K227">
        <v>7300</v>
      </c>
      <c r="M227" s="1">
        <v>46132.309305555558</v>
      </c>
      <c r="N227" t="s">
        <v>72</v>
      </c>
    </row>
    <row r="228" spans="1:14" ht="70" x14ac:dyDescent="0.3">
      <c r="A228" t="s">
        <v>1096</v>
      </c>
      <c r="B228" t="s">
        <v>1097</v>
      </c>
      <c r="C228" t="s">
        <v>15</v>
      </c>
      <c r="D228" s="16" t="s">
        <v>29</v>
      </c>
      <c r="E228" s="17" t="s">
        <v>1099</v>
      </c>
      <c r="F228">
        <v>1</v>
      </c>
      <c r="G228">
        <v>1</v>
      </c>
      <c r="I228" t="s">
        <v>92</v>
      </c>
      <c r="K228">
        <v>2500</v>
      </c>
      <c r="M228" s="1">
        <v>46132.309305555558</v>
      </c>
      <c r="N228" t="s">
        <v>72</v>
      </c>
    </row>
    <row r="229" spans="1:14" ht="28" x14ac:dyDescent="0.3">
      <c r="A229" t="s">
        <v>1100</v>
      </c>
      <c r="B229" t="s">
        <v>513</v>
      </c>
      <c r="C229" t="s">
        <v>15</v>
      </c>
      <c r="D229" s="16" t="s">
        <v>29</v>
      </c>
      <c r="E229" s="17" t="s">
        <v>1101</v>
      </c>
      <c r="F229">
        <v>1</v>
      </c>
      <c r="G229">
        <v>0</v>
      </c>
      <c r="I229" t="s">
        <v>92</v>
      </c>
      <c r="K229">
        <v>750</v>
      </c>
      <c r="M229" s="1">
        <v>46132.309305555558</v>
      </c>
      <c r="N229" t="s">
        <v>72</v>
      </c>
    </row>
    <row r="230" spans="1:14" ht="42" x14ac:dyDescent="0.3">
      <c r="A230" t="s">
        <v>1102</v>
      </c>
      <c r="B230" t="s">
        <v>1103</v>
      </c>
      <c r="C230" t="s">
        <v>15</v>
      </c>
      <c r="D230" s="16" t="s">
        <v>21</v>
      </c>
      <c r="E230" s="17" t="s">
        <v>1105</v>
      </c>
      <c r="F230">
        <v>1</v>
      </c>
      <c r="G230">
        <v>0</v>
      </c>
      <c r="I230" t="s">
        <v>92</v>
      </c>
      <c r="K230">
        <v>700</v>
      </c>
      <c r="M230" s="1">
        <v>46132.309305555558</v>
      </c>
      <c r="N230" t="s">
        <v>72</v>
      </c>
    </row>
    <row r="231" spans="1:14" ht="42" x14ac:dyDescent="0.3">
      <c r="A231" t="s">
        <v>1106</v>
      </c>
      <c r="B231" t="s">
        <v>1107</v>
      </c>
      <c r="C231" t="s">
        <v>15</v>
      </c>
      <c r="D231" s="16" t="s">
        <v>21</v>
      </c>
      <c r="E231" s="17" t="s">
        <v>1109</v>
      </c>
      <c r="F231">
        <v>1</v>
      </c>
      <c r="G231">
        <v>0</v>
      </c>
      <c r="I231" t="s">
        <v>92</v>
      </c>
      <c r="K231">
        <v>700</v>
      </c>
      <c r="M231" s="1">
        <v>46132.309305555558</v>
      </c>
      <c r="N231" t="s">
        <v>72</v>
      </c>
    </row>
    <row r="232" spans="1:14" ht="28" x14ac:dyDescent="0.3">
      <c r="A232" t="s">
        <v>1110</v>
      </c>
      <c r="B232" t="s">
        <v>1111</v>
      </c>
      <c r="C232" t="s">
        <v>15</v>
      </c>
      <c r="D232" s="16" t="s">
        <v>21</v>
      </c>
      <c r="E232" s="17" t="s">
        <v>1113</v>
      </c>
      <c r="F232">
        <v>1</v>
      </c>
      <c r="G232">
        <v>0</v>
      </c>
      <c r="I232" t="s">
        <v>92</v>
      </c>
      <c r="K232">
        <v>1300</v>
      </c>
      <c r="M232" s="1">
        <v>46132.309305555558</v>
      </c>
      <c r="N232" t="s">
        <v>72</v>
      </c>
    </row>
    <row r="233" spans="1:14" ht="28" x14ac:dyDescent="0.3">
      <c r="A233" t="s">
        <v>1114</v>
      </c>
      <c r="B233" t="s">
        <v>1115</v>
      </c>
      <c r="C233" t="s">
        <v>15</v>
      </c>
      <c r="D233" s="16" t="s">
        <v>21</v>
      </c>
      <c r="E233" s="17" t="s">
        <v>1116</v>
      </c>
      <c r="F233">
        <v>1</v>
      </c>
      <c r="G233">
        <v>0</v>
      </c>
      <c r="I233" t="s">
        <v>92</v>
      </c>
      <c r="K233">
        <v>1300</v>
      </c>
      <c r="M233" s="1">
        <v>46132.309305555558</v>
      </c>
      <c r="N233" t="s">
        <v>72</v>
      </c>
    </row>
    <row r="234" spans="1:14" ht="28" x14ac:dyDescent="0.3">
      <c r="A234" t="s">
        <v>1117</v>
      </c>
      <c r="B234" t="s">
        <v>1118</v>
      </c>
      <c r="C234" t="s">
        <v>15</v>
      </c>
      <c r="D234" s="16" t="s">
        <v>21</v>
      </c>
      <c r="E234" s="17" t="s">
        <v>1120</v>
      </c>
      <c r="F234">
        <v>1</v>
      </c>
      <c r="G234">
        <v>0</v>
      </c>
      <c r="I234" t="s">
        <v>92</v>
      </c>
      <c r="K234">
        <v>5300</v>
      </c>
      <c r="M234" s="1">
        <v>46132.309305555558</v>
      </c>
      <c r="N234" t="s">
        <v>72</v>
      </c>
    </row>
    <row r="235" spans="1:14" ht="28" x14ac:dyDescent="0.3">
      <c r="A235" t="s">
        <v>1122</v>
      </c>
      <c r="B235" t="s">
        <v>1123</v>
      </c>
      <c r="C235" t="s">
        <v>15</v>
      </c>
      <c r="D235" s="16" t="s">
        <v>21</v>
      </c>
      <c r="E235" s="17" t="s">
        <v>1125</v>
      </c>
      <c r="F235">
        <v>2</v>
      </c>
      <c r="G235">
        <v>0</v>
      </c>
      <c r="I235" t="s">
        <v>92</v>
      </c>
      <c r="K235">
        <v>100</v>
      </c>
      <c r="M235" s="1">
        <v>46132.309305555558</v>
      </c>
      <c r="N235" t="s">
        <v>72</v>
      </c>
    </row>
    <row r="236" spans="1:14" ht="70" x14ac:dyDescent="0.3">
      <c r="A236" t="s">
        <v>1126</v>
      </c>
      <c r="B236" t="s">
        <v>1127</v>
      </c>
      <c r="C236" t="s">
        <v>15</v>
      </c>
      <c r="D236" s="16" t="s">
        <v>21</v>
      </c>
      <c r="E236" s="17" t="s">
        <v>1128</v>
      </c>
      <c r="F236">
        <v>3</v>
      </c>
      <c r="G236">
        <v>0</v>
      </c>
      <c r="I236" t="s">
        <v>92</v>
      </c>
      <c r="K236">
        <v>253</v>
      </c>
      <c r="M236" s="1">
        <v>46132.309305555558</v>
      </c>
      <c r="N236" t="s">
        <v>72</v>
      </c>
    </row>
    <row r="237" spans="1:14" ht="42" x14ac:dyDescent="0.3">
      <c r="A237" t="s">
        <v>1129</v>
      </c>
      <c r="B237" t="s">
        <v>1130</v>
      </c>
      <c r="C237" t="s">
        <v>15</v>
      </c>
      <c r="D237" s="16" t="s">
        <v>21</v>
      </c>
      <c r="E237" s="17" t="s">
        <v>1131</v>
      </c>
      <c r="F237">
        <v>3</v>
      </c>
      <c r="G237">
        <v>0</v>
      </c>
      <c r="I237" t="s">
        <v>92</v>
      </c>
      <c r="K237">
        <v>250</v>
      </c>
      <c r="M237" s="1">
        <v>46132.309305555558</v>
      </c>
      <c r="N237" t="s">
        <v>72</v>
      </c>
    </row>
    <row r="238" spans="1:14" ht="42" x14ac:dyDescent="0.3">
      <c r="A238" t="s">
        <v>1132</v>
      </c>
      <c r="B238" t="s">
        <v>1133</v>
      </c>
      <c r="C238" t="s">
        <v>15</v>
      </c>
      <c r="D238" s="16" t="s">
        <v>21</v>
      </c>
      <c r="E238" s="17" t="s">
        <v>1134</v>
      </c>
      <c r="F238">
        <v>11</v>
      </c>
      <c r="G238">
        <v>0</v>
      </c>
      <c r="I238" t="s">
        <v>92</v>
      </c>
      <c r="K238">
        <v>250</v>
      </c>
      <c r="M238" s="1">
        <v>46132.309305555558</v>
      </c>
      <c r="N238" t="s">
        <v>72</v>
      </c>
    </row>
    <row r="239" spans="1:14" ht="42" x14ac:dyDescent="0.3">
      <c r="A239" t="s">
        <v>1135</v>
      </c>
      <c r="B239" t="s">
        <v>1136</v>
      </c>
      <c r="C239" t="s">
        <v>15</v>
      </c>
      <c r="D239" s="16" t="s">
        <v>21</v>
      </c>
      <c r="E239" s="17" t="s">
        <v>1138</v>
      </c>
      <c r="F239">
        <v>3</v>
      </c>
      <c r="G239">
        <v>0</v>
      </c>
      <c r="I239" t="s">
        <v>92</v>
      </c>
      <c r="K239">
        <v>50</v>
      </c>
      <c r="M239" s="1">
        <v>46132.309305555558</v>
      </c>
      <c r="N239" t="s">
        <v>72</v>
      </c>
    </row>
    <row r="240" spans="1:14" x14ac:dyDescent="0.3">
      <c r="A240" t="s">
        <v>1139</v>
      </c>
      <c r="B240" t="s">
        <v>1140</v>
      </c>
      <c r="C240" t="s">
        <v>15</v>
      </c>
      <c r="D240" s="16" t="s">
        <v>471</v>
      </c>
      <c r="E240" s="17" t="s">
        <v>1142</v>
      </c>
      <c r="F240">
        <v>2</v>
      </c>
      <c r="G240">
        <v>0</v>
      </c>
      <c r="I240" t="s">
        <v>92</v>
      </c>
      <c r="K240">
        <v>150</v>
      </c>
      <c r="M240" s="1">
        <v>46132.309305555558</v>
      </c>
      <c r="N240" t="s">
        <v>72</v>
      </c>
    </row>
    <row r="241" spans="1:14" x14ac:dyDescent="0.3">
      <c r="A241" t="s">
        <v>1144</v>
      </c>
      <c r="B241" t="s">
        <v>1145</v>
      </c>
      <c r="C241" t="s">
        <v>15</v>
      </c>
      <c r="D241" s="16" t="s">
        <v>471</v>
      </c>
      <c r="E241" s="17" t="s">
        <v>1147</v>
      </c>
      <c r="F241">
        <v>1</v>
      </c>
      <c r="G241">
        <v>0</v>
      </c>
      <c r="I241" t="s">
        <v>92</v>
      </c>
      <c r="K241">
        <v>1400</v>
      </c>
      <c r="M241" s="1">
        <v>46132.309305555558</v>
      </c>
      <c r="N241" t="s">
        <v>72</v>
      </c>
    </row>
    <row r="242" spans="1:14" x14ac:dyDescent="0.3">
      <c r="A242" t="s">
        <v>1148</v>
      </c>
      <c r="B242" t="s">
        <v>1149</v>
      </c>
      <c r="C242" t="s">
        <v>15</v>
      </c>
      <c r="D242" s="16" t="s">
        <v>471</v>
      </c>
      <c r="E242" s="17" t="s">
        <v>1151</v>
      </c>
      <c r="F242">
        <v>1</v>
      </c>
      <c r="G242">
        <v>0</v>
      </c>
      <c r="I242" t="s">
        <v>92</v>
      </c>
      <c r="K242">
        <v>750</v>
      </c>
      <c r="M242" s="1">
        <v>46132.309305555558</v>
      </c>
      <c r="N242" t="s">
        <v>72</v>
      </c>
    </row>
    <row r="243" spans="1:14" x14ac:dyDescent="0.3">
      <c r="A243" t="s">
        <v>1152</v>
      </c>
      <c r="B243" t="s">
        <v>1149</v>
      </c>
      <c r="C243" t="s">
        <v>15</v>
      </c>
      <c r="D243" s="16" t="s">
        <v>471</v>
      </c>
      <c r="E243" s="17" t="s">
        <v>1154</v>
      </c>
      <c r="F243">
        <v>1</v>
      </c>
      <c r="G243">
        <v>0</v>
      </c>
      <c r="I243" t="s">
        <v>92</v>
      </c>
      <c r="K243">
        <v>1125</v>
      </c>
      <c r="M243" s="1">
        <v>46132.309305555558</v>
      </c>
      <c r="N243" t="s">
        <v>72</v>
      </c>
    </row>
    <row r="244" spans="1:14" ht="42" x14ac:dyDescent="0.3">
      <c r="A244" t="s">
        <v>1155</v>
      </c>
      <c r="B244" t="s">
        <v>1156</v>
      </c>
      <c r="C244" t="s">
        <v>15</v>
      </c>
      <c r="D244" s="16" t="s">
        <v>325</v>
      </c>
      <c r="E244" s="17" t="s">
        <v>1158</v>
      </c>
      <c r="F244">
        <v>3</v>
      </c>
      <c r="G244">
        <v>0</v>
      </c>
      <c r="I244" t="s">
        <v>92</v>
      </c>
      <c r="K244">
        <v>3500</v>
      </c>
      <c r="M244" s="1">
        <v>46132.309305555558</v>
      </c>
      <c r="N244" t="s">
        <v>72</v>
      </c>
    </row>
    <row r="245" spans="1:14" ht="28" x14ac:dyDescent="0.3">
      <c r="A245" t="s">
        <v>1159</v>
      </c>
      <c r="B245" t="s">
        <v>1149</v>
      </c>
      <c r="C245" t="s">
        <v>15</v>
      </c>
      <c r="D245" s="16" t="s">
        <v>1161</v>
      </c>
      <c r="E245" s="17" t="s">
        <v>1162</v>
      </c>
      <c r="F245">
        <v>1</v>
      </c>
      <c r="G245">
        <v>0</v>
      </c>
      <c r="I245" t="s">
        <v>92</v>
      </c>
      <c r="K245">
        <v>2000</v>
      </c>
      <c r="M245" s="1">
        <v>46132.309305555558</v>
      </c>
      <c r="N245" t="s">
        <v>72</v>
      </c>
    </row>
    <row r="246" spans="1:14" x14ac:dyDescent="0.3">
      <c r="A246" t="s">
        <v>1165</v>
      </c>
      <c r="B246" t="s">
        <v>1166</v>
      </c>
      <c r="C246" t="s">
        <v>15</v>
      </c>
      <c r="D246" s="16" t="s">
        <v>1168</v>
      </c>
      <c r="E246" s="17">
        <v>265</v>
      </c>
      <c r="F246">
        <v>1</v>
      </c>
      <c r="G246">
        <v>0</v>
      </c>
      <c r="I246" t="s">
        <v>92</v>
      </c>
      <c r="K246">
        <v>1150</v>
      </c>
      <c r="M246" s="1">
        <v>46132.309305555558</v>
      </c>
      <c r="N246" t="s">
        <v>72</v>
      </c>
    </row>
    <row r="247" spans="1:14" ht="28" x14ac:dyDescent="0.3">
      <c r="A247" t="s">
        <v>1169</v>
      </c>
      <c r="B247" t="s">
        <v>1170</v>
      </c>
      <c r="C247" t="s">
        <v>15</v>
      </c>
      <c r="D247" s="16" t="s">
        <v>1172</v>
      </c>
      <c r="E247" s="17" t="s">
        <v>1173</v>
      </c>
      <c r="F247">
        <v>1</v>
      </c>
      <c r="G247">
        <v>0</v>
      </c>
      <c r="I247" t="s">
        <v>92</v>
      </c>
      <c r="K247">
        <v>200</v>
      </c>
      <c r="M247" s="1">
        <v>46132.309305555558</v>
      </c>
      <c r="N247" t="s">
        <v>72</v>
      </c>
    </row>
    <row r="248" spans="1:14" x14ac:dyDescent="0.3">
      <c r="A248" t="s">
        <v>1177</v>
      </c>
      <c r="B248" t="s">
        <v>1178</v>
      </c>
      <c r="C248" t="s">
        <v>15</v>
      </c>
      <c r="D248" s="16" t="s">
        <v>1180</v>
      </c>
      <c r="E248" s="17">
        <v>800325</v>
      </c>
      <c r="F248">
        <v>1</v>
      </c>
      <c r="G248">
        <v>0</v>
      </c>
      <c r="I248" t="s">
        <v>92</v>
      </c>
      <c r="M248" s="1">
        <v>46132.309305555558</v>
      </c>
      <c r="N248" t="s">
        <v>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AEF3C-F20C-49AD-BF5A-846F84EE3033}">
  <sheetPr codeName="Sheet4">
    <tabColor rgb="FF70AD47"/>
  </sheetPr>
  <dimension ref="A1:I1"/>
  <sheetViews>
    <sheetView rightToLeft="1" workbookViewId="0"/>
  </sheetViews>
  <sheetFormatPr defaultRowHeight="14" x14ac:dyDescent="0.3"/>
  <cols>
    <col min="1" max="1" width="8.9140625" customWidth="1"/>
    <col min="2" max="2" width="15.6640625" customWidth="1"/>
    <col min="3" max="3" width="9.4140625" customWidth="1"/>
    <col min="4" max="4" width="13.33203125" customWidth="1"/>
    <col min="5" max="5" width="10.83203125" customWidth="1"/>
    <col min="6" max="6" width="20.6640625" customWidth="1"/>
    <col min="7" max="7" width="14.58203125" customWidth="1"/>
    <col min="8" max="8" width="13.9140625" customWidth="1"/>
  </cols>
  <sheetData>
    <row r="1" spans="1:9" x14ac:dyDescent="0.3">
      <c r="A1" t="s">
        <v>121</v>
      </c>
      <c r="B1" t="s">
        <v>122</v>
      </c>
      <c r="C1" t="s">
        <v>147</v>
      </c>
      <c r="D1" t="s">
        <v>153</v>
      </c>
      <c r="E1" t="s">
        <v>137</v>
      </c>
      <c r="F1" t="s">
        <v>139</v>
      </c>
      <c r="G1" t="s">
        <v>154</v>
      </c>
      <c r="H1" t="s">
        <v>155</v>
      </c>
      <c r="I1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4B3F6-99C5-4DAC-A287-935A53BCFF04}">
  <sheetPr codeName="Sheet5">
    <tabColor rgb="FF808080"/>
  </sheetPr>
  <dimension ref="A1:P236"/>
  <sheetViews>
    <sheetView rightToLeft="1" topLeftCell="A6" workbookViewId="0"/>
  </sheetViews>
  <sheetFormatPr defaultRowHeight="14" x14ac:dyDescent="0.3"/>
  <cols>
    <col min="1" max="1" width="22.58203125" customWidth="1"/>
    <col min="2" max="2" width="18.58203125" customWidth="1"/>
    <col min="3" max="3" width="10.58203125" customWidth="1"/>
    <col min="4" max="4" width="8.9140625" customWidth="1"/>
    <col min="5" max="5" width="30.582031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</cols>
  <sheetData>
    <row r="1" spans="1:16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</row>
    <row r="2" spans="1:16" x14ac:dyDescent="0.3">
      <c r="A2" t="s">
        <v>1182</v>
      </c>
      <c r="B2" s="1">
        <v>46132.309305555558</v>
      </c>
      <c r="C2" t="s">
        <v>72</v>
      </c>
      <c r="D2" t="s">
        <v>227</v>
      </c>
      <c r="E2" t="s">
        <v>228</v>
      </c>
      <c r="F2">
        <v>3</v>
      </c>
      <c r="G2">
        <v>0</v>
      </c>
      <c r="H2">
        <v>3</v>
      </c>
      <c r="I2">
        <v>2000</v>
      </c>
      <c r="J2" t="s">
        <v>1183</v>
      </c>
      <c r="N2" t="s">
        <v>226</v>
      </c>
      <c r="O2" s="1">
        <v>46132.309305555558</v>
      </c>
    </row>
    <row r="3" spans="1:16" x14ac:dyDescent="0.3">
      <c r="A3" t="s">
        <v>1184</v>
      </c>
      <c r="B3" s="1">
        <v>46132.309305555558</v>
      </c>
      <c r="C3" t="s">
        <v>72</v>
      </c>
      <c r="D3" t="s">
        <v>229</v>
      </c>
      <c r="E3" t="s">
        <v>230</v>
      </c>
      <c r="F3">
        <v>3</v>
      </c>
      <c r="G3">
        <v>0</v>
      </c>
      <c r="H3">
        <v>3</v>
      </c>
      <c r="I3">
        <v>800</v>
      </c>
      <c r="J3" t="s">
        <v>1183</v>
      </c>
      <c r="N3" t="s">
        <v>226</v>
      </c>
      <c r="O3" s="1">
        <v>46132.309305555558</v>
      </c>
    </row>
    <row r="4" spans="1:16" x14ac:dyDescent="0.3">
      <c r="A4" t="s">
        <v>1185</v>
      </c>
      <c r="B4" s="1">
        <v>46132.309305555558</v>
      </c>
      <c r="C4" t="s">
        <v>72</v>
      </c>
      <c r="D4" t="s">
        <v>231</v>
      </c>
      <c r="E4" t="s">
        <v>232</v>
      </c>
      <c r="F4">
        <v>1</v>
      </c>
      <c r="G4">
        <v>0</v>
      </c>
      <c r="H4">
        <v>1</v>
      </c>
      <c r="I4">
        <v>500</v>
      </c>
      <c r="J4" t="s">
        <v>1183</v>
      </c>
      <c r="N4" t="s">
        <v>226</v>
      </c>
      <c r="O4" s="1">
        <v>46132.309305555558</v>
      </c>
    </row>
    <row r="5" spans="1:16" x14ac:dyDescent="0.3">
      <c r="A5" t="s">
        <v>1186</v>
      </c>
      <c r="B5" s="1">
        <v>46132.309305555558</v>
      </c>
      <c r="C5" t="s">
        <v>72</v>
      </c>
      <c r="D5" t="s">
        <v>233</v>
      </c>
      <c r="E5" t="s">
        <v>234</v>
      </c>
      <c r="F5">
        <v>2</v>
      </c>
      <c r="G5">
        <v>0</v>
      </c>
      <c r="H5">
        <v>2</v>
      </c>
      <c r="I5">
        <v>10000</v>
      </c>
      <c r="J5" t="s">
        <v>1183</v>
      </c>
      <c r="N5" t="s">
        <v>226</v>
      </c>
      <c r="O5" s="1">
        <v>46132.309305555558</v>
      </c>
    </row>
    <row r="6" spans="1:16" x14ac:dyDescent="0.3">
      <c r="A6" t="s">
        <v>1187</v>
      </c>
      <c r="B6" s="1">
        <v>46132.309305555558</v>
      </c>
      <c r="C6" t="s">
        <v>72</v>
      </c>
      <c r="D6" t="s">
        <v>239</v>
      </c>
      <c r="E6" t="s">
        <v>240</v>
      </c>
      <c r="F6">
        <v>1</v>
      </c>
      <c r="G6">
        <v>0</v>
      </c>
      <c r="H6">
        <v>1</v>
      </c>
      <c r="I6">
        <v>6000</v>
      </c>
      <c r="J6" t="s">
        <v>1183</v>
      </c>
      <c r="N6" t="s">
        <v>226</v>
      </c>
      <c r="O6" s="1">
        <v>46132.309305555558</v>
      </c>
    </row>
    <row r="7" spans="1:16" x14ac:dyDescent="0.3">
      <c r="A7" t="s">
        <v>1188</v>
      </c>
      <c r="B7" s="1">
        <v>46132.309305555558</v>
      </c>
      <c r="C7" t="s">
        <v>72</v>
      </c>
      <c r="D7" t="s">
        <v>243</v>
      </c>
      <c r="E7" t="s">
        <v>240</v>
      </c>
      <c r="F7">
        <v>1</v>
      </c>
      <c r="G7">
        <v>0</v>
      </c>
      <c r="H7">
        <v>1</v>
      </c>
      <c r="I7">
        <v>5000</v>
      </c>
      <c r="J7" t="s">
        <v>1183</v>
      </c>
      <c r="N7" t="s">
        <v>226</v>
      </c>
      <c r="O7" s="1">
        <v>46132.309305555558</v>
      </c>
    </row>
    <row r="8" spans="1:16" x14ac:dyDescent="0.3">
      <c r="A8" t="s">
        <v>1189</v>
      </c>
      <c r="B8" s="1">
        <v>46132.309305555558</v>
      </c>
      <c r="C8" t="s">
        <v>72</v>
      </c>
      <c r="D8" t="s">
        <v>247</v>
      </c>
      <c r="E8" t="s">
        <v>248</v>
      </c>
      <c r="F8">
        <v>3</v>
      </c>
      <c r="G8">
        <v>0</v>
      </c>
      <c r="H8">
        <v>3</v>
      </c>
      <c r="I8">
        <v>1500</v>
      </c>
      <c r="J8" t="s">
        <v>1183</v>
      </c>
      <c r="N8" t="s">
        <v>226</v>
      </c>
      <c r="O8" s="1">
        <v>46132.309305555558</v>
      </c>
    </row>
    <row r="9" spans="1:16" x14ac:dyDescent="0.3">
      <c r="A9" t="s">
        <v>1190</v>
      </c>
      <c r="B9" s="1">
        <v>46132.309305555558</v>
      </c>
      <c r="C9" t="s">
        <v>72</v>
      </c>
      <c r="D9" t="s">
        <v>250</v>
      </c>
      <c r="E9" t="s">
        <v>251</v>
      </c>
      <c r="F9">
        <v>1</v>
      </c>
      <c r="G9">
        <v>0</v>
      </c>
      <c r="H9">
        <v>1</v>
      </c>
      <c r="I9">
        <v>4000</v>
      </c>
      <c r="J9" t="s">
        <v>1183</v>
      </c>
      <c r="N9" t="s">
        <v>226</v>
      </c>
      <c r="O9" s="1">
        <v>46132.309305555558</v>
      </c>
    </row>
    <row r="10" spans="1:16" x14ac:dyDescent="0.3">
      <c r="A10" t="s">
        <v>1191</v>
      </c>
      <c r="B10" s="1">
        <v>46132.309305555558</v>
      </c>
      <c r="C10" t="s">
        <v>72</v>
      </c>
      <c r="D10" t="s">
        <v>254</v>
      </c>
      <c r="E10" t="s">
        <v>255</v>
      </c>
      <c r="F10">
        <v>4</v>
      </c>
      <c r="G10">
        <v>0</v>
      </c>
      <c r="H10">
        <v>4</v>
      </c>
      <c r="I10">
        <v>4000</v>
      </c>
      <c r="J10" t="s">
        <v>1183</v>
      </c>
      <c r="N10" t="s">
        <v>226</v>
      </c>
      <c r="O10" s="1">
        <v>46132.309305555558</v>
      </c>
    </row>
    <row r="11" spans="1:16" x14ac:dyDescent="0.3">
      <c r="A11" t="s">
        <v>1192</v>
      </c>
      <c r="B11" s="1">
        <v>46132.309305555558</v>
      </c>
      <c r="C11" t="s">
        <v>72</v>
      </c>
      <c r="D11" t="s">
        <v>259</v>
      </c>
      <c r="E11" t="s">
        <v>255</v>
      </c>
      <c r="F11">
        <v>2</v>
      </c>
      <c r="G11">
        <v>0</v>
      </c>
      <c r="H11">
        <v>2</v>
      </c>
      <c r="I11">
        <v>3500</v>
      </c>
      <c r="J11" t="s">
        <v>1183</v>
      </c>
      <c r="N11" t="s">
        <v>226</v>
      </c>
      <c r="O11" s="1">
        <v>46132.309305555558</v>
      </c>
    </row>
    <row r="12" spans="1:16" x14ac:dyDescent="0.3">
      <c r="A12" t="s">
        <v>1193</v>
      </c>
      <c r="B12" s="1">
        <v>46132.309305555558</v>
      </c>
      <c r="C12" t="s">
        <v>72</v>
      </c>
      <c r="D12" t="s">
        <v>260</v>
      </c>
      <c r="E12" t="s">
        <v>255</v>
      </c>
      <c r="F12">
        <v>1</v>
      </c>
      <c r="G12">
        <v>0</v>
      </c>
      <c r="H12">
        <v>1</v>
      </c>
      <c r="I12">
        <v>2000</v>
      </c>
      <c r="J12" t="s">
        <v>1183</v>
      </c>
      <c r="N12" t="s">
        <v>226</v>
      </c>
      <c r="O12" s="1">
        <v>46132.309305555558</v>
      </c>
    </row>
    <row r="13" spans="1:16" x14ac:dyDescent="0.3">
      <c r="A13" t="s">
        <v>1194</v>
      </c>
      <c r="B13" s="1">
        <v>46132.309305555558</v>
      </c>
      <c r="C13" t="s">
        <v>72</v>
      </c>
      <c r="D13" t="s">
        <v>263</v>
      </c>
      <c r="E13" t="s">
        <v>264</v>
      </c>
      <c r="F13">
        <v>2</v>
      </c>
      <c r="G13">
        <v>0</v>
      </c>
      <c r="H13">
        <v>2</v>
      </c>
      <c r="I13">
        <v>1862</v>
      </c>
      <c r="J13" t="s">
        <v>1183</v>
      </c>
      <c r="N13" t="s">
        <v>226</v>
      </c>
      <c r="O13" s="1">
        <v>46132.309305555558</v>
      </c>
    </row>
    <row r="14" spans="1:16" x14ac:dyDescent="0.3">
      <c r="A14" t="s">
        <v>1195</v>
      </c>
      <c r="B14" s="1">
        <v>46132.309305555558</v>
      </c>
      <c r="C14" t="s">
        <v>72</v>
      </c>
      <c r="D14" t="s">
        <v>266</v>
      </c>
      <c r="E14" t="s">
        <v>267</v>
      </c>
      <c r="F14">
        <v>1</v>
      </c>
      <c r="G14">
        <v>0</v>
      </c>
      <c r="H14">
        <v>1</v>
      </c>
      <c r="J14" t="s">
        <v>1183</v>
      </c>
      <c r="N14" t="s">
        <v>226</v>
      </c>
      <c r="O14" s="1">
        <v>46132.309305555558</v>
      </c>
    </row>
    <row r="15" spans="1:16" x14ac:dyDescent="0.3">
      <c r="A15" t="s">
        <v>1196</v>
      </c>
      <c r="B15" s="1">
        <v>46132.309305555558</v>
      </c>
      <c r="C15" t="s">
        <v>72</v>
      </c>
      <c r="D15" t="s">
        <v>274</v>
      </c>
      <c r="E15" t="s">
        <v>275</v>
      </c>
      <c r="F15">
        <v>1</v>
      </c>
      <c r="G15">
        <v>0</v>
      </c>
      <c r="H15">
        <v>1</v>
      </c>
      <c r="I15">
        <v>2000</v>
      </c>
      <c r="J15" t="s">
        <v>1183</v>
      </c>
      <c r="N15" t="s">
        <v>226</v>
      </c>
      <c r="O15" s="1">
        <v>46132.309305555558</v>
      </c>
    </row>
    <row r="16" spans="1:16" x14ac:dyDescent="0.3">
      <c r="A16" t="s">
        <v>1197</v>
      </c>
      <c r="B16" s="1">
        <v>46132.309305555558</v>
      </c>
      <c r="C16" t="s">
        <v>72</v>
      </c>
      <c r="D16" t="s">
        <v>279</v>
      </c>
      <c r="E16" t="s">
        <v>280</v>
      </c>
      <c r="F16">
        <v>1</v>
      </c>
      <c r="G16">
        <v>0</v>
      </c>
      <c r="H16">
        <v>1</v>
      </c>
      <c r="I16">
        <v>1500</v>
      </c>
      <c r="J16" t="s">
        <v>1183</v>
      </c>
      <c r="N16" t="s">
        <v>226</v>
      </c>
      <c r="O16" s="1">
        <v>46132.309305555558</v>
      </c>
    </row>
    <row r="17" spans="1:15" x14ac:dyDescent="0.3">
      <c r="A17" t="s">
        <v>1198</v>
      </c>
      <c r="B17" s="1">
        <v>46132.309305555558</v>
      </c>
      <c r="C17" t="s">
        <v>72</v>
      </c>
      <c r="D17" t="s">
        <v>285</v>
      </c>
      <c r="E17" t="s">
        <v>286</v>
      </c>
      <c r="F17">
        <v>1</v>
      </c>
      <c r="G17">
        <v>0</v>
      </c>
      <c r="H17">
        <v>1</v>
      </c>
      <c r="I17">
        <v>1500</v>
      </c>
      <c r="J17" t="s">
        <v>1183</v>
      </c>
      <c r="N17" t="s">
        <v>226</v>
      </c>
      <c r="O17" s="1">
        <v>46132.309305555558</v>
      </c>
    </row>
    <row r="18" spans="1:15" x14ac:dyDescent="0.3">
      <c r="A18" t="s">
        <v>1199</v>
      </c>
      <c r="B18" s="1">
        <v>46132.309305555558</v>
      </c>
      <c r="C18" t="s">
        <v>72</v>
      </c>
      <c r="D18" t="s">
        <v>293</v>
      </c>
      <c r="E18" t="s">
        <v>294</v>
      </c>
      <c r="F18">
        <v>1</v>
      </c>
      <c r="G18">
        <v>0</v>
      </c>
      <c r="H18">
        <v>1</v>
      </c>
      <c r="I18">
        <v>770</v>
      </c>
      <c r="J18" t="s">
        <v>1183</v>
      </c>
      <c r="N18" t="s">
        <v>226</v>
      </c>
      <c r="O18" s="1">
        <v>46132.309305555558</v>
      </c>
    </row>
    <row r="19" spans="1:15" x14ac:dyDescent="0.3">
      <c r="A19" t="s">
        <v>1200</v>
      </c>
      <c r="B19" s="1">
        <v>46132.309305555558</v>
      </c>
      <c r="C19" t="s">
        <v>72</v>
      </c>
      <c r="D19" t="s">
        <v>300</v>
      </c>
      <c r="E19" t="s">
        <v>301</v>
      </c>
      <c r="F19">
        <v>4</v>
      </c>
      <c r="G19">
        <v>0</v>
      </c>
      <c r="H19">
        <v>4</v>
      </c>
      <c r="I19">
        <v>1200</v>
      </c>
      <c r="J19" t="s">
        <v>1183</v>
      </c>
      <c r="N19" t="s">
        <v>226</v>
      </c>
      <c r="O19" s="1">
        <v>46132.309305555558</v>
      </c>
    </row>
    <row r="20" spans="1:15" x14ac:dyDescent="0.3">
      <c r="A20" t="s">
        <v>1201</v>
      </c>
      <c r="B20" s="1">
        <v>46132.309305555558</v>
      </c>
      <c r="C20" t="s">
        <v>72</v>
      </c>
      <c r="D20" t="s">
        <v>308</v>
      </c>
      <c r="E20" t="s">
        <v>301</v>
      </c>
      <c r="F20">
        <v>1</v>
      </c>
      <c r="G20">
        <v>0</v>
      </c>
      <c r="H20">
        <v>1</v>
      </c>
      <c r="I20">
        <v>1400</v>
      </c>
      <c r="J20" t="s">
        <v>1183</v>
      </c>
      <c r="N20" t="s">
        <v>226</v>
      </c>
      <c r="O20" s="1">
        <v>46132.309305555558</v>
      </c>
    </row>
    <row r="21" spans="1:15" x14ac:dyDescent="0.3">
      <c r="A21" t="s">
        <v>1202</v>
      </c>
      <c r="B21" s="1">
        <v>46132.309305555558</v>
      </c>
      <c r="C21" t="s">
        <v>72</v>
      </c>
      <c r="D21" t="s">
        <v>311</v>
      </c>
      <c r="E21" t="s">
        <v>301</v>
      </c>
      <c r="F21">
        <v>1</v>
      </c>
      <c r="G21">
        <v>0</v>
      </c>
      <c r="H21">
        <v>1</v>
      </c>
      <c r="I21">
        <v>1200</v>
      </c>
      <c r="J21" t="s">
        <v>1183</v>
      </c>
      <c r="N21" t="s">
        <v>226</v>
      </c>
      <c r="O21" s="1">
        <v>46132.309305555558</v>
      </c>
    </row>
    <row r="22" spans="1:15" x14ac:dyDescent="0.3">
      <c r="A22" t="s">
        <v>1203</v>
      </c>
      <c r="B22" s="1">
        <v>46132.309305555558</v>
      </c>
      <c r="C22" t="s">
        <v>72</v>
      </c>
      <c r="D22" t="s">
        <v>314</v>
      </c>
      <c r="E22" t="s">
        <v>301</v>
      </c>
      <c r="F22">
        <v>2</v>
      </c>
      <c r="G22">
        <v>0</v>
      </c>
      <c r="H22">
        <v>2</v>
      </c>
      <c r="I22">
        <v>1200</v>
      </c>
      <c r="J22" t="s">
        <v>1183</v>
      </c>
      <c r="N22" t="s">
        <v>226</v>
      </c>
      <c r="O22" s="1">
        <v>46132.309305555558</v>
      </c>
    </row>
    <row r="23" spans="1:15" x14ac:dyDescent="0.3">
      <c r="A23" t="s">
        <v>1204</v>
      </c>
      <c r="B23" s="1">
        <v>46132.309305555558</v>
      </c>
      <c r="C23" t="s">
        <v>72</v>
      </c>
      <c r="D23" t="s">
        <v>317</v>
      </c>
      <c r="E23" t="s">
        <v>301</v>
      </c>
      <c r="F23">
        <v>2</v>
      </c>
      <c r="G23">
        <v>0</v>
      </c>
      <c r="H23">
        <v>2</v>
      </c>
      <c r="I23">
        <v>1200</v>
      </c>
      <c r="J23" t="s">
        <v>1183</v>
      </c>
      <c r="N23" t="s">
        <v>226</v>
      </c>
      <c r="O23" s="1">
        <v>46132.309305555558</v>
      </c>
    </row>
    <row r="24" spans="1:15" x14ac:dyDescent="0.3">
      <c r="A24" t="s">
        <v>1205</v>
      </c>
      <c r="B24" s="1">
        <v>46132.309305555558</v>
      </c>
      <c r="C24" t="s">
        <v>72</v>
      </c>
      <c r="D24" t="s">
        <v>319</v>
      </c>
      <c r="E24" t="s">
        <v>301</v>
      </c>
      <c r="F24">
        <v>1</v>
      </c>
      <c r="G24">
        <v>0</v>
      </c>
      <c r="H24">
        <v>1</v>
      </c>
      <c r="I24">
        <v>1200</v>
      </c>
      <c r="J24" t="s">
        <v>1183</v>
      </c>
      <c r="N24" t="s">
        <v>226</v>
      </c>
      <c r="O24" s="1">
        <v>46132.309305555558</v>
      </c>
    </row>
    <row r="25" spans="1:15" x14ac:dyDescent="0.3">
      <c r="A25" t="s">
        <v>1206</v>
      </c>
      <c r="B25" s="1">
        <v>46132.309305555558</v>
      </c>
      <c r="C25" t="s">
        <v>72</v>
      </c>
      <c r="D25" t="s">
        <v>322</v>
      </c>
      <c r="E25" t="s">
        <v>323</v>
      </c>
      <c r="F25">
        <v>1</v>
      </c>
      <c r="G25">
        <v>0</v>
      </c>
      <c r="H25">
        <v>1</v>
      </c>
      <c r="I25">
        <v>2700</v>
      </c>
      <c r="J25" t="s">
        <v>1183</v>
      </c>
      <c r="N25" t="s">
        <v>226</v>
      </c>
      <c r="O25" s="1">
        <v>46132.309305555558</v>
      </c>
    </row>
    <row r="26" spans="1:15" x14ac:dyDescent="0.3">
      <c r="A26" t="s">
        <v>1207</v>
      </c>
      <c r="B26" s="1">
        <v>46132.309305555558</v>
      </c>
      <c r="C26" t="s">
        <v>72</v>
      </c>
      <c r="D26" t="s">
        <v>330</v>
      </c>
      <c r="E26" t="s">
        <v>331</v>
      </c>
      <c r="F26">
        <v>3</v>
      </c>
      <c r="G26">
        <v>0</v>
      </c>
      <c r="H26">
        <v>3</v>
      </c>
      <c r="I26">
        <v>2700</v>
      </c>
      <c r="J26" t="s">
        <v>1183</v>
      </c>
      <c r="N26" t="s">
        <v>226</v>
      </c>
      <c r="O26" s="1">
        <v>46132.309305555558</v>
      </c>
    </row>
    <row r="27" spans="1:15" x14ac:dyDescent="0.3">
      <c r="A27" t="s">
        <v>1208</v>
      </c>
      <c r="B27" s="1">
        <v>46132.309305555558</v>
      </c>
      <c r="C27" t="s">
        <v>72</v>
      </c>
      <c r="D27" t="s">
        <v>334</v>
      </c>
      <c r="E27" t="s">
        <v>335</v>
      </c>
      <c r="F27">
        <v>1</v>
      </c>
      <c r="G27">
        <v>0</v>
      </c>
      <c r="H27">
        <v>1</v>
      </c>
      <c r="I27">
        <v>2500</v>
      </c>
      <c r="J27" t="s">
        <v>1183</v>
      </c>
      <c r="N27" t="s">
        <v>226</v>
      </c>
      <c r="O27" s="1">
        <v>46132.309305555558</v>
      </c>
    </row>
    <row r="28" spans="1:15" x14ac:dyDescent="0.3">
      <c r="A28" t="s">
        <v>1209</v>
      </c>
      <c r="B28" s="1">
        <v>46132.309305555558</v>
      </c>
      <c r="C28" t="s">
        <v>72</v>
      </c>
      <c r="D28" t="s">
        <v>339</v>
      </c>
      <c r="E28" t="s">
        <v>340</v>
      </c>
      <c r="F28">
        <v>2</v>
      </c>
      <c r="G28">
        <v>0</v>
      </c>
      <c r="H28">
        <v>2</v>
      </c>
      <c r="I28">
        <v>950</v>
      </c>
      <c r="J28" t="s">
        <v>1183</v>
      </c>
      <c r="N28" t="s">
        <v>226</v>
      </c>
      <c r="O28" s="1">
        <v>46132.309305555558</v>
      </c>
    </row>
    <row r="29" spans="1:15" x14ac:dyDescent="0.3">
      <c r="A29" t="s">
        <v>1210</v>
      </c>
      <c r="B29" s="1">
        <v>46132.309305555558</v>
      </c>
      <c r="C29" t="s">
        <v>72</v>
      </c>
      <c r="D29" t="s">
        <v>344</v>
      </c>
      <c r="E29" t="s">
        <v>345</v>
      </c>
      <c r="F29">
        <v>2</v>
      </c>
      <c r="G29">
        <v>0</v>
      </c>
      <c r="H29">
        <v>2</v>
      </c>
      <c r="I29">
        <v>1960</v>
      </c>
      <c r="J29" t="s">
        <v>1183</v>
      </c>
      <c r="N29" t="s">
        <v>226</v>
      </c>
      <c r="O29" s="1">
        <v>46132.309305555558</v>
      </c>
    </row>
    <row r="30" spans="1:15" x14ac:dyDescent="0.3">
      <c r="A30" t="s">
        <v>1211</v>
      </c>
      <c r="B30" s="1">
        <v>46132.309305555558</v>
      </c>
      <c r="C30" t="s">
        <v>72</v>
      </c>
      <c r="D30" t="s">
        <v>348</v>
      </c>
      <c r="E30" t="s">
        <v>349</v>
      </c>
      <c r="F30">
        <v>1</v>
      </c>
      <c r="G30">
        <v>0</v>
      </c>
      <c r="H30">
        <v>1</v>
      </c>
      <c r="I30">
        <v>1000</v>
      </c>
      <c r="J30" t="s">
        <v>1183</v>
      </c>
      <c r="N30" t="s">
        <v>226</v>
      </c>
      <c r="O30" s="1">
        <v>46132.309305555558</v>
      </c>
    </row>
    <row r="31" spans="1:15" x14ac:dyDescent="0.3">
      <c r="A31" t="s">
        <v>1212</v>
      </c>
      <c r="B31" s="1">
        <v>46132.309305555558</v>
      </c>
      <c r="C31" t="s">
        <v>72</v>
      </c>
      <c r="D31" t="s">
        <v>353</v>
      </c>
      <c r="E31" t="s">
        <v>354</v>
      </c>
      <c r="F31">
        <v>1</v>
      </c>
      <c r="G31">
        <v>0</v>
      </c>
      <c r="H31">
        <v>1</v>
      </c>
      <c r="I31">
        <v>1000</v>
      </c>
      <c r="J31" t="s">
        <v>1183</v>
      </c>
      <c r="N31" t="s">
        <v>226</v>
      </c>
      <c r="O31" s="1">
        <v>46132.309305555558</v>
      </c>
    </row>
    <row r="32" spans="1:15" x14ac:dyDescent="0.3">
      <c r="A32" t="s">
        <v>1213</v>
      </c>
      <c r="B32" s="1">
        <v>46132.309305555558</v>
      </c>
      <c r="C32" t="s">
        <v>72</v>
      </c>
      <c r="D32" t="s">
        <v>357</v>
      </c>
      <c r="E32" t="s">
        <v>354</v>
      </c>
      <c r="F32">
        <v>1</v>
      </c>
      <c r="G32">
        <v>0</v>
      </c>
      <c r="H32">
        <v>1</v>
      </c>
      <c r="I32">
        <v>1000</v>
      </c>
      <c r="J32" t="s">
        <v>1183</v>
      </c>
      <c r="N32" t="s">
        <v>226</v>
      </c>
      <c r="O32" s="1">
        <v>46132.309305555558</v>
      </c>
    </row>
    <row r="33" spans="1:15" x14ac:dyDescent="0.3">
      <c r="A33" t="s">
        <v>1214</v>
      </c>
      <c r="B33" s="1">
        <v>46132.309305555558</v>
      </c>
      <c r="C33" t="s">
        <v>72</v>
      </c>
      <c r="D33" t="s">
        <v>359</v>
      </c>
      <c r="E33" t="s">
        <v>301</v>
      </c>
      <c r="F33">
        <v>1</v>
      </c>
      <c r="G33">
        <v>0</v>
      </c>
      <c r="H33">
        <v>1</v>
      </c>
      <c r="I33">
        <v>1000</v>
      </c>
      <c r="J33" t="s">
        <v>1183</v>
      </c>
      <c r="N33" t="s">
        <v>226</v>
      </c>
      <c r="O33" s="1">
        <v>46132.309305555558</v>
      </c>
    </row>
    <row r="34" spans="1:15" x14ac:dyDescent="0.3">
      <c r="A34" t="s">
        <v>1215</v>
      </c>
      <c r="B34" s="1">
        <v>46132.309305555558</v>
      </c>
      <c r="C34" t="s">
        <v>72</v>
      </c>
      <c r="D34" t="s">
        <v>362</v>
      </c>
      <c r="E34" t="s">
        <v>363</v>
      </c>
      <c r="F34">
        <v>1</v>
      </c>
      <c r="G34">
        <v>0</v>
      </c>
      <c r="H34">
        <v>1</v>
      </c>
      <c r="J34" t="s">
        <v>1183</v>
      </c>
      <c r="N34" t="s">
        <v>226</v>
      </c>
      <c r="O34" s="1">
        <v>46132.309305555558</v>
      </c>
    </row>
    <row r="35" spans="1:15" x14ac:dyDescent="0.3">
      <c r="A35" t="s">
        <v>1216</v>
      </c>
      <c r="B35" s="1">
        <v>46132.309305555558</v>
      </c>
      <c r="C35" t="s">
        <v>72</v>
      </c>
      <c r="D35" t="s">
        <v>366</v>
      </c>
      <c r="E35" t="s">
        <v>294</v>
      </c>
      <c r="F35">
        <v>1</v>
      </c>
      <c r="G35">
        <v>0</v>
      </c>
      <c r="H35">
        <v>1</v>
      </c>
      <c r="I35">
        <v>800</v>
      </c>
      <c r="J35" t="s">
        <v>1183</v>
      </c>
      <c r="N35" t="s">
        <v>226</v>
      </c>
      <c r="O35" s="1">
        <v>46132.309305555558</v>
      </c>
    </row>
    <row r="36" spans="1:15" x14ac:dyDescent="0.3">
      <c r="A36" t="s">
        <v>1217</v>
      </c>
      <c r="B36" s="1">
        <v>46132.309305555558</v>
      </c>
      <c r="C36" t="s">
        <v>72</v>
      </c>
      <c r="D36" t="s">
        <v>368</v>
      </c>
      <c r="E36" t="s">
        <v>294</v>
      </c>
      <c r="F36">
        <v>1</v>
      </c>
      <c r="G36">
        <v>0</v>
      </c>
      <c r="H36">
        <v>1</v>
      </c>
      <c r="I36">
        <v>800</v>
      </c>
      <c r="J36" t="s">
        <v>1183</v>
      </c>
      <c r="N36" t="s">
        <v>226</v>
      </c>
      <c r="O36" s="1">
        <v>46132.309305555558</v>
      </c>
    </row>
    <row r="37" spans="1:15" x14ac:dyDescent="0.3">
      <c r="A37" t="s">
        <v>1218</v>
      </c>
      <c r="B37" s="1">
        <v>46132.309305555558</v>
      </c>
      <c r="C37" t="s">
        <v>72</v>
      </c>
      <c r="D37" t="s">
        <v>371</v>
      </c>
      <c r="E37" t="s">
        <v>294</v>
      </c>
      <c r="F37">
        <v>1</v>
      </c>
      <c r="G37">
        <v>0</v>
      </c>
      <c r="H37">
        <v>1</v>
      </c>
      <c r="I37">
        <v>800</v>
      </c>
      <c r="J37" t="s">
        <v>1183</v>
      </c>
      <c r="N37" t="s">
        <v>226</v>
      </c>
      <c r="O37" s="1">
        <v>46132.309305555558</v>
      </c>
    </row>
    <row r="38" spans="1:15" x14ac:dyDescent="0.3">
      <c r="A38" t="s">
        <v>1219</v>
      </c>
      <c r="B38" s="1">
        <v>46132.309305555558</v>
      </c>
      <c r="C38" t="s">
        <v>72</v>
      </c>
      <c r="D38" t="s">
        <v>374</v>
      </c>
      <c r="E38" t="s">
        <v>375</v>
      </c>
      <c r="F38">
        <v>3</v>
      </c>
      <c r="G38">
        <v>0</v>
      </c>
      <c r="H38">
        <v>3</v>
      </c>
      <c r="I38">
        <v>800</v>
      </c>
      <c r="J38" t="s">
        <v>1183</v>
      </c>
      <c r="N38" t="s">
        <v>226</v>
      </c>
      <c r="O38" s="1">
        <v>46132.309305555558</v>
      </c>
    </row>
    <row r="39" spans="1:15" x14ac:dyDescent="0.3">
      <c r="A39" t="s">
        <v>1220</v>
      </c>
      <c r="B39" s="1">
        <v>46132.309305555558</v>
      </c>
      <c r="C39" t="s">
        <v>72</v>
      </c>
      <c r="D39" t="s">
        <v>378</v>
      </c>
      <c r="E39" t="s">
        <v>379</v>
      </c>
      <c r="F39">
        <v>1</v>
      </c>
      <c r="G39">
        <v>0</v>
      </c>
      <c r="H39">
        <v>1</v>
      </c>
      <c r="I39">
        <v>500</v>
      </c>
      <c r="J39" t="s">
        <v>1183</v>
      </c>
      <c r="N39" t="s">
        <v>226</v>
      </c>
      <c r="O39" s="1">
        <v>46132.309305555558</v>
      </c>
    </row>
    <row r="40" spans="1:15" x14ac:dyDescent="0.3">
      <c r="A40" t="s">
        <v>1221</v>
      </c>
      <c r="B40" s="1">
        <v>46132.309305555558</v>
      </c>
      <c r="C40" t="s">
        <v>72</v>
      </c>
      <c r="D40" t="s">
        <v>382</v>
      </c>
      <c r="E40" t="s">
        <v>280</v>
      </c>
      <c r="F40">
        <v>1</v>
      </c>
      <c r="G40">
        <v>0</v>
      </c>
      <c r="H40">
        <v>1</v>
      </c>
      <c r="I40">
        <v>400</v>
      </c>
      <c r="J40" t="s">
        <v>1183</v>
      </c>
      <c r="N40" t="s">
        <v>226</v>
      </c>
      <c r="O40" s="1">
        <v>46132.309305555558</v>
      </c>
    </row>
    <row r="41" spans="1:15" x14ac:dyDescent="0.3">
      <c r="A41" t="s">
        <v>1222</v>
      </c>
      <c r="B41" s="1">
        <v>46132.309305555558</v>
      </c>
      <c r="C41" t="s">
        <v>72</v>
      </c>
      <c r="D41" t="s">
        <v>385</v>
      </c>
      <c r="E41" t="s">
        <v>386</v>
      </c>
      <c r="F41">
        <v>1</v>
      </c>
      <c r="G41">
        <v>0</v>
      </c>
      <c r="H41">
        <v>1</v>
      </c>
      <c r="I41">
        <v>300</v>
      </c>
      <c r="J41" t="s">
        <v>1183</v>
      </c>
      <c r="N41" t="s">
        <v>226</v>
      </c>
      <c r="O41" s="1">
        <v>46132.309305555558</v>
      </c>
    </row>
    <row r="42" spans="1:15" x14ac:dyDescent="0.3">
      <c r="A42" t="s">
        <v>1223</v>
      </c>
      <c r="B42" s="1">
        <v>46132.309305555558</v>
      </c>
      <c r="C42" t="s">
        <v>72</v>
      </c>
      <c r="D42" t="s">
        <v>388</v>
      </c>
      <c r="E42" t="s">
        <v>389</v>
      </c>
      <c r="F42">
        <v>1</v>
      </c>
      <c r="G42">
        <v>0</v>
      </c>
      <c r="H42">
        <v>1</v>
      </c>
      <c r="I42">
        <v>300</v>
      </c>
      <c r="J42" t="s">
        <v>1183</v>
      </c>
      <c r="N42" t="s">
        <v>226</v>
      </c>
      <c r="O42" s="1">
        <v>46132.309305555558</v>
      </c>
    </row>
    <row r="43" spans="1:15" x14ac:dyDescent="0.3">
      <c r="A43" t="s">
        <v>1224</v>
      </c>
      <c r="B43" s="1">
        <v>46132.309305555558</v>
      </c>
      <c r="C43" t="s">
        <v>72</v>
      </c>
      <c r="D43" t="s">
        <v>392</v>
      </c>
      <c r="E43" t="s">
        <v>393</v>
      </c>
      <c r="F43">
        <v>2</v>
      </c>
      <c r="G43">
        <v>0</v>
      </c>
      <c r="H43">
        <v>2</v>
      </c>
      <c r="I43">
        <v>250</v>
      </c>
      <c r="J43" t="s">
        <v>1183</v>
      </c>
      <c r="N43" t="s">
        <v>226</v>
      </c>
      <c r="O43" s="1">
        <v>46132.309305555558</v>
      </c>
    </row>
    <row r="44" spans="1:15" x14ac:dyDescent="0.3">
      <c r="A44" t="s">
        <v>1225</v>
      </c>
      <c r="B44" s="1">
        <v>46132.309305555558</v>
      </c>
      <c r="C44" t="s">
        <v>72</v>
      </c>
      <c r="D44" t="s">
        <v>396</v>
      </c>
      <c r="E44" t="s">
        <v>397</v>
      </c>
      <c r="F44">
        <v>1</v>
      </c>
      <c r="G44">
        <v>0</v>
      </c>
      <c r="H44">
        <v>1</v>
      </c>
      <c r="I44">
        <v>250</v>
      </c>
      <c r="J44" t="s">
        <v>1183</v>
      </c>
      <c r="N44" t="s">
        <v>226</v>
      </c>
      <c r="O44" s="1">
        <v>46132.309305555558</v>
      </c>
    </row>
    <row r="45" spans="1:15" x14ac:dyDescent="0.3">
      <c r="A45" t="s">
        <v>1226</v>
      </c>
      <c r="B45" s="1">
        <v>46132.309305555558</v>
      </c>
      <c r="C45" t="s">
        <v>72</v>
      </c>
      <c r="D45" t="s">
        <v>399</v>
      </c>
      <c r="E45" t="s">
        <v>386</v>
      </c>
      <c r="F45">
        <v>1</v>
      </c>
      <c r="G45">
        <v>0</v>
      </c>
      <c r="H45">
        <v>1</v>
      </c>
      <c r="I45">
        <v>250</v>
      </c>
      <c r="J45" t="s">
        <v>1183</v>
      </c>
      <c r="N45" t="s">
        <v>226</v>
      </c>
      <c r="O45" s="1">
        <v>46132.309305555558</v>
      </c>
    </row>
    <row r="46" spans="1:15" x14ac:dyDescent="0.3">
      <c r="A46" t="s">
        <v>1227</v>
      </c>
      <c r="B46" s="1">
        <v>46132.309305555558</v>
      </c>
      <c r="C46" t="s">
        <v>72</v>
      </c>
      <c r="D46" t="s">
        <v>402</v>
      </c>
      <c r="E46" t="s">
        <v>280</v>
      </c>
      <c r="F46">
        <v>1</v>
      </c>
      <c r="G46">
        <v>0</v>
      </c>
      <c r="H46">
        <v>1</v>
      </c>
      <c r="I46">
        <v>250</v>
      </c>
      <c r="J46" t="s">
        <v>1183</v>
      </c>
      <c r="N46" t="s">
        <v>226</v>
      </c>
      <c r="O46" s="1">
        <v>46132.309305555558</v>
      </c>
    </row>
    <row r="47" spans="1:15" x14ac:dyDescent="0.3">
      <c r="A47" t="s">
        <v>1228</v>
      </c>
      <c r="B47" s="1">
        <v>46132.309305555558</v>
      </c>
      <c r="C47" t="s">
        <v>72</v>
      </c>
      <c r="D47" t="s">
        <v>404</v>
      </c>
      <c r="E47" t="s">
        <v>405</v>
      </c>
      <c r="F47">
        <v>1</v>
      </c>
      <c r="G47">
        <v>0</v>
      </c>
      <c r="H47">
        <v>1</v>
      </c>
      <c r="I47">
        <v>250</v>
      </c>
      <c r="J47" t="s">
        <v>1183</v>
      </c>
      <c r="N47" t="s">
        <v>226</v>
      </c>
      <c r="O47" s="1">
        <v>46132.309305555558</v>
      </c>
    </row>
    <row r="48" spans="1:15" x14ac:dyDescent="0.3">
      <c r="A48" t="s">
        <v>1229</v>
      </c>
      <c r="B48" s="1">
        <v>46132.309305555558</v>
      </c>
      <c r="C48" t="s">
        <v>72</v>
      </c>
      <c r="D48" t="s">
        <v>407</v>
      </c>
      <c r="E48" t="s">
        <v>386</v>
      </c>
      <c r="F48">
        <v>1</v>
      </c>
      <c r="G48">
        <v>0</v>
      </c>
      <c r="H48">
        <v>1</v>
      </c>
      <c r="I48">
        <v>250</v>
      </c>
      <c r="J48" t="s">
        <v>1183</v>
      </c>
      <c r="N48" t="s">
        <v>226</v>
      </c>
      <c r="O48" s="1">
        <v>46132.309305555558</v>
      </c>
    </row>
    <row r="49" spans="1:15" x14ac:dyDescent="0.3">
      <c r="A49" t="s">
        <v>1230</v>
      </c>
      <c r="B49" s="1">
        <v>46132.309305555558</v>
      </c>
      <c r="C49" t="s">
        <v>72</v>
      </c>
      <c r="D49" t="s">
        <v>409</v>
      </c>
      <c r="E49" t="s">
        <v>405</v>
      </c>
      <c r="F49">
        <v>3</v>
      </c>
      <c r="G49">
        <v>0</v>
      </c>
      <c r="H49">
        <v>3</v>
      </c>
      <c r="I49">
        <v>250</v>
      </c>
      <c r="J49" t="s">
        <v>1183</v>
      </c>
      <c r="N49" t="s">
        <v>226</v>
      </c>
      <c r="O49" s="1">
        <v>46132.309305555558</v>
      </c>
    </row>
    <row r="50" spans="1:15" x14ac:dyDescent="0.3">
      <c r="A50" t="s">
        <v>1231</v>
      </c>
      <c r="B50" s="1">
        <v>46132.309305555558</v>
      </c>
      <c r="C50" t="s">
        <v>72</v>
      </c>
      <c r="D50" t="s">
        <v>412</v>
      </c>
      <c r="E50" t="s">
        <v>413</v>
      </c>
      <c r="F50">
        <v>1</v>
      </c>
      <c r="G50">
        <v>0</v>
      </c>
      <c r="H50">
        <v>1</v>
      </c>
      <c r="I50">
        <v>200</v>
      </c>
      <c r="J50" t="s">
        <v>1183</v>
      </c>
      <c r="N50" t="s">
        <v>226</v>
      </c>
      <c r="O50" s="1">
        <v>46132.309305555558</v>
      </c>
    </row>
    <row r="51" spans="1:15" x14ac:dyDescent="0.3">
      <c r="A51" t="s">
        <v>1232</v>
      </c>
      <c r="B51" s="1">
        <v>46132.309305555558</v>
      </c>
      <c r="C51" t="s">
        <v>72</v>
      </c>
      <c r="D51" t="s">
        <v>417</v>
      </c>
      <c r="E51" t="s">
        <v>418</v>
      </c>
      <c r="F51">
        <v>5</v>
      </c>
      <c r="G51">
        <v>0</v>
      </c>
      <c r="H51">
        <v>5</v>
      </c>
      <c r="I51">
        <v>150</v>
      </c>
      <c r="J51" t="s">
        <v>1183</v>
      </c>
      <c r="N51" t="s">
        <v>226</v>
      </c>
      <c r="O51" s="1">
        <v>46132.309305555558</v>
      </c>
    </row>
    <row r="52" spans="1:15" x14ac:dyDescent="0.3">
      <c r="A52" t="s">
        <v>1233</v>
      </c>
      <c r="B52" s="1">
        <v>46132.309305555558</v>
      </c>
      <c r="C52" t="s">
        <v>72</v>
      </c>
      <c r="D52" t="s">
        <v>422</v>
      </c>
      <c r="E52" t="s">
        <v>423</v>
      </c>
      <c r="F52">
        <v>10</v>
      </c>
      <c r="G52">
        <v>0</v>
      </c>
      <c r="H52">
        <v>10</v>
      </c>
      <c r="I52">
        <v>40</v>
      </c>
      <c r="J52" t="s">
        <v>1183</v>
      </c>
      <c r="N52" t="s">
        <v>226</v>
      </c>
      <c r="O52" s="1">
        <v>46132.309305555558</v>
      </c>
    </row>
    <row r="53" spans="1:15" x14ac:dyDescent="0.3">
      <c r="A53" t="s">
        <v>1234</v>
      </c>
      <c r="B53" s="1">
        <v>46132.309305555558</v>
      </c>
      <c r="C53" t="s">
        <v>72</v>
      </c>
      <c r="D53" t="s">
        <v>426</v>
      </c>
      <c r="E53" t="s">
        <v>423</v>
      </c>
      <c r="F53">
        <v>4</v>
      </c>
      <c r="G53">
        <v>0</v>
      </c>
      <c r="H53">
        <v>4</v>
      </c>
      <c r="I53">
        <v>150</v>
      </c>
      <c r="J53" t="s">
        <v>1183</v>
      </c>
      <c r="N53" t="s">
        <v>226</v>
      </c>
      <c r="O53" s="1">
        <v>46132.309305555558</v>
      </c>
    </row>
    <row r="54" spans="1:15" x14ac:dyDescent="0.3">
      <c r="A54" t="s">
        <v>1235</v>
      </c>
      <c r="B54" s="1">
        <v>46132.309305555558</v>
      </c>
      <c r="C54" t="s">
        <v>72</v>
      </c>
      <c r="D54" t="s">
        <v>429</v>
      </c>
      <c r="E54" t="s">
        <v>430</v>
      </c>
      <c r="F54">
        <v>1</v>
      </c>
      <c r="G54">
        <v>0</v>
      </c>
      <c r="H54">
        <v>1</v>
      </c>
      <c r="I54">
        <v>46000</v>
      </c>
      <c r="J54" t="s">
        <v>1183</v>
      </c>
      <c r="N54" t="s">
        <v>226</v>
      </c>
      <c r="O54" s="1">
        <v>46132.309305555558</v>
      </c>
    </row>
    <row r="55" spans="1:15" x14ac:dyDescent="0.3">
      <c r="A55" t="s">
        <v>1236</v>
      </c>
      <c r="B55" s="1">
        <v>46132.309305555558</v>
      </c>
      <c r="C55" t="s">
        <v>72</v>
      </c>
      <c r="D55" t="s">
        <v>434</v>
      </c>
      <c r="E55" t="s">
        <v>435</v>
      </c>
      <c r="F55">
        <v>2</v>
      </c>
      <c r="G55">
        <v>0</v>
      </c>
      <c r="H55">
        <v>2</v>
      </c>
      <c r="I55">
        <v>200</v>
      </c>
      <c r="J55" t="s">
        <v>1183</v>
      </c>
      <c r="N55" t="s">
        <v>226</v>
      </c>
      <c r="O55" s="1">
        <v>46132.309305555558</v>
      </c>
    </row>
    <row r="56" spans="1:15" x14ac:dyDescent="0.3">
      <c r="A56" t="s">
        <v>1237</v>
      </c>
      <c r="B56" s="1">
        <v>46132.309305555558</v>
      </c>
      <c r="C56" t="s">
        <v>72</v>
      </c>
      <c r="D56" t="s">
        <v>437</v>
      </c>
      <c r="E56" t="s">
        <v>435</v>
      </c>
      <c r="F56">
        <v>2</v>
      </c>
      <c r="G56">
        <v>0</v>
      </c>
      <c r="H56">
        <v>2</v>
      </c>
      <c r="I56">
        <v>200</v>
      </c>
      <c r="J56" t="s">
        <v>1183</v>
      </c>
      <c r="N56" t="s">
        <v>226</v>
      </c>
      <c r="O56" s="1">
        <v>46132.309305555558</v>
      </c>
    </row>
    <row r="57" spans="1:15" x14ac:dyDescent="0.3">
      <c r="A57" t="s">
        <v>1238</v>
      </c>
      <c r="B57" s="1">
        <v>46132.309305555558</v>
      </c>
      <c r="C57" t="s">
        <v>72</v>
      </c>
      <c r="D57" t="s">
        <v>439</v>
      </c>
      <c r="E57" t="s">
        <v>435</v>
      </c>
      <c r="F57">
        <v>1</v>
      </c>
      <c r="G57">
        <v>0</v>
      </c>
      <c r="H57">
        <v>1</v>
      </c>
      <c r="I57">
        <v>200</v>
      </c>
      <c r="J57" t="s">
        <v>1183</v>
      </c>
      <c r="N57" t="s">
        <v>226</v>
      </c>
      <c r="O57" s="1">
        <v>46132.309305555558</v>
      </c>
    </row>
    <row r="58" spans="1:15" x14ac:dyDescent="0.3">
      <c r="A58" t="s">
        <v>1239</v>
      </c>
      <c r="B58" s="1">
        <v>46132.309305555558</v>
      </c>
      <c r="C58" t="s">
        <v>72</v>
      </c>
      <c r="D58" t="s">
        <v>441</v>
      </c>
      <c r="E58" t="s">
        <v>435</v>
      </c>
      <c r="F58">
        <v>5</v>
      </c>
      <c r="G58">
        <v>0</v>
      </c>
      <c r="H58">
        <v>5</v>
      </c>
      <c r="I58">
        <v>1000</v>
      </c>
      <c r="J58" t="s">
        <v>1183</v>
      </c>
      <c r="N58" t="s">
        <v>226</v>
      </c>
      <c r="O58" s="1">
        <v>46132.309305555558</v>
      </c>
    </row>
    <row r="59" spans="1:15" x14ac:dyDescent="0.3">
      <c r="A59" t="s">
        <v>1240</v>
      </c>
      <c r="B59" s="1">
        <v>46132.309305555558</v>
      </c>
      <c r="C59" t="s">
        <v>72</v>
      </c>
      <c r="D59" t="s">
        <v>444</v>
      </c>
      <c r="E59" t="s">
        <v>435</v>
      </c>
      <c r="F59">
        <v>5</v>
      </c>
      <c r="G59">
        <v>0</v>
      </c>
      <c r="H59">
        <v>5</v>
      </c>
      <c r="I59">
        <v>1000</v>
      </c>
      <c r="J59" t="s">
        <v>1183</v>
      </c>
      <c r="N59" t="s">
        <v>226</v>
      </c>
      <c r="O59" s="1">
        <v>46132.309305555558</v>
      </c>
    </row>
    <row r="60" spans="1:15" x14ac:dyDescent="0.3">
      <c r="A60" t="s">
        <v>1241</v>
      </c>
      <c r="B60" s="1">
        <v>46132.309305555558</v>
      </c>
      <c r="C60" t="s">
        <v>72</v>
      </c>
      <c r="D60" t="s">
        <v>446</v>
      </c>
      <c r="E60" t="s">
        <v>447</v>
      </c>
      <c r="F60">
        <v>2</v>
      </c>
      <c r="G60">
        <v>0</v>
      </c>
      <c r="H60">
        <v>2</v>
      </c>
      <c r="I60">
        <v>8000</v>
      </c>
      <c r="J60" t="s">
        <v>1183</v>
      </c>
      <c r="N60" t="s">
        <v>226</v>
      </c>
      <c r="O60" s="1">
        <v>46132.309305555558</v>
      </c>
    </row>
    <row r="61" spans="1:15" x14ac:dyDescent="0.3">
      <c r="A61" t="s">
        <v>1242</v>
      </c>
      <c r="B61" s="1">
        <v>46132.309305555558</v>
      </c>
      <c r="C61" t="s">
        <v>72</v>
      </c>
      <c r="D61" t="s">
        <v>451</v>
      </c>
      <c r="E61" t="s">
        <v>452</v>
      </c>
      <c r="F61">
        <v>1</v>
      </c>
      <c r="G61">
        <v>0</v>
      </c>
      <c r="H61">
        <v>1</v>
      </c>
      <c r="I61">
        <v>3500</v>
      </c>
      <c r="J61" t="s">
        <v>1183</v>
      </c>
      <c r="N61" t="s">
        <v>226</v>
      </c>
      <c r="O61" s="1">
        <v>46132.309305555558</v>
      </c>
    </row>
    <row r="62" spans="1:15" x14ac:dyDescent="0.3">
      <c r="A62" t="s">
        <v>1243</v>
      </c>
      <c r="B62" s="1">
        <v>46132.309305555558</v>
      </c>
      <c r="C62" t="s">
        <v>72</v>
      </c>
      <c r="D62" t="s">
        <v>454</v>
      </c>
      <c r="E62" t="s">
        <v>455</v>
      </c>
      <c r="F62">
        <v>1</v>
      </c>
      <c r="G62">
        <v>0</v>
      </c>
      <c r="H62">
        <v>1</v>
      </c>
      <c r="I62">
        <v>1200</v>
      </c>
      <c r="J62" t="s">
        <v>1183</v>
      </c>
      <c r="N62" t="s">
        <v>226</v>
      </c>
      <c r="O62" s="1">
        <v>46132.309305555558</v>
      </c>
    </row>
    <row r="63" spans="1:15" x14ac:dyDescent="0.3">
      <c r="A63" t="s">
        <v>1244</v>
      </c>
      <c r="B63" s="1">
        <v>46132.309305555558</v>
      </c>
      <c r="C63" t="s">
        <v>72</v>
      </c>
      <c r="D63" t="s">
        <v>458</v>
      </c>
      <c r="E63" t="s">
        <v>455</v>
      </c>
      <c r="F63">
        <v>2</v>
      </c>
      <c r="G63">
        <v>0</v>
      </c>
      <c r="H63">
        <v>2</v>
      </c>
      <c r="I63">
        <v>1200</v>
      </c>
      <c r="J63" t="s">
        <v>1183</v>
      </c>
      <c r="N63" t="s">
        <v>226</v>
      </c>
      <c r="O63" s="1">
        <v>46132.309305555558</v>
      </c>
    </row>
    <row r="64" spans="1:15" x14ac:dyDescent="0.3">
      <c r="A64" t="s">
        <v>1245</v>
      </c>
      <c r="B64" s="1">
        <v>46132.309305555558</v>
      </c>
      <c r="C64" t="s">
        <v>72</v>
      </c>
      <c r="D64" t="s">
        <v>460</v>
      </c>
      <c r="E64" t="s">
        <v>455</v>
      </c>
      <c r="F64">
        <v>1</v>
      </c>
      <c r="G64">
        <v>0</v>
      </c>
      <c r="H64">
        <v>1</v>
      </c>
      <c r="I64">
        <v>1200</v>
      </c>
      <c r="J64" t="s">
        <v>1183</v>
      </c>
      <c r="N64" t="s">
        <v>226</v>
      </c>
      <c r="O64" s="1">
        <v>46132.309305555558</v>
      </c>
    </row>
    <row r="65" spans="1:15" x14ac:dyDescent="0.3">
      <c r="A65" t="s">
        <v>1246</v>
      </c>
      <c r="B65" s="1">
        <v>46132.309305555558</v>
      </c>
      <c r="C65" t="s">
        <v>72</v>
      </c>
      <c r="D65" t="s">
        <v>463</v>
      </c>
      <c r="E65" t="s">
        <v>464</v>
      </c>
      <c r="F65">
        <v>1</v>
      </c>
      <c r="G65">
        <v>0</v>
      </c>
      <c r="H65">
        <v>1</v>
      </c>
      <c r="J65" t="s">
        <v>1183</v>
      </c>
      <c r="N65" t="s">
        <v>226</v>
      </c>
      <c r="O65" s="1">
        <v>46132.309305555558</v>
      </c>
    </row>
    <row r="66" spans="1:15" x14ac:dyDescent="0.3">
      <c r="A66" t="s">
        <v>1247</v>
      </c>
      <c r="B66" s="1">
        <v>46132.309305555558</v>
      </c>
      <c r="C66" t="s">
        <v>72</v>
      </c>
      <c r="D66" t="s">
        <v>468</v>
      </c>
      <c r="E66" t="s">
        <v>469</v>
      </c>
      <c r="F66">
        <v>1</v>
      </c>
      <c r="G66">
        <v>0</v>
      </c>
      <c r="H66">
        <v>1</v>
      </c>
      <c r="I66">
        <v>1200</v>
      </c>
      <c r="J66" t="s">
        <v>1183</v>
      </c>
      <c r="N66" t="s">
        <v>226</v>
      </c>
      <c r="O66" s="1">
        <v>46132.309305555558</v>
      </c>
    </row>
    <row r="67" spans="1:15" x14ac:dyDescent="0.3">
      <c r="A67" t="s">
        <v>1248</v>
      </c>
      <c r="B67" s="1">
        <v>46132.309305555558</v>
      </c>
      <c r="C67" t="s">
        <v>72</v>
      </c>
      <c r="D67" t="s">
        <v>474</v>
      </c>
      <c r="E67" t="s">
        <v>280</v>
      </c>
      <c r="F67">
        <v>1</v>
      </c>
      <c r="G67">
        <v>0</v>
      </c>
      <c r="H67">
        <v>1</v>
      </c>
      <c r="I67">
        <v>3000</v>
      </c>
      <c r="J67" t="s">
        <v>1183</v>
      </c>
      <c r="N67" t="s">
        <v>226</v>
      </c>
      <c r="O67" s="1">
        <v>46132.309305555558</v>
      </c>
    </row>
    <row r="68" spans="1:15" x14ac:dyDescent="0.3">
      <c r="A68" t="s">
        <v>1249</v>
      </c>
      <c r="B68" s="1">
        <v>46132.309305555558</v>
      </c>
      <c r="C68" t="s">
        <v>72</v>
      </c>
      <c r="D68" t="s">
        <v>478</v>
      </c>
      <c r="E68" t="s">
        <v>447</v>
      </c>
      <c r="F68">
        <v>1</v>
      </c>
      <c r="G68">
        <v>0</v>
      </c>
      <c r="H68">
        <v>1</v>
      </c>
      <c r="I68">
        <v>3000</v>
      </c>
      <c r="J68" t="s">
        <v>1183</v>
      </c>
      <c r="N68" t="s">
        <v>226</v>
      </c>
      <c r="O68" s="1">
        <v>46132.309305555558</v>
      </c>
    </row>
    <row r="69" spans="1:15" x14ac:dyDescent="0.3">
      <c r="A69" t="s">
        <v>1250</v>
      </c>
      <c r="B69" s="1">
        <v>46132.309305555558</v>
      </c>
      <c r="C69" t="s">
        <v>72</v>
      </c>
      <c r="D69" t="s">
        <v>483</v>
      </c>
      <c r="E69" t="s">
        <v>484</v>
      </c>
      <c r="F69">
        <v>1</v>
      </c>
      <c r="G69">
        <v>0</v>
      </c>
      <c r="H69">
        <v>1</v>
      </c>
      <c r="J69" t="s">
        <v>1183</v>
      </c>
      <c r="N69" t="s">
        <v>226</v>
      </c>
      <c r="O69" s="1">
        <v>46132.309305555558</v>
      </c>
    </row>
    <row r="70" spans="1:15" x14ac:dyDescent="0.3">
      <c r="A70" t="s">
        <v>1251</v>
      </c>
      <c r="B70" s="1">
        <v>46132.309305555558</v>
      </c>
      <c r="C70" t="s">
        <v>72</v>
      </c>
      <c r="D70" t="s">
        <v>488</v>
      </c>
      <c r="E70" t="s">
        <v>418</v>
      </c>
      <c r="F70">
        <v>1</v>
      </c>
      <c r="G70">
        <v>0</v>
      </c>
      <c r="H70">
        <v>1</v>
      </c>
      <c r="I70">
        <v>600</v>
      </c>
      <c r="J70" t="s">
        <v>1183</v>
      </c>
      <c r="N70" t="s">
        <v>226</v>
      </c>
      <c r="O70" s="1">
        <v>46132.309305555558</v>
      </c>
    </row>
    <row r="71" spans="1:15" x14ac:dyDescent="0.3">
      <c r="A71" t="s">
        <v>1252</v>
      </c>
      <c r="B71" s="1">
        <v>46132.309305555558</v>
      </c>
      <c r="C71" t="s">
        <v>72</v>
      </c>
      <c r="D71" t="s">
        <v>492</v>
      </c>
      <c r="E71" t="s">
        <v>493</v>
      </c>
      <c r="F71">
        <v>1</v>
      </c>
      <c r="G71">
        <v>0</v>
      </c>
      <c r="H71">
        <v>1</v>
      </c>
      <c r="I71">
        <v>500</v>
      </c>
      <c r="J71" t="s">
        <v>1183</v>
      </c>
      <c r="N71" t="s">
        <v>226</v>
      </c>
      <c r="O71" s="1">
        <v>46132.309305555558</v>
      </c>
    </row>
    <row r="72" spans="1:15" x14ac:dyDescent="0.3">
      <c r="A72" t="s">
        <v>1253</v>
      </c>
      <c r="B72" s="1">
        <v>46132.309305555558</v>
      </c>
      <c r="C72" t="s">
        <v>72</v>
      </c>
      <c r="D72" t="s">
        <v>496</v>
      </c>
      <c r="E72" t="s">
        <v>455</v>
      </c>
      <c r="F72">
        <v>1</v>
      </c>
      <c r="G72">
        <v>0</v>
      </c>
      <c r="H72">
        <v>1</v>
      </c>
      <c r="I72">
        <v>1500</v>
      </c>
      <c r="J72" t="s">
        <v>1183</v>
      </c>
      <c r="N72" t="s">
        <v>226</v>
      </c>
      <c r="O72" s="1">
        <v>46132.309305555558</v>
      </c>
    </row>
    <row r="73" spans="1:15" x14ac:dyDescent="0.3">
      <c r="A73" t="s">
        <v>1254</v>
      </c>
      <c r="B73" s="1">
        <v>46132.309305555558</v>
      </c>
      <c r="C73" t="s">
        <v>72</v>
      </c>
      <c r="D73" t="s">
        <v>498</v>
      </c>
      <c r="E73" t="s">
        <v>455</v>
      </c>
      <c r="F73">
        <v>1</v>
      </c>
      <c r="G73">
        <v>0</v>
      </c>
      <c r="H73">
        <v>1</v>
      </c>
      <c r="I73">
        <v>800</v>
      </c>
      <c r="J73" t="s">
        <v>1183</v>
      </c>
      <c r="N73" t="s">
        <v>226</v>
      </c>
      <c r="O73" s="1">
        <v>46132.309305555558</v>
      </c>
    </row>
    <row r="74" spans="1:15" x14ac:dyDescent="0.3">
      <c r="A74" t="s">
        <v>1255</v>
      </c>
      <c r="B74" s="1">
        <v>46132.309305555558</v>
      </c>
      <c r="C74" t="s">
        <v>72</v>
      </c>
      <c r="D74" t="s">
        <v>500</v>
      </c>
      <c r="E74" t="s">
        <v>248</v>
      </c>
      <c r="F74">
        <v>3</v>
      </c>
      <c r="G74">
        <v>0</v>
      </c>
      <c r="H74">
        <v>3</v>
      </c>
      <c r="I74">
        <v>1500</v>
      </c>
      <c r="J74" t="s">
        <v>1183</v>
      </c>
      <c r="N74" t="s">
        <v>226</v>
      </c>
      <c r="O74" s="1">
        <v>46132.309305555558</v>
      </c>
    </row>
    <row r="75" spans="1:15" x14ac:dyDescent="0.3">
      <c r="A75" t="s">
        <v>1256</v>
      </c>
      <c r="B75" s="1">
        <v>46132.309305555558</v>
      </c>
      <c r="C75" t="s">
        <v>72</v>
      </c>
      <c r="D75" t="s">
        <v>503</v>
      </c>
      <c r="E75" t="s">
        <v>504</v>
      </c>
      <c r="F75">
        <v>1</v>
      </c>
      <c r="G75">
        <v>0</v>
      </c>
      <c r="H75">
        <v>1</v>
      </c>
      <c r="J75" t="s">
        <v>1183</v>
      </c>
      <c r="N75" t="s">
        <v>226</v>
      </c>
      <c r="O75" s="1">
        <v>46132.309305555558</v>
      </c>
    </row>
    <row r="76" spans="1:15" x14ac:dyDescent="0.3">
      <c r="A76" t="s">
        <v>1257</v>
      </c>
      <c r="B76" s="1">
        <v>46132.309305555558</v>
      </c>
      <c r="C76" t="s">
        <v>72</v>
      </c>
      <c r="D76" t="s">
        <v>508</v>
      </c>
      <c r="E76" t="s">
        <v>509</v>
      </c>
      <c r="F76">
        <v>4</v>
      </c>
      <c r="G76">
        <v>0</v>
      </c>
      <c r="H76">
        <v>4</v>
      </c>
      <c r="I76">
        <v>750</v>
      </c>
      <c r="J76" t="s">
        <v>1183</v>
      </c>
      <c r="N76" t="s">
        <v>226</v>
      </c>
      <c r="O76" s="1">
        <v>46132.309305555558</v>
      </c>
    </row>
    <row r="77" spans="1:15" x14ac:dyDescent="0.3">
      <c r="A77" t="s">
        <v>1258</v>
      </c>
      <c r="B77" s="1">
        <v>46132.309305555558</v>
      </c>
      <c r="C77" t="s">
        <v>72</v>
      </c>
      <c r="D77" t="s">
        <v>512</v>
      </c>
      <c r="E77" t="s">
        <v>513</v>
      </c>
      <c r="F77">
        <v>1</v>
      </c>
      <c r="G77">
        <v>0</v>
      </c>
      <c r="H77">
        <v>1</v>
      </c>
      <c r="I77">
        <v>750</v>
      </c>
      <c r="J77" t="s">
        <v>1183</v>
      </c>
      <c r="N77" t="s">
        <v>226</v>
      </c>
      <c r="O77" s="1">
        <v>46132.309305555558</v>
      </c>
    </row>
    <row r="78" spans="1:15" x14ac:dyDescent="0.3">
      <c r="A78" t="s">
        <v>1259</v>
      </c>
      <c r="B78" s="1">
        <v>46132.309305555558</v>
      </c>
      <c r="C78" t="s">
        <v>72</v>
      </c>
      <c r="D78" t="s">
        <v>516</v>
      </c>
      <c r="E78" t="s">
        <v>517</v>
      </c>
      <c r="F78">
        <v>3</v>
      </c>
      <c r="G78">
        <v>0</v>
      </c>
      <c r="H78">
        <v>3</v>
      </c>
      <c r="I78">
        <v>500</v>
      </c>
      <c r="J78" t="s">
        <v>1183</v>
      </c>
      <c r="N78" t="s">
        <v>226</v>
      </c>
      <c r="O78" s="1">
        <v>46132.309305555558</v>
      </c>
    </row>
    <row r="79" spans="1:15" x14ac:dyDescent="0.3">
      <c r="A79" t="s">
        <v>1260</v>
      </c>
      <c r="B79" s="1">
        <v>46132.309305555558</v>
      </c>
      <c r="C79" t="s">
        <v>72</v>
      </c>
      <c r="D79" t="s">
        <v>520</v>
      </c>
      <c r="E79" t="s">
        <v>521</v>
      </c>
      <c r="F79">
        <v>1</v>
      </c>
      <c r="G79">
        <v>0</v>
      </c>
      <c r="H79">
        <v>1</v>
      </c>
      <c r="I79">
        <v>7000</v>
      </c>
      <c r="J79" t="s">
        <v>1183</v>
      </c>
      <c r="N79" t="s">
        <v>226</v>
      </c>
      <c r="O79" s="1">
        <v>46132.309305555558</v>
      </c>
    </row>
    <row r="80" spans="1:15" x14ac:dyDescent="0.3">
      <c r="A80" t="s">
        <v>1261</v>
      </c>
      <c r="B80" s="1">
        <v>46132.309305555558</v>
      </c>
      <c r="C80" t="s">
        <v>72</v>
      </c>
      <c r="D80" t="s">
        <v>526</v>
      </c>
      <c r="E80" t="s">
        <v>527</v>
      </c>
      <c r="F80">
        <v>1</v>
      </c>
      <c r="G80">
        <v>0</v>
      </c>
      <c r="H80">
        <v>1</v>
      </c>
      <c r="I80">
        <v>7000</v>
      </c>
      <c r="J80" t="s">
        <v>1183</v>
      </c>
      <c r="N80" t="s">
        <v>226</v>
      </c>
      <c r="O80" s="1">
        <v>46132.309305555558</v>
      </c>
    </row>
    <row r="81" spans="1:15" x14ac:dyDescent="0.3">
      <c r="A81" t="s">
        <v>1262</v>
      </c>
      <c r="B81" s="1">
        <v>46132.309305555558</v>
      </c>
      <c r="C81" t="s">
        <v>72</v>
      </c>
      <c r="D81" t="s">
        <v>531</v>
      </c>
      <c r="E81" t="s">
        <v>532</v>
      </c>
      <c r="F81">
        <v>2</v>
      </c>
      <c r="G81">
        <v>0</v>
      </c>
      <c r="H81">
        <v>2</v>
      </c>
      <c r="I81">
        <v>3600</v>
      </c>
      <c r="J81" t="s">
        <v>1183</v>
      </c>
      <c r="N81" t="s">
        <v>226</v>
      </c>
      <c r="O81" s="1">
        <v>46132.309305555558</v>
      </c>
    </row>
    <row r="82" spans="1:15" x14ac:dyDescent="0.3">
      <c r="A82" t="s">
        <v>1263</v>
      </c>
      <c r="B82" s="1">
        <v>46132.309305555558</v>
      </c>
      <c r="C82" t="s">
        <v>72</v>
      </c>
      <c r="D82" t="s">
        <v>538</v>
      </c>
      <c r="E82" t="s">
        <v>539</v>
      </c>
      <c r="F82">
        <v>2</v>
      </c>
      <c r="G82">
        <v>0</v>
      </c>
      <c r="H82">
        <v>2</v>
      </c>
      <c r="I82">
        <v>3500</v>
      </c>
      <c r="J82" t="s">
        <v>1183</v>
      </c>
      <c r="N82" t="s">
        <v>226</v>
      </c>
      <c r="O82" s="1">
        <v>46132.309305555558</v>
      </c>
    </row>
    <row r="83" spans="1:15" x14ac:dyDescent="0.3">
      <c r="A83" t="s">
        <v>1264</v>
      </c>
      <c r="B83" s="1">
        <v>46132.309305555558</v>
      </c>
      <c r="C83" t="s">
        <v>72</v>
      </c>
      <c r="D83" t="s">
        <v>543</v>
      </c>
      <c r="E83" t="s">
        <v>544</v>
      </c>
      <c r="F83">
        <v>1</v>
      </c>
      <c r="G83">
        <v>0</v>
      </c>
      <c r="H83">
        <v>1</v>
      </c>
      <c r="I83">
        <v>70000</v>
      </c>
      <c r="J83" t="s">
        <v>1183</v>
      </c>
      <c r="N83" t="s">
        <v>226</v>
      </c>
      <c r="O83" s="1">
        <v>46132.309305555558</v>
      </c>
    </row>
    <row r="84" spans="1:15" x14ac:dyDescent="0.3">
      <c r="A84" t="s">
        <v>1265</v>
      </c>
      <c r="B84" s="1">
        <v>46132.309305555558</v>
      </c>
      <c r="C84" t="s">
        <v>72</v>
      </c>
      <c r="D84" t="s">
        <v>548</v>
      </c>
      <c r="E84" t="s">
        <v>549</v>
      </c>
      <c r="F84">
        <v>2</v>
      </c>
      <c r="G84">
        <v>0</v>
      </c>
      <c r="H84">
        <v>2</v>
      </c>
      <c r="I84">
        <v>3000</v>
      </c>
      <c r="J84" t="s">
        <v>1183</v>
      </c>
      <c r="N84" t="s">
        <v>226</v>
      </c>
      <c r="O84" s="1">
        <v>46132.309305555558</v>
      </c>
    </row>
    <row r="85" spans="1:15" x14ac:dyDescent="0.3">
      <c r="A85" t="s">
        <v>1266</v>
      </c>
      <c r="B85" s="1">
        <v>46132.309305555558</v>
      </c>
      <c r="C85" t="s">
        <v>72</v>
      </c>
      <c r="D85" t="s">
        <v>553</v>
      </c>
      <c r="E85" t="s">
        <v>554</v>
      </c>
      <c r="F85">
        <v>1</v>
      </c>
      <c r="G85">
        <v>0</v>
      </c>
      <c r="H85">
        <v>1</v>
      </c>
      <c r="J85" t="s">
        <v>1183</v>
      </c>
      <c r="N85" t="s">
        <v>226</v>
      </c>
      <c r="O85" s="1">
        <v>46132.309305555558</v>
      </c>
    </row>
    <row r="86" spans="1:15" x14ac:dyDescent="0.3">
      <c r="A86" t="s">
        <v>1267</v>
      </c>
      <c r="B86" s="1">
        <v>46132.309305555558</v>
      </c>
      <c r="C86" t="s">
        <v>72</v>
      </c>
      <c r="D86" t="s">
        <v>557</v>
      </c>
      <c r="E86" t="s">
        <v>455</v>
      </c>
      <c r="F86">
        <v>1</v>
      </c>
      <c r="G86">
        <v>0</v>
      </c>
      <c r="H86">
        <v>1</v>
      </c>
      <c r="J86" t="s">
        <v>1183</v>
      </c>
      <c r="N86" t="s">
        <v>226</v>
      </c>
      <c r="O86" s="1">
        <v>46132.309305555558</v>
      </c>
    </row>
    <row r="87" spans="1:15" x14ac:dyDescent="0.3">
      <c r="A87" t="s">
        <v>1268</v>
      </c>
      <c r="B87" s="1">
        <v>46132.309305555558</v>
      </c>
      <c r="C87" t="s">
        <v>72</v>
      </c>
      <c r="D87" t="s">
        <v>559</v>
      </c>
      <c r="E87" t="s">
        <v>455</v>
      </c>
      <c r="F87">
        <v>1</v>
      </c>
      <c r="G87">
        <v>0</v>
      </c>
      <c r="H87">
        <v>1</v>
      </c>
      <c r="J87" t="s">
        <v>1183</v>
      </c>
      <c r="N87" t="s">
        <v>226</v>
      </c>
      <c r="O87" s="1">
        <v>46132.309305555558</v>
      </c>
    </row>
    <row r="88" spans="1:15" x14ac:dyDescent="0.3">
      <c r="A88" t="s">
        <v>1269</v>
      </c>
      <c r="B88" s="1">
        <v>46132.309305555558</v>
      </c>
      <c r="C88" t="s">
        <v>72</v>
      </c>
      <c r="D88" t="s">
        <v>562</v>
      </c>
      <c r="E88" t="s">
        <v>563</v>
      </c>
      <c r="F88">
        <v>1</v>
      </c>
      <c r="G88">
        <v>0</v>
      </c>
      <c r="H88">
        <v>1</v>
      </c>
      <c r="I88">
        <v>4750</v>
      </c>
      <c r="J88" t="s">
        <v>1183</v>
      </c>
      <c r="N88" t="s">
        <v>226</v>
      </c>
      <c r="O88" s="1">
        <v>46132.309305555558</v>
      </c>
    </row>
    <row r="89" spans="1:15" x14ac:dyDescent="0.3">
      <c r="A89" t="s">
        <v>1270</v>
      </c>
      <c r="B89" s="1">
        <v>46132.309305555558</v>
      </c>
      <c r="C89" t="s">
        <v>72</v>
      </c>
      <c r="D89" t="s">
        <v>568</v>
      </c>
      <c r="E89" t="s">
        <v>513</v>
      </c>
      <c r="F89">
        <v>2</v>
      </c>
      <c r="G89">
        <v>0</v>
      </c>
      <c r="H89">
        <v>2</v>
      </c>
      <c r="I89">
        <v>750</v>
      </c>
      <c r="J89" t="s">
        <v>1183</v>
      </c>
      <c r="N89" t="s">
        <v>226</v>
      </c>
      <c r="O89" s="1">
        <v>46132.309305555558</v>
      </c>
    </row>
    <row r="90" spans="1:15" x14ac:dyDescent="0.3">
      <c r="A90" t="s">
        <v>1271</v>
      </c>
      <c r="B90" s="1">
        <v>46132.309305555558</v>
      </c>
      <c r="C90" t="s">
        <v>72</v>
      </c>
      <c r="D90" t="s">
        <v>571</v>
      </c>
      <c r="E90" t="s">
        <v>240</v>
      </c>
      <c r="F90">
        <v>1</v>
      </c>
      <c r="G90">
        <v>0</v>
      </c>
      <c r="H90">
        <v>1</v>
      </c>
      <c r="I90">
        <v>4000</v>
      </c>
      <c r="J90" t="s">
        <v>1183</v>
      </c>
      <c r="N90" t="s">
        <v>226</v>
      </c>
      <c r="O90" s="1">
        <v>46132.309305555558</v>
      </c>
    </row>
    <row r="91" spans="1:15" x14ac:dyDescent="0.3">
      <c r="A91" t="s">
        <v>1272</v>
      </c>
      <c r="B91" s="1">
        <v>46132.309305555558</v>
      </c>
      <c r="C91" t="s">
        <v>72</v>
      </c>
      <c r="D91" t="s">
        <v>575</v>
      </c>
      <c r="E91" t="s">
        <v>576</v>
      </c>
      <c r="F91">
        <v>2</v>
      </c>
      <c r="G91">
        <v>0</v>
      </c>
      <c r="H91">
        <v>2</v>
      </c>
      <c r="J91" t="s">
        <v>1183</v>
      </c>
      <c r="N91" t="s">
        <v>226</v>
      </c>
      <c r="O91" s="1">
        <v>46132.309305555558</v>
      </c>
    </row>
    <row r="92" spans="1:15" x14ac:dyDescent="0.3">
      <c r="A92" t="s">
        <v>1273</v>
      </c>
      <c r="B92" s="1">
        <v>46132.309305555558</v>
      </c>
      <c r="C92" t="s">
        <v>72</v>
      </c>
      <c r="D92" t="s">
        <v>584</v>
      </c>
      <c r="E92" t="s">
        <v>585</v>
      </c>
      <c r="F92">
        <v>1</v>
      </c>
      <c r="G92">
        <v>0</v>
      </c>
      <c r="H92">
        <v>1</v>
      </c>
      <c r="J92" t="s">
        <v>1183</v>
      </c>
      <c r="N92" t="s">
        <v>226</v>
      </c>
      <c r="O92" s="1">
        <v>46132.309305555558</v>
      </c>
    </row>
    <row r="93" spans="1:15" x14ac:dyDescent="0.3">
      <c r="A93" t="s">
        <v>1274</v>
      </c>
      <c r="B93" s="1">
        <v>46132.309305555558</v>
      </c>
      <c r="C93" t="s">
        <v>72</v>
      </c>
      <c r="D93" t="s">
        <v>587</v>
      </c>
      <c r="E93" t="s">
        <v>588</v>
      </c>
      <c r="F93">
        <v>1</v>
      </c>
      <c r="G93">
        <v>0</v>
      </c>
      <c r="H93">
        <v>1</v>
      </c>
      <c r="J93" t="s">
        <v>1183</v>
      </c>
      <c r="N93" t="s">
        <v>226</v>
      </c>
      <c r="O93" s="1">
        <v>46132.309305555558</v>
      </c>
    </row>
    <row r="94" spans="1:15" x14ac:dyDescent="0.3">
      <c r="A94" t="s">
        <v>1275</v>
      </c>
      <c r="B94" s="1">
        <v>46132.309305555558</v>
      </c>
      <c r="C94" t="s">
        <v>72</v>
      </c>
      <c r="D94" t="s">
        <v>590</v>
      </c>
      <c r="E94" t="s">
        <v>591</v>
      </c>
      <c r="F94">
        <v>1</v>
      </c>
      <c r="G94">
        <v>0</v>
      </c>
      <c r="H94">
        <v>1</v>
      </c>
      <c r="J94" t="s">
        <v>1183</v>
      </c>
      <c r="N94" t="s">
        <v>226</v>
      </c>
      <c r="O94" s="1">
        <v>46132.309305555558</v>
      </c>
    </row>
    <row r="95" spans="1:15" x14ac:dyDescent="0.3">
      <c r="A95" t="s">
        <v>1276</v>
      </c>
      <c r="B95" s="1">
        <v>46132.309305555558</v>
      </c>
      <c r="C95" t="s">
        <v>72</v>
      </c>
      <c r="D95" t="s">
        <v>593</v>
      </c>
      <c r="E95" t="s">
        <v>594</v>
      </c>
      <c r="F95">
        <v>1</v>
      </c>
      <c r="G95">
        <v>0</v>
      </c>
      <c r="H95">
        <v>1</v>
      </c>
      <c r="J95" t="s">
        <v>1183</v>
      </c>
      <c r="N95" t="s">
        <v>226</v>
      </c>
      <c r="O95" s="1">
        <v>46132.309305555558</v>
      </c>
    </row>
    <row r="96" spans="1:15" x14ac:dyDescent="0.3">
      <c r="A96" t="s">
        <v>1277</v>
      </c>
      <c r="B96" s="1">
        <v>46132.309305555558</v>
      </c>
      <c r="C96" t="s">
        <v>72</v>
      </c>
      <c r="D96" t="s">
        <v>603</v>
      </c>
      <c r="E96" t="s">
        <v>604</v>
      </c>
      <c r="F96">
        <v>1</v>
      </c>
      <c r="G96">
        <v>0</v>
      </c>
      <c r="H96">
        <v>1</v>
      </c>
      <c r="J96" t="s">
        <v>1183</v>
      </c>
      <c r="N96" t="s">
        <v>226</v>
      </c>
      <c r="O96" s="1">
        <v>46132.309305555558</v>
      </c>
    </row>
    <row r="97" spans="1:15" x14ac:dyDescent="0.3">
      <c r="A97" t="s">
        <v>1278</v>
      </c>
      <c r="B97" s="1">
        <v>46132.309305555558</v>
      </c>
      <c r="C97" t="s">
        <v>72</v>
      </c>
      <c r="D97" t="s">
        <v>607</v>
      </c>
      <c r="E97" t="s">
        <v>608</v>
      </c>
      <c r="F97">
        <v>1</v>
      </c>
      <c r="G97">
        <v>0</v>
      </c>
      <c r="H97">
        <v>1</v>
      </c>
      <c r="J97" t="s">
        <v>1183</v>
      </c>
      <c r="N97" t="s">
        <v>226</v>
      </c>
      <c r="O97" s="1">
        <v>46132.309305555558</v>
      </c>
    </row>
    <row r="98" spans="1:15" x14ac:dyDescent="0.3">
      <c r="A98" t="s">
        <v>1279</v>
      </c>
      <c r="B98" s="1">
        <v>46132.309305555558</v>
      </c>
      <c r="C98" t="s">
        <v>72</v>
      </c>
      <c r="D98" t="s">
        <v>612</v>
      </c>
      <c r="E98" t="s">
        <v>613</v>
      </c>
      <c r="F98">
        <v>1</v>
      </c>
      <c r="G98">
        <v>0</v>
      </c>
      <c r="H98">
        <v>1</v>
      </c>
      <c r="J98" t="s">
        <v>1183</v>
      </c>
      <c r="N98" t="s">
        <v>226</v>
      </c>
      <c r="O98" s="1">
        <v>46132.309305555558</v>
      </c>
    </row>
    <row r="99" spans="1:15" x14ac:dyDescent="0.3">
      <c r="A99" t="s">
        <v>1280</v>
      </c>
      <c r="B99" s="1">
        <v>46132.309305555558</v>
      </c>
      <c r="C99" t="s">
        <v>72</v>
      </c>
      <c r="D99" t="s">
        <v>617</v>
      </c>
      <c r="E99" t="s">
        <v>618</v>
      </c>
      <c r="F99">
        <v>1</v>
      </c>
      <c r="G99">
        <v>0</v>
      </c>
      <c r="H99">
        <v>1</v>
      </c>
      <c r="J99" t="s">
        <v>1183</v>
      </c>
      <c r="N99" t="s">
        <v>226</v>
      </c>
      <c r="O99" s="1">
        <v>46132.309305555558</v>
      </c>
    </row>
    <row r="100" spans="1:15" x14ac:dyDescent="0.3">
      <c r="A100" t="s">
        <v>1281</v>
      </c>
      <c r="B100" s="1">
        <v>46132.309305555558</v>
      </c>
      <c r="C100" t="s">
        <v>72</v>
      </c>
      <c r="D100" t="s">
        <v>624</v>
      </c>
      <c r="E100" t="s">
        <v>625</v>
      </c>
      <c r="F100">
        <v>1</v>
      </c>
      <c r="G100">
        <v>0</v>
      </c>
      <c r="H100">
        <v>1</v>
      </c>
      <c r="J100" t="s">
        <v>1183</v>
      </c>
      <c r="N100" t="s">
        <v>226</v>
      </c>
      <c r="O100" s="1">
        <v>46132.309305555558</v>
      </c>
    </row>
    <row r="101" spans="1:15" x14ac:dyDescent="0.3">
      <c r="A101" t="s">
        <v>1282</v>
      </c>
      <c r="B101" s="1">
        <v>46132.309305555558</v>
      </c>
      <c r="C101" t="s">
        <v>72</v>
      </c>
      <c r="D101" t="s">
        <v>631</v>
      </c>
      <c r="E101" t="s">
        <v>632</v>
      </c>
      <c r="F101">
        <v>1</v>
      </c>
      <c r="G101">
        <v>0</v>
      </c>
      <c r="H101">
        <v>1</v>
      </c>
      <c r="J101" t="s">
        <v>1183</v>
      </c>
      <c r="N101" t="s">
        <v>226</v>
      </c>
      <c r="O101" s="1">
        <v>46132.309305555558</v>
      </c>
    </row>
    <row r="102" spans="1:15" x14ac:dyDescent="0.3">
      <c r="A102" t="s">
        <v>1283</v>
      </c>
      <c r="B102" s="1">
        <v>46132.309305555558</v>
      </c>
      <c r="C102" t="s">
        <v>72</v>
      </c>
      <c r="D102" t="s">
        <v>636</v>
      </c>
      <c r="E102" t="s">
        <v>637</v>
      </c>
      <c r="F102">
        <v>2</v>
      </c>
      <c r="G102">
        <v>0</v>
      </c>
      <c r="H102">
        <v>2</v>
      </c>
      <c r="J102" t="s">
        <v>1183</v>
      </c>
      <c r="N102" t="s">
        <v>226</v>
      </c>
      <c r="O102" s="1">
        <v>46132.309305555558</v>
      </c>
    </row>
    <row r="103" spans="1:15" x14ac:dyDescent="0.3">
      <c r="A103" t="s">
        <v>1284</v>
      </c>
      <c r="B103" s="1">
        <v>46132.309305555558</v>
      </c>
      <c r="C103" t="s">
        <v>72</v>
      </c>
      <c r="D103" t="s">
        <v>641</v>
      </c>
      <c r="E103" t="s">
        <v>539</v>
      </c>
      <c r="F103">
        <v>1</v>
      </c>
      <c r="G103">
        <v>0</v>
      </c>
      <c r="H103">
        <v>1</v>
      </c>
      <c r="J103" t="s">
        <v>1183</v>
      </c>
      <c r="N103" t="s">
        <v>226</v>
      </c>
      <c r="O103" s="1">
        <v>46132.309305555558</v>
      </c>
    </row>
    <row r="104" spans="1:15" x14ac:dyDescent="0.3">
      <c r="A104" t="s">
        <v>1285</v>
      </c>
      <c r="B104" s="1">
        <v>46132.309305555558</v>
      </c>
      <c r="C104" t="s">
        <v>72</v>
      </c>
      <c r="D104" t="s">
        <v>644</v>
      </c>
      <c r="E104" t="s">
        <v>645</v>
      </c>
      <c r="F104">
        <v>1</v>
      </c>
      <c r="G104">
        <v>0</v>
      </c>
      <c r="H104">
        <v>1</v>
      </c>
      <c r="J104" t="s">
        <v>1183</v>
      </c>
      <c r="N104" t="s">
        <v>226</v>
      </c>
      <c r="O104" s="1">
        <v>46132.309305555558</v>
      </c>
    </row>
    <row r="105" spans="1:15" x14ac:dyDescent="0.3">
      <c r="A105" t="s">
        <v>1286</v>
      </c>
      <c r="B105" s="1">
        <v>46132.309305555558</v>
      </c>
      <c r="C105" t="s">
        <v>72</v>
      </c>
      <c r="D105" t="s">
        <v>654</v>
      </c>
      <c r="E105" t="s">
        <v>655</v>
      </c>
      <c r="F105">
        <v>1</v>
      </c>
      <c r="G105">
        <v>0</v>
      </c>
      <c r="H105">
        <v>1</v>
      </c>
      <c r="J105" t="s">
        <v>1183</v>
      </c>
      <c r="N105" t="s">
        <v>226</v>
      </c>
      <c r="O105" s="1">
        <v>46132.309305555558</v>
      </c>
    </row>
    <row r="106" spans="1:15" x14ac:dyDescent="0.3">
      <c r="A106" t="s">
        <v>1287</v>
      </c>
      <c r="B106" s="1">
        <v>46132.309305555558</v>
      </c>
      <c r="C106" t="s">
        <v>72</v>
      </c>
      <c r="D106" t="s">
        <v>657</v>
      </c>
      <c r="E106" t="s">
        <v>658</v>
      </c>
      <c r="F106">
        <v>2</v>
      </c>
      <c r="G106">
        <v>0</v>
      </c>
      <c r="H106">
        <v>2</v>
      </c>
      <c r="J106" t="s">
        <v>1183</v>
      </c>
      <c r="N106" t="s">
        <v>226</v>
      </c>
      <c r="O106" s="1">
        <v>46132.309305555558</v>
      </c>
    </row>
    <row r="107" spans="1:15" x14ac:dyDescent="0.3">
      <c r="A107" t="s">
        <v>1288</v>
      </c>
      <c r="B107" s="1">
        <v>46132.309305555558</v>
      </c>
      <c r="C107" t="s">
        <v>72</v>
      </c>
      <c r="D107" t="s">
        <v>661</v>
      </c>
      <c r="E107" t="s">
        <v>539</v>
      </c>
      <c r="F107">
        <v>1</v>
      </c>
      <c r="G107">
        <v>0</v>
      </c>
      <c r="H107">
        <v>1</v>
      </c>
      <c r="J107" t="s">
        <v>1183</v>
      </c>
      <c r="N107" t="s">
        <v>226</v>
      </c>
      <c r="O107" s="1">
        <v>46132.309305555558</v>
      </c>
    </row>
    <row r="108" spans="1:15" x14ac:dyDescent="0.3">
      <c r="A108" t="s">
        <v>1289</v>
      </c>
      <c r="B108" s="1">
        <v>46132.309305555558</v>
      </c>
      <c r="C108" t="s">
        <v>72</v>
      </c>
      <c r="D108" t="s">
        <v>666</v>
      </c>
      <c r="E108" t="s">
        <v>539</v>
      </c>
      <c r="F108">
        <v>1</v>
      </c>
      <c r="G108">
        <v>0</v>
      </c>
      <c r="H108">
        <v>1</v>
      </c>
      <c r="J108" t="s">
        <v>1183</v>
      </c>
      <c r="N108" t="s">
        <v>226</v>
      </c>
      <c r="O108" s="1">
        <v>46132.309305555558</v>
      </c>
    </row>
    <row r="109" spans="1:15" x14ac:dyDescent="0.3">
      <c r="A109" t="s">
        <v>1290</v>
      </c>
      <c r="B109" s="1">
        <v>46132.309305555558</v>
      </c>
      <c r="C109" t="s">
        <v>72</v>
      </c>
      <c r="D109" t="s">
        <v>668</v>
      </c>
      <c r="E109" t="s">
        <v>669</v>
      </c>
      <c r="F109">
        <v>2</v>
      </c>
      <c r="G109">
        <v>0</v>
      </c>
      <c r="H109">
        <v>2</v>
      </c>
      <c r="J109" t="s">
        <v>1183</v>
      </c>
      <c r="N109" t="s">
        <v>226</v>
      </c>
      <c r="O109" s="1">
        <v>46132.309305555558</v>
      </c>
    </row>
    <row r="110" spans="1:15" x14ac:dyDescent="0.3">
      <c r="A110" t="s">
        <v>1291</v>
      </c>
      <c r="B110" s="1">
        <v>46132.309305555558</v>
      </c>
      <c r="C110" t="s">
        <v>72</v>
      </c>
      <c r="D110" t="s">
        <v>676</v>
      </c>
      <c r="E110" t="s">
        <v>677</v>
      </c>
      <c r="F110">
        <v>3</v>
      </c>
      <c r="G110">
        <v>0</v>
      </c>
      <c r="H110">
        <v>3</v>
      </c>
      <c r="I110">
        <v>3500</v>
      </c>
      <c r="J110" t="s">
        <v>1183</v>
      </c>
      <c r="N110" t="s">
        <v>226</v>
      </c>
      <c r="O110" s="1">
        <v>46132.309305555558</v>
      </c>
    </row>
    <row r="111" spans="1:15" x14ac:dyDescent="0.3">
      <c r="A111" t="s">
        <v>1292</v>
      </c>
      <c r="B111" s="1">
        <v>46132.309305555558</v>
      </c>
      <c r="C111" t="s">
        <v>72</v>
      </c>
      <c r="D111" t="s">
        <v>681</v>
      </c>
      <c r="E111" t="s">
        <v>682</v>
      </c>
      <c r="F111">
        <v>1</v>
      </c>
      <c r="G111">
        <v>0</v>
      </c>
      <c r="H111">
        <v>1</v>
      </c>
      <c r="J111" t="s">
        <v>1183</v>
      </c>
      <c r="N111" t="s">
        <v>226</v>
      </c>
      <c r="O111" s="1">
        <v>46132.309305555558</v>
      </c>
    </row>
    <row r="112" spans="1:15" x14ac:dyDescent="0.3">
      <c r="A112" t="s">
        <v>1293</v>
      </c>
      <c r="B112" s="1">
        <v>46132.309305555558</v>
      </c>
      <c r="C112" t="s">
        <v>72</v>
      </c>
      <c r="D112" t="s">
        <v>686</v>
      </c>
      <c r="E112" t="s">
        <v>687</v>
      </c>
      <c r="F112">
        <v>1</v>
      </c>
      <c r="G112">
        <v>0</v>
      </c>
      <c r="H112">
        <v>1</v>
      </c>
      <c r="J112" t="s">
        <v>1183</v>
      </c>
      <c r="N112" t="s">
        <v>226</v>
      </c>
      <c r="O112" s="1">
        <v>46132.309305555558</v>
      </c>
    </row>
    <row r="113" spans="1:15" x14ac:dyDescent="0.3">
      <c r="A113" t="s">
        <v>1294</v>
      </c>
      <c r="B113" s="1">
        <v>46132.309305555558</v>
      </c>
      <c r="C113" t="s">
        <v>72</v>
      </c>
      <c r="D113" t="s">
        <v>692</v>
      </c>
      <c r="E113" t="s">
        <v>693</v>
      </c>
      <c r="F113">
        <v>1</v>
      </c>
      <c r="G113">
        <v>0</v>
      </c>
      <c r="H113">
        <v>1</v>
      </c>
      <c r="J113" t="s">
        <v>1183</v>
      </c>
      <c r="N113" t="s">
        <v>226</v>
      </c>
      <c r="O113" s="1">
        <v>46132.309305555558</v>
      </c>
    </row>
    <row r="114" spans="1:15" x14ac:dyDescent="0.3">
      <c r="A114" t="s">
        <v>1295</v>
      </c>
      <c r="B114" s="1">
        <v>46132.309305555558</v>
      </c>
      <c r="C114" t="s">
        <v>72</v>
      </c>
      <c r="D114" t="s">
        <v>697</v>
      </c>
      <c r="E114" t="s">
        <v>698</v>
      </c>
      <c r="F114">
        <v>2</v>
      </c>
      <c r="G114">
        <v>0</v>
      </c>
      <c r="H114">
        <v>2</v>
      </c>
      <c r="J114" t="s">
        <v>1183</v>
      </c>
      <c r="N114" t="s">
        <v>226</v>
      </c>
      <c r="O114" s="1">
        <v>46132.309305555558</v>
      </c>
    </row>
    <row r="115" spans="1:15" x14ac:dyDescent="0.3">
      <c r="A115" t="s">
        <v>1296</v>
      </c>
      <c r="B115" s="1">
        <v>46132.309305555558</v>
      </c>
      <c r="C115" t="s">
        <v>72</v>
      </c>
      <c r="D115" t="s">
        <v>702</v>
      </c>
      <c r="E115" t="s">
        <v>703</v>
      </c>
      <c r="F115">
        <v>2</v>
      </c>
      <c r="G115">
        <v>0</v>
      </c>
      <c r="H115">
        <v>2</v>
      </c>
      <c r="J115" t="s">
        <v>1183</v>
      </c>
      <c r="N115" t="s">
        <v>226</v>
      </c>
      <c r="O115" s="1">
        <v>46132.309305555558</v>
      </c>
    </row>
    <row r="116" spans="1:15" x14ac:dyDescent="0.3">
      <c r="A116" t="s">
        <v>1297</v>
      </c>
      <c r="B116" s="1">
        <v>46132.309305555558</v>
      </c>
      <c r="C116" t="s">
        <v>72</v>
      </c>
      <c r="D116" t="s">
        <v>706</v>
      </c>
      <c r="E116" t="s">
        <v>707</v>
      </c>
      <c r="F116">
        <v>2</v>
      </c>
      <c r="G116">
        <v>0</v>
      </c>
      <c r="H116">
        <v>2</v>
      </c>
      <c r="J116" t="s">
        <v>1183</v>
      </c>
      <c r="N116" t="s">
        <v>226</v>
      </c>
      <c r="O116" s="1">
        <v>46132.309305555558</v>
      </c>
    </row>
    <row r="117" spans="1:15" x14ac:dyDescent="0.3">
      <c r="A117" t="s">
        <v>1298</v>
      </c>
      <c r="B117" s="1">
        <v>46132.309305555558</v>
      </c>
      <c r="C117" t="s">
        <v>72</v>
      </c>
      <c r="D117" t="s">
        <v>710</v>
      </c>
      <c r="E117" t="s">
        <v>703</v>
      </c>
      <c r="F117">
        <v>3</v>
      </c>
      <c r="G117">
        <v>0</v>
      </c>
      <c r="H117">
        <v>3</v>
      </c>
      <c r="J117" t="s">
        <v>1183</v>
      </c>
      <c r="N117" t="s">
        <v>226</v>
      </c>
      <c r="O117" s="1">
        <v>46132.309305555558</v>
      </c>
    </row>
    <row r="118" spans="1:15" x14ac:dyDescent="0.3">
      <c r="A118" t="s">
        <v>1299</v>
      </c>
      <c r="B118" s="1">
        <v>46132.309305555558</v>
      </c>
      <c r="C118" t="s">
        <v>72</v>
      </c>
      <c r="D118" t="s">
        <v>713</v>
      </c>
      <c r="E118" t="s">
        <v>714</v>
      </c>
      <c r="F118">
        <v>1</v>
      </c>
      <c r="G118">
        <v>0</v>
      </c>
      <c r="H118">
        <v>1</v>
      </c>
      <c r="I118">
        <v>1320</v>
      </c>
      <c r="J118" t="s">
        <v>1183</v>
      </c>
      <c r="N118" t="s">
        <v>226</v>
      </c>
      <c r="O118" s="1">
        <v>46132.309305555558</v>
      </c>
    </row>
    <row r="119" spans="1:15" x14ac:dyDescent="0.3">
      <c r="A119" t="s">
        <v>1300</v>
      </c>
      <c r="B119" s="1">
        <v>46132.309305555558</v>
      </c>
      <c r="C119" t="s">
        <v>72</v>
      </c>
      <c r="D119" t="s">
        <v>720</v>
      </c>
      <c r="E119" t="s">
        <v>721</v>
      </c>
      <c r="F119">
        <v>3</v>
      </c>
      <c r="G119">
        <v>0</v>
      </c>
      <c r="H119">
        <v>3</v>
      </c>
      <c r="J119" t="s">
        <v>1183</v>
      </c>
      <c r="N119" t="s">
        <v>226</v>
      </c>
      <c r="O119" s="1">
        <v>46132.309305555558</v>
      </c>
    </row>
    <row r="120" spans="1:15" x14ac:dyDescent="0.3">
      <c r="A120" t="s">
        <v>1301</v>
      </c>
      <c r="B120" s="1">
        <v>46132.309305555558</v>
      </c>
      <c r="C120" t="s">
        <v>72</v>
      </c>
      <c r="D120" t="s">
        <v>726</v>
      </c>
      <c r="E120" t="s">
        <v>727</v>
      </c>
      <c r="F120">
        <v>1</v>
      </c>
      <c r="G120">
        <v>0</v>
      </c>
      <c r="H120">
        <v>1</v>
      </c>
      <c r="J120" t="s">
        <v>1183</v>
      </c>
      <c r="N120" t="s">
        <v>226</v>
      </c>
      <c r="O120" s="1">
        <v>46132.309305555558</v>
      </c>
    </row>
    <row r="121" spans="1:15" x14ac:dyDescent="0.3">
      <c r="A121" t="s">
        <v>1302</v>
      </c>
      <c r="B121" s="1">
        <v>46132.309305555558</v>
      </c>
      <c r="C121" t="s">
        <v>72</v>
      </c>
      <c r="D121" t="s">
        <v>730</v>
      </c>
      <c r="E121" t="s">
        <v>731</v>
      </c>
      <c r="F121">
        <v>1</v>
      </c>
      <c r="G121">
        <v>0</v>
      </c>
      <c r="H121">
        <v>1</v>
      </c>
      <c r="J121" t="s">
        <v>1183</v>
      </c>
      <c r="N121" t="s">
        <v>226</v>
      </c>
      <c r="O121" s="1">
        <v>46132.309305555558</v>
      </c>
    </row>
    <row r="122" spans="1:15" x14ac:dyDescent="0.3">
      <c r="A122" t="s">
        <v>1303</v>
      </c>
      <c r="B122" s="1">
        <v>46132.309305555558</v>
      </c>
      <c r="C122" t="s">
        <v>72</v>
      </c>
      <c r="D122" t="s">
        <v>734</v>
      </c>
      <c r="E122" t="s">
        <v>735</v>
      </c>
      <c r="F122">
        <v>2</v>
      </c>
      <c r="G122">
        <v>0</v>
      </c>
      <c r="H122">
        <v>2</v>
      </c>
      <c r="J122" t="s">
        <v>1183</v>
      </c>
      <c r="N122" t="s">
        <v>226</v>
      </c>
      <c r="O122" s="1">
        <v>46132.309305555558</v>
      </c>
    </row>
    <row r="123" spans="1:15" x14ac:dyDescent="0.3">
      <c r="A123" t="s">
        <v>1304</v>
      </c>
      <c r="B123" s="1">
        <v>46132.309305555558</v>
      </c>
      <c r="C123" t="s">
        <v>72</v>
      </c>
      <c r="D123" t="s">
        <v>738</v>
      </c>
      <c r="E123" t="s">
        <v>739</v>
      </c>
      <c r="F123">
        <v>1</v>
      </c>
      <c r="G123">
        <v>0</v>
      </c>
      <c r="H123">
        <v>1</v>
      </c>
      <c r="J123" t="s">
        <v>1183</v>
      </c>
      <c r="N123" t="s">
        <v>226</v>
      </c>
      <c r="O123" s="1">
        <v>46132.309305555558</v>
      </c>
    </row>
    <row r="124" spans="1:15" x14ac:dyDescent="0.3">
      <c r="A124" t="s">
        <v>1305</v>
      </c>
      <c r="B124" s="1">
        <v>46132.309305555558</v>
      </c>
      <c r="C124" t="s">
        <v>72</v>
      </c>
      <c r="D124" t="s">
        <v>742</v>
      </c>
      <c r="E124" t="s">
        <v>743</v>
      </c>
      <c r="F124">
        <v>1</v>
      </c>
      <c r="G124">
        <v>0</v>
      </c>
      <c r="H124">
        <v>1</v>
      </c>
      <c r="J124" t="s">
        <v>1183</v>
      </c>
      <c r="N124" t="s">
        <v>226</v>
      </c>
      <c r="O124" s="1">
        <v>46132.309305555558</v>
      </c>
    </row>
    <row r="125" spans="1:15" x14ac:dyDescent="0.3">
      <c r="A125" t="s">
        <v>1306</v>
      </c>
      <c r="B125" s="1">
        <v>46132.309305555558</v>
      </c>
      <c r="C125" t="s">
        <v>72</v>
      </c>
      <c r="D125" t="s">
        <v>746</v>
      </c>
      <c r="E125" t="s">
        <v>747</v>
      </c>
      <c r="F125">
        <v>2</v>
      </c>
      <c r="G125">
        <v>0</v>
      </c>
      <c r="H125">
        <v>2</v>
      </c>
      <c r="J125" t="s">
        <v>1183</v>
      </c>
      <c r="N125" t="s">
        <v>226</v>
      </c>
      <c r="O125" s="1">
        <v>46132.309305555558</v>
      </c>
    </row>
    <row r="126" spans="1:15" x14ac:dyDescent="0.3">
      <c r="A126" t="s">
        <v>1307</v>
      </c>
      <c r="B126" s="1">
        <v>46132.309305555558</v>
      </c>
      <c r="C126" t="s">
        <v>72</v>
      </c>
      <c r="D126" t="s">
        <v>751</v>
      </c>
      <c r="E126" t="s">
        <v>752</v>
      </c>
      <c r="F126">
        <v>2</v>
      </c>
      <c r="G126">
        <v>0</v>
      </c>
      <c r="H126">
        <v>2</v>
      </c>
      <c r="J126" t="s">
        <v>1183</v>
      </c>
      <c r="N126" t="s">
        <v>226</v>
      </c>
      <c r="O126" s="1">
        <v>46132.309305555558</v>
      </c>
    </row>
    <row r="127" spans="1:15" x14ac:dyDescent="0.3">
      <c r="A127" t="s">
        <v>1308</v>
      </c>
      <c r="B127" s="1">
        <v>46132.309305555558</v>
      </c>
      <c r="C127" t="s">
        <v>72</v>
      </c>
      <c r="D127" t="s">
        <v>755</v>
      </c>
      <c r="E127" t="s">
        <v>756</v>
      </c>
      <c r="F127">
        <v>2</v>
      </c>
      <c r="G127">
        <v>0</v>
      </c>
      <c r="H127">
        <v>2</v>
      </c>
      <c r="J127" t="s">
        <v>1183</v>
      </c>
      <c r="N127" t="s">
        <v>226</v>
      </c>
      <c r="O127" s="1">
        <v>46132.309305555558</v>
      </c>
    </row>
    <row r="128" spans="1:15" x14ac:dyDescent="0.3">
      <c r="A128" t="s">
        <v>1309</v>
      </c>
      <c r="B128" s="1">
        <v>46132.309305555558</v>
      </c>
      <c r="C128" t="s">
        <v>72</v>
      </c>
      <c r="D128" t="s">
        <v>759</v>
      </c>
      <c r="E128" t="s">
        <v>760</v>
      </c>
      <c r="F128">
        <v>1</v>
      </c>
      <c r="G128">
        <v>0</v>
      </c>
      <c r="H128">
        <v>1</v>
      </c>
      <c r="J128" t="s">
        <v>1183</v>
      </c>
      <c r="N128" t="s">
        <v>226</v>
      </c>
      <c r="O128" s="1">
        <v>46132.309305555558</v>
      </c>
    </row>
    <row r="129" spans="1:15" x14ac:dyDescent="0.3">
      <c r="A129" t="s">
        <v>1310</v>
      </c>
      <c r="B129" s="1">
        <v>46132.309305555558</v>
      </c>
      <c r="C129" t="s">
        <v>72</v>
      </c>
      <c r="D129" t="s">
        <v>763</v>
      </c>
      <c r="E129" t="s">
        <v>764</v>
      </c>
      <c r="F129">
        <v>2</v>
      </c>
      <c r="G129">
        <v>0</v>
      </c>
      <c r="H129">
        <v>2</v>
      </c>
      <c r="J129" t="s">
        <v>1183</v>
      </c>
      <c r="N129" t="s">
        <v>226</v>
      </c>
      <c r="O129" s="1">
        <v>46132.309305555558</v>
      </c>
    </row>
    <row r="130" spans="1:15" x14ac:dyDescent="0.3">
      <c r="A130" t="s">
        <v>1311</v>
      </c>
      <c r="B130" s="1">
        <v>46132.309305555558</v>
      </c>
      <c r="C130" t="s">
        <v>72</v>
      </c>
      <c r="D130" t="s">
        <v>767</v>
      </c>
      <c r="E130" t="s">
        <v>768</v>
      </c>
      <c r="F130">
        <v>1</v>
      </c>
      <c r="G130">
        <v>0</v>
      </c>
      <c r="H130">
        <v>1</v>
      </c>
      <c r="J130" t="s">
        <v>1183</v>
      </c>
      <c r="N130" t="s">
        <v>226</v>
      </c>
      <c r="O130" s="1">
        <v>46132.309305555558</v>
      </c>
    </row>
    <row r="131" spans="1:15" x14ac:dyDescent="0.3">
      <c r="A131" t="s">
        <v>1312</v>
      </c>
      <c r="B131" s="1">
        <v>46132.309305555558</v>
      </c>
      <c r="C131" t="s">
        <v>72</v>
      </c>
      <c r="D131" t="s">
        <v>771</v>
      </c>
      <c r="E131" t="s">
        <v>772</v>
      </c>
      <c r="F131">
        <v>2</v>
      </c>
      <c r="G131">
        <v>0</v>
      </c>
      <c r="H131">
        <v>2</v>
      </c>
      <c r="J131" t="s">
        <v>1183</v>
      </c>
      <c r="N131" t="s">
        <v>226</v>
      </c>
      <c r="O131" s="1">
        <v>46132.309305555558</v>
      </c>
    </row>
    <row r="132" spans="1:15" x14ac:dyDescent="0.3">
      <c r="A132" t="s">
        <v>1313</v>
      </c>
      <c r="B132" s="1">
        <v>46132.309305555558</v>
      </c>
      <c r="C132" t="s">
        <v>72</v>
      </c>
      <c r="D132" t="s">
        <v>774</v>
      </c>
      <c r="E132" t="s">
        <v>775</v>
      </c>
      <c r="F132">
        <v>1</v>
      </c>
      <c r="G132">
        <v>0</v>
      </c>
      <c r="H132">
        <v>1</v>
      </c>
      <c r="I132">
        <v>4036</v>
      </c>
      <c r="J132" t="s">
        <v>1183</v>
      </c>
      <c r="N132" t="s">
        <v>226</v>
      </c>
      <c r="O132" s="1">
        <v>46132.309305555558</v>
      </c>
    </row>
    <row r="133" spans="1:15" x14ac:dyDescent="0.3">
      <c r="A133" t="s">
        <v>1314</v>
      </c>
      <c r="B133" s="1">
        <v>46132.309305555558</v>
      </c>
      <c r="C133" t="s">
        <v>72</v>
      </c>
      <c r="D133" t="s">
        <v>780</v>
      </c>
      <c r="E133" t="s">
        <v>775</v>
      </c>
      <c r="F133">
        <v>6</v>
      </c>
      <c r="G133">
        <v>0</v>
      </c>
      <c r="H133">
        <v>6</v>
      </c>
      <c r="I133">
        <v>3720</v>
      </c>
      <c r="J133" t="s">
        <v>1183</v>
      </c>
      <c r="N133" t="s">
        <v>226</v>
      </c>
      <c r="O133" s="1">
        <v>46132.309305555558</v>
      </c>
    </row>
    <row r="134" spans="1:15" x14ac:dyDescent="0.3">
      <c r="A134" t="s">
        <v>1315</v>
      </c>
      <c r="B134" s="1">
        <v>46132.309305555558</v>
      </c>
      <c r="C134" t="s">
        <v>72</v>
      </c>
      <c r="D134" t="s">
        <v>783</v>
      </c>
      <c r="E134" t="s">
        <v>775</v>
      </c>
      <c r="F134">
        <v>5</v>
      </c>
      <c r="G134">
        <v>0</v>
      </c>
      <c r="H134">
        <v>5</v>
      </c>
      <c r="I134">
        <v>4542</v>
      </c>
      <c r="J134" t="s">
        <v>1183</v>
      </c>
      <c r="N134" t="s">
        <v>226</v>
      </c>
      <c r="O134" s="1">
        <v>46132.309305555558</v>
      </c>
    </row>
    <row r="135" spans="1:15" x14ac:dyDescent="0.3">
      <c r="A135" t="s">
        <v>1316</v>
      </c>
      <c r="B135" s="1">
        <v>46132.309305555558</v>
      </c>
      <c r="C135" t="s">
        <v>72</v>
      </c>
      <c r="D135" t="s">
        <v>785</v>
      </c>
      <c r="E135" t="s">
        <v>775</v>
      </c>
      <c r="F135">
        <v>2</v>
      </c>
      <c r="G135">
        <v>0</v>
      </c>
      <c r="H135">
        <v>2</v>
      </c>
      <c r="I135">
        <v>7452</v>
      </c>
      <c r="J135" t="s">
        <v>1183</v>
      </c>
      <c r="N135" t="s">
        <v>226</v>
      </c>
      <c r="O135" s="1">
        <v>46132.309305555558</v>
      </c>
    </row>
    <row r="136" spans="1:15" x14ac:dyDescent="0.3">
      <c r="A136" t="s">
        <v>1317</v>
      </c>
      <c r="B136" s="1">
        <v>46132.309305555558</v>
      </c>
      <c r="C136" t="s">
        <v>72</v>
      </c>
      <c r="D136" t="s">
        <v>787</v>
      </c>
      <c r="E136" t="s">
        <v>775</v>
      </c>
      <c r="F136">
        <v>2</v>
      </c>
      <c r="G136">
        <v>0</v>
      </c>
      <c r="H136">
        <v>2</v>
      </c>
      <c r="I136">
        <v>3622</v>
      </c>
      <c r="J136" t="s">
        <v>1183</v>
      </c>
      <c r="N136" t="s">
        <v>226</v>
      </c>
      <c r="O136" s="1">
        <v>46132.309305555558</v>
      </c>
    </row>
    <row r="137" spans="1:15" x14ac:dyDescent="0.3">
      <c r="A137" t="s">
        <v>1318</v>
      </c>
      <c r="B137" s="1">
        <v>46132.309305555558</v>
      </c>
      <c r="C137" t="s">
        <v>72</v>
      </c>
      <c r="D137" t="s">
        <v>790</v>
      </c>
      <c r="E137" t="s">
        <v>775</v>
      </c>
      <c r="F137">
        <v>2</v>
      </c>
      <c r="G137">
        <v>0</v>
      </c>
      <c r="H137">
        <v>2</v>
      </c>
      <c r="I137">
        <v>2794</v>
      </c>
      <c r="J137" t="s">
        <v>1183</v>
      </c>
      <c r="N137" t="s">
        <v>226</v>
      </c>
      <c r="O137" s="1">
        <v>46132.309305555558</v>
      </c>
    </row>
    <row r="138" spans="1:15" x14ac:dyDescent="0.3">
      <c r="A138" t="s">
        <v>1319</v>
      </c>
      <c r="B138" s="1">
        <v>46132.309305555558</v>
      </c>
      <c r="C138" t="s">
        <v>72</v>
      </c>
      <c r="D138" t="s">
        <v>792</v>
      </c>
      <c r="E138" t="s">
        <v>775</v>
      </c>
      <c r="F138">
        <v>1</v>
      </c>
      <c r="G138">
        <v>0</v>
      </c>
      <c r="H138">
        <v>1</v>
      </c>
      <c r="I138">
        <v>2794</v>
      </c>
      <c r="J138" t="s">
        <v>1183</v>
      </c>
      <c r="N138" t="s">
        <v>226</v>
      </c>
      <c r="O138" s="1">
        <v>46132.309305555558</v>
      </c>
    </row>
    <row r="139" spans="1:15" x14ac:dyDescent="0.3">
      <c r="A139" t="s">
        <v>1320</v>
      </c>
      <c r="B139" s="1">
        <v>46132.309305555558</v>
      </c>
      <c r="C139" t="s">
        <v>72</v>
      </c>
      <c r="D139" t="s">
        <v>794</v>
      </c>
      <c r="E139" t="s">
        <v>775</v>
      </c>
      <c r="F139">
        <v>1</v>
      </c>
      <c r="G139">
        <v>0</v>
      </c>
      <c r="H139">
        <v>1</v>
      </c>
      <c r="I139">
        <v>3156</v>
      </c>
      <c r="J139" t="s">
        <v>1183</v>
      </c>
      <c r="N139" t="s">
        <v>226</v>
      </c>
      <c r="O139" s="1">
        <v>46132.309305555558</v>
      </c>
    </row>
    <row r="140" spans="1:15" x14ac:dyDescent="0.3">
      <c r="A140" t="s">
        <v>1321</v>
      </c>
      <c r="B140" s="1">
        <v>46132.309305555558</v>
      </c>
      <c r="C140" t="s">
        <v>72</v>
      </c>
      <c r="D140" t="s">
        <v>796</v>
      </c>
      <c r="E140" t="s">
        <v>775</v>
      </c>
      <c r="F140">
        <v>3</v>
      </c>
      <c r="G140">
        <v>0</v>
      </c>
      <c r="H140">
        <v>3</v>
      </c>
      <c r="I140">
        <v>3260</v>
      </c>
      <c r="J140" t="s">
        <v>1183</v>
      </c>
      <c r="N140" t="s">
        <v>226</v>
      </c>
      <c r="O140" s="1">
        <v>46132.309305555558</v>
      </c>
    </row>
    <row r="141" spans="1:15" x14ac:dyDescent="0.3">
      <c r="A141" t="s">
        <v>1322</v>
      </c>
      <c r="B141" s="1">
        <v>46132.309305555558</v>
      </c>
      <c r="C141" t="s">
        <v>72</v>
      </c>
      <c r="D141" t="s">
        <v>798</v>
      </c>
      <c r="E141" t="s">
        <v>799</v>
      </c>
      <c r="F141">
        <v>7</v>
      </c>
      <c r="G141">
        <v>0</v>
      </c>
      <c r="H141">
        <v>7</v>
      </c>
      <c r="J141" t="s">
        <v>1183</v>
      </c>
      <c r="N141" t="s">
        <v>226</v>
      </c>
      <c r="O141" s="1">
        <v>46132.309305555558</v>
      </c>
    </row>
    <row r="142" spans="1:15" x14ac:dyDescent="0.3">
      <c r="A142" t="s">
        <v>1323</v>
      </c>
      <c r="B142" s="1">
        <v>46132.309305555558</v>
      </c>
      <c r="C142" t="s">
        <v>72</v>
      </c>
      <c r="D142" t="s">
        <v>803</v>
      </c>
      <c r="E142" t="s">
        <v>799</v>
      </c>
      <c r="F142">
        <v>1</v>
      </c>
      <c r="G142">
        <v>0</v>
      </c>
      <c r="H142">
        <v>1</v>
      </c>
      <c r="I142">
        <v>445</v>
      </c>
      <c r="J142" t="s">
        <v>1183</v>
      </c>
      <c r="N142" t="s">
        <v>226</v>
      </c>
      <c r="O142" s="1">
        <v>46132.309305555558</v>
      </c>
    </row>
    <row r="143" spans="1:15" x14ac:dyDescent="0.3">
      <c r="A143" t="s">
        <v>1324</v>
      </c>
      <c r="B143" s="1">
        <v>46132.309305555558</v>
      </c>
      <c r="C143" t="s">
        <v>72</v>
      </c>
      <c r="D143" t="s">
        <v>806</v>
      </c>
      <c r="E143" t="s">
        <v>807</v>
      </c>
      <c r="F143">
        <v>2</v>
      </c>
      <c r="G143">
        <v>0</v>
      </c>
      <c r="H143">
        <v>2</v>
      </c>
      <c r="I143">
        <v>755</v>
      </c>
      <c r="J143" t="s">
        <v>1183</v>
      </c>
      <c r="N143" t="s">
        <v>226</v>
      </c>
      <c r="O143" s="1">
        <v>46132.309305555558</v>
      </c>
    </row>
    <row r="144" spans="1:15" x14ac:dyDescent="0.3">
      <c r="A144" t="s">
        <v>1325</v>
      </c>
      <c r="B144" s="1">
        <v>46132.309305555558</v>
      </c>
      <c r="C144" t="s">
        <v>72</v>
      </c>
      <c r="D144" t="s">
        <v>810</v>
      </c>
      <c r="E144" t="s">
        <v>807</v>
      </c>
      <c r="F144">
        <v>1</v>
      </c>
      <c r="G144">
        <v>0</v>
      </c>
      <c r="H144">
        <v>1</v>
      </c>
      <c r="I144">
        <v>704</v>
      </c>
      <c r="J144" t="s">
        <v>1183</v>
      </c>
      <c r="N144" t="s">
        <v>226</v>
      </c>
      <c r="O144" s="1">
        <v>46132.309305555558</v>
      </c>
    </row>
    <row r="145" spans="1:15" x14ac:dyDescent="0.3">
      <c r="A145" t="s">
        <v>1326</v>
      </c>
      <c r="B145" s="1">
        <v>46132.309305555558</v>
      </c>
      <c r="C145" t="s">
        <v>72</v>
      </c>
      <c r="D145" t="s">
        <v>812</v>
      </c>
      <c r="E145" t="s">
        <v>807</v>
      </c>
      <c r="F145">
        <v>1</v>
      </c>
      <c r="G145">
        <v>0</v>
      </c>
      <c r="H145">
        <v>1</v>
      </c>
      <c r="I145">
        <v>975</v>
      </c>
      <c r="J145" t="s">
        <v>1183</v>
      </c>
      <c r="N145" t="s">
        <v>226</v>
      </c>
      <c r="O145" s="1">
        <v>46132.309305555558</v>
      </c>
    </row>
    <row r="146" spans="1:15" x14ac:dyDescent="0.3">
      <c r="A146" t="s">
        <v>1327</v>
      </c>
      <c r="B146" s="1">
        <v>46132.309305555558</v>
      </c>
      <c r="C146" t="s">
        <v>72</v>
      </c>
      <c r="D146" t="s">
        <v>814</v>
      </c>
      <c r="E146" t="s">
        <v>807</v>
      </c>
      <c r="F146">
        <v>1</v>
      </c>
      <c r="G146">
        <v>0</v>
      </c>
      <c r="H146">
        <v>1</v>
      </c>
      <c r="I146">
        <v>647</v>
      </c>
      <c r="J146" t="s">
        <v>1183</v>
      </c>
      <c r="N146" t="s">
        <v>226</v>
      </c>
      <c r="O146" s="1">
        <v>46132.309305555558</v>
      </c>
    </row>
    <row r="147" spans="1:15" x14ac:dyDescent="0.3">
      <c r="A147" t="s">
        <v>1328</v>
      </c>
      <c r="B147" s="1">
        <v>46132.309305555558</v>
      </c>
      <c r="C147" t="s">
        <v>72</v>
      </c>
      <c r="D147" t="s">
        <v>816</v>
      </c>
      <c r="E147" t="s">
        <v>807</v>
      </c>
      <c r="F147">
        <v>1</v>
      </c>
      <c r="G147">
        <v>0</v>
      </c>
      <c r="H147">
        <v>1</v>
      </c>
      <c r="I147">
        <v>828</v>
      </c>
      <c r="J147" t="s">
        <v>1183</v>
      </c>
      <c r="N147" t="s">
        <v>226</v>
      </c>
      <c r="O147" s="1">
        <v>46132.309305555558</v>
      </c>
    </row>
    <row r="148" spans="1:15" x14ac:dyDescent="0.3">
      <c r="A148" t="s">
        <v>1329</v>
      </c>
      <c r="B148" s="1">
        <v>46132.309305555558</v>
      </c>
      <c r="C148" t="s">
        <v>72</v>
      </c>
      <c r="D148" t="s">
        <v>818</v>
      </c>
      <c r="E148" t="s">
        <v>807</v>
      </c>
      <c r="F148">
        <v>1</v>
      </c>
      <c r="G148">
        <v>0</v>
      </c>
      <c r="H148">
        <v>1</v>
      </c>
      <c r="I148">
        <v>704</v>
      </c>
      <c r="J148" t="s">
        <v>1183</v>
      </c>
      <c r="N148" t="s">
        <v>226</v>
      </c>
      <c r="O148" s="1">
        <v>46132.309305555558</v>
      </c>
    </row>
    <row r="149" spans="1:15" x14ac:dyDescent="0.3">
      <c r="A149" t="s">
        <v>1330</v>
      </c>
      <c r="B149" s="1">
        <v>46132.309305555558</v>
      </c>
      <c r="C149" t="s">
        <v>72</v>
      </c>
      <c r="D149" t="s">
        <v>820</v>
      </c>
      <c r="E149" t="s">
        <v>807</v>
      </c>
      <c r="F149">
        <v>1</v>
      </c>
      <c r="G149">
        <v>0</v>
      </c>
      <c r="H149">
        <v>1</v>
      </c>
      <c r="I149">
        <v>1040</v>
      </c>
      <c r="J149" t="s">
        <v>1183</v>
      </c>
      <c r="N149" t="s">
        <v>226</v>
      </c>
      <c r="O149" s="1">
        <v>46132.309305555558</v>
      </c>
    </row>
    <row r="150" spans="1:15" x14ac:dyDescent="0.3">
      <c r="A150" t="s">
        <v>1331</v>
      </c>
      <c r="B150" s="1">
        <v>46132.309305555558</v>
      </c>
      <c r="C150" t="s">
        <v>72</v>
      </c>
      <c r="D150" t="s">
        <v>822</v>
      </c>
      <c r="E150" t="s">
        <v>807</v>
      </c>
      <c r="F150">
        <v>1</v>
      </c>
      <c r="G150">
        <v>0</v>
      </c>
      <c r="H150">
        <v>1</v>
      </c>
      <c r="I150">
        <v>1521</v>
      </c>
      <c r="J150" t="s">
        <v>1183</v>
      </c>
      <c r="N150" t="s">
        <v>226</v>
      </c>
      <c r="O150" s="1">
        <v>46132.309305555558</v>
      </c>
    </row>
    <row r="151" spans="1:15" x14ac:dyDescent="0.3">
      <c r="A151" t="s">
        <v>1332</v>
      </c>
      <c r="B151" s="1">
        <v>46132.309305555558</v>
      </c>
      <c r="C151" t="s">
        <v>72</v>
      </c>
      <c r="D151" t="s">
        <v>824</v>
      </c>
      <c r="E151" t="s">
        <v>807</v>
      </c>
      <c r="F151">
        <v>2</v>
      </c>
      <c r="G151">
        <v>0</v>
      </c>
      <c r="H151">
        <v>2</v>
      </c>
      <c r="I151">
        <v>1560</v>
      </c>
      <c r="J151" t="s">
        <v>1183</v>
      </c>
      <c r="N151" t="s">
        <v>226</v>
      </c>
      <c r="O151" s="1">
        <v>46132.309305555558</v>
      </c>
    </row>
    <row r="152" spans="1:15" x14ac:dyDescent="0.3">
      <c r="A152" t="s">
        <v>1333</v>
      </c>
      <c r="B152" s="1">
        <v>46132.309305555558</v>
      </c>
      <c r="C152" t="s">
        <v>72</v>
      </c>
      <c r="D152" t="s">
        <v>826</v>
      </c>
      <c r="E152" t="s">
        <v>807</v>
      </c>
      <c r="F152">
        <v>1</v>
      </c>
      <c r="G152">
        <v>0</v>
      </c>
      <c r="H152">
        <v>1</v>
      </c>
      <c r="I152">
        <v>1460</v>
      </c>
      <c r="J152" t="s">
        <v>1183</v>
      </c>
      <c r="N152" t="s">
        <v>226</v>
      </c>
      <c r="O152" s="1">
        <v>46132.309305555558</v>
      </c>
    </row>
    <row r="153" spans="1:15" x14ac:dyDescent="0.3">
      <c r="A153" t="s">
        <v>1334</v>
      </c>
      <c r="B153" s="1">
        <v>46132.309305555558</v>
      </c>
      <c r="C153" t="s">
        <v>72</v>
      </c>
      <c r="D153" t="s">
        <v>828</v>
      </c>
      <c r="E153" t="s">
        <v>829</v>
      </c>
      <c r="F153">
        <v>3</v>
      </c>
      <c r="G153">
        <v>0</v>
      </c>
      <c r="H153">
        <v>3</v>
      </c>
      <c r="I153">
        <v>687</v>
      </c>
      <c r="J153" t="s">
        <v>1183</v>
      </c>
      <c r="N153" t="s">
        <v>226</v>
      </c>
      <c r="O153" s="1">
        <v>46132.309305555558</v>
      </c>
    </row>
    <row r="154" spans="1:15" x14ac:dyDescent="0.3">
      <c r="A154" t="s">
        <v>1335</v>
      </c>
      <c r="B154" s="1">
        <v>46132.309305555558</v>
      </c>
      <c r="C154" t="s">
        <v>72</v>
      </c>
      <c r="D154" t="s">
        <v>832</v>
      </c>
      <c r="E154" t="s">
        <v>833</v>
      </c>
      <c r="F154">
        <v>2</v>
      </c>
      <c r="G154">
        <v>0</v>
      </c>
      <c r="H154">
        <v>2</v>
      </c>
      <c r="I154">
        <v>1138</v>
      </c>
      <c r="J154" t="s">
        <v>1183</v>
      </c>
      <c r="N154" t="s">
        <v>226</v>
      </c>
      <c r="O154" s="1">
        <v>46132.309305555558</v>
      </c>
    </row>
    <row r="155" spans="1:15" x14ac:dyDescent="0.3">
      <c r="A155" t="s">
        <v>1336</v>
      </c>
      <c r="B155" s="1">
        <v>46132.309305555558</v>
      </c>
      <c r="C155" t="s">
        <v>72</v>
      </c>
      <c r="D155" t="s">
        <v>836</v>
      </c>
      <c r="E155" t="s">
        <v>833</v>
      </c>
      <c r="F155">
        <v>1</v>
      </c>
      <c r="G155">
        <v>0</v>
      </c>
      <c r="H155">
        <v>1</v>
      </c>
      <c r="I155">
        <v>1790</v>
      </c>
      <c r="J155" t="s">
        <v>1183</v>
      </c>
      <c r="N155" t="s">
        <v>226</v>
      </c>
      <c r="O155" s="1">
        <v>46132.309305555558</v>
      </c>
    </row>
    <row r="156" spans="1:15" x14ac:dyDescent="0.3">
      <c r="A156" t="s">
        <v>1337</v>
      </c>
      <c r="B156" s="1">
        <v>46132.309305555558</v>
      </c>
      <c r="C156" t="s">
        <v>72</v>
      </c>
      <c r="D156" t="s">
        <v>838</v>
      </c>
      <c r="E156" t="s">
        <v>747</v>
      </c>
      <c r="F156">
        <v>1</v>
      </c>
      <c r="G156">
        <v>0</v>
      </c>
      <c r="H156">
        <v>1</v>
      </c>
      <c r="I156">
        <v>618</v>
      </c>
      <c r="J156" t="s">
        <v>1183</v>
      </c>
      <c r="N156" t="s">
        <v>226</v>
      </c>
      <c r="O156" s="1">
        <v>46132.309305555558</v>
      </c>
    </row>
    <row r="157" spans="1:15" x14ac:dyDescent="0.3">
      <c r="A157" t="s">
        <v>1338</v>
      </c>
      <c r="B157" s="1">
        <v>46132.309305555558</v>
      </c>
      <c r="C157" t="s">
        <v>72</v>
      </c>
      <c r="D157" t="s">
        <v>841</v>
      </c>
      <c r="E157" t="s">
        <v>842</v>
      </c>
      <c r="F157">
        <v>4</v>
      </c>
      <c r="G157">
        <v>0</v>
      </c>
      <c r="H157">
        <v>4</v>
      </c>
      <c r="I157">
        <v>2360</v>
      </c>
      <c r="J157" t="s">
        <v>1183</v>
      </c>
      <c r="N157" t="s">
        <v>226</v>
      </c>
      <c r="O157" s="1">
        <v>46132.309305555558</v>
      </c>
    </row>
    <row r="158" spans="1:15" x14ac:dyDescent="0.3">
      <c r="A158" t="s">
        <v>1339</v>
      </c>
      <c r="B158" s="1">
        <v>46132.309305555558</v>
      </c>
      <c r="C158" t="s">
        <v>72</v>
      </c>
      <c r="D158" t="s">
        <v>846</v>
      </c>
      <c r="E158" t="s">
        <v>842</v>
      </c>
      <c r="F158">
        <v>2</v>
      </c>
      <c r="G158">
        <v>0</v>
      </c>
      <c r="H158">
        <v>2</v>
      </c>
      <c r="I158">
        <v>2360</v>
      </c>
      <c r="J158" t="s">
        <v>1183</v>
      </c>
      <c r="N158" t="s">
        <v>226</v>
      </c>
      <c r="O158" s="1">
        <v>46132.309305555558</v>
      </c>
    </row>
    <row r="159" spans="1:15" x14ac:dyDescent="0.3">
      <c r="A159" t="s">
        <v>1340</v>
      </c>
      <c r="B159" s="1">
        <v>46132.309305555558</v>
      </c>
      <c r="C159" t="s">
        <v>72</v>
      </c>
      <c r="D159" t="s">
        <v>848</v>
      </c>
      <c r="E159" t="s">
        <v>842</v>
      </c>
      <c r="F159">
        <v>2</v>
      </c>
      <c r="G159">
        <v>0</v>
      </c>
      <c r="H159">
        <v>2</v>
      </c>
      <c r="I159">
        <v>932</v>
      </c>
      <c r="J159" t="s">
        <v>1183</v>
      </c>
      <c r="N159" t="s">
        <v>226</v>
      </c>
      <c r="O159" s="1">
        <v>46132.309305555558</v>
      </c>
    </row>
    <row r="160" spans="1:15" x14ac:dyDescent="0.3">
      <c r="A160" t="s">
        <v>1341</v>
      </c>
      <c r="B160" s="1">
        <v>46132.309305555558</v>
      </c>
      <c r="C160" t="s">
        <v>72</v>
      </c>
      <c r="D160" t="s">
        <v>851</v>
      </c>
      <c r="E160" t="s">
        <v>852</v>
      </c>
      <c r="F160">
        <v>6</v>
      </c>
      <c r="G160">
        <v>0</v>
      </c>
      <c r="H160">
        <v>6</v>
      </c>
      <c r="J160" t="s">
        <v>1183</v>
      </c>
      <c r="N160" t="s">
        <v>226</v>
      </c>
      <c r="O160" s="1">
        <v>46132.309305555558</v>
      </c>
    </row>
    <row r="161" spans="1:15" x14ac:dyDescent="0.3">
      <c r="A161" t="s">
        <v>1342</v>
      </c>
      <c r="B161" s="1">
        <v>46132.309305555558</v>
      </c>
      <c r="C161" t="s">
        <v>72</v>
      </c>
      <c r="D161" t="s">
        <v>855</v>
      </c>
      <c r="E161" t="s">
        <v>856</v>
      </c>
      <c r="F161">
        <v>1</v>
      </c>
      <c r="G161">
        <v>0</v>
      </c>
      <c r="H161">
        <v>1</v>
      </c>
      <c r="J161" t="s">
        <v>1183</v>
      </c>
      <c r="N161" t="s">
        <v>226</v>
      </c>
      <c r="O161" s="1">
        <v>46132.309305555558</v>
      </c>
    </row>
    <row r="162" spans="1:15" x14ac:dyDescent="0.3">
      <c r="A162" t="s">
        <v>1343</v>
      </c>
      <c r="B162" s="1">
        <v>46132.309305555558</v>
      </c>
      <c r="C162" t="s">
        <v>72</v>
      </c>
      <c r="D162" t="s">
        <v>861</v>
      </c>
      <c r="E162" t="s">
        <v>856</v>
      </c>
      <c r="F162">
        <v>1</v>
      </c>
      <c r="G162">
        <v>0</v>
      </c>
      <c r="H162">
        <v>1</v>
      </c>
      <c r="J162" t="s">
        <v>1183</v>
      </c>
      <c r="N162" t="s">
        <v>226</v>
      </c>
      <c r="O162" s="1">
        <v>46132.309305555558</v>
      </c>
    </row>
    <row r="163" spans="1:15" x14ac:dyDescent="0.3">
      <c r="A163" t="s">
        <v>1344</v>
      </c>
      <c r="B163" s="1">
        <v>46132.309305555558</v>
      </c>
      <c r="C163" t="s">
        <v>72</v>
      </c>
      <c r="D163" t="s">
        <v>865</v>
      </c>
      <c r="E163" t="s">
        <v>856</v>
      </c>
      <c r="F163">
        <v>1</v>
      </c>
      <c r="G163">
        <v>0</v>
      </c>
      <c r="H163">
        <v>1</v>
      </c>
      <c r="J163" t="s">
        <v>1183</v>
      </c>
      <c r="N163" t="s">
        <v>226</v>
      </c>
      <c r="O163" s="1">
        <v>46132.309305555558</v>
      </c>
    </row>
    <row r="164" spans="1:15" x14ac:dyDescent="0.3">
      <c r="A164" t="s">
        <v>1345</v>
      </c>
      <c r="B164" s="1">
        <v>46132.309305555558</v>
      </c>
      <c r="C164" t="s">
        <v>72</v>
      </c>
      <c r="D164" t="s">
        <v>869</v>
      </c>
      <c r="E164" t="s">
        <v>870</v>
      </c>
      <c r="F164">
        <v>1</v>
      </c>
      <c r="G164">
        <v>0</v>
      </c>
      <c r="H164">
        <v>1</v>
      </c>
      <c r="J164" t="s">
        <v>1183</v>
      </c>
      <c r="N164" t="s">
        <v>226</v>
      </c>
      <c r="O164" s="1">
        <v>46132.309305555558</v>
      </c>
    </row>
    <row r="165" spans="1:15" x14ac:dyDescent="0.3">
      <c r="A165" t="s">
        <v>1346</v>
      </c>
      <c r="B165" s="1">
        <v>46132.309305555558</v>
      </c>
      <c r="C165" t="s">
        <v>72</v>
      </c>
      <c r="D165" t="s">
        <v>873</v>
      </c>
      <c r="E165" t="s">
        <v>874</v>
      </c>
      <c r="F165">
        <v>1</v>
      </c>
      <c r="G165">
        <v>0</v>
      </c>
      <c r="H165">
        <v>1</v>
      </c>
      <c r="J165" t="s">
        <v>1183</v>
      </c>
      <c r="N165" t="s">
        <v>226</v>
      </c>
      <c r="O165" s="1">
        <v>46132.309305555558</v>
      </c>
    </row>
    <row r="166" spans="1:15" x14ac:dyDescent="0.3">
      <c r="A166" t="s">
        <v>1347</v>
      </c>
      <c r="B166" s="1">
        <v>46132.309305555558</v>
      </c>
      <c r="C166" t="s">
        <v>72</v>
      </c>
      <c r="D166" t="s">
        <v>877</v>
      </c>
      <c r="E166" t="s">
        <v>878</v>
      </c>
      <c r="F166">
        <v>1</v>
      </c>
      <c r="G166">
        <v>0</v>
      </c>
      <c r="H166">
        <v>1</v>
      </c>
      <c r="J166" t="s">
        <v>1183</v>
      </c>
      <c r="N166" t="s">
        <v>226</v>
      </c>
      <c r="O166" s="1">
        <v>46132.309305555558</v>
      </c>
    </row>
    <row r="167" spans="1:15" x14ac:dyDescent="0.3">
      <c r="A167" t="s">
        <v>1348</v>
      </c>
      <c r="B167" s="1">
        <v>46132.309305555558</v>
      </c>
      <c r="C167" t="s">
        <v>72</v>
      </c>
      <c r="D167" t="s">
        <v>882</v>
      </c>
      <c r="E167" t="s">
        <v>883</v>
      </c>
      <c r="F167">
        <v>1</v>
      </c>
      <c r="G167">
        <v>0</v>
      </c>
      <c r="H167">
        <v>1</v>
      </c>
      <c r="J167" t="s">
        <v>1183</v>
      </c>
      <c r="N167" t="s">
        <v>226</v>
      </c>
      <c r="O167" s="1">
        <v>46132.309305555558</v>
      </c>
    </row>
    <row r="168" spans="1:15" x14ac:dyDescent="0.3">
      <c r="A168" t="s">
        <v>1349</v>
      </c>
      <c r="B168" s="1">
        <v>46132.309305555558</v>
      </c>
      <c r="C168" t="s">
        <v>72</v>
      </c>
      <c r="D168" t="s">
        <v>887</v>
      </c>
      <c r="E168" t="s">
        <v>888</v>
      </c>
      <c r="F168">
        <v>1</v>
      </c>
      <c r="G168">
        <v>0</v>
      </c>
      <c r="H168">
        <v>1</v>
      </c>
      <c r="J168" t="s">
        <v>1183</v>
      </c>
      <c r="N168" t="s">
        <v>226</v>
      </c>
      <c r="O168" s="1">
        <v>46132.309305555558</v>
      </c>
    </row>
    <row r="169" spans="1:15" x14ac:dyDescent="0.3">
      <c r="A169" t="s">
        <v>1350</v>
      </c>
      <c r="B169" s="1">
        <v>46132.309305555558</v>
      </c>
      <c r="C169" t="s">
        <v>72</v>
      </c>
      <c r="D169" t="s">
        <v>892</v>
      </c>
      <c r="E169" t="s">
        <v>893</v>
      </c>
      <c r="F169">
        <v>1</v>
      </c>
      <c r="G169">
        <v>0</v>
      </c>
      <c r="H169">
        <v>1</v>
      </c>
      <c r="I169">
        <v>4800</v>
      </c>
      <c r="J169" t="s">
        <v>1183</v>
      </c>
      <c r="N169" t="s">
        <v>226</v>
      </c>
      <c r="O169" s="1">
        <v>46132.309305555558</v>
      </c>
    </row>
    <row r="170" spans="1:15" x14ac:dyDescent="0.3">
      <c r="A170" t="s">
        <v>1351</v>
      </c>
      <c r="B170" s="1">
        <v>46132.309305555558</v>
      </c>
      <c r="C170" t="s">
        <v>72</v>
      </c>
      <c r="D170" t="s">
        <v>896</v>
      </c>
      <c r="E170" t="s">
        <v>585</v>
      </c>
      <c r="F170">
        <v>1</v>
      </c>
      <c r="G170">
        <v>0</v>
      </c>
      <c r="H170">
        <v>1</v>
      </c>
      <c r="J170" t="s">
        <v>1183</v>
      </c>
      <c r="N170" t="s">
        <v>226</v>
      </c>
      <c r="O170" s="1">
        <v>46132.309305555558</v>
      </c>
    </row>
    <row r="171" spans="1:15" x14ac:dyDescent="0.3">
      <c r="A171" t="s">
        <v>1352</v>
      </c>
      <c r="B171" s="1">
        <v>46132.309305555558</v>
      </c>
      <c r="C171" t="s">
        <v>72</v>
      </c>
      <c r="D171" t="s">
        <v>899</v>
      </c>
      <c r="E171" t="s">
        <v>900</v>
      </c>
      <c r="F171">
        <v>1</v>
      </c>
      <c r="G171">
        <v>0</v>
      </c>
      <c r="H171">
        <v>1</v>
      </c>
      <c r="J171" t="s">
        <v>1183</v>
      </c>
      <c r="N171" t="s">
        <v>226</v>
      </c>
      <c r="O171" s="1">
        <v>46132.309305555558</v>
      </c>
    </row>
    <row r="172" spans="1:15" x14ac:dyDescent="0.3">
      <c r="A172" t="s">
        <v>1353</v>
      </c>
      <c r="B172" s="1">
        <v>46132.309305555558</v>
      </c>
      <c r="C172" t="s">
        <v>72</v>
      </c>
      <c r="D172" t="s">
        <v>902</v>
      </c>
      <c r="E172" t="s">
        <v>903</v>
      </c>
      <c r="F172">
        <v>3</v>
      </c>
      <c r="G172">
        <v>0</v>
      </c>
      <c r="H172">
        <v>3</v>
      </c>
      <c r="I172">
        <v>1800</v>
      </c>
      <c r="J172" t="s">
        <v>1183</v>
      </c>
      <c r="N172" t="s">
        <v>226</v>
      </c>
      <c r="O172" s="1">
        <v>46132.309305555558</v>
      </c>
    </row>
    <row r="173" spans="1:15" x14ac:dyDescent="0.3">
      <c r="A173" t="s">
        <v>1354</v>
      </c>
      <c r="B173" s="1">
        <v>46132.309305555558</v>
      </c>
      <c r="C173" t="s">
        <v>72</v>
      </c>
      <c r="D173" t="s">
        <v>907</v>
      </c>
      <c r="E173" t="s">
        <v>903</v>
      </c>
      <c r="F173">
        <v>2</v>
      </c>
      <c r="G173">
        <v>0</v>
      </c>
      <c r="H173">
        <v>2</v>
      </c>
      <c r="I173">
        <v>1800</v>
      </c>
      <c r="J173" t="s">
        <v>1183</v>
      </c>
      <c r="N173" t="s">
        <v>226</v>
      </c>
      <c r="O173" s="1">
        <v>46132.309305555558</v>
      </c>
    </row>
    <row r="174" spans="1:15" x14ac:dyDescent="0.3">
      <c r="A174" t="s">
        <v>1355</v>
      </c>
      <c r="B174" s="1">
        <v>46132.309305555558</v>
      </c>
      <c r="C174" t="s">
        <v>72</v>
      </c>
      <c r="D174" t="s">
        <v>909</v>
      </c>
      <c r="E174" t="s">
        <v>903</v>
      </c>
      <c r="F174">
        <v>3</v>
      </c>
      <c r="G174">
        <v>0</v>
      </c>
      <c r="H174">
        <v>3</v>
      </c>
      <c r="I174">
        <v>1800</v>
      </c>
      <c r="J174" t="s">
        <v>1183</v>
      </c>
      <c r="N174" t="s">
        <v>226</v>
      </c>
      <c r="O174" s="1">
        <v>46132.309305555558</v>
      </c>
    </row>
    <row r="175" spans="1:15" x14ac:dyDescent="0.3">
      <c r="A175" t="s">
        <v>1356</v>
      </c>
      <c r="B175" s="1">
        <v>46132.309305555558</v>
      </c>
      <c r="C175" t="s">
        <v>72</v>
      </c>
      <c r="D175" t="s">
        <v>911</v>
      </c>
      <c r="E175" t="s">
        <v>900</v>
      </c>
      <c r="F175">
        <v>1</v>
      </c>
      <c r="G175">
        <v>0</v>
      </c>
      <c r="H175">
        <v>1</v>
      </c>
      <c r="J175" t="s">
        <v>1183</v>
      </c>
      <c r="N175" t="s">
        <v>226</v>
      </c>
      <c r="O175" s="1">
        <v>46132.309305555558</v>
      </c>
    </row>
    <row r="176" spans="1:15" x14ac:dyDescent="0.3">
      <c r="A176" t="s">
        <v>1357</v>
      </c>
      <c r="B176" s="1">
        <v>46132.309305555558</v>
      </c>
      <c r="C176" t="s">
        <v>72</v>
      </c>
      <c r="D176" t="s">
        <v>913</v>
      </c>
      <c r="E176" t="s">
        <v>405</v>
      </c>
      <c r="F176">
        <v>1</v>
      </c>
      <c r="G176">
        <v>0</v>
      </c>
      <c r="H176">
        <v>1</v>
      </c>
      <c r="J176" t="s">
        <v>1183</v>
      </c>
      <c r="N176" t="s">
        <v>226</v>
      </c>
      <c r="O176" s="1">
        <v>46132.309305555558</v>
      </c>
    </row>
    <row r="177" spans="1:15" x14ac:dyDescent="0.3">
      <c r="A177" t="s">
        <v>1358</v>
      </c>
      <c r="B177" s="1">
        <v>46132.309305555558</v>
      </c>
      <c r="C177" t="s">
        <v>72</v>
      </c>
      <c r="D177" t="s">
        <v>916</v>
      </c>
      <c r="E177" t="s">
        <v>917</v>
      </c>
      <c r="F177">
        <v>2</v>
      </c>
      <c r="G177">
        <v>0</v>
      </c>
      <c r="H177">
        <v>2</v>
      </c>
      <c r="J177" t="s">
        <v>1183</v>
      </c>
      <c r="N177" t="s">
        <v>226</v>
      </c>
      <c r="O177" s="1">
        <v>46132.309305555558</v>
      </c>
    </row>
    <row r="178" spans="1:15" x14ac:dyDescent="0.3">
      <c r="A178" t="s">
        <v>1359</v>
      </c>
      <c r="B178" s="1">
        <v>46132.309305555558</v>
      </c>
      <c r="C178" t="s">
        <v>72</v>
      </c>
      <c r="D178" t="s">
        <v>923</v>
      </c>
      <c r="E178" t="s">
        <v>924</v>
      </c>
      <c r="F178">
        <v>1</v>
      </c>
      <c r="G178">
        <v>0</v>
      </c>
      <c r="H178">
        <v>1</v>
      </c>
      <c r="I178">
        <v>4200</v>
      </c>
      <c r="J178" t="s">
        <v>1183</v>
      </c>
      <c r="N178" t="s">
        <v>226</v>
      </c>
      <c r="O178" s="1">
        <v>46132.309305555558</v>
      </c>
    </row>
    <row r="179" spans="1:15" x14ac:dyDescent="0.3">
      <c r="A179" t="s">
        <v>1360</v>
      </c>
      <c r="B179" s="1">
        <v>46132.309305555558</v>
      </c>
      <c r="C179" t="s">
        <v>72</v>
      </c>
      <c r="D179" t="s">
        <v>928</v>
      </c>
      <c r="E179" t="s">
        <v>929</v>
      </c>
      <c r="F179">
        <v>2</v>
      </c>
      <c r="G179">
        <v>0</v>
      </c>
      <c r="H179">
        <v>2</v>
      </c>
      <c r="I179">
        <v>7000</v>
      </c>
      <c r="J179" t="s">
        <v>1183</v>
      </c>
      <c r="N179" t="s">
        <v>226</v>
      </c>
      <c r="O179" s="1">
        <v>46132.309305555558</v>
      </c>
    </row>
    <row r="180" spans="1:15" x14ac:dyDescent="0.3">
      <c r="A180" t="s">
        <v>1361</v>
      </c>
      <c r="B180" s="1">
        <v>46132.309305555558</v>
      </c>
      <c r="C180" t="s">
        <v>72</v>
      </c>
      <c r="D180" t="s">
        <v>932</v>
      </c>
      <c r="E180" t="s">
        <v>933</v>
      </c>
      <c r="F180">
        <v>1</v>
      </c>
      <c r="G180">
        <v>0</v>
      </c>
      <c r="H180">
        <v>1</v>
      </c>
      <c r="J180" t="s">
        <v>1183</v>
      </c>
      <c r="N180" t="s">
        <v>226</v>
      </c>
      <c r="O180" s="1">
        <v>46132.309305555558</v>
      </c>
    </row>
    <row r="181" spans="1:15" x14ac:dyDescent="0.3">
      <c r="A181" t="s">
        <v>1362</v>
      </c>
      <c r="B181" s="1">
        <v>46132.309305555558</v>
      </c>
      <c r="C181" t="s">
        <v>72</v>
      </c>
      <c r="D181" t="s">
        <v>947</v>
      </c>
      <c r="E181" t="s">
        <v>842</v>
      </c>
      <c r="F181">
        <v>2</v>
      </c>
      <c r="G181">
        <v>0</v>
      </c>
      <c r="H181">
        <v>2</v>
      </c>
      <c r="I181">
        <v>932</v>
      </c>
      <c r="J181" t="s">
        <v>1183</v>
      </c>
      <c r="N181" t="s">
        <v>226</v>
      </c>
      <c r="O181" s="1">
        <v>46132.309305555558</v>
      </c>
    </row>
    <row r="182" spans="1:15" x14ac:dyDescent="0.3">
      <c r="A182" t="s">
        <v>1363</v>
      </c>
      <c r="B182" s="1">
        <v>46132.309305555558</v>
      </c>
      <c r="C182" t="s">
        <v>72</v>
      </c>
      <c r="D182" t="s">
        <v>949</v>
      </c>
      <c r="E182" t="s">
        <v>807</v>
      </c>
      <c r="F182">
        <v>4</v>
      </c>
      <c r="G182">
        <v>0</v>
      </c>
      <c r="H182">
        <v>4</v>
      </c>
      <c r="I182">
        <v>1087</v>
      </c>
      <c r="J182" t="s">
        <v>1183</v>
      </c>
      <c r="N182" t="s">
        <v>226</v>
      </c>
      <c r="O182" s="1">
        <v>46132.309305555558</v>
      </c>
    </row>
    <row r="183" spans="1:15" x14ac:dyDescent="0.3">
      <c r="A183" t="s">
        <v>1364</v>
      </c>
      <c r="B183" s="1">
        <v>46132.309305555558</v>
      </c>
      <c r="C183" t="s">
        <v>72</v>
      </c>
      <c r="D183" t="s">
        <v>951</v>
      </c>
      <c r="E183" t="s">
        <v>952</v>
      </c>
      <c r="F183">
        <v>4</v>
      </c>
      <c r="G183">
        <v>0</v>
      </c>
      <c r="H183">
        <v>4</v>
      </c>
      <c r="J183" t="s">
        <v>1183</v>
      </c>
      <c r="N183" t="s">
        <v>226</v>
      </c>
      <c r="O183" s="1">
        <v>46132.309305555558</v>
      </c>
    </row>
    <row r="184" spans="1:15" x14ac:dyDescent="0.3">
      <c r="A184" t="s">
        <v>1365</v>
      </c>
      <c r="B184" s="1">
        <v>46132.309305555558</v>
      </c>
      <c r="C184" t="s">
        <v>72</v>
      </c>
      <c r="D184" t="s">
        <v>955</v>
      </c>
      <c r="E184" t="s">
        <v>956</v>
      </c>
      <c r="F184">
        <v>1</v>
      </c>
      <c r="G184">
        <v>0</v>
      </c>
      <c r="H184">
        <v>1</v>
      </c>
      <c r="I184">
        <v>2948</v>
      </c>
      <c r="J184" t="s">
        <v>1183</v>
      </c>
      <c r="N184" t="s">
        <v>226</v>
      </c>
      <c r="O184" s="1">
        <v>46132.309305555558</v>
      </c>
    </row>
    <row r="185" spans="1:15" x14ac:dyDescent="0.3">
      <c r="A185" t="s">
        <v>1366</v>
      </c>
      <c r="B185" s="1">
        <v>46132.309305555558</v>
      </c>
      <c r="C185" t="s">
        <v>72</v>
      </c>
      <c r="D185" t="s">
        <v>960</v>
      </c>
      <c r="E185" t="s">
        <v>961</v>
      </c>
      <c r="F185">
        <v>1</v>
      </c>
      <c r="G185">
        <v>0</v>
      </c>
      <c r="H185">
        <v>1</v>
      </c>
      <c r="J185" t="s">
        <v>1183</v>
      </c>
      <c r="N185" t="s">
        <v>226</v>
      </c>
      <c r="O185" s="1">
        <v>46132.309305555558</v>
      </c>
    </row>
    <row r="186" spans="1:15" x14ac:dyDescent="0.3">
      <c r="A186" t="s">
        <v>1367</v>
      </c>
      <c r="B186" s="1">
        <v>46132.309305555558</v>
      </c>
      <c r="C186" t="s">
        <v>72</v>
      </c>
      <c r="D186" t="s">
        <v>965</v>
      </c>
      <c r="E186" t="s">
        <v>966</v>
      </c>
      <c r="F186">
        <v>2</v>
      </c>
      <c r="G186">
        <v>0</v>
      </c>
      <c r="H186">
        <v>2</v>
      </c>
      <c r="J186" t="s">
        <v>1183</v>
      </c>
      <c r="N186" t="s">
        <v>226</v>
      </c>
      <c r="O186" s="1">
        <v>46132.309305555558</v>
      </c>
    </row>
    <row r="187" spans="1:15" x14ac:dyDescent="0.3">
      <c r="A187" t="s">
        <v>1368</v>
      </c>
      <c r="B187" s="1">
        <v>46132.309305555558</v>
      </c>
      <c r="C187" t="s">
        <v>72</v>
      </c>
      <c r="D187" t="s">
        <v>969</v>
      </c>
      <c r="E187" t="s">
        <v>966</v>
      </c>
      <c r="F187">
        <v>1</v>
      </c>
      <c r="G187">
        <v>0</v>
      </c>
      <c r="H187">
        <v>1</v>
      </c>
      <c r="J187" t="s">
        <v>1183</v>
      </c>
      <c r="N187" t="s">
        <v>226</v>
      </c>
      <c r="O187" s="1">
        <v>46132.309305555558</v>
      </c>
    </row>
    <row r="188" spans="1:15" x14ac:dyDescent="0.3">
      <c r="A188" t="s">
        <v>1369</v>
      </c>
      <c r="B188" s="1">
        <v>46132.309305555558</v>
      </c>
      <c r="C188" t="s">
        <v>72</v>
      </c>
      <c r="D188" t="s">
        <v>972</v>
      </c>
      <c r="E188" t="s">
        <v>973</v>
      </c>
      <c r="F188">
        <v>1</v>
      </c>
      <c r="G188">
        <v>0</v>
      </c>
      <c r="H188">
        <v>1</v>
      </c>
      <c r="J188" t="s">
        <v>1183</v>
      </c>
      <c r="N188" t="s">
        <v>226</v>
      </c>
      <c r="O188" s="1">
        <v>46132.309305555558</v>
      </c>
    </row>
    <row r="189" spans="1:15" x14ac:dyDescent="0.3">
      <c r="A189" t="s">
        <v>1370</v>
      </c>
      <c r="B189" s="1">
        <v>46132.309305555558</v>
      </c>
      <c r="C189" t="s">
        <v>72</v>
      </c>
      <c r="D189" t="s">
        <v>977</v>
      </c>
      <c r="E189" t="s">
        <v>978</v>
      </c>
      <c r="F189">
        <v>1</v>
      </c>
      <c r="G189">
        <v>0</v>
      </c>
      <c r="H189">
        <v>1</v>
      </c>
      <c r="J189" t="s">
        <v>1183</v>
      </c>
      <c r="N189" t="s">
        <v>226</v>
      </c>
      <c r="O189" s="1">
        <v>46132.309305555558</v>
      </c>
    </row>
    <row r="190" spans="1:15" x14ac:dyDescent="0.3">
      <c r="A190" t="s">
        <v>1371</v>
      </c>
      <c r="B190" s="1">
        <v>46132.309305555558</v>
      </c>
      <c r="C190" t="s">
        <v>72</v>
      </c>
      <c r="D190" t="s">
        <v>982</v>
      </c>
      <c r="E190" t="s">
        <v>983</v>
      </c>
      <c r="F190">
        <v>2</v>
      </c>
      <c r="G190">
        <v>0</v>
      </c>
      <c r="H190">
        <v>2</v>
      </c>
      <c r="I190">
        <v>800</v>
      </c>
      <c r="J190" t="s">
        <v>1183</v>
      </c>
      <c r="N190" t="s">
        <v>226</v>
      </c>
      <c r="O190" s="1">
        <v>46132.309305555558</v>
      </c>
    </row>
    <row r="191" spans="1:15" x14ac:dyDescent="0.3">
      <c r="A191" t="s">
        <v>1372</v>
      </c>
      <c r="B191" s="1">
        <v>46132.309305555558</v>
      </c>
      <c r="C191" t="s">
        <v>72</v>
      </c>
      <c r="D191" t="s">
        <v>986</v>
      </c>
      <c r="E191" t="s">
        <v>987</v>
      </c>
      <c r="F191">
        <v>1</v>
      </c>
      <c r="G191">
        <v>0</v>
      </c>
      <c r="H191">
        <v>1</v>
      </c>
      <c r="J191" t="s">
        <v>1183</v>
      </c>
      <c r="N191" t="s">
        <v>226</v>
      </c>
      <c r="O191" s="1">
        <v>46132.309305555558</v>
      </c>
    </row>
    <row r="192" spans="1:15" x14ac:dyDescent="0.3">
      <c r="A192" t="s">
        <v>1373</v>
      </c>
      <c r="B192" s="1">
        <v>46132.309305555558</v>
      </c>
      <c r="C192" t="s">
        <v>72</v>
      </c>
      <c r="D192" t="s">
        <v>990</v>
      </c>
      <c r="E192" t="s">
        <v>991</v>
      </c>
      <c r="F192">
        <v>1</v>
      </c>
      <c r="G192">
        <v>0</v>
      </c>
      <c r="H192">
        <v>1</v>
      </c>
      <c r="J192" t="s">
        <v>1183</v>
      </c>
      <c r="N192" t="s">
        <v>226</v>
      </c>
      <c r="O192" s="1">
        <v>46132.309305555558</v>
      </c>
    </row>
    <row r="193" spans="1:15" x14ac:dyDescent="0.3">
      <c r="A193" t="s">
        <v>1374</v>
      </c>
      <c r="B193" s="1">
        <v>46132.309305555558</v>
      </c>
      <c r="C193" t="s">
        <v>72</v>
      </c>
      <c r="D193" t="s">
        <v>994</v>
      </c>
      <c r="E193" t="s">
        <v>455</v>
      </c>
      <c r="F193">
        <v>2</v>
      </c>
      <c r="G193">
        <v>0</v>
      </c>
      <c r="H193">
        <v>2</v>
      </c>
      <c r="I193">
        <v>1300</v>
      </c>
      <c r="J193" t="s">
        <v>1183</v>
      </c>
      <c r="N193" t="s">
        <v>226</v>
      </c>
      <c r="O193" s="1">
        <v>46132.309305555558</v>
      </c>
    </row>
    <row r="194" spans="1:15" x14ac:dyDescent="0.3">
      <c r="A194" t="s">
        <v>1375</v>
      </c>
      <c r="B194" s="1">
        <v>46132.309305555558</v>
      </c>
      <c r="C194" t="s">
        <v>72</v>
      </c>
      <c r="D194" t="s">
        <v>1003</v>
      </c>
      <c r="E194" t="s">
        <v>1004</v>
      </c>
      <c r="F194">
        <v>1</v>
      </c>
      <c r="G194">
        <v>0</v>
      </c>
      <c r="H194">
        <v>1</v>
      </c>
      <c r="I194">
        <v>15000</v>
      </c>
      <c r="J194" t="s">
        <v>1183</v>
      </c>
      <c r="N194" t="s">
        <v>226</v>
      </c>
      <c r="O194" s="1">
        <v>46132.309305555558</v>
      </c>
    </row>
    <row r="195" spans="1:15" x14ac:dyDescent="0.3">
      <c r="A195" t="s">
        <v>1376</v>
      </c>
      <c r="B195" s="1">
        <v>46132.309305555558</v>
      </c>
      <c r="C195" t="s">
        <v>72</v>
      </c>
      <c r="D195" t="s">
        <v>1008</v>
      </c>
      <c r="E195" t="s">
        <v>1009</v>
      </c>
      <c r="F195">
        <v>1</v>
      </c>
      <c r="G195">
        <v>0</v>
      </c>
      <c r="H195">
        <v>1</v>
      </c>
      <c r="I195">
        <v>10000</v>
      </c>
      <c r="J195" t="s">
        <v>1183</v>
      </c>
      <c r="N195" t="s">
        <v>226</v>
      </c>
      <c r="O195" s="1">
        <v>46132.309305555558</v>
      </c>
    </row>
    <row r="196" spans="1:15" x14ac:dyDescent="0.3">
      <c r="A196" t="s">
        <v>1377</v>
      </c>
      <c r="B196" s="1">
        <v>46132.309305555558</v>
      </c>
      <c r="C196" t="s">
        <v>72</v>
      </c>
      <c r="D196" t="s">
        <v>1012</v>
      </c>
      <c r="E196" t="s">
        <v>1013</v>
      </c>
      <c r="F196">
        <v>1</v>
      </c>
      <c r="G196">
        <v>0</v>
      </c>
      <c r="H196">
        <v>1</v>
      </c>
      <c r="I196">
        <v>3000</v>
      </c>
      <c r="J196" t="s">
        <v>1183</v>
      </c>
      <c r="N196" t="s">
        <v>226</v>
      </c>
      <c r="O196" s="1">
        <v>46132.309305555558</v>
      </c>
    </row>
    <row r="197" spans="1:15" x14ac:dyDescent="0.3">
      <c r="A197" t="s">
        <v>1378</v>
      </c>
      <c r="B197" s="1">
        <v>46132.309305555558</v>
      </c>
      <c r="C197" t="s">
        <v>72</v>
      </c>
      <c r="D197" t="s">
        <v>1017</v>
      </c>
      <c r="E197" t="s">
        <v>1018</v>
      </c>
      <c r="F197">
        <v>2</v>
      </c>
      <c r="G197">
        <v>0</v>
      </c>
      <c r="H197">
        <v>2</v>
      </c>
      <c r="I197">
        <v>3500</v>
      </c>
      <c r="J197" t="s">
        <v>1183</v>
      </c>
      <c r="N197" t="s">
        <v>226</v>
      </c>
      <c r="O197" s="1">
        <v>46132.309305555558</v>
      </c>
    </row>
    <row r="198" spans="1:15" x14ac:dyDescent="0.3">
      <c r="A198" t="s">
        <v>1379</v>
      </c>
      <c r="B198" s="1">
        <v>46132.309305555558</v>
      </c>
      <c r="C198" t="s">
        <v>72</v>
      </c>
      <c r="D198" t="s">
        <v>1021</v>
      </c>
      <c r="E198" t="s">
        <v>1022</v>
      </c>
      <c r="F198">
        <v>1</v>
      </c>
      <c r="G198">
        <v>0</v>
      </c>
      <c r="H198">
        <v>1</v>
      </c>
      <c r="I198">
        <v>6500</v>
      </c>
      <c r="J198" t="s">
        <v>1183</v>
      </c>
      <c r="N198" t="s">
        <v>226</v>
      </c>
      <c r="O198" s="1">
        <v>46132.309305555558</v>
      </c>
    </row>
    <row r="199" spans="1:15" x14ac:dyDescent="0.3">
      <c r="A199" t="s">
        <v>1380</v>
      </c>
      <c r="B199" s="1">
        <v>46132.309305555558</v>
      </c>
      <c r="C199" t="s">
        <v>72</v>
      </c>
      <c r="D199" t="s">
        <v>1025</v>
      </c>
      <c r="E199" t="s">
        <v>1026</v>
      </c>
      <c r="F199">
        <v>2</v>
      </c>
      <c r="G199">
        <v>0</v>
      </c>
      <c r="H199">
        <v>2</v>
      </c>
      <c r="I199">
        <v>7000</v>
      </c>
      <c r="J199" t="s">
        <v>1183</v>
      </c>
      <c r="N199" t="s">
        <v>226</v>
      </c>
      <c r="O199" s="1">
        <v>46132.309305555558</v>
      </c>
    </row>
    <row r="200" spans="1:15" x14ac:dyDescent="0.3">
      <c r="A200" t="s">
        <v>1381</v>
      </c>
      <c r="B200" s="1">
        <v>46132.309305555558</v>
      </c>
      <c r="C200" t="s">
        <v>72</v>
      </c>
      <c r="D200" t="s">
        <v>1030</v>
      </c>
      <c r="E200" t="s">
        <v>1031</v>
      </c>
      <c r="F200">
        <v>1</v>
      </c>
      <c r="G200">
        <v>0</v>
      </c>
      <c r="H200">
        <v>1</v>
      </c>
      <c r="I200">
        <v>3000</v>
      </c>
      <c r="J200" t="s">
        <v>1183</v>
      </c>
      <c r="N200" t="s">
        <v>226</v>
      </c>
      <c r="O200" s="1">
        <v>46132.309305555558</v>
      </c>
    </row>
    <row r="201" spans="1:15" x14ac:dyDescent="0.3">
      <c r="A201" t="s">
        <v>1382</v>
      </c>
      <c r="B201" s="1">
        <v>46132.309305555558</v>
      </c>
      <c r="C201" t="s">
        <v>72</v>
      </c>
      <c r="D201" t="s">
        <v>1035</v>
      </c>
      <c r="E201" t="s">
        <v>1036</v>
      </c>
      <c r="F201">
        <v>2</v>
      </c>
      <c r="G201">
        <v>0</v>
      </c>
      <c r="H201">
        <v>2</v>
      </c>
      <c r="I201">
        <v>3000</v>
      </c>
      <c r="J201" t="s">
        <v>1183</v>
      </c>
      <c r="N201" t="s">
        <v>226</v>
      </c>
      <c r="O201" s="1">
        <v>46132.309305555558</v>
      </c>
    </row>
    <row r="202" spans="1:15" x14ac:dyDescent="0.3">
      <c r="A202" t="s">
        <v>1383</v>
      </c>
      <c r="B202" s="1">
        <v>46132.309305555558</v>
      </c>
      <c r="C202" t="s">
        <v>72</v>
      </c>
      <c r="D202" t="s">
        <v>1040</v>
      </c>
      <c r="E202" t="s">
        <v>1041</v>
      </c>
      <c r="F202">
        <v>1</v>
      </c>
      <c r="G202">
        <v>0</v>
      </c>
      <c r="H202">
        <v>1</v>
      </c>
      <c r="I202">
        <v>3000</v>
      </c>
      <c r="J202" t="s">
        <v>1183</v>
      </c>
      <c r="N202" t="s">
        <v>226</v>
      </c>
      <c r="O202" s="1">
        <v>46132.309305555558</v>
      </c>
    </row>
    <row r="203" spans="1:15" x14ac:dyDescent="0.3">
      <c r="A203" t="s">
        <v>1384</v>
      </c>
      <c r="B203" s="1">
        <v>46132.309305555558</v>
      </c>
      <c r="C203" t="s">
        <v>72</v>
      </c>
      <c r="D203" t="s">
        <v>1044</v>
      </c>
      <c r="E203" t="s">
        <v>1045</v>
      </c>
      <c r="F203">
        <v>1</v>
      </c>
      <c r="G203">
        <v>0</v>
      </c>
      <c r="H203">
        <v>1</v>
      </c>
      <c r="I203">
        <v>5000</v>
      </c>
      <c r="J203" t="s">
        <v>1183</v>
      </c>
      <c r="N203" t="s">
        <v>226</v>
      </c>
      <c r="O203" s="1">
        <v>46132.309305555558</v>
      </c>
    </row>
    <row r="204" spans="1:15" x14ac:dyDescent="0.3">
      <c r="A204" t="s">
        <v>1385</v>
      </c>
      <c r="B204" s="1">
        <v>46132.309305555558</v>
      </c>
      <c r="C204" t="s">
        <v>72</v>
      </c>
      <c r="D204" t="s">
        <v>1047</v>
      </c>
      <c r="E204" t="s">
        <v>1048</v>
      </c>
      <c r="F204">
        <v>1</v>
      </c>
      <c r="G204">
        <v>0</v>
      </c>
      <c r="H204">
        <v>1</v>
      </c>
      <c r="I204">
        <v>5800</v>
      </c>
      <c r="J204" t="s">
        <v>1183</v>
      </c>
      <c r="N204" t="s">
        <v>226</v>
      </c>
      <c r="O204" s="1">
        <v>46132.309305555558</v>
      </c>
    </row>
    <row r="205" spans="1:15" x14ac:dyDescent="0.3">
      <c r="A205" t="s">
        <v>1386</v>
      </c>
      <c r="B205" s="1">
        <v>46132.309305555558</v>
      </c>
      <c r="C205" t="s">
        <v>72</v>
      </c>
      <c r="D205" t="s">
        <v>1051</v>
      </c>
      <c r="E205" t="s">
        <v>1052</v>
      </c>
      <c r="F205">
        <v>3</v>
      </c>
      <c r="G205">
        <v>0</v>
      </c>
      <c r="H205">
        <v>3</v>
      </c>
      <c r="I205">
        <v>5000</v>
      </c>
      <c r="J205" t="s">
        <v>1183</v>
      </c>
      <c r="N205" t="s">
        <v>226</v>
      </c>
      <c r="O205" s="1">
        <v>46132.309305555558</v>
      </c>
    </row>
    <row r="206" spans="1:15" x14ac:dyDescent="0.3">
      <c r="A206" t="s">
        <v>1387</v>
      </c>
      <c r="B206" s="1">
        <v>46132.309305555558</v>
      </c>
      <c r="C206" t="s">
        <v>72</v>
      </c>
      <c r="D206" t="s">
        <v>1055</v>
      </c>
      <c r="E206" t="s">
        <v>1056</v>
      </c>
      <c r="F206">
        <v>2</v>
      </c>
      <c r="G206">
        <v>0</v>
      </c>
      <c r="H206">
        <v>2</v>
      </c>
      <c r="I206">
        <v>1000</v>
      </c>
      <c r="J206" t="s">
        <v>1183</v>
      </c>
      <c r="N206" t="s">
        <v>226</v>
      </c>
      <c r="O206" s="1">
        <v>46132.309305555558</v>
      </c>
    </row>
    <row r="207" spans="1:15" x14ac:dyDescent="0.3">
      <c r="A207" t="s">
        <v>1388</v>
      </c>
      <c r="B207" s="1">
        <v>46132.309305555558</v>
      </c>
      <c r="C207" t="s">
        <v>72</v>
      </c>
      <c r="D207" t="s">
        <v>1060</v>
      </c>
      <c r="E207" t="s">
        <v>1061</v>
      </c>
      <c r="F207">
        <v>1</v>
      </c>
      <c r="G207">
        <v>0</v>
      </c>
      <c r="H207">
        <v>1</v>
      </c>
      <c r="I207">
        <v>1000</v>
      </c>
      <c r="J207" t="s">
        <v>1183</v>
      </c>
      <c r="N207" t="s">
        <v>226</v>
      </c>
      <c r="O207" s="1">
        <v>46132.309305555558</v>
      </c>
    </row>
    <row r="208" spans="1:15" x14ac:dyDescent="0.3">
      <c r="A208" t="s">
        <v>1389</v>
      </c>
      <c r="B208" s="1">
        <v>46132.309305555558</v>
      </c>
      <c r="C208" t="s">
        <v>72</v>
      </c>
      <c r="D208" t="s">
        <v>1065</v>
      </c>
      <c r="E208" t="s">
        <v>1066</v>
      </c>
      <c r="F208">
        <v>1</v>
      </c>
      <c r="G208">
        <v>0</v>
      </c>
      <c r="H208">
        <v>1</v>
      </c>
      <c r="I208">
        <v>3000</v>
      </c>
      <c r="J208" t="s">
        <v>1183</v>
      </c>
      <c r="N208" t="s">
        <v>226</v>
      </c>
      <c r="O208" s="1">
        <v>46132.309305555558</v>
      </c>
    </row>
    <row r="209" spans="1:15" x14ac:dyDescent="0.3">
      <c r="A209" t="s">
        <v>1390</v>
      </c>
      <c r="B209" s="1">
        <v>46132.309305555558</v>
      </c>
      <c r="C209" t="s">
        <v>72</v>
      </c>
      <c r="D209" t="s">
        <v>1070</v>
      </c>
      <c r="E209" t="s">
        <v>1013</v>
      </c>
      <c r="F209">
        <v>1</v>
      </c>
      <c r="G209">
        <v>0</v>
      </c>
      <c r="H209">
        <v>1</v>
      </c>
      <c r="I209">
        <v>4500</v>
      </c>
      <c r="J209" t="s">
        <v>1183</v>
      </c>
      <c r="N209" t="s">
        <v>226</v>
      </c>
      <c r="O209" s="1">
        <v>46132.309305555558</v>
      </c>
    </row>
    <row r="210" spans="1:15" x14ac:dyDescent="0.3">
      <c r="A210" t="s">
        <v>1391</v>
      </c>
      <c r="B210" s="1">
        <v>46132.309305555558</v>
      </c>
      <c r="C210" t="s">
        <v>72</v>
      </c>
      <c r="D210" t="s">
        <v>1072</v>
      </c>
      <c r="E210" t="s">
        <v>539</v>
      </c>
      <c r="F210">
        <v>1</v>
      </c>
      <c r="G210">
        <v>0</v>
      </c>
      <c r="H210">
        <v>1</v>
      </c>
      <c r="I210">
        <v>4000</v>
      </c>
      <c r="J210" t="s">
        <v>1183</v>
      </c>
      <c r="N210" t="s">
        <v>226</v>
      </c>
      <c r="O210" s="1">
        <v>46132.309305555558</v>
      </c>
    </row>
    <row r="211" spans="1:15" x14ac:dyDescent="0.3">
      <c r="A211" t="s">
        <v>1392</v>
      </c>
      <c r="B211" s="1">
        <v>46132.309305555558</v>
      </c>
      <c r="C211" t="s">
        <v>72</v>
      </c>
      <c r="D211" t="s">
        <v>1075</v>
      </c>
      <c r="E211" t="s">
        <v>1076</v>
      </c>
      <c r="F211">
        <v>1</v>
      </c>
      <c r="G211">
        <v>0</v>
      </c>
      <c r="H211">
        <v>1</v>
      </c>
      <c r="I211">
        <v>6000</v>
      </c>
      <c r="J211" t="s">
        <v>1183</v>
      </c>
      <c r="N211" t="s">
        <v>226</v>
      </c>
      <c r="O211" s="1">
        <v>46132.309305555558</v>
      </c>
    </row>
    <row r="212" spans="1:15" x14ac:dyDescent="0.3">
      <c r="A212" t="s">
        <v>1393</v>
      </c>
      <c r="B212" s="1">
        <v>46132.309305555558</v>
      </c>
      <c r="C212" t="s">
        <v>72</v>
      </c>
      <c r="D212" t="s">
        <v>1080</v>
      </c>
      <c r="E212" t="s">
        <v>1081</v>
      </c>
      <c r="F212">
        <v>2</v>
      </c>
      <c r="G212">
        <v>0</v>
      </c>
      <c r="H212">
        <v>2</v>
      </c>
      <c r="I212">
        <v>2500</v>
      </c>
      <c r="J212" t="s">
        <v>1183</v>
      </c>
      <c r="N212" t="s">
        <v>226</v>
      </c>
      <c r="O212" s="1">
        <v>46132.309305555558</v>
      </c>
    </row>
    <row r="213" spans="1:15" x14ac:dyDescent="0.3">
      <c r="A213" t="s">
        <v>1394</v>
      </c>
      <c r="B213" s="1">
        <v>46132.309305555558</v>
      </c>
      <c r="C213" t="s">
        <v>72</v>
      </c>
      <c r="D213" t="s">
        <v>1084</v>
      </c>
      <c r="E213" t="s">
        <v>1085</v>
      </c>
      <c r="F213">
        <v>1</v>
      </c>
      <c r="G213">
        <v>0</v>
      </c>
      <c r="H213">
        <v>1</v>
      </c>
      <c r="I213">
        <v>2000</v>
      </c>
      <c r="J213" t="s">
        <v>1183</v>
      </c>
      <c r="N213" t="s">
        <v>226</v>
      </c>
      <c r="O213" s="1">
        <v>46132.309305555558</v>
      </c>
    </row>
    <row r="214" spans="1:15" x14ac:dyDescent="0.3">
      <c r="A214" t="s">
        <v>1395</v>
      </c>
      <c r="B214" s="1">
        <v>46132.309305555558</v>
      </c>
      <c r="C214" t="s">
        <v>72</v>
      </c>
      <c r="D214" t="s">
        <v>1088</v>
      </c>
      <c r="E214" t="s">
        <v>1089</v>
      </c>
      <c r="F214">
        <v>3</v>
      </c>
      <c r="G214">
        <v>0</v>
      </c>
      <c r="H214">
        <v>3</v>
      </c>
      <c r="I214">
        <v>300</v>
      </c>
      <c r="J214" t="s">
        <v>1183</v>
      </c>
      <c r="N214" t="s">
        <v>226</v>
      </c>
      <c r="O214" s="1">
        <v>46132.309305555558</v>
      </c>
    </row>
    <row r="215" spans="1:15" x14ac:dyDescent="0.3">
      <c r="A215" t="s">
        <v>1396</v>
      </c>
      <c r="B215" s="1">
        <v>46132.309305555558</v>
      </c>
      <c r="C215" t="s">
        <v>72</v>
      </c>
      <c r="D215" t="s">
        <v>1092</v>
      </c>
      <c r="E215" t="s">
        <v>1093</v>
      </c>
      <c r="F215">
        <v>2</v>
      </c>
      <c r="G215">
        <v>0</v>
      </c>
      <c r="H215">
        <v>2</v>
      </c>
      <c r="I215">
        <v>7300</v>
      </c>
      <c r="J215" t="s">
        <v>1183</v>
      </c>
      <c r="N215" t="s">
        <v>226</v>
      </c>
      <c r="O215" s="1">
        <v>46132.309305555558</v>
      </c>
    </row>
    <row r="216" spans="1:15" x14ac:dyDescent="0.3">
      <c r="A216" t="s">
        <v>1397</v>
      </c>
      <c r="B216" s="1">
        <v>46132.309305555558</v>
      </c>
      <c r="C216" t="s">
        <v>72</v>
      </c>
      <c r="D216" t="s">
        <v>1096</v>
      </c>
      <c r="E216" t="s">
        <v>1097</v>
      </c>
      <c r="F216">
        <v>1</v>
      </c>
      <c r="G216">
        <v>0</v>
      </c>
      <c r="H216">
        <v>1</v>
      </c>
      <c r="I216">
        <v>2500</v>
      </c>
      <c r="J216" t="s">
        <v>1183</v>
      </c>
      <c r="N216" t="s">
        <v>226</v>
      </c>
      <c r="O216" s="1">
        <v>46132.309305555558</v>
      </c>
    </row>
    <row r="217" spans="1:15" x14ac:dyDescent="0.3">
      <c r="A217" t="s">
        <v>1398</v>
      </c>
      <c r="B217" s="1">
        <v>46132.309305555558</v>
      </c>
      <c r="C217" t="s">
        <v>72</v>
      </c>
      <c r="D217" t="s">
        <v>1100</v>
      </c>
      <c r="E217" t="s">
        <v>513</v>
      </c>
      <c r="F217">
        <v>1</v>
      </c>
      <c r="G217">
        <v>0</v>
      </c>
      <c r="H217">
        <v>1</v>
      </c>
      <c r="I217">
        <v>750</v>
      </c>
      <c r="J217" t="s">
        <v>1183</v>
      </c>
      <c r="N217" t="s">
        <v>226</v>
      </c>
      <c r="O217" s="1">
        <v>46132.309305555558</v>
      </c>
    </row>
    <row r="218" spans="1:15" x14ac:dyDescent="0.3">
      <c r="A218" t="s">
        <v>1399</v>
      </c>
      <c r="B218" s="1">
        <v>46132.309305555558</v>
      </c>
      <c r="C218" t="s">
        <v>72</v>
      </c>
      <c r="D218" t="s">
        <v>1102</v>
      </c>
      <c r="E218" t="s">
        <v>1103</v>
      </c>
      <c r="F218">
        <v>1</v>
      </c>
      <c r="G218">
        <v>0</v>
      </c>
      <c r="H218">
        <v>1</v>
      </c>
      <c r="I218">
        <v>700</v>
      </c>
      <c r="J218" t="s">
        <v>1183</v>
      </c>
      <c r="N218" t="s">
        <v>226</v>
      </c>
      <c r="O218" s="1">
        <v>46132.309305555558</v>
      </c>
    </row>
    <row r="219" spans="1:15" x14ac:dyDescent="0.3">
      <c r="A219" t="s">
        <v>1400</v>
      </c>
      <c r="B219" s="1">
        <v>46132.309305555558</v>
      </c>
      <c r="C219" t="s">
        <v>72</v>
      </c>
      <c r="D219" t="s">
        <v>1106</v>
      </c>
      <c r="E219" t="s">
        <v>1107</v>
      </c>
      <c r="F219">
        <v>1</v>
      </c>
      <c r="G219">
        <v>0</v>
      </c>
      <c r="H219">
        <v>1</v>
      </c>
      <c r="I219">
        <v>700</v>
      </c>
      <c r="J219" t="s">
        <v>1183</v>
      </c>
      <c r="N219" t="s">
        <v>226</v>
      </c>
      <c r="O219" s="1">
        <v>46132.309305555558</v>
      </c>
    </row>
    <row r="220" spans="1:15" x14ac:dyDescent="0.3">
      <c r="A220" t="s">
        <v>1401</v>
      </c>
      <c r="B220" s="1">
        <v>46132.309305555558</v>
      </c>
      <c r="C220" t="s">
        <v>72</v>
      </c>
      <c r="D220" t="s">
        <v>1110</v>
      </c>
      <c r="E220" t="s">
        <v>1111</v>
      </c>
      <c r="F220">
        <v>1</v>
      </c>
      <c r="G220">
        <v>0</v>
      </c>
      <c r="H220">
        <v>1</v>
      </c>
      <c r="I220">
        <v>1300</v>
      </c>
      <c r="J220" t="s">
        <v>1183</v>
      </c>
      <c r="N220" t="s">
        <v>226</v>
      </c>
      <c r="O220" s="1">
        <v>46132.309305555558</v>
      </c>
    </row>
    <row r="221" spans="1:15" x14ac:dyDescent="0.3">
      <c r="A221" t="s">
        <v>1402</v>
      </c>
      <c r="B221" s="1">
        <v>46132.309305555558</v>
      </c>
      <c r="C221" t="s">
        <v>72</v>
      </c>
      <c r="D221" t="s">
        <v>1114</v>
      </c>
      <c r="E221" t="s">
        <v>1115</v>
      </c>
      <c r="F221">
        <v>1</v>
      </c>
      <c r="G221">
        <v>0</v>
      </c>
      <c r="H221">
        <v>1</v>
      </c>
      <c r="I221">
        <v>1300</v>
      </c>
      <c r="J221" t="s">
        <v>1183</v>
      </c>
      <c r="N221" t="s">
        <v>226</v>
      </c>
      <c r="O221" s="1">
        <v>46132.309305555558</v>
      </c>
    </row>
    <row r="222" spans="1:15" x14ac:dyDescent="0.3">
      <c r="A222" t="s">
        <v>1403</v>
      </c>
      <c r="B222" s="1">
        <v>46132.309305555558</v>
      </c>
      <c r="C222" t="s">
        <v>72</v>
      </c>
      <c r="D222" t="s">
        <v>1117</v>
      </c>
      <c r="E222" t="s">
        <v>1118</v>
      </c>
      <c r="F222">
        <v>1</v>
      </c>
      <c r="G222">
        <v>0</v>
      </c>
      <c r="H222">
        <v>1</v>
      </c>
      <c r="I222">
        <v>5300</v>
      </c>
      <c r="J222" t="s">
        <v>1183</v>
      </c>
      <c r="N222" t="s">
        <v>226</v>
      </c>
      <c r="O222" s="1">
        <v>46132.309305555558</v>
      </c>
    </row>
    <row r="223" spans="1:15" x14ac:dyDescent="0.3">
      <c r="A223" t="s">
        <v>1404</v>
      </c>
      <c r="B223" s="1">
        <v>46132.309305555558</v>
      </c>
      <c r="C223" t="s">
        <v>72</v>
      </c>
      <c r="D223" t="s">
        <v>1122</v>
      </c>
      <c r="E223" t="s">
        <v>1123</v>
      </c>
      <c r="F223">
        <v>2</v>
      </c>
      <c r="G223">
        <v>0</v>
      </c>
      <c r="H223">
        <v>2</v>
      </c>
      <c r="I223">
        <v>100</v>
      </c>
      <c r="J223" t="s">
        <v>1183</v>
      </c>
      <c r="N223" t="s">
        <v>226</v>
      </c>
      <c r="O223" s="1">
        <v>46132.309305555558</v>
      </c>
    </row>
    <row r="224" spans="1:15" x14ac:dyDescent="0.3">
      <c r="A224" t="s">
        <v>1405</v>
      </c>
      <c r="B224" s="1">
        <v>46132.309305555558</v>
      </c>
      <c r="C224" t="s">
        <v>72</v>
      </c>
      <c r="D224" t="s">
        <v>1126</v>
      </c>
      <c r="E224" t="s">
        <v>1127</v>
      </c>
      <c r="F224">
        <v>3</v>
      </c>
      <c r="G224">
        <v>0</v>
      </c>
      <c r="H224">
        <v>3</v>
      </c>
      <c r="I224">
        <v>253</v>
      </c>
      <c r="J224" t="s">
        <v>1183</v>
      </c>
      <c r="N224" t="s">
        <v>226</v>
      </c>
      <c r="O224" s="1">
        <v>46132.309305555558</v>
      </c>
    </row>
    <row r="225" spans="1:15" x14ac:dyDescent="0.3">
      <c r="A225" t="s">
        <v>1406</v>
      </c>
      <c r="B225" s="1">
        <v>46132.309305555558</v>
      </c>
      <c r="C225" t="s">
        <v>72</v>
      </c>
      <c r="D225" t="s">
        <v>1129</v>
      </c>
      <c r="E225" t="s">
        <v>1130</v>
      </c>
      <c r="F225">
        <v>3</v>
      </c>
      <c r="G225">
        <v>0</v>
      </c>
      <c r="H225">
        <v>3</v>
      </c>
      <c r="I225">
        <v>250</v>
      </c>
      <c r="J225" t="s">
        <v>1183</v>
      </c>
      <c r="N225" t="s">
        <v>226</v>
      </c>
      <c r="O225" s="1">
        <v>46132.309305555558</v>
      </c>
    </row>
    <row r="226" spans="1:15" x14ac:dyDescent="0.3">
      <c r="A226" t="s">
        <v>1407</v>
      </c>
      <c r="B226" s="1">
        <v>46132.309305555558</v>
      </c>
      <c r="C226" t="s">
        <v>72</v>
      </c>
      <c r="D226" t="s">
        <v>1132</v>
      </c>
      <c r="E226" t="s">
        <v>1133</v>
      </c>
      <c r="F226">
        <v>11</v>
      </c>
      <c r="G226">
        <v>0</v>
      </c>
      <c r="H226">
        <v>11</v>
      </c>
      <c r="I226">
        <v>250</v>
      </c>
      <c r="J226" t="s">
        <v>1183</v>
      </c>
      <c r="N226" t="s">
        <v>226</v>
      </c>
      <c r="O226" s="1">
        <v>46132.309305555558</v>
      </c>
    </row>
    <row r="227" spans="1:15" x14ac:dyDescent="0.3">
      <c r="A227" t="s">
        <v>1408</v>
      </c>
      <c r="B227" s="1">
        <v>46132.309305555558</v>
      </c>
      <c r="C227" t="s">
        <v>72</v>
      </c>
      <c r="D227" t="s">
        <v>1135</v>
      </c>
      <c r="E227" t="s">
        <v>1136</v>
      </c>
      <c r="F227">
        <v>3</v>
      </c>
      <c r="G227">
        <v>0</v>
      </c>
      <c r="H227">
        <v>3</v>
      </c>
      <c r="I227">
        <v>50</v>
      </c>
      <c r="J227" t="s">
        <v>1183</v>
      </c>
      <c r="N227" t="s">
        <v>226</v>
      </c>
      <c r="O227" s="1">
        <v>46132.309305555558</v>
      </c>
    </row>
    <row r="228" spans="1:15" x14ac:dyDescent="0.3">
      <c r="A228" t="s">
        <v>1409</v>
      </c>
      <c r="B228" s="1">
        <v>46132.309305555558</v>
      </c>
      <c r="C228" t="s">
        <v>72</v>
      </c>
      <c r="D228" t="s">
        <v>1139</v>
      </c>
      <c r="E228" t="s">
        <v>1140</v>
      </c>
      <c r="F228">
        <v>2</v>
      </c>
      <c r="G228">
        <v>0</v>
      </c>
      <c r="H228">
        <v>2</v>
      </c>
      <c r="I228">
        <v>150</v>
      </c>
      <c r="J228" t="s">
        <v>1183</v>
      </c>
      <c r="N228" t="s">
        <v>226</v>
      </c>
      <c r="O228" s="1">
        <v>46132.309305555558</v>
      </c>
    </row>
    <row r="229" spans="1:15" x14ac:dyDescent="0.3">
      <c r="A229" t="s">
        <v>1410</v>
      </c>
      <c r="B229" s="1">
        <v>46132.309305555558</v>
      </c>
      <c r="C229" t="s">
        <v>72</v>
      </c>
      <c r="D229" t="s">
        <v>1144</v>
      </c>
      <c r="E229" t="s">
        <v>1145</v>
      </c>
      <c r="F229">
        <v>1</v>
      </c>
      <c r="G229">
        <v>0</v>
      </c>
      <c r="H229">
        <v>1</v>
      </c>
      <c r="I229">
        <v>1400</v>
      </c>
      <c r="J229" t="s">
        <v>1183</v>
      </c>
      <c r="N229" t="s">
        <v>226</v>
      </c>
      <c r="O229" s="1">
        <v>46132.309305555558</v>
      </c>
    </row>
    <row r="230" spans="1:15" x14ac:dyDescent="0.3">
      <c r="A230" t="s">
        <v>1411</v>
      </c>
      <c r="B230" s="1">
        <v>46132.309305555558</v>
      </c>
      <c r="C230" t="s">
        <v>72</v>
      </c>
      <c r="D230" t="s">
        <v>1148</v>
      </c>
      <c r="E230" t="s">
        <v>1149</v>
      </c>
      <c r="F230">
        <v>1</v>
      </c>
      <c r="G230">
        <v>0</v>
      </c>
      <c r="H230">
        <v>1</v>
      </c>
      <c r="I230">
        <v>750</v>
      </c>
      <c r="J230" t="s">
        <v>1183</v>
      </c>
      <c r="N230" t="s">
        <v>226</v>
      </c>
      <c r="O230" s="1">
        <v>46132.309305555558</v>
      </c>
    </row>
    <row r="231" spans="1:15" x14ac:dyDescent="0.3">
      <c r="A231" t="s">
        <v>1412</v>
      </c>
      <c r="B231" s="1">
        <v>46132.309305555558</v>
      </c>
      <c r="C231" t="s">
        <v>72</v>
      </c>
      <c r="D231" t="s">
        <v>1152</v>
      </c>
      <c r="E231" t="s">
        <v>1149</v>
      </c>
      <c r="F231">
        <v>1</v>
      </c>
      <c r="G231">
        <v>0</v>
      </c>
      <c r="H231">
        <v>1</v>
      </c>
      <c r="I231">
        <v>1125</v>
      </c>
      <c r="J231" t="s">
        <v>1183</v>
      </c>
      <c r="N231" t="s">
        <v>226</v>
      </c>
      <c r="O231" s="1">
        <v>46132.309305555558</v>
      </c>
    </row>
    <row r="232" spans="1:15" x14ac:dyDescent="0.3">
      <c r="A232" t="s">
        <v>1413</v>
      </c>
      <c r="B232" s="1">
        <v>46132.309305555558</v>
      </c>
      <c r="C232" t="s">
        <v>72</v>
      </c>
      <c r="D232" t="s">
        <v>1155</v>
      </c>
      <c r="E232" t="s">
        <v>1156</v>
      </c>
      <c r="F232">
        <v>3</v>
      </c>
      <c r="G232">
        <v>0</v>
      </c>
      <c r="H232">
        <v>3</v>
      </c>
      <c r="I232">
        <v>3500</v>
      </c>
      <c r="J232" t="s">
        <v>1183</v>
      </c>
      <c r="N232" t="s">
        <v>226</v>
      </c>
      <c r="O232" s="1">
        <v>46132.309305555558</v>
      </c>
    </row>
    <row r="233" spans="1:15" x14ac:dyDescent="0.3">
      <c r="A233" t="s">
        <v>1414</v>
      </c>
      <c r="B233" s="1">
        <v>46132.309305555558</v>
      </c>
      <c r="C233" t="s">
        <v>72</v>
      </c>
      <c r="D233" t="s">
        <v>1159</v>
      </c>
      <c r="E233" t="s">
        <v>1149</v>
      </c>
      <c r="F233">
        <v>1</v>
      </c>
      <c r="G233">
        <v>0</v>
      </c>
      <c r="H233">
        <v>1</v>
      </c>
      <c r="I233">
        <v>2000</v>
      </c>
      <c r="J233" t="s">
        <v>1183</v>
      </c>
      <c r="N233" t="s">
        <v>226</v>
      </c>
      <c r="O233" s="1">
        <v>46132.309305555558</v>
      </c>
    </row>
    <row r="234" spans="1:15" x14ac:dyDescent="0.3">
      <c r="A234" t="s">
        <v>1415</v>
      </c>
      <c r="B234" s="1">
        <v>46132.309305555558</v>
      </c>
      <c r="C234" t="s">
        <v>72</v>
      </c>
      <c r="D234" t="s">
        <v>1165</v>
      </c>
      <c r="E234" t="s">
        <v>1166</v>
      </c>
      <c r="F234">
        <v>1</v>
      </c>
      <c r="G234">
        <v>0</v>
      </c>
      <c r="H234">
        <v>1</v>
      </c>
      <c r="I234">
        <v>1150</v>
      </c>
      <c r="J234" t="s">
        <v>1183</v>
      </c>
      <c r="N234" t="s">
        <v>226</v>
      </c>
      <c r="O234" s="1">
        <v>46132.309305555558</v>
      </c>
    </row>
    <row r="235" spans="1:15" x14ac:dyDescent="0.3">
      <c r="A235" t="s">
        <v>1416</v>
      </c>
      <c r="B235" s="1">
        <v>46132.309305555558</v>
      </c>
      <c r="C235" t="s">
        <v>72</v>
      </c>
      <c r="D235" t="s">
        <v>1169</v>
      </c>
      <c r="E235" t="s">
        <v>1170</v>
      </c>
      <c r="F235">
        <v>1</v>
      </c>
      <c r="G235">
        <v>0</v>
      </c>
      <c r="H235">
        <v>1</v>
      </c>
      <c r="I235">
        <v>200</v>
      </c>
      <c r="J235" t="s">
        <v>1183</v>
      </c>
      <c r="N235" t="s">
        <v>226</v>
      </c>
      <c r="O235" s="1">
        <v>46132.309305555558</v>
      </c>
    </row>
    <row r="236" spans="1:15" x14ac:dyDescent="0.3">
      <c r="A236" t="s">
        <v>1417</v>
      </c>
      <c r="B236" s="1">
        <v>46132.309305555558</v>
      </c>
      <c r="C236" t="s">
        <v>72</v>
      </c>
      <c r="D236" t="s">
        <v>1177</v>
      </c>
      <c r="E236" t="s">
        <v>1178</v>
      </c>
      <c r="F236">
        <v>1</v>
      </c>
      <c r="G236">
        <v>0</v>
      </c>
      <c r="H236">
        <v>1</v>
      </c>
      <c r="J236" t="s">
        <v>1183</v>
      </c>
      <c r="N236" t="s">
        <v>226</v>
      </c>
      <c r="O236" s="1">
        <v>46132.309305555558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06F40-18A3-4594-B049-BA0231DC613D}">
  <sheetPr codeName="Sheet6">
    <tabColor rgb="FF4BACC6"/>
  </sheetPr>
  <dimension ref="A1:J1"/>
  <sheetViews>
    <sheetView rightToLeft="1" workbookViewId="0"/>
  </sheetViews>
  <sheetFormatPr defaultRowHeight="14" x14ac:dyDescent="0.3"/>
  <cols>
    <col min="1" max="1" width="12.33203125" customWidth="1"/>
    <col min="2" max="3" width="19.08203125" customWidth="1"/>
    <col min="4" max="4" width="16.33203125" customWidth="1"/>
    <col min="7" max="7" width="25.58203125" customWidth="1"/>
    <col min="8" max="8" width="26.33203125" customWidth="1"/>
  </cols>
  <sheetData>
    <row r="1" spans="1:10" x14ac:dyDescent="0.3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142</v>
      </c>
      <c r="J1" t="s">
        <v>141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42DE-2F50-462A-8DF9-048E25CE9341}">
  <sheetPr codeName="Sheet7">
    <tabColor rgb="FF4BACC6"/>
  </sheetPr>
  <dimension ref="A1:O1"/>
  <sheetViews>
    <sheetView rightToLeft="1" workbookViewId="0"/>
  </sheetViews>
  <sheetFormatPr defaultRowHeight="14" x14ac:dyDescent="0.3"/>
  <cols>
    <col min="2" max="2" width="10.1640625" customWidth="1"/>
    <col min="3" max="3" width="8.9140625" customWidth="1"/>
    <col min="4" max="4" width="15.6640625" customWidth="1"/>
    <col min="5" max="5" width="12.33203125" customWidth="1"/>
    <col min="6" max="6" width="13.4140625" customWidth="1"/>
    <col min="7" max="7" width="14.4140625" customWidth="1"/>
    <col min="8" max="8" width="15.08203125" customWidth="1"/>
    <col min="9" max="9" width="16" customWidth="1"/>
    <col min="10" max="10" width="18.4140625" customWidth="1"/>
    <col min="11" max="11" width="15.75" customWidth="1"/>
    <col min="12" max="12" width="11.75" customWidth="1"/>
    <col min="14" max="14" width="15" customWidth="1"/>
  </cols>
  <sheetData>
    <row r="1" spans="1:15" x14ac:dyDescent="0.3">
      <c r="A1" t="s">
        <v>177</v>
      </c>
      <c r="B1" t="s">
        <v>178</v>
      </c>
      <c r="C1" t="s">
        <v>121</v>
      </c>
      <c r="D1" t="s">
        <v>122</v>
      </c>
      <c r="E1" t="s">
        <v>169</v>
      </c>
      <c r="F1" t="s">
        <v>179</v>
      </c>
      <c r="G1" t="s">
        <v>180</v>
      </c>
      <c r="H1" t="s">
        <v>131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F9FC3-42BF-49AE-BB14-0C100EE0E810}">
  <sheetPr codeName="Sheet8">
    <tabColor rgb="FF7030A0"/>
  </sheetPr>
  <dimension ref="A1:K1"/>
  <sheetViews>
    <sheetView rightToLeft="1" workbookViewId="0"/>
  </sheetViews>
  <sheetFormatPr defaultRowHeight="14" x14ac:dyDescent="0.3"/>
  <cols>
    <col min="1" max="1" width="11.75" customWidth="1"/>
    <col min="2" max="2" width="16.9140625" customWidth="1"/>
    <col min="3" max="3" width="8.9140625" customWidth="1"/>
    <col min="4" max="4" width="13.75" customWidth="1"/>
    <col min="6" max="6" width="10.83203125" customWidth="1"/>
    <col min="7" max="10" width="10.9140625" customWidth="1"/>
  </cols>
  <sheetData>
    <row r="1" spans="1:11" x14ac:dyDescent="0.3">
      <c r="A1" t="s">
        <v>187</v>
      </c>
      <c r="B1" t="s">
        <v>188</v>
      </c>
      <c r="C1" t="s">
        <v>189</v>
      </c>
      <c r="D1" t="s">
        <v>126</v>
      </c>
      <c r="E1" t="s">
        <v>127</v>
      </c>
      <c r="F1" t="s">
        <v>137</v>
      </c>
      <c r="G1" t="s">
        <v>190</v>
      </c>
      <c r="H1" t="s">
        <v>191</v>
      </c>
      <c r="I1" t="s">
        <v>192</v>
      </c>
      <c r="J1" t="s">
        <v>193</v>
      </c>
      <c r="K1" t="s">
        <v>142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8EE8-91C4-4BF0-8F9A-90408089222D}">
  <sheetPr codeName="Sheet9">
    <tabColor rgb="FFFFFFFF"/>
  </sheetPr>
  <dimension ref="A1:S46"/>
  <sheetViews>
    <sheetView rightToLeft="1" workbookViewId="0"/>
  </sheetViews>
  <sheetFormatPr defaultRowHeight="14" x14ac:dyDescent="0.3"/>
  <cols>
    <col min="1" max="1" width="19" bestFit="1" customWidth="1"/>
    <col min="3" max="3" width="19.6640625" bestFit="1" customWidth="1"/>
    <col min="5" max="5" width="14.9140625" bestFit="1" customWidth="1"/>
    <col min="7" max="7" width="11.4140625" bestFit="1" customWidth="1"/>
    <col min="9" max="9" width="7.25" bestFit="1" customWidth="1"/>
    <col min="11" max="11" width="11.9140625" bestFit="1" customWidth="1"/>
    <col min="13" max="13" width="11" bestFit="1" customWidth="1"/>
    <col min="15" max="15" width="8.5" bestFit="1" customWidth="1"/>
    <col min="17" max="17" width="11.6640625" bestFit="1" customWidth="1"/>
    <col min="19" max="19" width="14.6640625" bestFit="1" customWidth="1"/>
  </cols>
  <sheetData>
    <row r="1" spans="1:19" x14ac:dyDescent="0.3">
      <c r="A1" t="s">
        <v>0</v>
      </c>
      <c r="C1" t="s">
        <v>16</v>
      </c>
      <c r="E1" t="s">
        <v>61</v>
      </c>
      <c r="G1" t="s">
        <v>68</v>
      </c>
      <c r="I1" t="s">
        <v>73</v>
      </c>
      <c r="K1" t="s">
        <v>81</v>
      </c>
      <c r="M1" t="s">
        <v>85</v>
      </c>
      <c r="O1" t="s">
        <v>90</v>
      </c>
      <c r="Q1" t="s">
        <v>93</v>
      </c>
      <c r="S1" t="s">
        <v>96</v>
      </c>
    </row>
    <row r="2" spans="1:19" x14ac:dyDescent="0.3">
      <c r="A2" t="s">
        <v>1</v>
      </c>
      <c r="C2" t="s">
        <v>17</v>
      </c>
      <c r="E2" t="s">
        <v>62</v>
      </c>
      <c r="G2" t="s">
        <v>69</v>
      </c>
      <c r="I2" t="s">
        <v>74</v>
      </c>
      <c r="K2" t="s">
        <v>82</v>
      </c>
      <c r="M2" t="s">
        <v>86</v>
      </c>
      <c r="O2" t="s">
        <v>91</v>
      </c>
      <c r="Q2" t="s">
        <v>94</v>
      </c>
      <c r="S2" t="s">
        <v>97</v>
      </c>
    </row>
    <row r="3" spans="1:19" x14ac:dyDescent="0.3">
      <c r="A3" t="s">
        <v>2</v>
      </c>
      <c r="C3" t="s">
        <v>18</v>
      </c>
      <c r="E3" t="s">
        <v>63</v>
      </c>
      <c r="G3" t="s">
        <v>70</v>
      </c>
      <c r="I3" t="s">
        <v>75</v>
      </c>
      <c r="K3" t="s">
        <v>83</v>
      </c>
      <c r="M3" t="s">
        <v>87</v>
      </c>
      <c r="O3" t="s">
        <v>92</v>
      </c>
      <c r="Q3" t="s">
        <v>95</v>
      </c>
      <c r="S3" t="s">
        <v>98</v>
      </c>
    </row>
    <row r="4" spans="1:19" x14ac:dyDescent="0.3">
      <c r="A4" t="s">
        <v>3</v>
      </c>
      <c r="C4" t="s">
        <v>19</v>
      </c>
      <c r="E4" t="s">
        <v>64</v>
      </c>
      <c r="G4" t="s">
        <v>71</v>
      </c>
      <c r="I4" t="s">
        <v>76</v>
      </c>
      <c r="K4" t="s">
        <v>84</v>
      </c>
      <c r="M4" t="s">
        <v>88</v>
      </c>
      <c r="S4" t="s">
        <v>99</v>
      </c>
    </row>
    <row r="5" spans="1:19" x14ac:dyDescent="0.3">
      <c r="A5" t="s">
        <v>4</v>
      </c>
      <c r="C5" t="s">
        <v>20</v>
      </c>
      <c r="E5" t="s">
        <v>65</v>
      </c>
      <c r="G5" t="s">
        <v>72</v>
      </c>
      <c r="I5" t="s">
        <v>77</v>
      </c>
      <c r="M5" t="s">
        <v>89</v>
      </c>
      <c r="S5" t="s">
        <v>100</v>
      </c>
    </row>
    <row r="6" spans="1:19" x14ac:dyDescent="0.3">
      <c r="A6" t="s">
        <v>5</v>
      </c>
      <c r="C6" t="s">
        <v>21</v>
      </c>
      <c r="E6" t="s">
        <v>66</v>
      </c>
      <c r="I6" t="s">
        <v>78</v>
      </c>
      <c r="S6" t="s">
        <v>101</v>
      </c>
    </row>
    <row r="7" spans="1:19" x14ac:dyDescent="0.3">
      <c r="A7" t="s">
        <v>6</v>
      </c>
      <c r="C7" t="s">
        <v>22</v>
      </c>
      <c r="E7" t="s">
        <v>67</v>
      </c>
      <c r="I7" t="s">
        <v>79</v>
      </c>
      <c r="S7" t="s">
        <v>102</v>
      </c>
    </row>
    <row r="8" spans="1:19" x14ac:dyDescent="0.3">
      <c r="A8" t="s">
        <v>7</v>
      </c>
      <c r="C8" t="s">
        <v>23</v>
      </c>
      <c r="I8" t="s">
        <v>80</v>
      </c>
      <c r="S8" t="s">
        <v>103</v>
      </c>
    </row>
    <row r="9" spans="1:19" x14ac:dyDescent="0.3">
      <c r="A9" t="s">
        <v>8</v>
      </c>
      <c r="C9" t="s">
        <v>24</v>
      </c>
      <c r="S9" t="s">
        <v>104</v>
      </c>
    </row>
    <row r="10" spans="1:19" x14ac:dyDescent="0.3">
      <c r="A10" t="s">
        <v>9</v>
      </c>
      <c r="C10" t="s">
        <v>25</v>
      </c>
      <c r="S10" t="s">
        <v>105</v>
      </c>
    </row>
    <row r="11" spans="1:19" x14ac:dyDescent="0.3">
      <c r="A11" t="s">
        <v>10</v>
      </c>
      <c r="C11" t="s">
        <v>26</v>
      </c>
      <c r="S11" t="s">
        <v>106</v>
      </c>
    </row>
    <row r="12" spans="1:19" x14ac:dyDescent="0.3">
      <c r="A12" t="s">
        <v>11</v>
      </c>
      <c r="C12" t="s">
        <v>27</v>
      </c>
    </row>
    <row r="13" spans="1:19" x14ac:dyDescent="0.3">
      <c r="A13" t="s">
        <v>12</v>
      </c>
      <c r="C13" t="s">
        <v>28</v>
      </c>
    </row>
    <row r="14" spans="1:19" x14ac:dyDescent="0.3">
      <c r="A14" t="s">
        <v>13</v>
      </c>
      <c r="C14" t="s">
        <v>29</v>
      </c>
    </row>
    <row r="15" spans="1:19" x14ac:dyDescent="0.3">
      <c r="A15" t="s">
        <v>14</v>
      </c>
      <c r="C15" t="s">
        <v>30</v>
      </c>
    </row>
    <row r="16" spans="1:19" x14ac:dyDescent="0.3">
      <c r="A16" t="s">
        <v>15</v>
      </c>
      <c r="C16" t="s">
        <v>31</v>
      </c>
    </row>
    <row r="17" spans="3:3" x14ac:dyDescent="0.3">
      <c r="C17" t="s">
        <v>32</v>
      </c>
    </row>
    <row r="18" spans="3:3" x14ac:dyDescent="0.3">
      <c r="C18" t="s">
        <v>33</v>
      </c>
    </row>
    <row r="19" spans="3:3" x14ac:dyDescent="0.3">
      <c r="C19" t="s">
        <v>34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38</v>
      </c>
    </row>
    <row r="24" spans="3:3" x14ac:dyDescent="0.3">
      <c r="C24" t="s">
        <v>39</v>
      </c>
    </row>
    <row r="25" spans="3:3" x14ac:dyDescent="0.3">
      <c r="C25" t="s">
        <v>40</v>
      </c>
    </row>
    <row r="26" spans="3:3" x14ac:dyDescent="0.3">
      <c r="C26" t="s">
        <v>41</v>
      </c>
    </row>
    <row r="27" spans="3:3" x14ac:dyDescent="0.3">
      <c r="C27" t="s">
        <v>42</v>
      </c>
    </row>
    <row r="28" spans="3:3" x14ac:dyDescent="0.3">
      <c r="C28" t="s">
        <v>43</v>
      </c>
    </row>
    <row r="29" spans="3:3" x14ac:dyDescent="0.3">
      <c r="C29" t="s">
        <v>44</v>
      </c>
    </row>
    <row r="30" spans="3:3" x14ac:dyDescent="0.3">
      <c r="C30" t="s">
        <v>45</v>
      </c>
    </row>
    <row r="31" spans="3:3" x14ac:dyDescent="0.3">
      <c r="C31" t="s">
        <v>46</v>
      </c>
    </row>
    <row r="32" spans="3:3" x14ac:dyDescent="0.3">
      <c r="C32" t="s">
        <v>47</v>
      </c>
    </row>
    <row r="33" spans="3:3" x14ac:dyDescent="0.3">
      <c r="C33" t="s">
        <v>48</v>
      </c>
    </row>
    <row r="34" spans="3:3" x14ac:dyDescent="0.3">
      <c r="C34" t="s">
        <v>49</v>
      </c>
    </row>
    <row r="35" spans="3:3" x14ac:dyDescent="0.3">
      <c r="C35" t="s">
        <v>50</v>
      </c>
    </row>
    <row r="36" spans="3:3" x14ac:dyDescent="0.3">
      <c r="C36" t="s">
        <v>51</v>
      </c>
    </row>
    <row r="37" spans="3:3" x14ac:dyDescent="0.3">
      <c r="C37" t="s">
        <v>52</v>
      </c>
    </row>
    <row r="38" spans="3:3" x14ac:dyDescent="0.3">
      <c r="C38" t="s">
        <v>53</v>
      </c>
    </row>
    <row r="39" spans="3:3" x14ac:dyDescent="0.3">
      <c r="C39" t="s">
        <v>54</v>
      </c>
    </row>
    <row r="40" spans="3:3" x14ac:dyDescent="0.3">
      <c r="C40" t="s">
        <v>55</v>
      </c>
    </row>
    <row r="41" spans="3:3" x14ac:dyDescent="0.3">
      <c r="C41" t="s">
        <v>56</v>
      </c>
    </row>
    <row r="42" spans="3:3" x14ac:dyDescent="0.3">
      <c r="C42" t="s">
        <v>57</v>
      </c>
    </row>
    <row r="43" spans="3:3" x14ac:dyDescent="0.3">
      <c r="C43" t="s">
        <v>58</v>
      </c>
    </row>
    <row r="44" spans="3:3" x14ac:dyDescent="0.3">
      <c r="C44" t="s">
        <v>59</v>
      </c>
    </row>
    <row r="45" spans="3:3" x14ac:dyDescent="0.3">
      <c r="C45" t="s">
        <v>60</v>
      </c>
    </row>
    <row r="46" spans="3:3" x14ac:dyDescent="0.3">
      <c r="C46" t="s">
        <v>15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D6265-7BD6-4891-9EFE-DC18F1645E7D}">
  <sheetPr codeName="Sheet10">
    <tabColor rgb="FFFFFFFF"/>
  </sheetPr>
  <dimension ref="A2:B19"/>
  <sheetViews>
    <sheetView rightToLeft="1" workbookViewId="0"/>
  </sheetViews>
  <sheetFormatPr defaultRowHeight="14" x14ac:dyDescent="0.3"/>
  <cols>
    <col min="1" max="1" width="17.83203125" bestFit="1" customWidth="1"/>
    <col min="2" max="2" width="12.9140625" bestFit="1" customWidth="1"/>
  </cols>
  <sheetData>
    <row r="2" spans="1:2" x14ac:dyDescent="0.3">
      <c r="A2" t="s">
        <v>107</v>
      </c>
      <c r="B2" t="s">
        <v>108</v>
      </c>
    </row>
    <row r="3" spans="1:2" x14ac:dyDescent="0.3">
      <c r="A3" t="s">
        <v>109</v>
      </c>
      <c r="B3" t="s">
        <v>110</v>
      </c>
    </row>
    <row r="6" spans="1:2" x14ac:dyDescent="0.3">
      <c r="A6" t="s">
        <v>111</v>
      </c>
      <c r="B6" t="s">
        <v>112</v>
      </c>
    </row>
    <row r="7" spans="1:2" x14ac:dyDescent="0.3">
      <c r="A7" t="s">
        <v>113</v>
      </c>
      <c r="B7" t="s">
        <v>114</v>
      </c>
    </row>
    <row r="8" spans="1:2" x14ac:dyDescent="0.3">
      <c r="A8" t="s">
        <v>115</v>
      </c>
      <c r="B8" t="s">
        <v>116</v>
      </c>
    </row>
    <row r="16" spans="1:2" x14ac:dyDescent="0.3">
      <c r="A16" t="s">
        <v>117</v>
      </c>
      <c r="B16">
        <v>248</v>
      </c>
    </row>
    <row r="17" spans="1:2" x14ac:dyDescent="0.3">
      <c r="A17" t="s">
        <v>118</v>
      </c>
      <c r="B17">
        <v>236</v>
      </c>
    </row>
    <row r="18" spans="1:2" x14ac:dyDescent="0.3">
      <c r="A18" t="s">
        <v>119</v>
      </c>
      <c r="B18">
        <v>1</v>
      </c>
    </row>
    <row r="19" spans="1:2" x14ac:dyDescent="0.3">
      <c r="A19" t="s">
        <v>120</v>
      </c>
      <c r="B1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7BB7E-727F-418F-B6AC-427632C54467}">
  <sheetPr codeName="Sheet11">
    <tabColor rgb="FFFFFFFF"/>
  </sheetPr>
  <dimension ref="A1:R1"/>
  <sheetViews>
    <sheetView rightToLeft="1" workbookViewId="0"/>
  </sheetViews>
  <sheetFormatPr defaultRowHeight="14" x14ac:dyDescent="0.3"/>
  <cols>
    <col min="2" max="2" width="10.83203125" customWidth="1"/>
    <col min="3" max="3" width="11.1640625" customWidth="1"/>
    <col min="4" max="4" width="8.9140625" customWidth="1"/>
    <col min="5" max="5" width="15.6640625" customWidth="1"/>
    <col min="6" max="6" width="13.08203125" customWidth="1"/>
    <col min="7" max="7" width="12.1640625" customWidth="1"/>
    <col min="8" max="8" width="10.58203125" customWidth="1"/>
    <col min="9" max="9" width="15.08203125" customWidth="1"/>
    <col min="10" max="10" width="9.08203125" customWidth="1"/>
    <col min="11" max="11" width="13" customWidth="1"/>
    <col min="12" max="12" width="12.9140625" customWidth="1"/>
    <col min="13" max="13" width="11.9140625" customWidth="1"/>
    <col min="14" max="14" width="14.08203125" customWidth="1"/>
    <col min="15" max="15" width="20" customWidth="1"/>
    <col min="16" max="16" width="19.1640625" customWidth="1"/>
    <col min="17" max="17" width="14" customWidth="1"/>
    <col min="18" max="18" width="16.58203125" customWidth="1"/>
  </cols>
  <sheetData>
    <row r="1" spans="1:18" x14ac:dyDescent="0.3">
      <c r="A1" t="s">
        <v>156</v>
      </c>
      <c r="B1" t="s">
        <v>157</v>
      </c>
      <c r="C1" t="s">
        <v>158</v>
      </c>
      <c r="D1" t="s">
        <v>121</v>
      </c>
      <c r="E1" t="s">
        <v>122</v>
      </c>
      <c r="F1" t="s">
        <v>159</v>
      </c>
      <c r="G1" t="s">
        <v>160</v>
      </c>
      <c r="H1" t="s">
        <v>161</v>
      </c>
      <c r="I1" t="s">
        <v>131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194</v>
      </c>
      <c r="R1" t="s">
        <v>195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Dashboard</vt:lpstr>
      <vt:lpstr>Items_Master</vt:lpstr>
      <vt:lpstr>Inventory</vt:lpstr>
      <vt:lpstr>Min_Stock</vt:lpstr>
      <vt:lpstr>Transactions</vt:lpstr>
      <vt:lpstr>Suppliers</vt:lpstr>
      <vt:lpstr>Purchase_Followup</vt:lpstr>
      <vt:lpstr>Assets_Link</vt:lpstr>
      <vt:lpstr>Lists</vt:lpstr>
      <vt:lpstr>Settings</vt:lpstr>
      <vt:lpstr>Archive</vt:lpstr>
      <vt:lpstr>cfg_NextItemSeq</vt:lpstr>
      <vt:lpstr>cfg_NextPOSeq</vt:lpstr>
      <vt:lpstr>cfg_NextSupplierSeq</vt:lpstr>
      <vt:lpstr>cfg_NextTxnSeq</vt:lpstr>
      <vt:lpstr>dash_ActiveItems</vt:lpstr>
      <vt:lpstr>dash_CriticalZero</vt:lpstr>
      <vt:lpstr>dash_LastRefreshed</vt:lpstr>
      <vt:lpstr>dash_MonthTxns</vt:lpstr>
      <vt:lpstr>dash_OpenPOs</vt:lpstr>
      <vt:lpstr>dash_ShortageCount</vt:lpstr>
      <vt:lpstr>dash_StockValue</vt:lpstr>
      <vt:lpstr>dash_TotalItems</vt:lpstr>
      <vt:lpstr>dash_TotalUnits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עדי ברונר</dc:creator>
  <cp:lastModifiedBy>עדי ברונר</cp:lastModifiedBy>
  <dcterms:created xsi:type="dcterms:W3CDTF">2026-04-20T07:12:47Z</dcterms:created>
  <dcterms:modified xsi:type="dcterms:W3CDTF">2026-04-20T07:37:30Z</dcterms:modified>
</cp:coreProperties>
</file>